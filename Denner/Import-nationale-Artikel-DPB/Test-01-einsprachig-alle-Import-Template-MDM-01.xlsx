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dvellencesolutionsag-my.sharepoint.com/personal/otto_mischler_advellence_com/Documents/Dokumente/Projekte/Denner/1629-Regio-Artikel/Import-nationale-Artikel-DPB/"/>
    </mc:Choice>
  </mc:AlternateContent>
  <xr:revisionPtr revIDLastSave="9" documentId="8_{B745A878-BB97-4C8B-9F07-BC6095971253}" xr6:coauthVersionLast="47" xr6:coauthVersionMax="47" xr10:uidLastSave="{BF039E30-3E20-4039-AA11-37372924FCFF}"/>
  <bookViews>
    <workbookView xWindow="-5510" yWindow="-21710" windowWidth="38620" windowHeight="21100" activeTab="1" xr2:uid="{422FD670-9615-4BE2-A4A3-55610B308415}"/>
  </bookViews>
  <sheets>
    <sheet name="Help" sheetId="2" r:id="rId1"/>
    <sheet name="Entities" sheetId="1" r:id="rId2"/>
    <sheet name="Migrationsartikel" sheetId="10" r:id="rId3"/>
    <sheet name="Model" sheetId="3" state="hidden" r:id="rId4"/>
    <sheet name="Reference Data" sheetId="5" state="hidden" r:id="rId5"/>
    <sheet name="dedea_axba2387" sheetId="6" state="hidden" r:id="rId6"/>
    <sheet name="frfra_axba1516" sheetId="7" state="hidden" r:id="rId7"/>
    <sheet name="itita_axba3948" sheetId="8" state="hidden" r:id="rId8"/>
  </sheets>
  <externalReferences>
    <externalReference r:id="rId9"/>
  </externalReferences>
  <definedNames>
    <definedName name="_xlnm._FilterDatabase" localSheetId="2" hidden="1">Migrationsartikel!$A$1:$AG$195</definedName>
    <definedName name="EntitiesCol">Entities!$SRS$2</definedName>
    <definedName name="EntitiesRow">Entities!$A$1000000</definedName>
    <definedName name="_xlnm.Print_Area" localSheetId="2">Migrationsartikel!$F$1:$AG$4</definedName>
    <definedName name="RelationshipsCol">[1]Relationships!$SSS$2</definedName>
    <definedName name="RelationshipsRow">[1]Relationships!$A$1000000</definedName>
    <definedName name="RSC__refxartikeltypsap">'Reference Data'!$T$2:$T$5</definedName>
    <definedName name="RSC__refxbooleanalkoholhaltig">'Reference Data'!$U$2:$U$5</definedName>
    <definedName name="RSC__refxboolen">'Reference Data'!$V$2:$V$5</definedName>
    <definedName name="RSC__refxgtintyperegioartikel">'Reference Data'!$AP$2:$AP$5</definedName>
    <definedName name="RSC__refxshopinshop">'Reference Data'!$AO$2:$AO$5</definedName>
    <definedName name="RSC__refxsystemsap">'Reference Data'!$AQ$2:$AQ$5</definedName>
    <definedName name="RSC_atxalkoholhaltig__de_DE">'Reference Data'!$M$2:$M$2</definedName>
    <definedName name="RSC_atxalkoholhaltig__fr_FR">'Reference Data'!$L$2:$L$2</definedName>
    <definedName name="RSC_atxalkoholhaltig__it_IT">'Reference Data'!$G$2:$G$2</definedName>
    <definedName name="RSC_atxwarengruppesap__de_DE">'Reference Data'!$B$2:$B$2</definedName>
    <definedName name="RSC_atxwarengruppesap__fr_FR">'Reference Data'!$E$2:$E$2</definedName>
    <definedName name="RSC_atxwarengruppesap__it_IT">'Reference Data'!$O$2:$O$2</definedName>
    <definedName name="RSC_axartikelslpmstruktur__de_DE">'Reference Data'!$C$2:$C$2</definedName>
    <definedName name="RSC_axartikelslpmstruktur__fr_FR">'Reference Data'!$H$2:$H$2</definedName>
    <definedName name="RSC_axartikelslpmstruktur__it_IT">'Reference Data'!$A$2:$A$2</definedName>
    <definedName name="RSC_axartikeltypsap__de_DE">'Reference Data'!$J$2:$J$2</definedName>
    <definedName name="RSC_axartikeltypsap__fr_FR">'Reference Data'!$I$2:$I$2</definedName>
    <definedName name="RSC_axartikeltypsap__it_IT">'Reference Data'!$P$2:$P$2</definedName>
    <definedName name="RSC_axmhdvorhanden__de_DE">'Reference Data'!$N$2:$N$2</definedName>
    <definedName name="RSC_axmhdvorhanden__fr_FR">'Reference Data'!$Q$2:$Q$2</definedName>
    <definedName name="RSC_axmhdvorhanden__it_IT">'Reference Data'!$D$2:$D$2</definedName>
    <definedName name="RSC_axtaxdummyfilter__de_DE">'Reference Data'!$K$2:$K$2</definedName>
    <definedName name="RSC_axtaxdummyfilter__fr_FR">'Reference Data'!$R$2:$R$2</definedName>
    <definedName name="RSC_axtaxdummyfilter__it_IT">'Reference Data'!$F$2:$F$2</definedName>
    <definedName name="RSC_de_DE_refxaltersbegrtyp">'Reference Data'!$AL$2:$AL$9</definedName>
    <definedName name="RSC_de_DE_refxartikelartsap">'Reference Data'!$W$2:$W$14</definedName>
    <definedName name="RSC_de_DE_refxmengeneinheit">'Reference Data'!$AC$2:$AC$14</definedName>
    <definedName name="RSC_de_DE_refxsaisontypsap">'Reference Data'!$Z$2:$Z$7</definedName>
    <definedName name="RSC_de_DE_refxtaxclass">'Reference Data'!$AI$2:$AI$6</definedName>
    <definedName name="RSC_de_DE_refxvergleichspreiseinheit">'Reference Data'!$AF$2:$AF$6</definedName>
    <definedName name="RSC_ENTITY_NAME">'Reference Data'!$S$2:$S$2</definedName>
    <definedName name="RSC_fr_FR_refxaltersbegrtyp">'Reference Data'!$AM$2:$AM$9</definedName>
    <definedName name="RSC_fr_FR_refxartikelartsap">'Reference Data'!$X$2:$X$6</definedName>
    <definedName name="RSC_fr_FR_refxmengeneinheit">'Reference Data'!$AD$2:$AD$14</definedName>
    <definedName name="RSC_fr_FR_refxsaisontypsap">'Reference Data'!$AA$2:$AA$7</definedName>
    <definedName name="RSC_fr_FR_refxtaxclass">'Reference Data'!$AJ$2:$AJ$6</definedName>
    <definedName name="RSC_fr_FR_refxvergleichspreiseinheit">'Reference Data'!$AG$2:$AG$3</definedName>
    <definedName name="RSC_it_IT_refxaltersbegrtyp">'Reference Data'!$AN$2:$AN$9</definedName>
    <definedName name="RSC_it_IT_refxartikelartsap">'Reference Data'!$Y$2:$Y$6</definedName>
    <definedName name="RSC_it_IT_refxmengeneinheit">'Reference Data'!$AE$2:$AE$14</definedName>
    <definedName name="RSC_it_IT_refxsaisontypsap">'Reference Data'!$AB$2:$AB$7</definedName>
    <definedName name="RSC_it_IT_refxtaxclass">'Reference Data'!$AK$2:$AK$6</definedName>
    <definedName name="RSC_it_IT_refxvergleichspreiseinheit">'Reference Data'!$AH$2:$AH$3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AM489" i="1"/>
  <c r="AM490" i="1"/>
  <c r="AM491" i="1"/>
  <c r="AM492" i="1"/>
  <c r="AM493" i="1"/>
  <c r="AM494" i="1"/>
  <c r="AM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AC5" i="1"/>
  <c r="AD5" i="1"/>
  <c r="AG5" i="1"/>
  <c r="AH5" i="1"/>
  <c r="AI5" i="1"/>
  <c r="AJ5" i="1"/>
  <c r="AK5" i="1"/>
  <c r="AL5" i="1"/>
  <c r="AC6" i="1"/>
  <c r="AD6" i="1"/>
  <c r="AG6" i="1"/>
  <c r="AH6" i="1"/>
  <c r="AI6" i="1"/>
  <c r="AJ6" i="1"/>
  <c r="AK6" i="1"/>
  <c r="AL6" i="1"/>
  <c r="AC7" i="1"/>
  <c r="AD7" i="1"/>
  <c r="AG7" i="1"/>
  <c r="AH7" i="1"/>
  <c r="AI7" i="1"/>
  <c r="AJ7" i="1"/>
  <c r="AK7" i="1"/>
  <c r="AL7" i="1"/>
  <c r="AC8" i="1"/>
  <c r="AD8" i="1"/>
  <c r="AG8" i="1"/>
  <c r="AH8" i="1"/>
  <c r="AI8" i="1"/>
  <c r="AJ8" i="1"/>
  <c r="AK8" i="1"/>
  <c r="AL8" i="1"/>
  <c r="AC9" i="1"/>
  <c r="AD9" i="1"/>
  <c r="AG9" i="1"/>
  <c r="AH9" i="1"/>
  <c r="AI9" i="1"/>
  <c r="AJ9" i="1"/>
  <c r="AK9" i="1"/>
  <c r="AL9" i="1"/>
  <c r="AC10" i="1"/>
  <c r="AD10" i="1"/>
  <c r="AG10" i="1"/>
  <c r="AH10" i="1"/>
  <c r="AI10" i="1"/>
  <c r="AJ10" i="1"/>
  <c r="AK10" i="1"/>
  <c r="AL10" i="1"/>
  <c r="AC11" i="1"/>
  <c r="AD11" i="1"/>
  <c r="AG11" i="1"/>
  <c r="AH11" i="1"/>
  <c r="AI11" i="1"/>
  <c r="AJ11" i="1"/>
  <c r="AK11" i="1"/>
  <c r="AL11" i="1"/>
  <c r="AC12" i="1"/>
  <c r="AD12" i="1"/>
  <c r="AG12" i="1"/>
  <c r="AH12" i="1"/>
  <c r="AI12" i="1"/>
  <c r="AJ12" i="1"/>
  <c r="AK12" i="1"/>
  <c r="AL12" i="1"/>
  <c r="AC13" i="1"/>
  <c r="AD13" i="1"/>
  <c r="AG13" i="1"/>
  <c r="AH13" i="1"/>
  <c r="AI13" i="1"/>
  <c r="AJ13" i="1"/>
  <c r="AK13" i="1"/>
  <c r="AL13" i="1"/>
  <c r="AC14" i="1"/>
  <c r="AD14" i="1"/>
  <c r="AG14" i="1"/>
  <c r="AH14" i="1"/>
  <c r="AI14" i="1"/>
  <c r="AJ14" i="1"/>
  <c r="AK14" i="1"/>
  <c r="AL14" i="1"/>
  <c r="AC15" i="1"/>
  <c r="AD15" i="1"/>
  <c r="AG15" i="1"/>
  <c r="AH15" i="1"/>
  <c r="AI15" i="1"/>
  <c r="AJ15" i="1"/>
  <c r="AK15" i="1"/>
  <c r="AL15" i="1"/>
  <c r="AC16" i="1"/>
  <c r="AD16" i="1"/>
  <c r="AG16" i="1"/>
  <c r="AH16" i="1"/>
  <c r="AI16" i="1"/>
  <c r="AJ16" i="1"/>
  <c r="AK16" i="1"/>
  <c r="AL16" i="1"/>
  <c r="AC17" i="1"/>
  <c r="AD17" i="1"/>
  <c r="AG17" i="1"/>
  <c r="AH17" i="1"/>
  <c r="AI17" i="1"/>
  <c r="AJ17" i="1"/>
  <c r="AK17" i="1"/>
  <c r="AL17" i="1"/>
  <c r="AC18" i="1"/>
  <c r="AD18" i="1"/>
  <c r="AG18" i="1"/>
  <c r="AH18" i="1"/>
  <c r="AI18" i="1"/>
  <c r="AJ18" i="1"/>
  <c r="AK18" i="1"/>
  <c r="AL18" i="1"/>
  <c r="AC19" i="1"/>
  <c r="AD19" i="1"/>
  <c r="AG19" i="1"/>
  <c r="AH19" i="1"/>
  <c r="AI19" i="1"/>
  <c r="AJ19" i="1"/>
  <c r="AK19" i="1"/>
  <c r="AL19" i="1"/>
  <c r="AC20" i="1"/>
  <c r="AD20" i="1"/>
  <c r="AG20" i="1"/>
  <c r="AH20" i="1"/>
  <c r="AI20" i="1"/>
  <c r="AJ20" i="1"/>
  <c r="AK20" i="1"/>
  <c r="AL20" i="1"/>
  <c r="AC21" i="1"/>
  <c r="AD21" i="1"/>
  <c r="AG21" i="1"/>
  <c r="AH21" i="1"/>
  <c r="AI21" i="1"/>
  <c r="AJ21" i="1"/>
  <c r="AK21" i="1"/>
  <c r="AL21" i="1"/>
  <c r="AC22" i="1"/>
  <c r="AD22" i="1"/>
  <c r="AG22" i="1"/>
  <c r="AH22" i="1"/>
  <c r="AI22" i="1"/>
  <c r="AJ22" i="1"/>
  <c r="AK22" i="1"/>
  <c r="AL22" i="1"/>
  <c r="AC23" i="1"/>
  <c r="AD23" i="1"/>
  <c r="AG23" i="1"/>
  <c r="AH23" i="1"/>
  <c r="AI23" i="1"/>
  <c r="AJ23" i="1"/>
  <c r="AK23" i="1"/>
  <c r="AL23" i="1"/>
  <c r="AC24" i="1"/>
  <c r="AD24" i="1"/>
  <c r="AG24" i="1"/>
  <c r="AH24" i="1"/>
  <c r="AI24" i="1"/>
  <c r="AJ24" i="1"/>
  <c r="AK24" i="1"/>
  <c r="AL24" i="1"/>
  <c r="AC25" i="1"/>
  <c r="AD25" i="1"/>
  <c r="AG25" i="1"/>
  <c r="AH25" i="1"/>
  <c r="AI25" i="1"/>
  <c r="AJ25" i="1"/>
  <c r="AK25" i="1"/>
  <c r="AL25" i="1"/>
  <c r="AC26" i="1"/>
  <c r="AD26" i="1"/>
  <c r="AG26" i="1"/>
  <c r="AH26" i="1"/>
  <c r="AI26" i="1"/>
  <c r="AJ26" i="1"/>
  <c r="AK26" i="1"/>
  <c r="AL26" i="1"/>
  <c r="AC27" i="1"/>
  <c r="AD27" i="1"/>
  <c r="AG27" i="1"/>
  <c r="AH27" i="1"/>
  <c r="AI27" i="1"/>
  <c r="AJ27" i="1"/>
  <c r="AK27" i="1"/>
  <c r="AL27" i="1"/>
  <c r="AC28" i="1"/>
  <c r="AD28" i="1"/>
  <c r="AG28" i="1"/>
  <c r="AH28" i="1"/>
  <c r="AI28" i="1"/>
  <c r="AJ28" i="1"/>
  <c r="AK28" i="1"/>
  <c r="AL28" i="1"/>
  <c r="AC29" i="1"/>
  <c r="AD29" i="1"/>
  <c r="AG29" i="1"/>
  <c r="AH29" i="1"/>
  <c r="AI29" i="1"/>
  <c r="AJ29" i="1"/>
  <c r="AK29" i="1"/>
  <c r="AL29" i="1"/>
  <c r="AC30" i="1"/>
  <c r="AD30" i="1"/>
  <c r="AG30" i="1"/>
  <c r="AH30" i="1"/>
  <c r="AI30" i="1"/>
  <c r="AJ30" i="1"/>
  <c r="AK30" i="1"/>
  <c r="AL30" i="1"/>
  <c r="AC31" i="1"/>
  <c r="AD31" i="1"/>
  <c r="AG31" i="1"/>
  <c r="AH31" i="1"/>
  <c r="AI31" i="1"/>
  <c r="AJ31" i="1"/>
  <c r="AK31" i="1"/>
  <c r="AL31" i="1"/>
  <c r="AC32" i="1"/>
  <c r="AD32" i="1"/>
  <c r="AG32" i="1"/>
  <c r="AH32" i="1"/>
  <c r="AI32" i="1"/>
  <c r="AJ32" i="1"/>
  <c r="AK32" i="1"/>
  <c r="AL32" i="1"/>
  <c r="AC33" i="1"/>
  <c r="AD33" i="1"/>
  <c r="AG33" i="1"/>
  <c r="AH33" i="1"/>
  <c r="AI33" i="1"/>
  <c r="AJ33" i="1"/>
  <c r="AK33" i="1"/>
  <c r="AL33" i="1"/>
  <c r="AC34" i="1"/>
  <c r="AD34" i="1"/>
  <c r="AG34" i="1"/>
  <c r="AH34" i="1"/>
  <c r="AI34" i="1"/>
  <c r="AJ34" i="1"/>
  <c r="AK34" i="1"/>
  <c r="AL34" i="1"/>
  <c r="AC35" i="1"/>
  <c r="AD35" i="1"/>
  <c r="AG35" i="1"/>
  <c r="AH35" i="1"/>
  <c r="AI35" i="1"/>
  <c r="AJ35" i="1"/>
  <c r="AK35" i="1"/>
  <c r="AL35" i="1"/>
  <c r="AC36" i="1"/>
  <c r="AD36" i="1"/>
  <c r="AG36" i="1"/>
  <c r="AH36" i="1"/>
  <c r="AI36" i="1"/>
  <c r="AJ36" i="1"/>
  <c r="AK36" i="1"/>
  <c r="AL36" i="1"/>
  <c r="AC37" i="1"/>
  <c r="AD37" i="1"/>
  <c r="AG37" i="1"/>
  <c r="AH37" i="1"/>
  <c r="AI37" i="1"/>
  <c r="AJ37" i="1"/>
  <c r="AK37" i="1"/>
  <c r="AL37" i="1"/>
  <c r="AC38" i="1"/>
  <c r="AD38" i="1"/>
  <c r="AG38" i="1"/>
  <c r="AH38" i="1"/>
  <c r="AI38" i="1"/>
  <c r="AJ38" i="1"/>
  <c r="AK38" i="1"/>
  <c r="AL38" i="1"/>
  <c r="AC39" i="1"/>
  <c r="AD39" i="1"/>
  <c r="AG39" i="1"/>
  <c r="AH39" i="1"/>
  <c r="AI39" i="1"/>
  <c r="AJ39" i="1"/>
  <c r="AK39" i="1"/>
  <c r="AL39" i="1"/>
  <c r="AC40" i="1"/>
  <c r="AD40" i="1"/>
  <c r="AG40" i="1"/>
  <c r="AH40" i="1"/>
  <c r="AI40" i="1"/>
  <c r="AJ40" i="1"/>
  <c r="AK40" i="1"/>
  <c r="AL40" i="1"/>
  <c r="AC41" i="1"/>
  <c r="AD41" i="1"/>
  <c r="AG41" i="1"/>
  <c r="AH41" i="1"/>
  <c r="AI41" i="1"/>
  <c r="AJ41" i="1"/>
  <c r="AK41" i="1"/>
  <c r="AL41" i="1"/>
  <c r="AC42" i="1"/>
  <c r="AD42" i="1"/>
  <c r="AG42" i="1"/>
  <c r="AH42" i="1"/>
  <c r="AI42" i="1"/>
  <c r="AJ42" i="1"/>
  <c r="AK42" i="1"/>
  <c r="AL42" i="1"/>
  <c r="AC43" i="1"/>
  <c r="AD43" i="1"/>
  <c r="AG43" i="1"/>
  <c r="AH43" i="1"/>
  <c r="AI43" i="1"/>
  <c r="AJ43" i="1"/>
  <c r="AK43" i="1"/>
  <c r="AL43" i="1"/>
  <c r="AC44" i="1"/>
  <c r="AD44" i="1"/>
  <c r="AG44" i="1"/>
  <c r="AH44" i="1"/>
  <c r="AI44" i="1"/>
  <c r="AJ44" i="1"/>
  <c r="AK44" i="1"/>
  <c r="AL44" i="1"/>
  <c r="AC45" i="1"/>
  <c r="AD45" i="1"/>
  <c r="AG45" i="1"/>
  <c r="AH45" i="1"/>
  <c r="AI45" i="1"/>
  <c r="AJ45" i="1"/>
  <c r="AK45" i="1"/>
  <c r="AL45" i="1"/>
  <c r="AC46" i="1"/>
  <c r="AD46" i="1"/>
  <c r="AG46" i="1"/>
  <c r="AH46" i="1"/>
  <c r="AI46" i="1"/>
  <c r="AJ46" i="1"/>
  <c r="AK46" i="1"/>
  <c r="AL46" i="1"/>
  <c r="AC47" i="1"/>
  <c r="AD47" i="1"/>
  <c r="AG47" i="1"/>
  <c r="AH47" i="1"/>
  <c r="AI47" i="1"/>
  <c r="AJ47" i="1"/>
  <c r="AK47" i="1"/>
  <c r="AL47" i="1"/>
  <c r="AC48" i="1"/>
  <c r="AD48" i="1"/>
  <c r="AG48" i="1"/>
  <c r="AH48" i="1"/>
  <c r="AI48" i="1"/>
  <c r="AJ48" i="1"/>
  <c r="AK48" i="1"/>
  <c r="AL48" i="1"/>
  <c r="AC49" i="1"/>
  <c r="AD49" i="1"/>
  <c r="AG49" i="1"/>
  <c r="AH49" i="1"/>
  <c r="AI49" i="1"/>
  <c r="AJ49" i="1"/>
  <c r="AK49" i="1"/>
  <c r="AL49" i="1"/>
  <c r="AC50" i="1"/>
  <c r="AD50" i="1"/>
  <c r="AG50" i="1"/>
  <c r="AH50" i="1"/>
  <c r="AI50" i="1"/>
  <c r="AJ50" i="1"/>
  <c r="AK50" i="1"/>
  <c r="AL50" i="1"/>
  <c r="AC51" i="1"/>
  <c r="AD51" i="1"/>
  <c r="AG51" i="1"/>
  <c r="AH51" i="1"/>
  <c r="AI51" i="1"/>
  <c r="AJ51" i="1"/>
  <c r="AK51" i="1"/>
  <c r="AL51" i="1"/>
  <c r="AC52" i="1"/>
  <c r="AD52" i="1"/>
  <c r="AG52" i="1"/>
  <c r="AH52" i="1"/>
  <c r="AI52" i="1"/>
  <c r="AJ52" i="1"/>
  <c r="AK52" i="1"/>
  <c r="AL52" i="1"/>
  <c r="AC53" i="1"/>
  <c r="AD53" i="1"/>
  <c r="AG53" i="1"/>
  <c r="AH53" i="1"/>
  <c r="AI53" i="1"/>
  <c r="AJ53" i="1"/>
  <c r="AK53" i="1"/>
  <c r="AL53" i="1"/>
  <c r="AC54" i="1"/>
  <c r="AD54" i="1"/>
  <c r="AG54" i="1"/>
  <c r="AH54" i="1"/>
  <c r="AI54" i="1"/>
  <c r="AJ54" i="1"/>
  <c r="AK54" i="1"/>
  <c r="AL54" i="1"/>
  <c r="AC55" i="1"/>
  <c r="AD55" i="1"/>
  <c r="AG55" i="1"/>
  <c r="AH55" i="1"/>
  <c r="AI55" i="1"/>
  <c r="AJ55" i="1"/>
  <c r="AK55" i="1"/>
  <c r="AL55" i="1"/>
  <c r="AC56" i="1"/>
  <c r="AD56" i="1"/>
  <c r="AG56" i="1"/>
  <c r="AH56" i="1"/>
  <c r="AI56" i="1"/>
  <c r="AJ56" i="1"/>
  <c r="AK56" i="1"/>
  <c r="AL56" i="1"/>
  <c r="AC57" i="1"/>
  <c r="AD57" i="1"/>
  <c r="AG57" i="1"/>
  <c r="AH57" i="1"/>
  <c r="AI57" i="1"/>
  <c r="AJ57" i="1"/>
  <c r="AK57" i="1"/>
  <c r="AL57" i="1"/>
  <c r="AC58" i="1"/>
  <c r="AD58" i="1"/>
  <c r="AG58" i="1"/>
  <c r="AH58" i="1"/>
  <c r="AI58" i="1"/>
  <c r="AJ58" i="1"/>
  <c r="AK58" i="1"/>
  <c r="AL58" i="1"/>
  <c r="AC59" i="1"/>
  <c r="AD59" i="1"/>
  <c r="AG59" i="1"/>
  <c r="AH59" i="1"/>
  <c r="AI59" i="1"/>
  <c r="AJ59" i="1"/>
  <c r="AK59" i="1"/>
  <c r="AL59" i="1"/>
  <c r="AC60" i="1"/>
  <c r="AD60" i="1"/>
  <c r="AG60" i="1"/>
  <c r="AH60" i="1"/>
  <c r="AI60" i="1"/>
  <c r="AJ60" i="1"/>
  <c r="AK60" i="1"/>
  <c r="AL60" i="1"/>
  <c r="AC61" i="1"/>
  <c r="AD61" i="1"/>
  <c r="AG61" i="1"/>
  <c r="AH61" i="1"/>
  <c r="AI61" i="1"/>
  <c r="AJ61" i="1"/>
  <c r="AK61" i="1"/>
  <c r="AL61" i="1"/>
  <c r="AC62" i="1"/>
  <c r="AD62" i="1"/>
  <c r="AG62" i="1"/>
  <c r="AH62" i="1"/>
  <c r="AI62" i="1"/>
  <c r="AJ62" i="1"/>
  <c r="AK62" i="1"/>
  <c r="AL62" i="1"/>
  <c r="AC63" i="1"/>
  <c r="AD63" i="1"/>
  <c r="AG63" i="1"/>
  <c r="AH63" i="1"/>
  <c r="AI63" i="1"/>
  <c r="AJ63" i="1"/>
  <c r="AK63" i="1"/>
  <c r="AL63" i="1"/>
  <c r="AC64" i="1"/>
  <c r="AD64" i="1"/>
  <c r="AG64" i="1"/>
  <c r="AH64" i="1"/>
  <c r="AI64" i="1"/>
  <c r="AJ64" i="1"/>
  <c r="AK64" i="1"/>
  <c r="AL64" i="1"/>
  <c r="AC65" i="1"/>
  <c r="AD65" i="1"/>
  <c r="AG65" i="1"/>
  <c r="AH65" i="1"/>
  <c r="AI65" i="1"/>
  <c r="AJ65" i="1"/>
  <c r="AK65" i="1"/>
  <c r="AL65" i="1"/>
  <c r="AC66" i="1"/>
  <c r="AD66" i="1"/>
  <c r="AG66" i="1"/>
  <c r="AH66" i="1"/>
  <c r="AI66" i="1"/>
  <c r="AJ66" i="1"/>
  <c r="AK66" i="1"/>
  <c r="AL66" i="1"/>
  <c r="AC67" i="1"/>
  <c r="AD67" i="1"/>
  <c r="AG67" i="1"/>
  <c r="AH67" i="1"/>
  <c r="AI67" i="1"/>
  <c r="AJ67" i="1"/>
  <c r="AK67" i="1"/>
  <c r="AL67" i="1"/>
  <c r="AC68" i="1"/>
  <c r="AD68" i="1"/>
  <c r="AG68" i="1"/>
  <c r="AH68" i="1"/>
  <c r="AI68" i="1"/>
  <c r="AJ68" i="1"/>
  <c r="AK68" i="1"/>
  <c r="AL68" i="1"/>
  <c r="AC69" i="1"/>
  <c r="AD69" i="1"/>
  <c r="AG69" i="1"/>
  <c r="AH69" i="1"/>
  <c r="AI69" i="1"/>
  <c r="AJ69" i="1"/>
  <c r="AK69" i="1"/>
  <c r="AL69" i="1"/>
  <c r="AC70" i="1"/>
  <c r="AD70" i="1"/>
  <c r="AG70" i="1"/>
  <c r="AH70" i="1"/>
  <c r="AI70" i="1"/>
  <c r="AJ70" i="1"/>
  <c r="AK70" i="1"/>
  <c r="AL70" i="1"/>
  <c r="AC71" i="1"/>
  <c r="AD71" i="1"/>
  <c r="AG71" i="1"/>
  <c r="AH71" i="1"/>
  <c r="AI71" i="1"/>
  <c r="AJ71" i="1"/>
  <c r="AK71" i="1"/>
  <c r="AL71" i="1"/>
  <c r="AC72" i="1"/>
  <c r="AD72" i="1"/>
  <c r="AG72" i="1"/>
  <c r="AH72" i="1"/>
  <c r="AI72" i="1"/>
  <c r="AJ72" i="1"/>
  <c r="AK72" i="1"/>
  <c r="AL72" i="1"/>
  <c r="AC73" i="1"/>
  <c r="AD73" i="1"/>
  <c r="AG73" i="1"/>
  <c r="AH73" i="1"/>
  <c r="AI73" i="1"/>
  <c r="AJ73" i="1"/>
  <c r="AK73" i="1"/>
  <c r="AL73" i="1"/>
  <c r="AC74" i="1"/>
  <c r="AD74" i="1"/>
  <c r="AG74" i="1"/>
  <c r="AH74" i="1"/>
  <c r="AI74" i="1"/>
  <c r="AJ74" i="1"/>
  <c r="AK74" i="1"/>
  <c r="AL74" i="1"/>
  <c r="AC75" i="1"/>
  <c r="AD75" i="1"/>
  <c r="AG75" i="1"/>
  <c r="AH75" i="1"/>
  <c r="AI75" i="1"/>
  <c r="AJ75" i="1"/>
  <c r="AK75" i="1"/>
  <c r="AL75" i="1"/>
  <c r="AC76" i="1"/>
  <c r="AD76" i="1"/>
  <c r="AG76" i="1"/>
  <c r="AH76" i="1"/>
  <c r="AI76" i="1"/>
  <c r="AJ76" i="1"/>
  <c r="AK76" i="1"/>
  <c r="AL76" i="1"/>
  <c r="AC77" i="1"/>
  <c r="AD77" i="1"/>
  <c r="AG77" i="1"/>
  <c r="AH77" i="1"/>
  <c r="AI77" i="1"/>
  <c r="AJ77" i="1"/>
  <c r="AK77" i="1"/>
  <c r="AL77" i="1"/>
  <c r="AC78" i="1"/>
  <c r="AD78" i="1"/>
  <c r="AG78" i="1"/>
  <c r="AH78" i="1"/>
  <c r="AI78" i="1"/>
  <c r="AJ78" i="1"/>
  <c r="AK78" i="1"/>
  <c r="AL78" i="1"/>
  <c r="AC79" i="1"/>
  <c r="AD79" i="1"/>
  <c r="AG79" i="1"/>
  <c r="AH79" i="1"/>
  <c r="AI79" i="1"/>
  <c r="AJ79" i="1"/>
  <c r="AK79" i="1"/>
  <c r="AL79" i="1"/>
  <c r="AC80" i="1"/>
  <c r="AD80" i="1"/>
  <c r="AG80" i="1"/>
  <c r="AH80" i="1"/>
  <c r="AI80" i="1"/>
  <c r="AJ80" i="1"/>
  <c r="AK80" i="1"/>
  <c r="AL80" i="1"/>
  <c r="AC81" i="1"/>
  <c r="AD81" i="1"/>
  <c r="AG81" i="1"/>
  <c r="AH81" i="1"/>
  <c r="AI81" i="1"/>
  <c r="AJ81" i="1"/>
  <c r="AK81" i="1"/>
  <c r="AL81" i="1"/>
  <c r="AC82" i="1"/>
  <c r="AD82" i="1"/>
  <c r="AG82" i="1"/>
  <c r="AH82" i="1"/>
  <c r="AI82" i="1"/>
  <c r="AJ82" i="1"/>
  <c r="AK82" i="1"/>
  <c r="AL82" i="1"/>
  <c r="AC83" i="1"/>
  <c r="AD83" i="1"/>
  <c r="AG83" i="1"/>
  <c r="AH83" i="1"/>
  <c r="AI83" i="1"/>
  <c r="AJ83" i="1"/>
  <c r="AK83" i="1"/>
  <c r="AL83" i="1"/>
  <c r="AC84" i="1"/>
  <c r="AD84" i="1"/>
  <c r="AG84" i="1"/>
  <c r="AH84" i="1"/>
  <c r="AI84" i="1"/>
  <c r="AJ84" i="1"/>
  <c r="AK84" i="1"/>
  <c r="AL84" i="1"/>
  <c r="AC85" i="1"/>
  <c r="AD85" i="1"/>
  <c r="AG85" i="1"/>
  <c r="AH85" i="1"/>
  <c r="AI85" i="1"/>
  <c r="AJ85" i="1"/>
  <c r="AK85" i="1"/>
  <c r="AL85" i="1"/>
  <c r="AC86" i="1"/>
  <c r="AD86" i="1"/>
  <c r="AG86" i="1"/>
  <c r="AH86" i="1"/>
  <c r="AI86" i="1"/>
  <c r="AJ86" i="1"/>
  <c r="AK86" i="1"/>
  <c r="AL86" i="1"/>
  <c r="AC87" i="1"/>
  <c r="AD87" i="1"/>
  <c r="AG87" i="1"/>
  <c r="AH87" i="1"/>
  <c r="AI87" i="1"/>
  <c r="AJ87" i="1"/>
  <c r="AK87" i="1"/>
  <c r="AL87" i="1"/>
  <c r="AC88" i="1"/>
  <c r="AD88" i="1"/>
  <c r="AG88" i="1"/>
  <c r="AH88" i="1"/>
  <c r="AI88" i="1"/>
  <c r="AJ88" i="1"/>
  <c r="AK88" i="1"/>
  <c r="AL88" i="1"/>
  <c r="AC89" i="1"/>
  <c r="AD89" i="1"/>
  <c r="AG89" i="1"/>
  <c r="AH89" i="1"/>
  <c r="AI89" i="1"/>
  <c r="AJ89" i="1"/>
  <c r="AK89" i="1"/>
  <c r="AL89" i="1"/>
  <c r="AC90" i="1"/>
  <c r="AD90" i="1"/>
  <c r="AG90" i="1"/>
  <c r="AH90" i="1"/>
  <c r="AI90" i="1"/>
  <c r="AJ90" i="1"/>
  <c r="AK90" i="1"/>
  <c r="AL90" i="1"/>
  <c r="AC91" i="1"/>
  <c r="AD91" i="1"/>
  <c r="AG91" i="1"/>
  <c r="AH91" i="1"/>
  <c r="AI91" i="1"/>
  <c r="AJ91" i="1"/>
  <c r="AK91" i="1"/>
  <c r="AL91" i="1"/>
  <c r="AC92" i="1"/>
  <c r="AD92" i="1"/>
  <c r="AG92" i="1"/>
  <c r="AH92" i="1"/>
  <c r="AI92" i="1"/>
  <c r="AJ92" i="1"/>
  <c r="AK92" i="1"/>
  <c r="AL92" i="1"/>
  <c r="AC93" i="1"/>
  <c r="AD93" i="1"/>
  <c r="AG93" i="1"/>
  <c r="AH93" i="1"/>
  <c r="AI93" i="1"/>
  <c r="AJ93" i="1"/>
  <c r="AK93" i="1"/>
  <c r="AL93" i="1"/>
  <c r="AC94" i="1"/>
  <c r="AD94" i="1"/>
  <c r="AG94" i="1"/>
  <c r="AH94" i="1"/>
  <c r="AI94" i="1"/>
  <c r="AJ94" i="1"/>
  <c r="AK94" i="1"/>
  <c r="AL94" i="1"/>
  <c r="AC95" i="1"/>
  <c r="AD95" i="1"/>
  <c r="AG95" i="1"/>
  <c r="AH95" i="1"/>
  <c r="AI95" i="1"/>
  <c r="AJ95" i="1"/>
  <c r="AK95" i="1"/>
  <c r="AL95" i="1"/>
  <c r="AC96" i="1"/>
  <c r="AD96" i="1"/>
  <c r="AG96" i="1"/>
  <c r="AH96" i="1"/>
  <c r="AI96" i="1"/>
  <c r="AJ96" i="1"/>
  <c r="AK96" i="1"/>
  <c r="AL96" i="1"/>
  <c r="AC97" i="1"/>
  <c r="AD97" i="1"/>
  <c r="AG97" i="1"/>
  <c r="AH97" i="1"/>
  <c r="AI97" i="1"/>
  <c r="AJ97" i="1"/>
  <c r="AK97" i="1"/>
  <c r="AL97" i="1"/>
  <c r="AC98" i="1"/>
  <c r="AD98" i="1"/>
  <c r="AG98" i="1"/>
  <c r="AH98" i="1"/>
  <c r="AI98" i="1"/>
  <c r="AJ98" i="1"/>
  <c r="AK98" i="1"/>
  <c r="AL98" i="1"/>
  <c r="AC99" i="1"/>
  <c r="AD99" i="1"/>
  <c r="AG99" i="1"/>
  <c r="AH99" i="1"/>
  <c r="AI99" i="1"/>
  <c r="AJ99" i="1"/>
  <c r="AK99" i="1"/>
  <c r="AL99" i="1"/>
  <c r="AC100" i="1"/>
  <c r="AD100" i="1"/>
  <c r="AG100" i="1"/>
  <c r="AH100" i="1"/>
  <c r="AI100" i="1"/>
  <c r="AJ100" i="1"/>
  <c r="AK100" i="1"/>
  <c r="AL100" i="1"/>
  <c r="AC101" i="1"/>
  <c r="AD101" i="1"/>
  <c r="AG101" i="1"/>
  <c r="AH101" i="1"/>
  <c r="AI101" i="1"/>
  <c r="AJ101" i="1"/>
  <c r="AK101" i="1"/>
  <c r="AL101" i="1"/>
  <c r="AC102" i="1"/>
  <c r="AD102" i="1"/>
  <c r="AG102" i="1"/>
  <c r="AH102" i="1"/>
  <c r="AI102" i="1"/>
  <c r="AJ102" i="1"/>
  <c r="AK102" i="1"/>
  <c r="AL102" i="1"/>
  <c r="AC103" i="1"/>
  <c r="AD103" i="1"/>
  <c r="AG103" i="1"/>
  <c r="AH103" i="1"/>
  <c r="AI103" i="1"/>
  <c r="AJ103" i="1"/>
  <c r="AK103" i="1"/>
  <c r="AL103" i="1"/>
  <c r="AC104" i="1"/>
  <c r="AD104" i="1"/>
  <c r="AG104" i="1"/>
  <c r="AH104" i="1"/>
  <c r="AI104" i="1"/>
  <c r="AJ104" i="1"/>
  <c r="AK104" i="1"/>
  <c r="AL104" i="1"/>
  <c r="AC105" i="1"/>
  <c r="AD105" i="1"/>
  <c r="AG105" i="1"/>
  <c r="AH105" i="1"/>
  <c r="AI105" i="1"/>
  <c r="AJ105" i="1"/>
  <c r="AK105" i="1"/>
  <c r="AL105" i="1"/>
  <c r="AC106" i="1"/>
  <c r="AD106" i="1"/>
  <c r="AG106" i="1"/>
  <c r="AH106" i="1"/>
  <c r="AI106" i="1"/>
  <c r="AJ106" i="1"/>
  <c r="AK106" i="1"/>
  <c r="AL106" i="1"/>
  <c r="AC107" i="1"/>
  <c r="AD107" i="1"/>
  <c r="AG107" i="1"/>
  <c r="AH107" i="1"/>
  <c r="AI107" i="1"/>
  <c r="AJ107" i="1"/>
  <c r="AK107" i="1"/>
  <c r="AL107" i="1"/>
  <c r="AC108" i="1"/>
  <c r="AD108" i="1"/>
  <c r="AG108" i="1"/>
  <c r="AH108" i="1"/>
  <c r="AI108" i="1"/>
  <c r="AJ108" i="1"/>
  <c r="AK108" i="1"/>
  <c r="AL108" i="1"/>
  <c r="AC109" i="1"/>
  <c r="AD109" i="1"/>
  <c r="AG109" i="1"/>
  <c r="AH109" i="1"/>
  <c r="AI109" i="1"/>
  <c r="AJ109" i="1"/>
  <c r="AK109" i="1"/>
  <c r="AL109" i="1"/>
  <c r="AC110" i="1"/>
  <c r="AD110" i="1"/>
  <c r="AG110" i="1"/>
  <c r="AH110" i="1"/>
  <c r="AI110" i="1"/>
  <c r="AJ110" i="1"/>
  <c r="AK110" i="1"/>
  <c r="AL110" i="1"/>
  <c r="AC111" i="1"/>
  <c r="AD111" i="1"/>
  <c r="AG111" i="1"/>
  <c r="AH111" i="1"/>
  <c r="AI111" i="1"/>
  <c r="AJ111" i="1"/>
  <c r="AK111" i="1"/>
  <c r="AL111" i="1"/>
  <c r="AC112" i="1"/>
  <c r="AD112" i="1"/>
  <c r="AG112" i="1"/>
  <c r="AH112" i="1"/>
  <c r="AI112" i="1"/>
  <c r="AJ112" i="1"/>
  <c r="AK112" i="1"/>
  <c r="AL112" i="1"/>
  <c r="AC113" i="1"/>
  <c r="AD113" i="1"/>
  <c r="AG113" i="1"/>
  <c r="AH113" i="1"/>
  <c r="AI113" i="1"/>
  <c r="AJ113" i="1"/>
  <c r="AK113" i="1"/>
  <c r="AL113" i="1"/>
  <c r="AC114" i="1"/>
  <c r="AD114" i="1"/>
  <c r="AG114" i="1"/>
  <c r="AH114" i="1"/>
  <c r="AI114" i="1"/>
  <c r="AJ114" i="1"/>
  <c r="AK114" i="1"/>
  <c r="AL114" i="1"/>
  <c r="AC115" i="1"/>
  <c r="AD115" i="1"/>
  <c r="AG115" i="1"/>
  <c r="AH115" i="1"/>
  <c r="AI115" i="1"/>
  <c r="AJ115" i="1"/>
  <c r="AK115" i="1"/>
  <c r="AL115" i="1"/>
  <c r="AC116" i="1"/>
  <c r="AD116" i="1"/>
  <c r="AG116" i="1"/>
  <c r="AH116" i="1"/>
  <c r="AI116" i="1"/>
  <c r="AJ116" i="1"/>
  <c r="AK116" i="1"/>
  <c r="AL116" i="1"/>
  <c r="AC117" i="1"/>
  <c r="AD117" i="1"/>
  <c r="AG117" i="1"/>
  <c r="AH117" i="1"/>
  <c r="AI117" i="1"/>
  <c r="AJ117" i="1"/>
  <c r="AK117" i="1"/>
  <c r="AL117" i="1"/>
  <c r="AC118" i="1"/>
  <c r="AD118" i="1"/>
  <c r="AG118" i="1"/>
  <c r="AH118" i="1"/>
  <c r="AI118" i="1"/>
  <c r="AJ118" i="1"/>
  <c r="AK118" i="1"/>
  <c r="AL118" i="1"/>
  <c r="AC119" i="1"/>
  <c r="AD119" i="1"/>
  <c r="AG119" i="1"/>
  <c r="AH119" i="1"/>
  <c r="AI119" i="1"/>
  <c r="AJ119" i="1"/>
  <c r="AK119" i="1"/>
  <c r="AL119" i="1"/>
  <c r="AC120" i="1"/>
  <c r="AD120" i="1"/>
  <c r="AG120" i="1"/>
  <c r="AH120" i="1"/>
  <c r="AI120" i="1"/>
  <c r="AJ120" i="1"/>
  <c r="AK120" i="1"/>
  <c r="AL120" i="1"/>
  <c r="AC121" i="1"/>
  <c r="AD121" i="1"/>
  <c r="AG121" i="1"/>
  <c r="AH121" i="1"/>
  <c r="AI121" i="1"/>
  <c r="AJ121" i="1"/>
  <c r="AK121" i="1"/>
  <c r="AL121" i="1"/>
  <c r="AC122" i="1"/>
  <c r="AD122" i="1"/>
  <c r="AG122" i="1"/>
  <c r="AH122" i="1"/>
  <c r="AI122" i="1"/>
  <c r="AJ122" i="1"/>
  <c r="AK122" i="1"/>
  <c r="AL122" i="1"/>
  <c r="AC123" i="1"/>
  <c r="AD123" i="1"/>
  <c r="AG123" i="1"/>
  <c r="AH123" i="1"/>
  <c r="AI123" i="1"/>
  <c r="AJ123" i="1"/>
  <c r="AK123" i="1"/>
  <c r="AL123" i="1"/>
  <c r="AC124" i="1"/>
  <c r="AD124" i="1"/>
  <c r="AG124" i="1"/>
  <c r="AH124" i="1"/>
  <c r="AI124" i="1"/>
  <c r="AJ124" i="1"/>
  <c r="AK124" i="1"/>
  <c r="AL124" i="1"/>
  <c r="AC125" i="1"/>
  <c r="AD125" i="1"/>
  <c r="AG125" i="1"/>
  <c r="AH125" i="1"/>
  <c r="AI125" i="1"/>
  <c r="AJ125" i="1"/>
  <c r="AK125" i="1"/>
  <c r="AL125" i="1"/>
  <c r="AC126" i="1"/>
  <c r="AD126" i="1"/>
  <c r="AG126" i="1"/>
  <c r="AH126" i="1"/>
  <c r="AI126" i="1"/>
  <c r="AJ126" i="1"/>
  <c r="AK126" i="1"/>
  <c r="AL126" i="1"/>
  <c r="AC127" i="1"/>
  <c r="AD127" i="1"/>
  <c r="AG127" i="1"/>
  <c r="AH127" i="1"/>
  <c r="AI127" i="1"/>
  <c r="AJ127" i="1"/>
  <c r="AK127" i="1"/>
  <c r="AL127" i="1"/>
  <c r="AC128" i="1"/>
  <c r="AD128" i="1"/>
  <c r="AG128" i="1"/>
  <c r="AH128" i="1"/>
  <c r="AI128" i="1"/>
  <c r="AJ128" i="1"/>
  <c r="AK128" i="1"/>
  <c r="AL128" i="1"/>
  <c r="AC129" i="1"/>
  <c r="AD129" i="1"/>
  <c r="AG129" i="1"/>
  <c r="AH129" i="1"/>
  <c r="AI129" i="1"/>
  <c r="AJ129" i="1"/>
  <c r="AK129" i="1"/>
  <c r="AL129" i="1"/>
  <c r="AC130" i="1"/>
  <c r="AD130" i="1"/>
  <c r="AG130" i="1"/>
  <c r="AH130" i="1"/>
  <c r="AI130" i="1"/>
  <c r="AJ130" i="1"/>
  <c r="AK130" i="1"/>
  <c r="AL130" i="1"/>
  <c r="AC131" i="1"/>
  <c r="AD131" i="1"/>
  <c r="AG131" i="1"/>
  <c r="AH131" i="1"/>
  <c r="AI131" i="1"/>
  <c r="AJ131" i="1"/>
  <c r="AK131" i="1"/>
  <c r="AL131" i="1"/>
  <c r="AC132" i="1"/>
  <c r="AD132" i="1"/>
  <c r="AG132" i="1"/>
  <c r="AH132" i="1"/>
  <c r="AI132" i="1"/>
  <c r="AJ132" i="1"/>
  <c r="AK132" i="1"/>
  <c r="AL132" i="1"/>
  <c r="AC133" i="1"/>
  <c r="AD133" i="1"/>
  <c r="AG133" i="1"/>
  <c r="AH133" i="1"/>
  <c r="AI133" i="1"/>
  <c r="AJ133" i="1"/>
  <c r="AK133" i="1"/>
  <c r="AL133" i="1"/>
  <c r="AC134" i="1"/>
  <c r="AD134" i="1"/>
  <c r="AG134" i="1"/>
  <c r="AH134" i="1"/>
  <c r="AI134" i="1"/>
  <c r="AJ134" i="1"/>
  <c r="AK134" i="1"/>
  <c r="AL134" i="1"/>
  <c r="AC135" i="1"/>
  <c r="AD135" i="1"/>
  <c r="AG135" i="1"/>
  <c r="AH135" i="1"/>
  <c r="AI135" i="1"/>
  <c r="AJ135" i="1"/>
  <c r="AK135" i="1"/>
  <c r="AL135" i="1"/>
  <c r="AC136" i="1"/>
  <c r="AD136" i="1"/>
  <c r="AG136" i="1"/>
  <c r="AH136" i="1"/>
  <c r="AI136" i="1"/>
  <c r="AJ136" i="1"/>
  <c r="AK136" i="1"/>
  <c r="AL136" i="1"/>
  <c r="AC137" i="1"/>
  <c r="AD137" i="1"/>
  <c r="AG137" i="1"/>
  <c r="AH137" i="1"/>
  <c r="AI137" i="1"/>
  <c r="AJ137" i="1"/>
  <c r="AK137" i="1"/>
  <c r="AL137" i="1"/>
  <c r="AC138" i="1"/>
  <c r="AD138" i="1"/>
  <c r="AG138" i="1"/>
  <c r="AH138" i="1"/>
  <c r="AI138" i="1"/>
  <c r="AJ138" i="1"/>
  <c r="AK138" i="1"/>
  <c r="AL138" i="1"/>
  <c r="AC139" i="1"/>
  <c r="AD139" i="1"/>
  <c r="AG139" i="1"/>
  <c r="AH139" i="1"/>
  <c r="AI139" i="1"/>
  <c r="AJ139" i="1"/>
  <c r="AK139" i="1"/>
  <c r="AL139" i="1"/>
  <c r="AC140" i="1"/>
  <c r="AD140" i="1"/>
  <c r="AG140" i="1"/>
  <c r="AH140" i="1"/>
  <c r="AI140" i="1"/>
  <c r="AJ140" i="1"/>
  <c r="AK140" i="1"/>
  <c r="AL140" i="1"/>
  <c r="AC141" i="1"/>
  <c r="AD141" i="1"/>
  <c r="AG141" i="1"/>
  <c r="AH141" i="1"/>
  <c r="AI141" i="1"/>
  <c r="AJ141" i="1"/>
  <c r="AK141" i="1"/>
  <c r="AL141" i="1"/>
  <c r="AC142" i="1"/>
  <c r="AD142" i="1"/>
  <c r="AG142" i="1"/>
  <c r="AH142" i="1"/>
  <c r="AI142" i="1"/>
  <c r="AJ142" i="1"/>
  <c r="AK142" i="1"/>
  <c r="AL142" i="1"/>
  <c r="AC143" i="1"/>
  <c r="AD143" i="1"/>
  <c r="AG143" i="1"/>
  <c r="AH143" i="1"/>
  <c r="AI143" i="1"/>
  <c r="AJ143" i="1"/>
  <c r="AK143" i="1"/>
  <c r="AL143" i="1"/>
  <c r="AC144" i="1"/>
  <c r="AD144" i="1"/>
  <c r="AG144" i="1"/>
  <c r="AH144" i="1"/>
  <c r="AI144" i="1"/>
  <c r="AJ144" i="1"/>
  <c r="AK144" i="1"/>
  <c r="AL144" i="1"/>
  <c r="AC145" i="1"/>
  <c r="AD145" i="1"/>
  <c r="AG145" i="1"/>
  <c r="AH145" i="1"/>
  <c r="AI145" i="1"/>
  <c r="AJ145" i="1"/>
  <c r="AK145" i="1"/>
  <c r="AL145" i="1"/>
  <c r="AC146" i="1"/>
  <c r="AD146" i="1"/>
  <c r="AG146" i="1"/>
  <c r="AH146" i="1"/>
  <c r="AI146" i="1"/>
  <c r="AJ146" i="1"/>
  <c r="AK146" i="1"/>
  <c r="AL146" i="1"/>
  <c r="AC147" i="1"/>
  <c r="AD147" i="1"/>
  <c r="AG147" i="1"/>
  <c r="AH147" i="1"/>
  <c r="AI147" i="1"/>
  <c r="AJ147" i="1"/>
  <c r="AK147" i="1"/>
  <c r="AL147" i="1"/>
  <c r="AC148" i="1"/>
  <c r="AD148" i="1"/>
  <c r="AG148" i="1"/>
  <c r="AH148" i="1"/>
  <c r="AI148" i="1"/>
  <c r="AJ148" i="1"/>
  <c r="AK148" i="1"/>
  <c r="AL148" i="1"/>
  <c r="AC149" i="1"/>
  <c r="AD149" i="1"/>
  <c r="AG149" i="1"/>
  <c r="AH149" i="1"/>
  <c r="AI149" i="1"/>
  <c r="AJ149" i="1"/>
  <c r="AK149" i="1"/>
  <c r="AL149" i="1"/>
  <c r="AC150" i="1"/>
  <c r="AD150" i="1"/>
  <c r="AG150" i="1"/>
  <c r="AH150" i="1"/>
  <c r="AI150" i="1"/>
  <c r="AJ150" i="1"/>
  <c r="AK150" i="1"/>
  <c r="AL150" i="1"/>
  <c r="AC151" i="1"/>
  <c r="AD151" i="1"/>
  <c r="AG151" i="1"/>
  <c r="AH151" i="1"/>
  <c r="AI151" i="1"/>
  <c r="AJ151" i="1"/>
  <c r="AK151" i="1"/>
  <c r="AL151" i="1"/>
  <c r="AC152" i="1"/>
  <c r="AD152" i="1"/>
  <c r="AG152" i="1"/>
  <c r="AH152" i="1"/>
  <c r="AI152" i="1"/>
  <c r="AJ152" i="1"/>
  <c r="AK152" i="1"/>
  <c r="AL152" i="1"/>
  <c r="AC153" i="1"/>
  <c r="AD153" i="1"/>
  <c r="AG153" i="1"/>
  <c r="AH153" i="1"/>
  <c r="AI153" i="1"/>
  <c r="AJ153" i="1"/>
  <c r="AK153" i="1"/>
  <c r="AL153" i="1"/>
  <c r="AC154" i="1"/>
  <c r="AD154" i="1"/>
  <c r="AG154" i="1"/>
  <c r="AH154" i="1"/>
  <c r="AI154" i="1"/>
  <c r="AJ154" i="1"/>
  <c r="AK154" i="1"/>
  <c r="AL154" i="1"/>
  <c r="AC155" i="1"/>
  <c r="AD155" i="1"/>
  <c r="AG155" i="1"/>
  <c r="AH155" i="1"/>
  <c r="AI155" i="1"/>
  <c r="AJ155" i="1"/>
  <c r="AK155" i="1"/>
  <c r="AL155" i="1"/>
  <c r="AC156" i="1"/>
  <c r="AD156" i="1"/>
  <c r="AG156" i="1"/>
  <c r="AH156" i="1"/>
  <c r="AI156" i="1"/>
  <c r="AJ156" i="1"/>
  <c r="AK156" i="1"/>
  <c r="AL156" i="1"/>
  <c r="AC157" i="1"/>
  <c r="AD157" i="1"/>
  <c r="AG157" i="1"/>
  <c r="AH157" i="1"/>
  <c r="AI157" i="1"/>
  <c r="AJ157" i="1"/>
  <c r="AK157" i="1"/>
  <c r="AL157" i="1"/>
  <c r="AC158" i="1"/>
  <c r="AD158" i="1"/>
  <c r="AG158" i="1"/>
  <c r="AH158" i="1"/>
  <c r="AI158" i="1"/>
  <c r="AJ158" i="1"/>
  <c r="AK158" i="1"/>
  <c r="AL158" i="1"/>
  <c r="AC159" i="1"/>
  <c r="AD159" i="1"/>
  <c r="AG159" i="1"/>
  <c r="AH159" i="1"/>
  <c r="AI159" i="1"/>
  <c r="AJ159" i="1"/>
  <c r="AK159" i="1"/>
  <c r="AL159" i="1"/>
  <c r="AC160" i="1"/>
  <c r="AD160" i="1"/>
  <c r="AG160" i="1"/>
  <c r="AH160" i="1"/>
  <c r="AI160" i="1"/>
  <c r="AJ160" i="1"/>
  <c r="AK160" i="1"/>
  <c r="AL160" i="1"/>
  <c r="AC161" i="1"/>
  <c r="AD161" i="1"/>
  <c r="AG161" i="1"/>
  <c r="AH161" i="1"/>
  <c r="AI161" i="1"/>
  <c r="AJ161" i="1"/>
  <c r="AK161" i="1"/>
  <c r="AL161" i="1"/>
  <c r="AC162" i="1"/>
  <c r="AD162" i="1"/>
  <c r="AG162" i="1"/>
  <c r="AH162" i="1"/>
  <c r="AI162" i="1"/>
  <c r="AJ162" i="1"/>
  <c r="AK162" i="1"/>
  <c r="AL162" i="1"/>
  <c r="AC163" i="1"/>
  <c r="AD163" i="1"/>
  <c r="AG163" i="1"/>
  <c r="AH163" i="1"/>
  <c r="AI163" i="1"/>
  <c r="AJ163" i="1"/>
  <c r="AK163" i="1"/>
  <c r="AL163" i="1"/>
  <c r="AC164" i="1"/>
  <c r="AD164" i="1"/>
  <c r="AG164" i="1"/>
  <c r="AH164" i="1"/>
  <c r="AI164" i="1"/>
  <c r="AJ164" i="1"/>
  <c r="AK164" i="1"/>
  <c r="AL164" i="1"/>
  <c r="AC165" i="1"/>
  <c r="AD165" i="1"/>
  <c r="AG165" i="1"/>
  <c r="AH165" i="1"/>
  <c r="AI165" i="1"/>
  <c r="AJ165" i="1"/>
  <c r="AK165" i="1"/>
  <c r="AL165" i="1"/>
  <c r="AC166" i="1"/>
  <c r="AD166" i="1"/>
  <c r="AG166" i="1"/>
  <c r="AH166" i="1"/>
  <c r="AI166" i="1"/>
  <c r="AJ166" i="1"/>
  <c r="AK166" i="1"/>
  <c r="AL166" i="1"/>
  <c r="AC167" i="1"/>
  <c r="AD167" i="1"/>
  <c r="AG167" i="1"/>
  <c r="AH167" i="1"/>
  <c r="AI167" i="1"/>
  <c r="AJ167" i="1"/>
  <c r="AK167" i="1"/>
  <c r="AL167" i="1"/>
  <c r="AC168" i="1"/>
  <c r="AD168" i="1"/>
  <c r="AG168" i="1"/>
  <c r="AH168" i="1"/>
  <c r="AI168" i="1"/>
  <c r="AJ168" i="1"/>
  <c r="AK168" i="1"/>
  <c r="AL168" i="1"/>
  <c r="AC169" i="1"/>
  <c r="AD169" i="1"/>
  <c r="AG169" i="1"/>
  <c r="AH169" i="1"/>
  <c r="AI169" i="1"/>
  <c r="AJ169" i="1"/>
  <c r="AK169" i="1"/>
  <c r="AL169" i="1"/>
  <c r="AC170" i="1"/>
  <c r="AD170" i="1"/>
  <c r="AG170" i="1"/>
  <c r="AH170" i="1"/>
  <c r="AI170" i="1"/>
  <c r="AJ170" i="1"/>
  <c r="AK170" i="1"/>
  <c r="AL170" i="1"/>
  <c r="AC171" i="1"/>
  <c r="AD171" i="1"/>
  <c r="AG171" i="1"/>
  <c r="AH171" i="1"/>
  <c r="AI171" i="1"/>
  <c r="AJ171" i="1"/>
  <c r="AK171" i="1"/>
  <c r="AL171" i="1"/>
  <c r="AC172" i="1"/>
  <c r="AD172" i="1"/>
  <c r="AG172" i="1"/>
  <c r="AH172" i="1"/>
  <c r="AI172" i="1"/>
  <c r="AJ172" i="1"/>
  <c r="AK172" i="1"/>
  <c r="AL172" i="1"/>
  <c r="AC173" i="1"/>
  <c r="AD173" i="1"/>
  <c r="AG173" i="1"/>
  <c r="AH173" i="1"/>
  <c r="AI173" i="1"/>
  <c r="AJ173" i="1"/>
  <c r="AK173" i="1"/>
  <c r="AL173" i="1"/>
  <c r="AC174" i="1"/>
  <c r="AD174" i="1"/>
  <c r="AG174" i="1"/>
  <c r="AH174" i="1"/>
  <c r="AI174" i="1"/>
  <c r="AJ174" i="1"/>
  <c r="AK174" i="1"/>
  <c r="AL174" i="1"/>
  <c r="AC175" i="1"/>
  <c r="AD175" i="1"/>
  <c r="AG175" i="1"/>
  <c r="AH175" i="1"/>
  <c r="AI175" i="1"/>
  <c r="AJ175" i="1"/>
  <c r="AK175" i="1"/>
  <c r="AL175" i="1"/>
  <c r="AC176" i="1"/>
  <c r="AD176" i="1"/>
  <c r="AG176" i="1"/>
  <c r="AH176" i="1"/>
  <c r="AI176" i="1"/>
  <c r="AJ176" i="1"/>
  <c r="AK176" i="1"/>
  <c r="AL176" i="1"/>
  <c r="AC177" i="1"/>
  <c r="AD177" i="1"/>
  <c r="AG177" i="1"/>
  <c r="AH177" i="1"/>
  <c r="AI177" i="1"/>
  <c r="AJ177" i="1"/>
  <c r="AK177" i="1"/>
  <c r="AL177" i="1"/>
  <c r="AC178" i="1"/>
  <c r="AD178" i="1"/>
  <c r="AG178" i="1"/>
  <c r="AH178" i="1"/>
  <c r="AI178" i="1"/>
  <c r="AJ178" i="1"/>
  <c r="AK178" i="1"/>
  <c r="AL178" i="1"/>
  <c r="AC179" i="1"/>
  <c r="AD179" i="1"/>
  <c r="AG179" i="1"/>
  <c r="AH179" i="1"/>
  <c r="AI179" i="1"/>
  <c r="AJ179" i="1"/>
  <c r="AK179" i="1"/>
  <c r="AL179" i="1"/>
  <c r="AC180" i="1"/>
  <c r="AD180" i="1"/>
  <c r="AG180" i="1"/>
  <c r="AH180" i="1"/>
  <c r="AI180" i="1"/>
  <c r="AJ180" i="1"/>
  <c r="AK180" i="1"/>
  <c r="AL180" i="1"/>
  <c r="AC181" i="1"/>
  <c r="AD181" i="1"/>
  <c r="AG181" i="1"/>
  <c r="AH181" i="1"/>
  <c r="AI181" i="1"/>
  <c r="AJ181" i="1"/>
  <c r="AK181" i="1"/>
  <c r="AL181" i="1"/>
  <c r="AC182" i="1"/>
  <c r="AD182" i="1"/>
  <c r="AG182" i="1"/>
  <c r="AH182" i="1"/>
  <c r="AI182" i="1"/>
  <c r="AJ182" i="1"/>
  <c r="AK182" i="1"/>
  <c r="AL182" i="1"/>
  <c r="AC183" i="1"/>
  <c r="AD183" i="1"/>
  <c r="AG183" i="1"/>
  <c r="AH183" i="1"/>
  <c r="AI183" i="1"/>
  <c r="AJ183" i="1"/>
  <c r="AK183" i="1"/>
  <c r="AL183" i="1"/>
  <c r="AC184" i="1"/>
  <c r="AD184" i="1"/>
  <c r="AG184" i="1"/>
  <c r="AH184" i="1"/>
  <c r="AI184" i="1"/>
  <c r="AJ184" i="1"/>
  <c r="AK184" i="1"/>
  <c r="AL184" i="1"/>
  <c r="AC185" i="1"/>
  <c r="AD185" i="1"/>
  <c r="AG185" i="1"/>
  <c r="AH185" i="1"/>
  <c r="AI185" i="1"/>
  <c r="AJ185" i="1"/>
  <c r="AK185" i="1"/>
  <c r="AL185" i="1"/>
  <c r="AC186" i="1"/>
  <c r="AD186" i="1"/>
  <c r="AG186" i="1"/>
  <c r="AH186" i="1"/>
  <c r="AI186" i="1"/>
  <c r="AJ186" i="1"/>
  <c r="AK186" i="1"/>
  <c r="AL186" i="1"/>
  <c r="AC187" i="1"/>
  <c r="AD187" i="1"/>
  <c r="AG187" i="1"/>
  <c r="AH187" i="1"/>
  <c r="AI187" i="1"/>
  <c r="AJ187" i="1"/>
  <c r="AK187" i="1"/>
  <c r="AL187" i="1"/>
  <c r="AC188" i="1"/>
  <c r="AD188" i="1"/>
  <c r="AG188" i="1"/>
  <c r="AH188" i="1"/>
  <c r="AI188" i="1"/>
  <c r="AJ188" i="1"/>
  <c r="AK188" i="1"/>
  <c r="AL188" i="1"/>
  <c r="AC189" i="1"/>
  <c r="AD189" i="1"/>
  <c r="AG189" i="1"/>
  <c r="AH189" i="1"/>
  <c r="AI189" i="1"/>
  <c r="AJ189" i="1"/>
  <c r="AK189" i="1"/>
  <c r="AL189" i="1"/>
  <c r="AC190" i="1"/>
  <c r="AD190" i="1"/>
  <c r="AG190" i="1"/>
  <c r="AH190" i="1"/>
  <c r="AI190" i="1"/>
  <c r="AJ190" i="1"/>
  <c r="AK190" i="1"/>
  <c r="AL190" i="1"/>
  <c r="AC191" i="1"/>
  <c r="AD191" i="1"/>
  <c r="AG191" i="1"/>
  <c r="AH191" i="1"/>
  <c r="AI191" i="1"/>
  <c r="AJ191" i="1"/>
  <c r="AK191" i="1"/>
  <c r="AL191" i="1"/>
  <c r="AC192" i="1"/>
  <c r="AD192" i="1"/>
  <c r="AG192" i="1"/>
  <c r="AH192" i="1"/>
  <c r="AI192" i="1"/>
  <c r="AJ192" i="1"/>
  <c r="AK192" i="1"/>
  <c r="AL192" i="1"/>
  <c r="AC193" i="1"/>
  <c r="AD193" i="1"/>
  <c r="AG193" i="1"/>
  <c r="AH193" i="1"/>
  <c r="AI193" i="1"/>
  <c r="AJ193" i="1"/>
  <c r="AK193" i="1"/>
  <c r="AL193" i="1"/>
  <c r="AC194" i="1"/>
  <c r="AD194" i="1"/>
  <c r="AG194" i="1"/>
  <c r="AH194" i="1"/>
  <c r="AI194" i="1"/>
  <c r="AJ194" i="1"/>
  <c r="AK194" i="1"/>
  <c r="AL194" i="1"/>
  <c r="AC195" i="1"/>
  <c r="AD195" i="1"/>
  <c r="AG195" i="1"/>
  <c r="AH195" i="1"/>
  <c r="AI195" i="1"/>
  <c r="AJ195" i="1"/>
  <c r="AK195" i="1"/>
  <c r="AL195" i="1"/>
  <c r="AC196" i="1"/>
  <c r="AD196" i="1"/>
  <c r="AG196" i="1"/>
  <c r="AH196" i="1"/>
  <c r="AI196" i="1"/>
  <c r="AJ196" i="1"/>
  <c r="AK196" i="1"/>
  <c r="AL196" i="1"/>
  <c r="AC197" i="1"/>
  <c r="AD197" i="1"/>
  <c r="AG197" i="1"/>
  <c r="AH197" i="1"/>
  <c r="AI197" i="1"/>
  <c r="AJ197" i="1"/>
  <c r="AK197" i="1"/>
  <c r="AL197" i="1"/>
  <c r="AC198" i="1"/>
  <c r="AD198" i="1"/>
  <c r="AG198" i="1"/>
  <c r="AH198" i="1"/>
  <c r="AI198" i="1"/>
  <c r="AJ198" i="1"/>
  <c r="AK198" i="1"/>
  <c r="AL198" i="1"/>
  <c r="AC199" i="1"/>
  <c r="AD199" i="1"/>
  <c r="AG199" i="1"/>
  <c r="AH199" i="1"/>
  <c r="AI199" i="1"/>
  <c r="AJ199" i="1"/>
  <c r="AK199" i="1"/>
  <c r="AL199" i="1"/>
  <c r="AC200" i="1"/>
  <c r="AD200" i="1"/>
  <c r="AG200" i="1"/>
  <c r="AH200" i="1"/>
  <c r="AI200" i="1"/>
  <c r="AJ200" i="1"/>
  <c r="AK200" i="1"/>
  <c r="AL200" i="1"/>
  <c r="AC201" i="1"/>
  <c r="AD201" i="1"/>
  <c r="AG201" i="1"/>
  <c r="AH201" i="1"/>
  <c r="AI201" i="1"/>
  <c r="AJ201" i="1"/>
  <c r="AK201" i="1"/>
  <c r="AL201" i="1"/>
  <c r="AC202" i="1"/>
  <c r="AD202" i="1"/>
  <c r="AG202" i="1"/>
  <c r="AH202" i="1"/>
  <c r="AI202" i="1"/>
  <c r="AJ202" i="1"/>
  <c r="AK202" i="1"/>
  <c r="AL202" i="1"/>
  <c r="AC203" i="1"/>
  <c r="AD203" i="1"/>
  <c r="AG203" i="1"/>
  <c r="AH203" i="1"/>
  <c r="AI203" i="1"/>
  <c r="AJ203" i="1"/>
  <c r="AK203" i="1"/>
  <c r="AL203" i="1"/>
  <c r="AC204" i="1"/>
  <c r="AD204" i="1"/>
  <c r="AG204" i="1"/>
  <c r="AH204" i="1"/>
  <c r="AI204" i="1"/>
  <c r="AJ204" i="1"/>
  <c r="AK204" i="1"/>
  <c r="AL204" i="1"/>
  <c r="AC205" i="1"/>
  <c r="AD205" i="1"/>
  <c r="AG205" i="1"/>
  <c r="AH205" i="1"/>
  <c r="AI205" i="1"/>
  <c r="AJ205" i="1"/>
  <c r="AK205" i="1"/>
  <c r="AL205" i="1"/>
  <c r="AC206" i="1"/>
  <c r="AD206" i="1"/>
  <c r="AG206" i="1"/>
  <c r="AH206" i="1"/>
  <c r="AI206" i="1"/>
  <c r="AJ206" i="1"/>
  <c r="AK206" i="1"/>
  <c r="AL206" i="1"/>
  <c r="AC207" i="1"/>
  <c r="AD207" i="1"/>
  <c r="AG207" i="1"/>
  <c r="AH207" i="1"/>
  <c r="AI207" i="1"/>
  <c r="AJ207" i="1"/>
  <c r="AK207" i="1"/>
  <c r="AL207" i="1"/>
  <c r="AC208" i="1"/>
  <c r="AD208" i="1"/>
  <c r="AG208" i="1"/>
  <c r="AH208" i="1"/>
  <c r="AI208" i="1"/>
  <c r="AJ208" i="1"/>
  <c r="AK208" i="1"/>
  <c r="AL208" i="1"/>
  <c r="AC209" i="1"/>
  <c r="AD209" i="1"/>
  <c r="AG209" i="1"/>
  <c r="AH209" i="1"/>
  <c r="AI209" i="1"/>
  <c r="AJ209" i="1"/>
  <c r="AK209" i="1"/>
  <c r="AL209" i="1"/>
  <c r="AC210" i="1"/>
  <c r="AD210" i="1"/>
  <c r="AG210" i="1"/>
  <c r="AH210" i="1"/>
  <c r="AI210" i="1"/>
  <c r="AJ210" i="1"/>
  <c r="AK210" i="1"/>
  <c r="AL210" i="1"/>
  <c r="AC211" i="1"/>
  <c r="AD211" i="1"/>
  <c r="AG211" i="1"/>
  <c r="AH211" i="1"/>
  <c r="AI211" i="1"/>
  <c r="AJ211" i="1"/>
  <c r="AK211" i="1"/>
  <c r="AL211" i="1"/>
  <c r="AC212" i="1"/>
  <c r="AD212" i="1"/>
  <c r="AG212" i="1"/>
  <c r="AH212" i="1"/>
  <c r="AI212" i="1"/>
  <c r="AJ212" i="1"/>
  <c r="AK212" i="1"/>
  <c r="AL212" i="1"/>
  <c r="AC213" i="1"/>
  <c r="AD213" i="1"/>
  <c r="AG213" i="1"/>
  <c r="AH213" i="1"/>
  <c r="AI213" i="1"/>
  <c r="AJ213" i="1"/>
  <c r="AK213" i="1"/>
  <c r="AL213" i="1"/>
  <c r="AC214" i="1"/>
  <c r="AD214" i="1"/>
  <c r="AG214" i="1"/>
  <c r="AH214" i="1"/>
  <c r="AI214" i="1"/>
  <c r="AJ214" i="1"/>
  <c r="AK214" i="1"/>
  <c r="AL214" i="1"/>
  <c r="AC215" i="1"/>
  <c r="AD215" i="1"/>
  <c r="AG215" i="1"/>
  <c r="AH215" i="1"/>
  <c r="AI215" i="1"/>
  <c r="AJ215" i="1"/>
  <c r="AK215" i="1"/>
  <c r="AL215" i="1"/>
  <c r="AC216" i="1"/>
  <c r="AD216" i="1"/>
  <c r="AG216" i="1"/>
  <c r="AH216" i="1"/>
  <c r="AI216" i="1"/>
  <c r="AJ216" i="1"/>
  <c r="AK216" i="1"/>
  <c r="AL216" i="1"/>
  <c r="AC217" i="1"/>
  <c r="AD217" i="1"/>
  <c r="AG217" i="1"/>
  <c r="AH217" i="1"/>
  <c r="AI217" i="1"/>
  <c r="AJ217" i="1"/>
  <c r="AK217" i="1"/>
  <c r="AL217" i="1"/>
  <c r="AC218" i="1"/>
  <c r="AD218" i="1"/>
  <c r="AG218" i="1"/>
  <c r="AH218" i="1"/>
  <c r="AI218" i="1"/>
  <c r="AJ218" i="1"/>
  <c r="AK218" i="1"/>
  <c r="AL218" i="1"/>
  <c r="AC219" i="1"/>
  <c r="AD219" i="1"/>
  <c r="AG219" i="1"/>
  <c r="AH219" i="1"/>
  <c r="AI219" i="1"/>
  <c r="AJ219" i="1"/>
  <c r="AK219" i="1"/>
  <c r="AL219" i="1"/>
  <c r="AC220" i="1"/>
  <c r="AD220" i="1"/>
  <c r="AG220" i="1"/>
  <c r="AH220" i="1"/>
  <c r="AI220" i="1"/>
  <c r="AJ220" i="1"/>
  <c r="AK220" i="1"/>
  <c r="AL220" i="1"/>
  <c r="AC221" i="1"/>
  <c r="AD221" i="1"/>
  <c r="AG221" i="1"/>
  <c r="AH221" i="1"/>
  <c r="AI221" i="1"/>
  <c r="AJ221" i="1"/>
  <c r="AK221" i="1"/>
  <c r="AL221" i="1"/>
  <c r="AC222" i="1"/>
  <c r="AD222" i="1"/>
  <c r="AG222" i="1"/>
  <c r="AH222" i="1"/>
  <c r="AI222" i="1"/>
  <c r="AJ222" i="1"/>
  <c r="AK222" i="1"/>
  <c r="AL222" i="1"/>
  <c r="AC223" i="1"/>
  <c r="AD223" i="1"/>
  <c r="AG223" i="1"/>
  <c r="AH223" i="1"/>
  <c r="AI223" i="1"/>
  <c r="AJ223" i="1"/>
  <c r="AK223" i="1"/>
  <c r="AL223" i="1"/>
  <c r="AC224" i="1"/>
  <c r="AD224" i="1"/>
  <c r="AG224" i="1"/>
  <c r="AH224" i="1"/>
  <c r="AI224" i="1"/>
  <c r="AJ224" i="1"/>
  <c r="AK224" i="1"/>
  <c r="AL224" i="1"/>
  <c r="AC225" i="1"/>
  <c r="AD225" i="1"/>
  <c r="AG225" i="1"/>
  <c r="AH225" i="1"/>
  <c r="AI225" i="1"/>
  <c r="AJ225" i="1"/>
  <c r="AK225" i="1"/>
  <c r="AL225" i="1"/>
  <c r="AC226" i="1"/>
  <c r="AD226" i="1"/>
  <c r="AG226" i="1"/>
  <c r="AH226" i="1"/>
  <c r="AI226" i="1"/>
  <c r="AJ226" i="1"/>
  <c r="AK226" i="1"/>
  <c r="AL226" i="1"/>
  <c r="AC227" i="1"/>
  <c r="AD227" i="1"/>
  <c r="AG227" i="1"/>
  <c r="AH227" i="1"/>
  <c r="AI227" i="1"/>
  <c r="AJ227" i="1"/>
  <c r="AK227" i="1"/>
  <c r="AL227" i="1"/>
  <c r="AC228" i="1"/>
  <c r="AD228" i="1"/>
  <c r="AG228" i="1"/>
  <c r="AH228" i="1"/>
  <c r="AI228" i="1"/>
  <c r="AJ228" i="1"/>
  <c r="AK228" i="1"/>
  <c r="AL228" i="1"/>
  <c r="AC229" i="1"/>
  <c r="AD229" i="1"/>
  <c r="AG229" i="1"/>
  <c r="AH229" i="1"/>
  <c r="AI229" i="1"/>
  <c r="AJ229" i="1"/>
  <c r="AK229" i="1"/>
  <c r="AL229" i="1"/>
  <c r="AC230" i="1"/>
  <c r="AD230" i="1"/>
  <c r="AG230" i="1"/>
  <c r="AH230" i="1"/>
  <c r="AI230" i="1"/>
  <c r="AJ230" i="1"/>
  <c r="AK230" i="1"/>
  <c r="AL230" i="1"/>
  <c r="AC231" i="1"/>
  <c r="AD231" i="1"/>
  <c r="AG231" i="1"/>
  <c r="AH231" i="1"/>
  <c r="AI231" i="1"/>
  <c r="AJ231" i="1"/>
  <c r="AK231" i="1"/>
  <c r="AL231" i="1"/>
  <c r="AC232" i="1"/>
  <c r="AD232" i="1"/>
  <c r="AG232" i="1"/>
  <c r="AH232" i="1"/>
  <c r="AI232" i="1"/>
  <c r="AJ232" i="1"/>
  <c r="AK232" i="1"/>
  <c r="AL232" i="1"/>
  <c r="AC233" i="1"/>
  <c r="AD233" i="1"/>
  <c r="AG233" i="1"/>
  <c r="AH233" i="1"/>
  <c r="AI233" i="1"/>
  <c r="AJ233" i="1"/>
  <c r="AK233" i="1"/>
  <c r="AL233" i="1"/>
  <c r="AC234" i="1"/>
  <c r="AD234" i="1"/>
  <c r="AG234" i="1"/>
  <c r="AH234" i="1"/>
  <c r="AI234" i="1"/>
  <c r="AJ234" i="1"/>
  <c r="AK234" i="1"/>
  <c r="AL234" i="1"/>
  <c r="AC235" i="1"/>
  <c r="AD235" i="1"/>
  <c r="AG235" i="1"/>
  <c r="AH235" i="1"/>
  <c r="AI235" i="1"/>
  <c r="AJ235" i="1"/>
  <c r="AK235" i="1"/>
  <c r="AL235" i="1"/>
  <c r="AC236" i="1"/>
  <c r="AD236" i="1"/>
  <c r="AG236" i="1"/>
  <c r="AH236" i="1"/>
  <c r="AI236" i="1"/>
  <c r="AJ236" i="1"/>
  <c r="AK236" i="1"/>
  <c r="AL236" i="1"/>
  <c r="AC237" i="1"/>
  <c r="AD237" i="1"/>
  <c r="AG237" i="1"/>
  <c r="AH237" i="1"/>
  <c r="AI237" i="1"/>
  <c r="AJ237" i="1"/>
  <c r="AK237" i="1"/>
  <c r="AL237" i="1"/>
  <c r="AC238" i="1"/>
  <c r="AD238" i="1"/>
  <c r="AG238" i="1"/>
  <c r="AH238" i="1"/>
  <c r="AI238" i="1"/>
  <c r="AJ238" i="1"/>
  <c r="AK238" i="1"/>
  <c r="AL238" i="1"/>
  <c r="AC239" i="1"/>
  <c r="AD239" i="1"/>
  <c r="AG239" i="1"/>
  <c r="AH239" i="1"/>
  <c r="AI239" i="1"/>
  <c r="AJ239" i="1"/>
  <c r="AK239" i="1"/>
  <c r="AL239" i="1"/>
  <c r="AC240" i="1"/>
  <c r="AD240" i="1"/>
  <c r="AG240" i="1"/>
  <c r="AH240" i="1"/>
  <c r="AI240" i="1"/>
  <c r="AJ240" i="1"/>
  <c r="AK240" i="1"/>
  <c r="AL240" i="1"/>
  <c r="AC241" i="1"/>
  <c r="AD241" i="1"/>
  <c r="AG241" i="1"/>
  <c r="AH241" i="1"/>
  <c r="AI241" i="1"/>
  <c r="AJ241" i="1"/>
  <c r="AK241" i="1"/>
  <c r="AL241" i="1"/>
  <c r="AC242" i="1"/>
  <c r="AD242" i="1"/>
  <c r="AG242" i="1"/>
  <c r="AH242" i="1"/>
  <c r="AI242" i="1"/>
  <c r="AJ242" i="1"/>
  <c r="AK242" i="1"/>
  <c r="AL242" i="1"/>
  <c r="AC243" i="1"/>
  <c r="AD243" i="1"/>
  <c r="AG243" i="1"/>
  <c r="AH243" i="1"/>
  <c r="AI243" i="1"/>
  <c r="AJ243" i="1"/>
  <c r="AK243" i="1"/>
  <c r="AL243" i="1"/>
  <c r="AC244" i="1"/>
  <c r="AD244" i="1"/>
  <c r="AG244" i="1"/>
  <c r="AH244" i="1"/>
  <c r="AI244" i="1"/>
  <c r="AJ244" i="1"/>
  <c r="AK244" i="1"/>
  <c r="AL244" i="1"/>
  <c r="AC245" i="1"/>
  <c r="AD245" i="1"/>
  <c r="AG245" i="1"/>
  <c r="AH245" i="1"/>
  <c r="AI245" i="1"/>
  <c r="AJ245" i="1"/>
  <c r="AK245" i="1"/>
  <c r="AL245" i="1"/>
  <c r="AC246" i="1"/>
  <c r="AD246" i="1"/>
  <c r="AG246" i="1"/>
  <c r="AH246" i="1"/>
  <c r="AI246" i="1"/>
  <c r="AJ246" i="1"/>
  <c r="AK246" i="1"/>
  <c r="AL246" i="1"/>
  <c r="AC247" i="1"/>
  <c r="AD247" i="1"/>
  <c r="AG247" i="1"/>
  <c r="AH247" i="1"/>
  <c r="AI247" i="1"/>
  <c r="AJ247" i="1"/>
  <c r="AK247" i="1"/>
  <c r="AL247" i="1"/>
  <c r="AC248" i="1"/>
  <c r="AD248" i="1"/>
  <c r="AG248" i="1"/>
  <c r="AH248" i="1"/>
  <c r="AI248" i="1"/>
  <c r="AJ248" i="1"/>
  <c r="AK248" i="1"/>
  <c r="AL248" i="1"/>
  <c r="AC249" i="1"/>
  <c r="AD249" i="1"/>
  <c r="AG249" i="1"/>
  <c r="AH249" i="1"/>
  <c r="AI249" i="1"/>
  <c r="AJ249" i="1"/>
  <c r="AK249" i="1"/>
  <c r="AL249" i="1"/>
  <c r="AC250" i="1"/>
  <c r="AD250" i="1"/>
  <c r="AG250" i="1"/>
  <c r="AH250" i="1"/>
  <c r="AI250" i="1"/>
  <c r="AJ250" i="1"/>
  <c r="AK250" i="1"/>
  <c r="AL250" i="1"/>
  <c r="AC251" i="1"/>
  <c r="AD251" i="1"/>
  <c r="AG251" i="1"/>
  <c r="AH251" i="1"/>
  <c r="AI251" i="1"/>
  <c r="AJ251" i="1"/>
  <c r="AK251" i="1"/>
  <c r="AL251" i="1"/>
  <c r="AC252" i="1"/>
  <c r="AD252" i="1"/>
  <c r="AG252" i="1"/>
  <c r="AH252" i="1"/>
  <c r="AI252" i="1"/>
  <c r="AJ252" i="1"/>
  <c r="AK252" i="1"/>
  <c r="AL252" i="1"/>
  <c r="AC253" i="1"/>
  <c r="AD253" i="1"/>
  <c r="AG253" i="1"/>
  <c r="AH253" i="1"/>
  <c r="AI253" i="1"/>
  <c r="AJ253" i="1"/>
  <c r="AK253" i="1"/>
  <c r="AL253" i="1"/>
  <c r="AC254" i="1"/>
  <c r="AD254" i="1"/>
  <c r="AG254" i="1"/>
  <c r="AH254" i="1"/>
  <c r="AI254" i="1"/>
  <c r="AJ254" i="1"/>
  <c r="AK254" i="1"/>
  <c r="AL254" i="1"/>
  <c r="AC255" i="1"/>
  <c r="AD255" i="1"/>
  <c r="AG255" i="1"/>
  <c r="AH255" i="1"/>
  <c r="AI255" i="1"/>
  <c r="AJ255" i="1"/>
  <c r="AK255" i="1"/>
  <c r="AL255" i="1"/>
  <c r="AC256" i="1"/>
  <c r="AD256" i="1"/>
  <c r="AG256" i="1"/>
  <c r="AH256" i="1"/>
  <c r="AI256" i="1"/>
  <c r="AJ256" i="1"/>
  <c r="AK256" i="1"/>
  <c r="AL256" i="1"/>
  <c r="AC257" i="1"/>
  <c r="AD257" i="1"/>
  <c r="AG257" i="1"/>
  <c r="AH257" i="1"/>
  <c r="AI257" i="1"/>
  <c r="AJ257" i="1"/>
  <c r="AK257" i="1"/>
  <c r="AL257" i="1"/>
  <c r="AC258" i="1"/>
  <c r="AD258" i="1"/>
  <c r="AG258" i="1"/>
  <c r="AH258" i="1"/>
  <c r="AI258" i="1"/>
  <c r="AJ258" i="1"/>
  <c r="AK258" i="1"/>
  <c r="AL258" i="1"/>
  <c r="AC259" i="1"/>
  <c r="AD259" i="1"/>
  <c r="AG259" i="1"/>
  <c r="AH259" i="1"/>
  <c r="AI259" i="1"/>
  <c r="AJ259" i="1"/>
  <c r="AK259" i="1"/>
  <c r="AL259" i="1"/>
  <c r="AC260" i="1"/>
  <c r="AD260" i="1"/>
  <c r="AG260" i="1"/>
  <c r="AH260" i="1"/>
  <c r="AI260" i="1"/>
  <c r="AJ260" i="1"/>
  <c r="AK260" i="1"/>
  <c r="AL260" i="1"/>
  <c r="AC261" i="1"/>
  <c r="AD261" i="1"/>
  <c r="AG261" i="1"/>
  <c r="AH261" i="1"/>
  <c r="AI261" i="1"/>
  <c r="AJ261" i="1"/>
  <c r="AK261" i="1"/>
  <c r="AL261" i="1"/>
  <c r="AC262" i="1"/>
  <c r="AD262" i="1"/>
  <c r="AG262" i="1"/>
  <c r="AH262" i="1"/>
  <c r="AI262" i="1"/>
  <c r="AJ262" i="1"/>
  <c r="AK262" i="1"/>
  <c r="AL262" i="1"/>
  <c r="AC263" i="1"/>
  <c r="AD263" i="1"/>
  <c r="AG263" i="1"/>
  <c r="AH263" i="1"/>
  <c r="AI263" i="1"/>
  <c r="AJ263" i="1"/>
  <c r="AK263" i="1"/>
  <c r="AL263" i="1"/>
  <c r="AC264" i="1"/>
  <c r="AD264" i="1"/>
  <c r="AG264" i="1"/>
  <c r="AH264" i="1"/>
  <c r="AI264" i="1"/>
  <c r="AJ264" i="1"/>
  <c r="AK264" i="1"/>
  <c r="AL264" i="1"/>
  <c r="AC265" i="1"/>
  <c r="AD265" i="1"/>
  <c r="AG265" i="1"/>
  <c r="AH265" i="1"/>
  <c r="AI265" i="1"/>
  <c r="AJ265" i="1"/>
  <c r="AK265" i="1"/>
  <c r="AL265" i="1"/>
  <c r="AC266" i="1"/>
  <c r="AD266" i="1"/>
  <c r="AG266" i="1"/>
  <c r="AH266" i="1"/>
  <c r="AI266" i="1"/>
  <c r="AJ266" i="1"/>
  <c r="AK266" i="1"/>
  <c r="AL266" i="1"/>
  <c r="AC267" i="1"/>
  <c r="AD267" i="1"/>
  <c r="AG267" i="1"/>
  <c r="AH267" i="1"/>
  <c r="AI267" i="1"/>
  <c r="AJ267" i="1"/>
  <c r="AK267" i="1"/>
  <c r="AL267" i="1"/>
  <c r="AC268" i="1"/>
  <c r="AD268" i="1"/>
  <c r="AG268" i="1"/>
  <c r="AH268" i="1"/>
  <c r="AI268" i="1"/>
  <c r="AJ268" i="1"/>
  <c r="AK268" i="1"/>
  <c r="AL268" i="1"/>
  <c r="AC269" i="1"/>
  <c r="AD269" i="1"/>
  <c r="AG269" i="1"/>
  <c r="AH269" i="1"/>
  <c r="AI269" i="1"/>
  <c r="AJ269" i="1"/>
  <c r="AK269" i="1"/>
  <c r="AL269" i="1"/>
  <c r="AC270" i="1"/>
  <c r="AD270" i="1"/>
  <c r="AG270" i="1"/>
  <c r="AH270" i="1"/>
  <c r="AI270" i="1"/>
  <c r="AJ270" i="1"/>
  <c r="AK270" i="1"/>
  <c r="AL270" i="1"/>
  <c r="AC271" i="1"/>
  <c r="AD271" i="1"/>
  <c r="AG271" i="1"/>
  <c r="AH271" i="1"/>
  <c r="AI271" i="1"/>
  <c r="AJ271" i="1"/>
  <c r="AK271" i="1"/>
  <c r="AL271" i="1"/>
  <c r="AC272" i="1"/>
  <c r="AD272" i="1"/>
  <c r="AG272" i="1"/>
  <c r="AH272" i="1"/>
  <c r="AI272" i="1"/>
  <c r="AJ272" i="1"/>
  <c r="AK272" i="1"/>
  <c r="AL272" i="1"/>
  <c r="AC273" i="1"/>
  <c r="AD273" i="1"/>
  <c r="AG273" i="1"/>
  <c r="AH273" i="1"/>
  <c r="AI273" i="1"/>
  <c r="AJ273" i="1"/>
  <c r="AK273" i="1"/>
  <c r="AL273" i="1"/>
  <c r="AC274" i="1"/>
  <c r="AD274" i="1"/>
  <c r="AG274" i="1"/>
  <c r="AH274" i="1"/>
  <c r="AI274" i="1"/>
  <c r="AJ274" i="1"/>
  <c r="AK274" i="1"/>
  <c r="AL274" i="1"/>
  <c r="AC275" i="1"/>
  <c r="AD275" i="1"/>
  <c r="AG275" i="1"/>
  <c r="AH275" i="1"/>
  <c r="AI275" i="1"/>
  <c r="AJ275" i="1"/>
  <c r="AK275" i="1"/>
  <c r="AL275" i="1"/>
  <c r="AC276" i="1"/>
  <c r="AD276" i="1"/>
  <c r="AG276" i="1"/>
  <c r="AH276" i="1"/>
  <c r="AI276" i="1"/>
  <c r="AJ276" i="1"/>
  <c r="AK276" i="1"/>
  <c r="AL276" i="1"/>
  <c r="AC277" i="1"/>
  <c r="AD277" i="1"/>
  <c r="AG277" i="1"/>
  <c r="AH277" i="1"/>
  <c r="AI277" i="1"/>
  <c r="AJ277" i="1"/>
  <c r="AK277" i="1"/>
  <c r="AL277" i="1"/>
  <c r="AC278" i="1"/>
  <c r="AD278" i="1"/>
  <c r="AG278" i="1"/>
  <c r="AH278" i="1"/>
  <c r="AI278" i="1"/>
  <c r="AJ278" i="1"/>
  <c r="AK278" i="1"/>
  <c r="AL278" i="1"/>
  <c r="AC279" i="1"/>
  <c r="AD279" i="1"/>
  <c r="AG279" i="1"/>
  <c r="AH279" i="1"/>
  <c r="AI279" i="1"/>
  <c r="AJ279" i="1"/>
  <c r="AK279" i="1"/>
  <c r="AL279" i="1"/>
  <c r="AC280" i="1"/>
  <c r="AD280" i="1"/>
  <c r="AG280" i="1"/>
  <c r="AH280" i="1"/>
  <c r="AI280" i="1"/>
  <c r="AJ280" i="1"/>
  <c r="AK280" i="1"/>
  <c r="AL280" i="1"/>
  <c r="AC281" i="1"/>
  <c r="AD281" i="1"/>
  <c r="AG281" i="1"/>
  <c r="AH281" i="1"/>
  <c r="AI281" i="1"/>
  <c r="AJ281" i="1"/>
  <c r="AK281" i="1"/>
  <c r="AL281" i="1"/>
  <c r="AC282" i="1"/>
  <c r="AD282" i="1"/>
  <c r="AG282" i="1"/>
  <c r="AH282" i="1"/>
  <c r="AI282" i="1"/>
  <c r="AJ282" i="1"/>
  <c r="AK282" i="1"/>
  <c r="AL282" i="1"/>
  <c r="AC283" i="1"/>
  <c r="AD283" i="1"/>
  <c r="AG283" i="1"/>
  <c r="AH283" i="1"/>
  <c r="AI283" i="1"/>
  <c r="AJ283" i="1"/>
  <c r="AK283" i="1"/>
  <c r="AL283" i="1"/>
  <c r="AC284" i="1"/>
  <c r="AD284" i="1"/>
  <c r="AG284" i="1"/>
  <c r="AH284" i="1"/>
  <c r="AI284" i="1"/>
  <c r="AJ284" i="1"/>
  <c r="AK284" i="1"/>
  <c r="AL284" i="1"/>
  <c r="AC285" i="1"/>
  <c r="AD285" i="1"/>
  <c r="AG285" i="1"/>
  <c r="AH285" i="1"/>
  <c r="AI285" i="1"/>
  <c r="AJ285" i="1"/>
  <c r="AK285" i="1"/>
  <c r="AL285" i="1"/>
  <c r="AC286" i="1"/>
  <c r="AD286" i="1"/>
  <c r="AG286" i="1"/>
  <c r="AH286" i="1"/>
  <c r="AI286" i="1"/>
  <c r="AJ286" i="1"/>
  <c r="AK286" i="1"/>
  <c r="AL286" i="1"/>
  <c r="AC287" i="1"/>
  <c r="AD287" i="1"/>
  <c r="AG287" i="1"/>
  <c r="AH287" i="1"/>
  <c r="AI287" i="1"/>
  <c r="AJ287" i="1"/>
  <c r="AK287" i="1"/>
  <c r="AL287" i="1"/>
  <c r="AC288" i="1"/>
  <c r="AD288" i="1"/>
  <c r="AG288" i="1"/>
  <c r="AH288" i="1"/>
  <c r="AI288" i="1"/>
  <c r="AJ288" i="1"/>
  <c r="AK288" i="1"/>
  <c r="AL288" i="1"/>
  <c r="AC289" i="1"/>
  <c r="AD289" i="1"/>
  <c r="AG289" i="1"/>
  <c r="AH289" i="1"/>
  <c r="AI289" i="1"/>
  <c r="AJ289" i="1"/>
  <c r="AK289" i="1"/>
  <c r="AL289" i="1"/>
  <c r="AC290" i="1"/>
  <c r="AD290" i="1"/>
  <c r="AG290" i="1"/>
  <c r="AH290" i="1"/>
  <c r="AI290" i="1"/>
  <c r="AJ290" i="1"/>
  <c r="AK290" i="1"/>
  <c r="AL290" i="1"/>
  <c r="AC291" i="1"/>
  <c r="AD291" i="1"/>
  <c r="AG291" i="1"/>
  <c r="AH291" i="1"/>
  <c r="AI291" i="1"/>
  <c r="AJ291" i="1"/>
  <c r="AK291" i="1"/>
  <c r="AL291" i="1"/>
  <c r="AC292" i="1"/>
  <c r="AD292" i="1"/>
  <c r="AG292" i="1"/>
  <c r="AH292" i="1"/>
  <c r="AI292" i="1"/>
  <c r="AJ292" i="1"/>
  <c r="AK292" i="1"/>
  <c r="AL292" i="1"/>
  <c r="AC293" i="1"/>
  <c r="AD293" i="1"/>
  <c r="AG293" i="1"/>
  <c r="AH293" i="1"/>
  <c r="AI293" i="1"/>
  <c r="AJ293" i="1"/>
  <c r="AK293" i="1"/>
  <c r="AL293" i="1"/>
  <c r="AC294" i="1"/>
  <c r="AD294" i="1"/>
  <c r="AG294" i="1"/>
  <c r="AH294" i="1"/>
  <c r="AI294" i="1"/>
  <c r="AJ294" i="1"/>
  <c r="AK294" i="1"/>
  <c r="AL294" i="1"/>
  <c r="AC295" i="1"/>
  <c r="AD295" i="1"/>
  <c r="AG295" i="1"/>
  <c r="AH295" i="1"/>
  <c r="AI295" i="1"/>
  <c r="AJ295" i="1"/>
  <c r="AK295" i="1"/>
  <c r="AL295" i="1"/>
  <c r="AC296" i="1"/>
  <c r="AD296" i="1"/>
  <c r="AG296" i="1"/>
  <c r="AH296" i="1"/>
  <c r="AI296" i="1"/>
  <c r="AJ296" i="1"/>
  <c r="AK296" i="1"/>
  <c r="AL296" i="1"/>
  <c r="AC297" i="1"/>
  <c r="AD297" i="1"/>
  <c r="AG297" i="1"/>
  <c r="AH297" i="1"/>
  <c r="AI297" i="1"/>
  <c r="AJ297" i="1"/>
  <c r="AK297" i="1"/>
  <c r="AL297" i="1"/>
  <c r="AC298" i="1"/>
  <c r="AD298" i="1"/>
  <c r="AG298" i="1"/>
  <c r="AH298" i="1"/>
  <c r="AI298" i="1"/>
  <c r="AJ298" i="1"/>
  <c r="AK298" i="1"/>
  <c r="AL298" i="1"/>
  <c r="AC299" i="1"/>
  <c r="AD299" i="1"/>
  <c r="AG299" i="1"/>
  <c r="AH299" i="1"/>
  <c r="AI299" i="1"/>
  <c r="AJ299" i="1"/>
  <c r="AK299" i="1"/>
  <c r="AL299" i="1"/>
  <c r="AC300" i="1"/>
  <c r="AD300" i="1"/>
  <c r="AG300" i="1"/>
  <c r="AH300" i="1"/>
  <c r="AI300" i="1"/>
  <c r="AJ300" i="1"/>
  <c r="AK300" i="1"/>
  <c r="AL300" i="1"/>
  <c r="AC301" i="1"/>
  <c r="AD301" i="1"/>
  <c r="AG301" i="1"/>
  <c r="AH301" i="1"/>
  <c r="AI301" i="1"/>
  <c r="AJ301" i="1"/>
  <c r="AK301" i="1"/>
  <c r="AL301" i="1"/>
  <c r="AC302" i="1"/>
  <c r="AD302" i="1"/>
  <c r="AG302" i="1"/>
  <c r="AH302" i="1"/>
  <c r="AI302" i="1"/>
  <c r="AJ302" i="1"/>
  <c r="AK302" i="1"/>
  <c r="AL302" i="1"/>
  <c r="AC303" i="1"/>
  <c r="AD303" i="1"/>
  <c r="AG303" i="1"/>
  <c r="AH303" i="1"/>
  <c r="AI303" i="1"/>
  <c r="AJ303" i="1"/>
  <c r="AK303" i="1"/>
  <c r="AL303" i="1"/>
  <c r="AC304" i="1"/>
  <c r="AD304" i="1"/>
  <c r="AG304" i="1"/>
  <c r="AH304" i="1"/>
  <c r="AI304" i="1"/>
  <c r="AJ304" i="1"/>
  <c r="AK304" i="1"/>
  <c r="AL304" i="1"/>
  <c r="AC305" i="1"/>
  <c r="AD305" i="1"/>
  <c r="AG305" i="1"/>
  <c r="AH305" i="1"/>
  <c r="AI305" i="1"/>
  <c r="AJ305" i="1"/>
  <c r="AK305" i="1"/>
  <c r="AL305" i="1"/>
  <c r="AC306" i="1"/>
  <c r="AD306" i="1"/>
  <c r="AG306" i="1"/>
  <c r="AH306" i="1"/>
  <c r="AI306" i="1"/>
  <c r="AJ306" i="1"/>
  <c r="AK306" i="1"/>
  <c r="AL306" i="1"/>
  <c r="AC307" i="1"/>
  <c r="AD307" i="1"/>
  <c r="AG307" i="1"/>
  <c r="AH307" i="1"/>
  <c r="AI307" i="1"/>
  <c r="AJ307" i="1"/>
  <c r="AK307" i="1"/>
  <c r="AL307" i="1"/>
  <c r="AC308" i="1"/>
  <c r="AD308" i="1"/>
  <c r="AG308" i="1"/>
  <c r="AH308" i="1"/>
  <c r="AI308" i="1"/>
  <c r="AJ308" i="1"/>
  <c r="AK308" i="1"/>
  <c r="AL308" i="1"/>
  <c r="AC309" i="1"/>
  <c r="AD309" i="1"/>
  <c r="AG309" i="1"/>
  <c r="AH309" i="1"/>
  <c r="AI309" i="1"/>
  <c r="AJ309" i="1"/>
  <c r="AK309" i="1"/>
  <c r="AL309" i="1"/>
  <c r="AC310" i="1"/>
  <c r="AD310" i="1"/>
  <c r="AG310" i="1"/>
  <c r="AH310" i="1"/>
  <c r="AI310" i="1"/>
  <c r="AJ310" i="1"/>
  <c r="AK310" i="1"/>
  <c r="AL310" i="1"/>
  <c r="AC311" i="1"/>
  <c r="AD311" i="1"/>
  <c r="AG311" i="1"/>
  <c r="AH311" i="1"/>
  <c r="AI311" i="1"/>
  <c r="AJ311" i="1"/>
  <c r="AK311" i="1"/>
  <c r="AL311" i="1"/>
  <c r="AC312" i="1"/>
  <c r="AD312" i="1"/>
  <c r="AG312" i="1"/>
  <c r="AH312" i="1"/>
  <c r="AI312" i="1"/>
  <c r="AJ312" i="1"/>
  <c r="AK312" i="1"/>
  <c r="AL312" i="1"/>
  <c r="AC313" i="1"/>
  <c r="AD313" i="1"/>
  <c r="AG313" i="1"/>
  <c r="AH313" i="1"/>
  <c r="AI313" i="1"/>
  <c r="AJ313" i="1"/>
  <c r="AK313" i="1"/>
  <c r="AL313" i="1"/>
  <c r="AC314" i="1"/>
  <c r="AD314" i="1"/>
  <c r="AG314" i="1"/>
  <c r="AH314" i="1"/>
  <c r="AI314" i="1"/>
  <c r="AJ314" i="1"/>
  <c r="AK314" i="1"/>
  <c r="AL314" i="1"/>
  <c r="AC315" i="1"/>
  <c r="AD315" i="1"/>
  <c r="AG315" i="1"/>
  <c r="AH315" i="1"/>
  <c r="AI315" i="1"/>
  <c r="AJ315" i="1"/>
  <c r="AK315" i="1"/>
  <c r="AL315" i="1"/>
  <c r="AC316" i="1"/>
  <c r="AD316" i="1"/>
  <c r="AG316" i="1"/>
  <c r="AH316" i="1"/>
  <c r="AI316" i="1"/>
  <c r="AJ316" i="1"/>
  <c r="AK316" i="1"/>
  <c r="AL316" i="1"/>
  <c r="AC317" i="1"/>
  <c r="AD317" i="1"/>
  <c r="AG317" i="1"/>
  <c r="AH317" i="1"/>
  <c r="AI317" i="1"/>
  <c r="AJ317" i="1"/>
  <c r="AK317" i="1"/>
  <c r="AL317" i="1"/>
  <c r="AC318" i="1"/>
  <c r="AD318" i="1"/>
  <c r="AG318" i="1"/>
  <c r="AH318" i="1"/>
  <c r="AI318" i="1"/>
  <c r="AJ318" i="1"/>
  <c r="AK318" i="1"/>
  <c r="AL318" i="1"/>
  <c r="AC319" i="1"/>
  <c r="AD319" i="1"/>
  <c r="AG319" i="1"/>
  <c r="AH319" i="1"/>
  <c r="AI319" i="1"/>
  <c r="AJ319" i="1"/>
  <c r="AK319" i="1"/>
  <c r="AL319" i="1"/>
  <c r="AC320" i="1"/>
  <c r="AD320" i="1"/>
  <c r="AG320" i="1"/>
  <c r="AH320" i="1"/>
  <c r="AI320" i="1"/>
  <c r="AJ320" i="1"/>
  <c r="AK320" i="1"/>
  <c r="AL320" i="1"/>
  <c r="AC321" i="1"/>
  <c r="AD321" i="1"/>
  <c r="AG321" i="1"/>
  <c r="AH321" i="1"/>
  <c r="AI321" i="1"/>
  <c r="AJ321" i="1"/>
  <c r="AK321" i="1"/>
  <c r="AL321" i="1"/>
  <c r="AC322" i="1"/>
  <c r="AD322" i="1"/>
  <c r="AG322" i="1"/>
  <c r="AH322" i="1"/>
  <c r="AI322" i="1"/>
  <c r="AJ322" i="1"/>
  <c r="AK322" i="1"/>
  <c r="AL322" i="1"/>
  <c r="AC323" i="1"/>
  <c r="AD323" i="1"/>
  <c r="AG323" i="1"/>
  <c r="AH323" i="1"/>
  <c r="AI323" i="1"/>
  <c r="AJ323" i="1"/>
  <c r="AK323" i="1"/>
  <c r="AL323" i="1"/>
  <c r="AC324" i="1"/>
  <c r="AD324" i="1"/>
  <c r="AG324" i="1"/>
  <c r="AH324" i="1"/>
  <c r="AI324" i="1"/>
  <c r="AJ324" i="1"/>
  <c r="AK324" i="1"/>
  <c r="AL324" i="1"/>
  <c r="AC325" i="1"/>
  <c r="AD325" i="1"/>
  <c r="AG325" i="1"/>
  <c r="AH325" i="1"/>
  <c r="AI325" i="1"/>
  <c r="AJ325" i="1"/>
  <c r="AK325" i="1"/>
  <c r="AL325" i="1"/>
  <c r="AC326" i="1"/>
  <c r="AD326" i="1"/>
  <c r="AG326" i="1"/>
  <c r="AH326" i="1"/>
  <c r="AI326" i="1"/>
  <c r="AJ326" i="1"/>
  <c r="AK326" i="1"/>
  <c r="AL326" i="1"/>
  <c r="AC327" i="1"/>
  <c r="AD327" i="1"/>
  <c r="AG327" i="1"/>
  <c r="AH327" i="1"/>
  <c r="AI327" i="1"/>
  <c r="AJ327" i="1"/>
  <c r="AK327" i="1"/>
  <c r="AL327" i="1"/>
  <c r="AC328" i="1"/>
  <c r="AD328" i="1"/>
  <c r="AG328" i="1"/>
  <c r="AH328" i="1"/>
  <c r="AI328" i="1"/>
  <c r="AJ328" i="1"/>
  <c r="AK328" i="1"/>
  <c r="AL328" i="1"/>
  <c r="AC329" i="1"/>
  <c r="AD329" i="1"/>
  <c r="AG329" i="1"/>
  <c r="AH329" i="1"/>
  <c r="AI329" i="1"/>
  <c r="AJ329" i="1"/>
  <c r="AK329" i="1"/>
  <c r="AL329" i="1"/>
  <c r="AC330" i="1"/>
  <c r="AD330" i="1"/>
  <c r="AG330" i="1"/>
  <c r="AH330" i="1"/>
  <c r="AI330" i="1"/>
  <c r="AJ330" i="1"/>
  <c r="AK330" i="1"/>
  <c r="AL330" i="1"/>
  <c r="AC331" i="1"/>
  <c r="AD331" i="1"/>
  <c r="AG331" i="1"/>
  <c r="AH331" i="1"/>
  <c r="AI331" i="1"/>
  <c r="AJ331" i="1"/>
  <c r="AK331" i="1"/>
  <c r="AL331" i="1"/>
  <c r="AC332" i="1"/>
  <c r="AD332" i="1"/>
  <c r="AG332" i="1"/>
  <c r="AH332" i="1"/>
  <c r="AI332" i="1"/>
  <c r="AJ332" i="1"/>
  <c r="AK332" i="1"/>
  <c r="AL332" i="1"/>
  <c r="AC333" i="1"/>
  <c r="AD333" i="1"/>
  <c r="AG333" i="1"/>
  <c r="AH333" i="1"/>
  <c r="AI333" i="1"/>
  <c r="AJ333" i="1"/>
  <c r="AK333" i="1"/>
  <c r="AL333" i="1"/>
  <c r="AC334" i="1"/>
  <c r="AD334" i="1"/>
  <c r="AG334" i="1"/>
  <c r="AH334" i="1"/>
  <c r="AI334" i="1"/>
  <c r="AJ334" i="1"/>
  <c r="AK334" i="1"/>
  <c r="AL334" i="1"/>
  <c r="AC335" i="1"/>
  <c r="AD335" i="1"/>
  <c r="AG335" i="1"/>
  <c r="AH335" i="1"/>
  <c r="AI335" i="1"/>
  <c r="AJ335" i="1"/>
  <c r="AK335" i="1"/>
  <c r="AL335" i="1"/>
  <c r="AC336" i="1"/>
  <c r="AD336" i="1"/>
  <c r="AG336" i="1"/>
  <c r="AH336" i="1"/>
  <c r="AI336" i="1"/>
  <c r="AJ336" i="1"/>
  <c r="AK336" i="1"/>
  <c r="AL336" i="1"/>
  <c r="AC337" i="1"/>
  <c r="AD337" i="1"/>
  <c r="AG337" i="1"/>
  <c r="AH337" i="1"/>
  <c r="AI337" i="1"/>
  <c r="AJ337" i="1"/>
  <c r="AK337" i="1"/>
  <c r="AL337" i="1"/>
  <c r="AC338" i="1"/>
  <c r="AD338" i="1"/>
  <c r="AG338" i="1"/>
  <c r="AH338" i="1"/>
  <c r="AI338" i="1"/>
  <c r="AJ338" i="1"/>
  <c r="AK338" i="1"/>
  <c r="AL338" i="1"/>
  <c r="AC339" i="1"/>
  <c r="AD339" i="1"/>
  <c r="AG339" i="1"/>
  <c r="AH339" i="1"/>
  <c r="AI339" i="1"/>
  <c r="AJ339" i="1"/>
  <c r="AK339" i="1"/>
  <c r="AL339" i="1"/>
  <c r="AC340" i="1"/>
  <c r="AD340" i="1"/>
  <c r="AG340" i="1"/>
  <c r="AH340" i="1"/>
  <c r="AI340" i="1"/>
  <c r="AJ340" i="1"/>
  <c r="AK340" i="1"/>
  <c r="AL340" i="1"/>
  <c r="AC341" i="1"/>
  <c r="AD341" i="1"/>
  <c r="AG341" i="1"/>
  <c r="AH341" i="1"/>
  <c r="AI341" i="1"/>
  <c r="AJ341" i="1"/>
  <c r="AK341" i="1"/>
  <c r="AL341" i="1"/>
  <c r="AC342" i="1"/>
  <c r="AD342" i="1"/>
  <c r="AG342" i="1"/>
  <c r="AH342" i="1"/>
  <c r="AI342" i="1"/>
  <c r="AJ342" i="1"/>
  <c r="AK342" i="1"/>
  <c r="AL342" i="1"/>
  <c r="AC343" i="1"/>
  <c r="AD343" i="1"/>
  <c r="AG343" i="1"/>
  <c r="AH343" i="1"/>
  <c r="AI343" i="1"/>
  <c r="AJ343" i="1"/>
  <c r="AK343" i="1"/>
  <c r="AL343" i="1"/>
  <c r="AC344" i="1"/>
  <c r="AD344" i="1"/>
  <c r="AG344" i="1"/>
  <c r="AH344" i="1"/>
  <c r="AI344" i="1"/>
  <c r="AJ344" i="1"/>
  <c r="AK344" i="1"/>
  <c r="AL344" i="1"/>
  <c r="AC345" i="1"/>
  <c r="AD345" i="1"/>
  <c r="AG345" i="1"/>
  <c r="AH345" i="1"/>
  <c r="AI345" i="1"/>
  <c r="AJ345" i="1"/>
  <c r="AK345" i="1"/>
  <c r="AL345" i="1"/>
  <c r="AC346" i="1"/>
  <c r="AD346" i="1"/>
  <c r="AG346" i="1"/>
  <c r="AH346" i="1"/>
  <c r="AI346" i="1"/>
  <c r="AJ346" i="1"/>
  <c r="AK346" i="1"/>
  <c r="AL346" i="1"/>
  <c r="AC347" i="1"/>
  <c r="AD347" i="1"/>
  <c r="AG347" i="1"/>
  <c r="AH347" i="1"/>
  <c r="AI347" i="1"/>
  <c r="AJ347" i="1"/>
  <c r="AK347" i="1"/>
  <c r="AL347" i="1"/>
  <c r="AC348" i="1"/>
  <c r="AD348" i="1"/>
  <c r="AG348" i="1"/>
  <c r="AH348" i="1"/>
  <c r="AI348" i="1"/>
  <c r="AJ348" i="1"/>
  <c r="AK348" i="1"/>
  <c r="AL348" i="1"/>
  <c r="AC349" i="1"/>
  <c r="AD349" i="1"/>
  <c r="AG349" i="1"/>
  <c r="AH349" i="1"/>
  <c r="AI349" i="1"/>
  <c r="AJ349" i="1"/>
  <c r="AK349" i="1"/>
  <c r="AL349" i="1"/>
  <c r="AC350" i="1"/>
  <c r="AD350" i="1"/>
  <c r="AG350" i="1"/>
  <c r="AH350" i="1"/>
  <c r="AI350" i="1"/>
  <c r="AJ350" i="1"/>
  <c r="AK350" i="1"/>
  <c r="AL350" i="1"/>
  <c r="AC351" i="1"/>
  <c r="AD351" i="1"/>
  <c r="AG351" i="1"/>
  <c r="AH351" i="1"/>
  <c r="AI351" i="1"/>
  <c r="AJ351" i="1"/>
  <c r="AK351" i="1"/>
  <c r="AL351" i="1"/>
  <c r="AC352" i="1"/>
  <c r="AD352" i="1"/>
  <c r="AG352" i="1"/>
  <c r="AH352" i="1"/>
  <c r="AI352" i="1"/>
  <c r="AJ352" i="1"/>
  <c r="AK352" i="1"/>
  <c r="AL352" i="1"/>
  <c r="AC353" i="1"/>
  <c r="AD353" i="1"/>
  <c r="AG353" i="1"/>
  <c r="AH353" i="1"/>
  <c r="AI353" i="1"/>
  <c r="AJ353" i="1"/>
  <c r="AK353" i="1"/>
  <c r="AL353" i="1"/>
  <c r="AC354" i="1"/>
  <c r="AD354" i="1"/>
  <c r="AG354" i="1"/>
  <c r="AH354" i="1"/>
  <c r="AI354" i="1"/>
  <c r="AJ354" i="1"/>
  <c r="AK354" i="1"/>
  <c r="AL354" i="1"/>
  <c r="AC355" i="1"/>
  <c r="AD355" i="1"/>
  <c r="AG355" i="1"/>
  <c r="AH355" i="1"/>
  <c r="AI355" i="1"/>
  <c r="AJ355" i="1"/>
  <c r="AK355" i="1"/>
  <c r="AL355" i="1"/>
  <c r="AC356" i="1"/>
  <c r="AD356" i="1"/>
  <c r="AG356" i="1"/>
  <c r="AH356" i="1"/>
  <c r="AI356" i="1"/>
  <c r="AJ356" i="1"/>
  <c r="AK356" i="1"/>
  <c r="AL356" i="1"/>
  <c r="AC357" i="1"/>
  <c r="AD357" i="1"/>
  <c r="AG357" i="1"/>
  <c r="AH357" i="1"/>
  <c r="AI357" i="1"/>
  <c r="AJ357" i="1"/>
  <c r="AK357" i="1"/>
  <c r="AL357" i="1"/>
  <c r="AC358" i="1"/>
  <c r="AD358" i="1"/>
  <c r="AG358" i="1"/>
  <c r="AH358" i="1"/>
  <c r="AI358" i="1"/>
  <c r="AJ358" i="1"/>
  <c r="AK358" i="1"/>
  <c r="AL358" i="1"/>
  <c r="AC359" i="1"/>
  <c r="AD359" i="1"/>
  <c r="AG359" i="1"/>
  <c r="AH359" i="1"/>
  <c r="AI359" i="1"/>
  <c r="AJ359" i="1"/>
  <c r="AK359" i="1"/>
  <c r="AL359" i="1"/>
  <c r="AC360" i="1"/>
  <c r="AD360" i="1"/>
  <c r="AG360" i="1"/>
  <c r="AH360" i="1"/>
  <c r="AI360" i="1"/>
  <c r="AJ360" i="1"/>
  <c r="AK360" i="1"/>
  <c r="AL360" i="1"/>
  <c r="AC361" i="1"/>
  <c r="AD361" i="1"/>
  <c r="AG361" i="1"/>
  <c r="AH361" i="1"/>
  <c r="AI361" i="1"/>
  <c r="AJ361" i="1"/>
  <c r="AK361" i="1"/>
  <c r="AL361" i="1"/>
  <c r="AC362" i="1"/>
  <c r="AD362" i="1"/>
  <c r="AG362" i="1"/>
  <c r="AH362" i="1"/>
  <c r="AI362" i="1"/>
  <c r="AJ362" i="1"/>
  <c r="AK362" i="1"/>
  <c r="AL362" i="1"/>
  <c r="AC363" i="1"/>
  <c r="AD363" i="1"/>
  <c r="AG363" i="1"/>
  <c r="AH363" i="1"/>
  <c r="AI363" i="1"/>
  <c r="AJ363" i="1"/>
  <c r="AK363" i="1"/>
  <c r="AL363" i="1"/>
  <c r="AC364" i="1"/>
  <c r="AD364" i="1"/>
  <c r="AG364" i="1"/>
  <c r="AH364" i="1"/>
  <c r="AI364" i="1"/>
  <c r="AJ364" i="1"/>
  <c r="AK364" i="1"/>
  <c r="AL364" i="1"/>
  <c r="AC365" i="1"/>
  <c r="AD365" i="1"/>
  <c r="AG365" i="1"/>
  <c r="AH365" i="1"/>
  <c r="AI365" i="1"/>
  <c r="AJ365" i="1"/>
  <c r="AK365" i="1"/>
  <c r="AL365" i="1"/>
  <c r="AC366" i="1"/>
  <c r="AD366" i="1"/>
  <c r="AG366" i="1"/>
  <c r="AH366" i="1"/>
  <c r="AI366" i="1"/>
  <c r="AJ366" i="1"/>
  <c r="AK366" i="1"/>
  <c r="AL366" i="1"/>
  <c r="AC367" i="1"/>
  <c r="AD367" i="1"/>
  <c r="AG367" i="1"/>
  <c r="AH367" i="1"/>
  <c r="AI367" i="1"/>
  <c r="AJ367" i="1"/>
  <c r="AK367" i="1"/>
  <c r="AL367" i="1"/>
  <c r="AC368" i="1"/>
  <c r="AD368" i="1"/>
  <c r="AG368" i="1"/>
  <c r="AH368" i="1"/>
  <c r="AI368" i="1"/>
  <c r="AJ368" i="1"/>
  <c r="AK368" i="1"/>
  <c r="AL368" i="1"/>
  <c r="AC369" i="1"/>
  <c r="AD369" i="1"/>
  <c r="AG369" i="1"/>
  <c r="AH369" i="1"/>
  <c r="AI369" i="1"/>
  <c r="AJ369" i="1"/>
  <c r="AK369" i="1"/>
  <c r="AL369" i="1"/>
  <c r="AC370" i="1"/>
  <c r="AD370" i="1"/>
  <c r="AG370" i="1"/>
  <c r="AH370" i="1"/>
  <c r="AI370" i="1"/>
  <c r="AJ370" i="1"/>
  <c r="AK370" i="1"/>
  <c r="AL370" i="1"/>
  <c r="AC371" i="1"/>
  <c r="AD371" i="1"/>
  <c r="AG371" i="1"/>
  <c r="AH371" i="1"/>
  <c r="AI371" i="1"/>
  <c r="AJ371" i="1"/>
  <c r="AK371" i="1"/>
  <c r="AL371" i="1"/>
  <c r="AC372" i="1"/>
  <c r="AD372" i="1"/>
  <c r="AG372" i="1"/>
  <c r="AH372" i="1"/>
  <c r="AI372" i="1"/>
  <c r="AJ372" i="1"/>
  <c r="AK372" i="1"/>
  <c r="AL372" i="1"/>
  <c r="AC373" i="1"/>
  <c r="AD373" i="1"/>
  <c r="AG373" i="1"/>
  <c r="AH373" i="1"/>
  <c r="AI373" i="1"/>
  <c r="AJ373" i="1"/>
  <c r="AK373" i="1"/>
  <c r="AL373" i="1"/>
  <c r="AC374" i="1"/>
  <c r="AD374" i="1"/>
  <c r="AG374" i="1"/>
  <c r="AH374" i="1"/>
  <c r="AI374" i="1"/>
  <c r="AJ374" i="1"/>
  <c r="AK374" i="1"/>
  <c r="AL374" i="1"/>
  <c r="AC375" i="1"/>
  <c r="AD375" i="1"/>
  <c r="AG375" i="1"/>
  <c r="AH375" i="1"/>
  <c r="AI375" i="1"/>
  <c r="AJ375" i="1"/>
  <c r="AK375" i="1"/>
  <c r="AL375" i="1"/>
  <c r="AC376" i="1"/>
  <c r="AD376" i="1"/>
  <c r="AG376" i="1"/>
  <c r="AH376" i="1"/>
  <c r="AI376" i="1"/>
  <c r="AJ376" i="1"/>
  <c r="AK376" i="1"/>
  <c r="AL376" i="1"/>
  <c r="AC377" i="1"/>
  <c r="AD377" i="1"/>
  <c r="AG377" i="1"/>
  <c r="AH377" i="1"/>
  <c r="AI377" i="1"/>
  <c r="AJ377" i="1"/>
  <c r="AK377" i="1"/>
  <c r="AL377" i="1"/>
  <c r="AC378" i="1"/>
  <c r="AD378" i="1"/>
  <c r="AG378" i="1"/>
  <c r="AH378" i="1"/>
  <c r="AI378" i="1"/>
  <c r="AJ378" i="1"/>
  <c r="AK378" i="1"/>
  <c r="AL378" i="1"/>
  <c r="AC379" i="1"/>
  <c r="AD379" i="1"/>
  <c r="AG379" i="1"/>
  <c r="AH379" i="1"/>
  <c r="AI379" i="1"/>
  <c r="AJ379" i="1"/>
  <c r="AK379" i="1"/>
  <c r="AL379" i="1"/>
  <c r="AC380" i="1"/>
  <c r="AD380" i="1"/>
  <c r="AG380" i="1"/>
  <c r="AH380" i="1"/>
  <c r="AI380" i="1"/>
  <c r="AJ380" i="1"/>
  <c r="AK380" i="1"/>
  <c r="AL380" i="1"/>
  <c r="AC381" i="1"/>
  <c r="AD381" i="1"/>
  <c r="AG381" i="1"/>
  <c r="AH381" i="1"/>
  <c r="AI381" i="1"/>
  <c r="AJ381" i="1"/>
  <c r="AK381" i="1"/>
  <c r="AL381" i="1"/>
  <c r="AC382" i="1"/>
  <c r="AD382" i="1"/>
  <c r="AG382" i="1"/>
  <c r="AH382" i="1"/>
  <c r="AI382" i="1"/>
  <c r="AJ382" i="1"/>
  <c r="AK382" i="1"/>
  <c r="AL382" i="1"/>
  <c r="AC383" i="1"/>
  <c r="AD383" i="1"/>
  <c r="AG383" i="1"/>
  <c r="AH383" i="1"/>
  <c r="AI383" i="1"/>
  <c r="AJ383" i="1"/>
  <c r="AK383" i="1"/>
  <c r="AL383" i="1"/>
  <c r="AC384" i="1"/>
  <c r="AD384" i="1"/>
  <c r="AG384" i="1"/>
  <c r="AH384" i="1"/>
  <c r="AI384" i="1"/>
  <c r="AJ384" i="1"/>
  <c r="AK384" i="1"/>
  <c r="AL384" i="1"/>
  <c r="AC385" i="1"/>
  <c r="AD385" i="1"/>
  <c r="AG385" i="1"/>
  <c r="AH385" i="1"/>
  <c r="AI385" i="1"/>
  <c r="AJ385" i="1"/>
  <c r="AK385" i="1"/>
  <c r="AL385" i="1"/>
  <c r="AC386" i="1"/>
  <c r="AD386" i="1"/>
  <c r="AG386" i="1"/>
  <c r="AH386" i="1"/>
  <c r="AI386" i="1"/>
  <c r="AJ386" i="1"/>
  <c r="AK386" i="1"/>
  <c r="AL386" i="1"/>
  <c r="AC387" i="1"/>
  <c r="AD387" i="1"/>
  <c r="AG387" i="1"/>
  <c r="AH387" i="1"/>
  <c r="AI387" i="1"/>
  <c r="AJ387" i="1"/>
  <c r="AK387" i="1"/>
  <c r="AL387" i="1"/>
  <c r="AC388" i="1"/>
  <c r="AD388" i="1"/>
  <c r="AG388" i="1"/>
  <c r="AH388" i="1"/>
  <c r="AI388" i="1"/>
  <c r="AJ388" i="1"/>
  <c r="AK388" i="1"/>
  <c r="AL388" i="1"/>
  <c r="AC389" i="1"/>
  <c r="AD389" i="1"/>
  <c r="AG389" i="1"/>
  <c r="AH389" i="1"/>
  <c r="AI389" i="1"/>
  <c r="AJ389" i="1"/>
  <c r="AK389" i="1"/>
  <c r="AL389" i="1"/>
  <c r="AC390" i="1"/>
  <c r="AD390" i="1"/>
  <c r="AG390" i="1"/>
  <c r="AH390" i="1"/>
  <c r="AI390" i="1"/>
  <c r="AJ390" i="1"/>
  <c r="AK390" i="1"/>
  <c r="AL390" i="1"/>
  <c r="AC391" i="1"/>
  <c r="AD391" i="1"/>
  <c r="AG391" i="1"/>
  <c r="AH391" i="1"/>
  <c r="AI391" i="1"/>
  <c r="AJ391" i="1"/>
  <c r="AK391" i="1"/>
  <c r="AL391" i="1"/>
  <c r="AC392" i="1"/>
  <c r="AD392" i="1"/>
  <c r="AG392" i="1"/>
  <c r="AH392" i="1"/>
  <c r="AI392" i="1"/>
  <c r="AJ392" i="1"/>
  <c r="AK392" i="1"/>
  <c r="AL392" i="1"/>
  <c r="AC393" i="1"/>
  <c r="AD393" i="1"/>
  <c r="AG393" i="1"/>
  <c r="AH393" i="1"/>
  <c r="AI393" i="1"/>
  <c r="AJ393" i="1"/>
  <c r="AK393" i="1"/>
  <c r="AL393" i="1"/>
  <c r="AC394" i="1"/>
  <c r="AD394" i="1"/>
  <c r="AG394" i="1"/>
  <c r="AH394" i="1"/>
  <c r="AI394" i="1"/>
  <c r="AJ394" i="1"/>
  <c r="AK394" i="1"/>
  <c r="AL394" i="1"/>
  <c r="AC395" i="1"/>
  <c r="AD395" i="1"/>
  <c r="AG395" i="1"/>
  <c r="AH395" i="1"/>
  <c r="AI395" i="1"/>
  <c r="AJ395" i="1"/>
  <c r="AK395" i="1"/>
  <c r="AL395" i="1"/>
  <c r="AC396" i="1"/>
  <c r="AD396" i="1"/>
  <c r="AG396" i="1"/>
  <c r="AH396" i="1"/>
  <c r="AI396" i="1"/>
  <c r="AJ396" i="1"/>
  <c r="AK396" i="1"/>
  <c r="AL396" i="1"/>
  <c r="AC397" i="1"/>
  <c r="AD397" i="1"/>
  <c r="AG397" i="1"/>
  <c r="AH397" i="1"/>
  <c r="AI397" i="1"/>
  <c r="AJ397" i="1"/>
  <c r="AK397" i="1"/>
  <c r="AL397" i="1"/>
  <c r="AC398" i="1"/>
  <c r="AD398" i="1"/>
  <c r="AG398" i="1"/>
  <c r="AH398" i="1"/>
  <c r="AI398" i="1"/>
  <c r="AJ398" i="1"/>
  <c r="AK398" i="1"/>
  <c r="AL398" i="1"/>
  <c r="AC399" i="1"/>
  <c r="AD399" i="1"/>
  <c r="AG399" i="1"/>
  <c r="AH399" i="1"/>
  <c r="AI399" i="1"/>
  <c r="AJ399" i="1"/>
  <c r="AK399" i="1"/>
  <c r="AL399" i="1"/>
  <c r="AC400" i="1"/>
  <c r="AD400" i="1"/>
  <c r="AG400" i="1"/>
  <c r="AH400" i="1"/>
  <c r="AI400" i="1"/>
  <c r="AJ400" i="1"/>
  <c r="AK400" i="1"/>
  <c r="AL400" i="1"/>
  <c r="AC401" i="1"/>
  <c r="AD401" i="1"/>
  <c r="AG401" i="1"/>
  <c r="AH401" i="1"/>
  <c r="AI401" i="1"/>
  <c r="AJ401" i="1"/>
  <c r="AK401" i="1"/>
  <c r="AL401" i="1"/>
  <c r="AC402" i="1"/>
  <c r="AD402" i="1"/>
  <c r="AG402" i="1"/>
  <c r="AH402" i="1"/>
  <c r="AI402" i="1"/>
  <c r="AJ402" i="1"/>
  <c r="AK402" i="1"/>
  <c r="AL402" i="1"/>
  <c r="AC403" i="1"/>
  <c r="AD403" i="1"/>
  <c r="AG403" i="1"/>
  <c r="AH403" i="1"/>
  <c r="AI403" i="1"/>
  <c r="AJ403" i="1"/>
  <c r="AK403" i="1"/>
  <c r="AL403" i="1"/>
  <c r="AC404" i="1"/>
  <c r="AD404" i="1"/>
  <c r="AG404" i="1"/>
  <c r="AH404" i="1"/>
  <c r="AI404" i="1"/>
  <c r="AJ404" i="1"/>
  <c r="AK404" i="1"/>
  <c r="AL404" i="1"/>
  <c r="AC405" i="1"/>
  <c r="AD405" i="1"/>
  <c r="AG405" i="1"/>
  <c r="AH405" i="1"/>
  <c r="AI405" i="1"/>
  <c r="AJ405" i="1"/>
  <c r="AK405" i="1"/>
  <c r="AL405" i="1"/>
  <c r="AC406" i="1"/>
  <c r="AD406" i="1"/>
  <c r="AG406" i="1"/>
  <c r="AH406" i="1"/>
  <c r="AI406" i="1"/>
  <c r="AJ406" i="1"/>
  <c r="AK406" i="1"/>
  <c r="AL406" i="1"/>
  <c r="AC407" i="1"/>
  <c r="AD407" i="1"/>
  <c r="AG407" i="1"/>
  <c r="AH407" i="1"/>
  <c r="AI407" i="1"/>
  <c r="AJ407" i="1"/>
  <c r="AK407" i="1"/>
  <c r="AL407" i="1"/>
  <c r="AC408" i="1"/>
  <c r="AD408" i="1"/>
  <c r="AG408" i="1"/>
  <c r="AH408" i="1"/>
  <c r="AI408" i="1"/>
  <c r="AJ408" i="1"/>
  <c r="AK408" i="1"/>
  <c r="AL408" i="1"/>
  <c r="AC409" i="1"/>
  <c r="AD409" i="1"/>
  <c r="AG409" i="1"/>
  <c r="AH409" i="1"/>
  <c r="AI409" i="1"/>
  <c r="AJ409" i="1"/>
  <c r="AK409" i="1"/>
  <c r="AL409" i="1"/>
  <c r="AC410" i="1"/>
  <c r="AD410" i="1"/>
  <c r="AG410" i="1"/>
  <c r="AH410" i="1"/>
  <c r="AI410" i="1"/>
  <c r="AJ410" i="1"/>
  <c r="AK410" i="1"/>
  <c r="AL410" i="1"/>
  <c r="AC411" i="1"/>
  <c r="AD411" i="1"/>
  <c r="AG411" i="1"/>
  <c r="AH411" i="1"/>
  <c r="AI411" i="1"/>
  <c r="AJ411" i="1"/>
  <c r="AK411" i="1"/>
  <c r="AL411" i="1"/>
  <c r="AC412" i="1"/>
  <c r="AD412" i="1"/>
  <c r="AG412" i="1"/>
  <c r="AH412" i="1"/>
  <c r="AI412" i="1"/>
  <c r="AJ412" i="1"/>
  <c r="AK412" i="1"/>
  <c r="AL412" i="1"/>
  <c r="AC413" i="1"/>
  <c r="AD413" i="1"/>
  <c r="AG413" i="1"/>
  <c r="AH413" i="1"/>
  <c r="AI413" i="1"/>
  <c r="AJ413" i="1"/>
  <c r="AK413" i="1"/>
  <c r="AL413" i="1"/>
  <c r="AC414" i="1"/>
  <c r="AD414" i="1"/>
  <c r="AG414" i="1"/>
  <c r="AH414" i="1"/>
  <c r="AI414" i="1"/>
  <c r="AJ414" i="1"/>
  <c r="AK414" i="1"/>
  <c r="AL414" i="1"/>
  <c r="AC415" i="1"/>
  <c r="AD415" i="1"/>
  <c r="AG415" i="1"/>
  <c r="AH415" i="1"/>
  <c r="AI415" i="1"/>
  <c r="AJ415" i="1"/>
  <c r="AK415" i="1"/>
  <c r="AL415" i="1"/>
  <c r="AC416" i="1"/>
  <c r="AD416" i="1"/>
  <c r="AG416" i="1"/>
  <c r="AH416" i="1"/>
  <c r="AI416" i="1"/>
  <c r="AJ416" i="1"/>
  <c r="AK416" i="1"/>
  <c r="AL416" i="1"/>
  <c r="AC417" i="1"/>
  <c r="AD417" i="1"/>
  <c r="AG417" i="1"/>
  <c r="AH417" i="1"/>
  <c r="AI417" i="1"/>
  <c r="AJ417" i="1"/>
  <c r="AK417" i="1"/>
  <c r="AL417" i="1"/>
  <c r="AC418" i="1"/>
  <c r="AD418" i="1"/>
  <c r="AG418" i="1"/>
  <c r="AH418" i="1"/>
  <c r="AI418" i="1"/>
  <c r="AJ418" i="1"/>
  <c r="AK418" i="1"/>
  <c r="AL418" i="1"/>
  <c r="AC419" i="1"/>
  <c r="AD419" i="1"/>
  <c r="AG419" i="1"/>
  <c r="AH419" i="1"/>
  <c r="AI419" i="1"/>
  <c r="AJ419" i="1"/>
  <c r="AK419" i="1"/>
  <c r="AL419" i="1"/>
  <c r="AC420" i="1"/>
  <c r="AD420" i="1"/>
  <c r="AG420" i="1"/>
  <c r="AH420" i="1"/>
  <c r="AI420" i="1"/>
  <c r="AJ420" i="1"/>
  <c r="AK420" i="1"/>
  <c r="AL420" i="1"/>
  <c r="AC421" i="1"/>
  <c r="AD421" i="1"/>
  <c r="AG421" i="1"/>
  <c r="AH421" i="1"/>
  <c r="AI421" i="1"/>
  <c r="AJ421" i="1"/>
  <c r="AK421" i="1"/>
  <c r="AL421" i="1"/>
  <c r="AC422" i="1"/>
  <c r="AD422" i="1"/>
  <c r="AG422" i="1"/>
  <c r="AH422" i="1"/>
  <c r="AI422" i="1"/>
  <c r="AJ422" i="1"/>
  <c r="AK422" i="1"/>
  <c r="AL422" i="1"/>
  <c r="AC423" i="1"/>
  <c r="AD423" i="1"/>
  <c r="AG423" i="1"/>
  <c r="AH423" i="1"/>
  <c r="AI423" i="1"/>
  <c r="AJ423" i="1"/>
  <c r="AK423" i="1"/>
  <c r="AL423" i="1"/>
  <c r="AC424" i="1"/>
  <c r="AD424" i="1"/>
  <c r="AG424" i="1"/>
  <c r="AH424" i="1"/>
  <c r="AI424" i="1"/>
  <c r="AJ424" i="1"/>
  <c r="AK424" i="1"/>
  <c r="AL424" i="1"/>
  <c r="AC425" i="1"/>
  <c r="AD425" i="1"/>
  <c r="AG425" i="1"/>
  <c r="AH425" i="1"/>
  <c r="AI425" i="1"/>
  <c r="AJ425" i="1"/>
  <c r="AK425" i="1"/>
  <c r="AL425" i="1"/>
  <c r="AC426" i="1"/>
  <c r="AD426" i="1"/>
  <c r="AG426" i="1"/>
  <c r="AH426" i="1"/>
  <c r="AI426" i="1"/>
  <c r="AJ426" i="1"/>
  <c r="AK426" i="1"/>
  <c r="AL426" i="1"/>
  <c r="AC427" i="1"/>
  <c r="AD427" i="1"/>
  <c r="AG427" i="1"/>
  <c r="AH427" i="1"/>
  <c r="AI427" i="1"/>
  <c r="AJ427" i="1"/>
  <c r="AK427" i="1"/>
  <c r="AL427" i="1"/>
  <c r="AC428" i="1"/>
  <c r="AD428" i="1"/>
  <c r="AG428" i="1"/>
  <c r="AH428" i="1"/>
  <c r="AI428" i="1"/>
  <c r="AJ428" i="1"/>
  <c r="AK428" i="1"/>
  <c r="AL428" i="1"/>
  <c r="AC429" i="1"/>
  <c r="AD429" i="1"/>
  <c r="AG429" i="1"/>
  <c r="AH429" i="1"/>
  <c r="AI429" i="1"/>
  <c r="AJ429" i="1"/>
  <c r="AK429" i="1"/>
  <c r="AL429" i="1"/>
  <c r="AC430" i="1"/>
  <c r="AD430" i="1"/>
  <c r="AG430" i="1"/>
  <c r="AH430" i="1"/>
  <c r="AI430" i="1"/>
  <c r="AJ430" i="1"/>
  <c r="AK430" i="1"/>
  <c r="AL430" i="1"/>
  <c r="AC431" i="1"/>
  <c r="AD431" i="1"/>
  <c r="AG431" i="1"/>
  <c r="AH431" i="1"/>
  <c r="AI431" i="1"/>
  <c r="AJ431" i="1"/>
  <c r="AK431" i="1"/>
  <c r="AL431" i="1"/>
  <c r="AC432" i="1"/>
  <c r="AD432" i="1"/>
  <c r="AG432" i="1"/>
  <c r="AH432" i="1"/>
  <c r="AI432" i="1"/>
  <c r="AJ432" i="1"/>
  <c r="AK432" i="1"/>
  <c r="AL432" i="1"/>
  <c r="AC433" i="1"/>
  <c r="AD433" i="1"/>
  <c r="AG433" i="1"/>
  <c r="AH433" i="1"/>
  <c r="AI433" i="1"/>
  <c r="AJ433" i="1"/>
  <c r="AK433" i="1"/>
  <c r="AL433" i="1"/>
  <c r="AC434" i="1"/>
  <c r="AD434" i="1"/>
  <c r="AG434" i="1"/>
  <c r="AH434" i="1"/>
  <c r="AI434" i="1"/>
  <c r="AJ434" i="1"/>
  <c r="AK434" i="1"/>
  <c r="AL434" i="1"/>
  <c r="AC435" i="1"/>
  <c r="AD435" i="1"/>
  <c r="AG435" i="1"/>
  <c r="AH435" i="1"/>
  <c r="AI435" i="1"/>
  <c r="AJ435" i="1"/>
  <c r="AK435" i="1"/>
  <c r="AL435" i="1"/>
  <c r="AC436" i="1"/>
  <c r="AD436" i="1"/>
  <c r="AG436" i="1"/>
  <c r="AH436" i="1"/>
  <c r="AI436" i="1"/>
  <c r="AJ436" i="1"/>
  <c r="AK436" i="1"/>
  <c r="AL436" i="1"/>
  <c r="AC437" i="1"/>
  <c r="AD437" i="1"/>
  <c r="AG437" i="1"/>
  <c r="AH437" i="1"/>
  <c r="AI437" i="1"/>
  <c r="AJ437" i="1"/>
  <c r="AK437" i="1"/>
  <c r="AL437" i="1"/>
  <c r="AC438" i="1"/>
  <c r="AD438" i="1"/>
  <c r="AG438" i="1"/>
  <c r="AH438" i="1"/>
  <c r="AI438" i="1"/>
  <c r="AJ438" i="1"/>
  <c r="AK438" i="1"/>
  <c r="AL438" i="1"/>
  <c r="AC439" i="1"/>
  <c r="AD439" i="1"/>
  <c r="AG439" i="1"/>
  <c r="AH439" i="1"/>
  <c r="AI439" i="1"/>
  <c r="AJ439" i="1"/>
  <c r="AK439" i="1"/>
  <c r="AL439" i="1"/>
  <c r="AC440" i="1"/>
  <c r="AD440" i="1"/>
  <c r="AG440" i="1"/>
  <c r="AH440" i="1"/>
  <c r="AI440" i="1"/>
  <c r="AJ440" i="1"/>
  <c r="AK440" i="1"/>
  <c r="AL440" i="1"/>
  <c r="AC441" i="1"/>
  <c r="AD441" i="1"/>
  <c r="AG441" i="1"/>
  <c r="AH441" i="1"/>
  <c r="AI441" i="1"/>
  <c r="AJ441" i="1"/>
  <c r="AK441" i="1"/>
  <c r="AL441" i="1"/>
  <c r="AC442" i="1"/>
  <c r="AD442" i="1"/>
  <c r="AG442" i="1"/>
  <c r="AH442" i="1"/>
  <c r="AI442" i="1"/>
  <c r="AJ442" i="1"/>
  <c r="AK442" i="1"/>
  <c r="AL442" i="1"/>
  <c r="AC443" i="1"/>
  <c r="AD443" i="1"/>
  <c r="AG443" i="1"/>
  <c r="AH443" i="1"/>
  <c r="AI443" i="1"/>
  <c r="AJ443" i="1"/>
  <c r="AK443" i="1"/>
  <c r="AL443" i="1"/>
  <c r="AC444" i="1"/>
  <c r="AD444" i="1"/>
  <c r="AG444" i="1"/>
  <c r="AH444" i="1"/>
  <c r="AI444" i="1"/>
  <c r="AJ444" i="1"/>
  <c r="AK444" i="1"/>
  <c r="AL444" i="1"/>
  <c r="AC445" i="1"/>
  <c r="AD445" i="1"/>
  <c r="AG445" i="1"/>
  <c r="AH445" i="1"/>
  <c r="AI445" i="1"/>
  <c r="AJ445" i="1"/>
  <c r="AK445" i="1"/>
  <c r="AL445" i="1"/>
  <c r="AC446" i="1"/>
  <c r="AD446" i="1"/>
  <c r="AG446" i="1"/>
  <c r="AH446" i="1"/>
  <c r="AI446" i="1"/>
  <c r="AJ446" i="1"/>
  <c r="AK446" i="1"/>
  <c r="AL446" i="1"/>
  <c r="AC447" i="1"/>
  <c r="AD447" i="1"/>
  <c r="AG447" i="1"/>
  <c r="AH447" i="1"/>
  <c r="AI447" i="1"/>
  <c r="AJ447" i="1"/>
  <c r="AK447" i="1"/>
  <c r="AL447" i="1"/>
  <c r="AC448" i="1"/>
  <c r="AD448" i="1"/>
  <c r="AG448" i="1"/>
  <c r="AH448" i="1"/>
  <c r="AI448" i="1"/>
  <c r="AJ448" i="1"/>
  <c r="AK448" i="1"/>
  <c r="AL448" i="1"/>
  <c r="AC449" i="1"/>
  <c r="AD449" i="1"/>
  <c r="AG449" i="1"/>
  <c r="AH449" i="1"/>
  <c r="AI449" i="1"/>
  <c r="AJ449" i="1"/>
  <c r="AK449" i="1"/>
  <c r="AL449" i="1"/>
  <c r="AC450" i="1"/>
  <c r="AD450" i="1"/>
  <c r="AG450" i="1"/>
  <c r="AH450" i="1"/>
  <c r="AI450" i="1"/>
  <c r="AJ450" i="1"/>
  <c r="AK450" i="1"/>
  <c r="AL450" i="1"/>
  <c r="AC451" i="1"/>
  <c r="AD451" i="1"/>
  <c r="AG451" i="1"/>
  <c r="AH451" i="1"/>
  <c r="AI451" i="1"/>
  <c r="AJ451" i="1"/>
  <c r="AK451" i="1"/>
  <c r="AL451" i="1"/>
  <c r="AC452" i="1"/>
  <c r="AD452" i="1"/>
  <c r="AG452" i="1"/>
  <c r="AH452" i="1"/>
  <c r="AI452" i="1"/>
  <c r="AJ452" i="1"/>
  <c r="AK452" i="1"/>
  <c r="AL452" i="1"/>
  <c r="AC453" i="1"/>
  <c r="AD453" i="1"/>
  <c r="AG453" i="1"/>
  <c r="AH453" i="1"/>
  <c r="AI453" i="1"/>
  <c r="AJ453" i="1"/>
  <c r="AK453" i="1"/>
  <c r="AL453" i="1"/>
  <c r="AC454" i="1"/>
  <c r="AD454" i="1"/>
  <c r="AG454" i="1"/>
  <c r="AH454" i="1"/>
  <c r="AI454" i="1"/>
  <c r="AJ454" i="1"/>
  <c r="AK454" i="1"/>
  <c r="AL454" i="1"/>
  <c r="AC455" i="1"/>
  <c r="AD455" i="1"/>
  <c r="AG455" i="1"/>
  <c r="AH455" i="1"/>
  <c r="AI455" i="1"/>
  <c r="AJ455" i="1"/>
  <c r="AK455" i="1"/>
  <c r="AL455" i="1"/>
  <c r="AC456" i="1"/>
  <c r="AD456" i="1"/>
  <c r="AG456" i="1"/>
  <c r="AH456" i="1"/>
  <c r="AI456" i="1"/>
  <c r="AJ456" i="1"/>
  <c r="AK456" i="1"/>
  <c r="AL456" i="1"/>
  <c r="AC457" i="1"/>
  <c r="AD457" i="1"/>
  <c r="AG457" i="1"/>
  <c r="AH457" i="1"/>
  <c r="AI457" i="1"/>
  <c r="AJ457" i="1"/>
  <c r="AK457" i="1"/>
  <c r="AL457" i="1"/>
  <c r="AC458" i="1"/>
  <c r="AD458" i="1"/>
  <c r="AG458" i="1"/>
  <c r="AH458" i="1"/>
  <c r="AI458" i="1"/>
  <c r="AJ458" i="1"/>
  <c r="AK458" i="1"/>
  <c r="AL458" i="1"/>
  <c r="AC459" i="1"/>
  <c r="AD459" i="1"/>
  <c r="AG459" i="1"/>
  <c r="AH459" i="1"/>
  <c r="AI459" i="1"/>
  <c r="AJ459" i="1"/>
  <c r="AK459" i="1"/>
  <c r="AL459" i="1"/>
  <c r="AC460" i="1"/>
  <c r="AD460" i="1"/>
  <c r="AG460" i="1"/>
  <c r="AH460" i="1"/>
  <c r="AI460" i="1"/>
  <c r="AJ460" i="1"/>
  <c r="AK460" i="1"/>
  <c r="AL460" i="1"/>
  <c r="AC461" i="1"/>
  <c r="AD461" i="1"/>
  <c r="AG461" i="1"/>
  <c r="AH461" i="1"/>
  <c r="AI461" i="1"/>
  <c r="AJ461" i="1"/>
  <c r="AK461" i="1"/>
  <c r="AL461" i="1"/>
  <c r="AC462" i="1"/>
  <c r="AD462" i="1"/>
  <c r="AG462" i="1"/>
  <c r="AH462" i="1"/>
  <c r="AI462" i="1"/>
  <c r="AJ462" i="1"/>
  <c r="AK462" i="1"/>
  <c r="AL462" i="1"/>
  <c r="AC463" i="1"/>
  <c r="AD463" i="1"/>
  <c r="AG463" i="1"/>
  <c r="AH463" i="1"/>
  <c r="AI463" i="1"/>
  <c r="AJ463" i="1"/>
  <c r="AK463" i="1"/>
  <c r="AL463" i="1"/>
  <c r="AC464" i="1"/>
  <c r="AD464" i="1"/>
  <c r="AG464" i="1"/>
  <c r="AH464" i="1"/>
  <c r="AI464" i="1"/>
  <c r="AJ464" i="1"/>
  <c r="AK464" i="1"/>
  <c r="AL464" i="1"/>
  <c r="AC465" i="1"/>
  <c r="AD465" i="1"/>
  <c r="AG465" i="1"/>
  <c r="AH465" i="1"/>
  <c r="AI465" i="1"/>
  <c r="AJ465" i="1"/>
  <c r="AK465" i="1"/>
  <c r="AL465" i="1"/>
  <c r="AC466" i="1"/>
  <c r="AD466" i="1"/>
  <c r="AG466" i="1"/>
  <c r="AH466" i="1"/>
  <c r="AI466" i="1"/>
  <c r="AJ466" i="1"/>
  <c r="AK466" i="1"/>
  <c r="AL466" i="1"/>
  <c r="AC467" i="1"/>
  <c r="AD467" i="1"/>
  <c r="AG467" i="1"/>
  <c r="AH467" i="1"/>
  <c r="AI467" i="1"/>
  <c r="AJ467" i="1"/>
  <c r="AK467" i="1"/>
  <c r="AL467" i="1"/>
  <c r="AC468" i="1"/>
  <c r="AD468" i="1"/>
  <c r="AG468" i="1"/>
  <c r="AH468" i="1"/>
  <c r="AI468" i="1"/>
  <c r="AJ468" i="1"/>
  <c r="AK468" i="1"/>
  <c r="AL468" i="1"/>
  <c r="AC469" i="1"/>
  <c r="AD469" i="1"/>
  <c r="AG469" i="1"/>
  <c r="AH469" i="1"/>
  <c r="AI469" i="1"/>
  <c r="AJ469" i="1"/>
  <c r="AK469" i="1"/>
  <c r="AL469" i="1"/>
  <c r="AC470" i="1"/>
  <c r="AD470" i="1"/>
  <c r="AG470" i="1"/>
  <c r="AH470" i="1"/>
  <c r="AI470" i="1"/>
  <c r="AJ470" i="1"/>
  <c r="AK470" i="1"/>
  <c r="AL470" i="1"/>
  <c r="AC471" i="1"/>
  <c r="AD471" i="1"/>
  <c r="AG471" i="1"/>
  <c r="AH471" i="1"/>
  <c r="AI471" i="1"/>
  <c r="AJ471" i="1"/>
  <c r="AK471" i="1"/>
  <c r="AL471" i="1"/>
  <c r="AC472" i="1"/>
  <c r="AD472" i="1"/>
  <c r="AG472" i="1"/>
  <c r="AH472" i="1"/>
  <c r="AI472" i="1"/>
  <c r="AJ472" i="1"/>
  <c r="AK472" i="1"/>
  <c r="AL472" i="1"/>
  <c r="AC473" i="1"/>
  <c r="AD473" i="1"/>
  <c r="AG473" i="1"/>
  <c r="AH473" i="1"/>
  <c r="AI473" i="1"/>
  <c r="AJ473" i="1"/>
  <c r="AK473" i="1"/>
  <c r="AL473" i="1"/>
  <c r="AC474" i="1"/>
  <c r="AD474" i="1"/>
  <c r="AG474" i="1"/>
  <c r="AH474" i="1"/>
  <c r="AI474" i="1"/>
  <c r="AJ474" i="1"/>
  <c r="AK474" i="1"/>
  <c r="AL474" i="1"/>
  <c r="AC475" i="1"/>
  <c r="AD475" i="1"/>
  <c r="AG475" i="1"/>
  <c r="AH475" i="1"/>
  <c r="AI475" i="1"/>
  <c r="AJ475" i="1"/>
  <c r="AK475" i="1"/>
  <c r="AL475" i="1"/>
  <c r="AC476" i="1"/>
  <c r="AD476" i="1"/>
  <c r="AG476" i="1"/>
  <c r="AH476" i="1"/>
  <c r="AI476" i="1"/>
  <c r="AJ476" i="1"/>
  <c r="AK476" i="1"/>
  <c r="AL476" i="1"/>
  <c r="AC477" i="1"/>
  <c r="AD477" i="1"/>
  <c r="AG477" i="1"/>
  <c r="AH477" i="1"/>
  <c r="AI477" i="1"/>
  <c r="AJ477" i="1"/>
  <c r="AK477" i="1"/>
  <c r="AL477" i="1"/>
  <c r="AC478" i="1"/>
  <c r="AD478" i="1"/>
  <c r="AG478" i="1"/>
  <c r="AH478" i="1"/>
  <c r="AI478" i="1"/>
  <c r="AJ478" i="1"/>
  <c r="AK478" i="1"/>
  <c r="AL478" i="1"/>
  <c r="AC479" i="1"/>
  <c r="AD479" i="1"/>
  <c r="AG479" i="1"/>
  <c r="AH479" i="1"/>
  <c r="AI479" i="1"/>
  <c r="AJ479" i="1"/>
  <c r="AK479" i="1"/>
  <c r="AL479" i="1"/>
  <c r="AC480" i="1"/>
  <c r="AD480" i="1"/>
  <c r="AG480" i="1"/>
  <c r="AH480" i="1"/>
  <c r="AI480" i="1"/>
  <c r="AJ480" i="1"/>
  <c r="AK480" i="1"/>
  <c r="AL480" i="1"/>
  <c r="AC481" i="1"/>
  <c r="AD481" i="1"/>
  <c r="AG481" i="1"/>
  <c r="AH481" i="1"/>
  <c r="AI481" i="1"/>
  <c r="AJ481" i="1"/>
  <c r="AK481" i="1"/>
  <c r="AL481" i="1"/>
  <c r="AC482" i="1"/>
  <c r="AD482" i="1"/>
  <c r="AG482" i="1"/>
  <c r="AH482" i="1"/>
  <c r="AI482" i="1"/>
  <c r="AJ482" i="1"/>
  <c r="AK482" i="1"/>
  <c r="AL482" i="1"/>
  <c r="AC483" i="1"/>
  <c r="AD483" i="1"/>
  <c r="AG483" i="1"/>
  <c r="AH483" i="1"/>
  <c r="AI483" i="1"/>
  <c r="AJ483" i="1"/>
  <c r="AK483" i="1"/>
  <c r="AL483" i="1"/>
  <c r="AC484" i="1"/>
  <c r="AD484" i="1"/>
  <c r="AG484" i="1"/>
  <c r="AH484" i="1"/>
  <c r="AI484" i="1"/>
  <c r="AJ484" i="1"/>
  <c r="AK484" i="1"/>
  <c r="AL484" i="1"/>
  <c r="AC485" i="1"/>
  <c r="AD485" i="1"/>
  <c r="AG485" i="1"/>
  <c r="AH485" i="1"/>
  <c r="AI485" i="1"/>
  <c r="AJ485" i="1"/>
  <c r="AK485" i="1"/>
  <c r="AL485" i="1"/>
  <c r="AC486" i="1"/>
  <c r="AD486" i="1"/>
  <c r="AG486" i="1"/>
  <c r="AH486" i="1"/>
  <c r="AI486" i="1"/>
  <c r="AJ486" i="1"/>
  <c r="AK486" i="1"/>
  <c r="AL486" i="1"/>
  <c r="AC487" i="1"/>
  <c r="AD487" i="1"/>
  <c r="AG487" i="1"/>
  <c r="AH487" i="1"/>
  <c r="AI487" i="1"/>
  <c r="AJ487" i="1"/>
  <c r="AK487" i="1"/>
  <c r="AL487" i="1"/>
  <c r="AC488" i="1"/>
  <c r="AD488" i="1"/>
  <c r="AG488" i="1"/>
  <c r="AH488" i="1"/>
  <c r="AI488" i="1"/>
  <c r="AJ488" i="1"/>
  <c r="AK488" i="1"/>
  <c r="AL488" i="1"/>
  <c r="AC489" i="1"/>
  <c r="AD489" i="1"/>
  <c r="AG489" i="1"/>
  <c r="AH489" i="1"/>
  <c r="AI489" i="1"/>
  <c r="AJ489" i="1"/>
  <c r="AK489" i="1"/>
  <c r="AL489" i="1"/>
  <c r="AC490" i="1"/>
  <c r="AD490" i="1"/>
  <c r="AG490" i="1"/>
  <c r="AH490" i="1"/>
  <c r="AI490" i="1"/>
  <c r="AJ490" i="1"/>
  <c r="AK490" i="1"/>
  <c r="AL490" i="1"/>
  <c r="AC491" i="1"/>
  <c r="AD491" i="1"/>
  <c r="AG491" i="1"/>
  <c r="AH491" i="1"/>
  <c r="AI491" i="1"/>
  <c r="AJ491" i="1"/>
  <c r="AK491" i="1"/>
  <c r="AL491" i="1"/>
  <c r="AC492" i="1"/>
  <c r="AD492" i="1"/>
  <c r="AG492" i="1"/>
  <c r="AH492" i="1"/>
  <c r="AI492" i="1"/>
  <c r="AJ492" i="1"/>
  <c r="AK492" i="1"/>
  <c r="AL492" i="1"/>
  <c r="AC493" i="1"/>
  <c r="AD493" i="1"/>
  <c r="AG493" i="1"/>
  <c r="AH493" i="1"/>
  <c r="AI493" i="1"/>
  <c r="AJ493" i="1"/>
  <c r="AK493" i="1"/>
  <c r="AL493" i="1"/>
  <c r="AC494" i="1"/>
  <c r="AD494" i="1"/>
  <c r="AG494" i="1"/>
  <c r="AH494" i="1"/>
  <c r="AI494" i="1"/>
  <c r="AJ494" i="1"/>
  <c r="AK494" i="1"/>
  <c r="AL49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J488" i="1"/>
  <c r="AM488" i="1" s="1"/>
  <c r="J487" i="1"/>
  <c r="AM487" i="1" s="1"/>
  <c r="J486" i="1"/>
  <c r="AM486" i="1" s="1"/>
  <c r="J485" i="1"/>
  <c r="AM485" i="1" s="1"/>
  <c r="J484" i="1"/>
  <c r="AM484" i="1" s="1"/>
  <c r="J483" i="1"/>
  <c r="AM483" i="1" s="1"/>
  <c r="J482" i="1"/>
  <c r="AM482" i="1" s="1"/>
  <c r="J481" i="1"/>
  <c r="AM481" i="1" s="1"/>
  <c r="J480" i="1"/>
  <c r="AM480" i="1" s="1"/>
  <c r="J479" i="1"/>
  <c r="AM479" i="1" s="1"/>
  <c r="J478" i="1"/>
  <c r="AM478" i="1" s="1"/>
  <c r="J477" i="1"/>
  <c r="AM477" i="1" s="1"/>
  <c r="J476" i="1"/>
  <c r="AM476" i="1" s="1"/>
  <c r="J475" i="1"/>
  <c r="AM475" i="1" s="1"/>
  <c r="J474" i="1"/>
  <c r="AM474" i="1" s="1"/>
  <c r="J473" i="1"/>
  <c r="AM473" i="1" s="1"/>
  <c r="J472" i="1"/>
  <c r="AM472" i="1" s="1"/>
  <c r="J471" i="1"/>
  <c r="AM471" i="1" s="1"/>
  <c r="J470" i="1"/>
  <c r="AM470" i="1" s="1"/>
  <c r="J469" i="1"/>
  <c r="AM469" i="1" s="1"/>
  <c r="J468" i="1"/>
  <c r="AM468" i="1" s="1"/>
  <c r="J467" i="1"/>
  <c r="AM467" i="1" s="1"/>
  <c r="J466" i="1"/>
  <c r="AM466" i="1" s="1"/>
  <c r="J465" i="1"/>
  <c r="AM465" i="1" s="1"/>
  <c r="J464" i="1"/>
  <c r="AM464" i="1" s="1"/>
  <c r="J463" i="1"/>
  <c r="AM463" i="1" s="1"/>
  <c r="J462" i="1"/>
  <c r="AM462" i="1" s="1"/>
  <c r="J461" i="1"/>
  <c r="AM461" i="1" s="1"/>
  <c r="J460" i="1"/>
  <c r="AM460" i="1" s="1"/>
  <c r="J459" i="1"/>
  <c r="AM459" i="1" s="1"/>
  <c r="J458" i="1"/>
  <c r="AM458" i="1" s="1"/>
  <c r="J457" i="1"/>
  <c r="AM457" i="1" s="1"/>
  <c r="J456" i="1"/>
  <c r="AM456" i="1" s="1"/>
  <c r="J455" i="1"/>
  <c r="AM455" i="1" s="1"/>
  <c r="J454" i="1"/>
  <c r="AM454" i="1" s="1"/>
  <c r="J453" i="1"/>
  <c r="AM453" i="1" s="1"/>
  <c r="J452" i="1"/>
  <c r="AM452" i="1" s="1"/>
  <c r="J451" i="1"/>
  <c r="AM451" i="1" s="1"/>
  <c r="J450" i="1"/>
  <c r="AM450" i="1" s="1"/>
  <c r="J449" i="1"/>
  <c r="AM449" i="1" s="1"/>
  <c r="J448" i="1"/>
  <c r="AM448" i="1" s="1"/>
  <c r="J447" i="1"/>
  <c r="AM447" i="1" s="1"/>
  <c r="J446" i="1"/>
  <c r="AM446" i="1" s="1"/>
  <c r="J445" i="1"/>
  <c r="AM445" i="1" s="1"/>
  <c r="J444" i="1"/>
  <c r="AM444" i="1" s="1"/>
  <c r="J443" i="1"/>
  <c r="AM443" i="1" s="1"/>
  <c r="J442" i="1"/>
  <c r="AM442" i="1" s="1"/>
  <c r="J441" i="1"/>
  <c r="AM441" i="1" s="1"/>
  <c r="J440" i="1"/>
  <c r="AM440" i="1" s="1"/>
  <c r="J439" i="1"/>
  <c r="AM439" i="1" s="1"/>
  <c r="J438" i="1"/>
  <c r="AM438" i="1" s="1"/>
  <c r="J437" i="1"/>
  <c r="AM437" i="1" s="1"/>
  <c r="J436" i="1"/>
  <c r="AM436" i="1" s="1"/>
  <c r="J435" i="1"/>
  <c r="AM435" i="1" s="1"/>
  <c r="J434" i="1"/>
  <c r="AM434" i="1" s="1"/>
  <c r="J433" i="1"/>
  <c r="AM433" i="1" s="1"/>
  <c r="J432" i="1"/>
  <c r="AM432" i="1" s="1"/>
  <c r="J431" i="1"/>
  <c r="AM431" i="1" s="1"/>
  <c r="J430" i="1"/>
  <c r="AM430" i="1" s="1"/>
  <c r="J429" i="1"/>
  <c r="AM429" i="1" s="1"/>
  <c r="J428" i="1"/>
  <c r="AM428" i="1" s="1"/>
  <c r="J427" i="1"/>
  <c r="AM427" i="1" s="1"/>
  <c r="J426" i="1"/>
  <c r="AM426" i="1" s="1"/>
  <c r="J425" i="1"/>
  <c r="AM425" i="1" s="1"/>
  <c r="J424" i="1"/>
  <c r="AM424" i="1" s="1"/>
  <c r="J423" i="1"/>
  <c r="AM423" i="1" s="1"/>
  <c r="J422" i="1"/>
  <c r="AM422" i="1" s="1"/>
  <c r="J421" i="1"/>
  <c r="AM421" i="1" s="1"/>
  <c r="J420" i="1"/>
  <c r="AM420" i="1" s="1"/>
  <c r="J419" i="1"/>
  <c r="AM419" i="1" s="1"/>
  <c r="J418" i="1"/>
  <c r="AM418" i="1" s="1"/>
  <c r="J417" i="1"/>
  <c r="AM417" i="1" s="1"/>
  <c r="J416" i="1"/>
  <c r="AM416" i="1" s="1"/>
  <c r="J415" i="1"/>
  <c r="AM415" i="1" s="1"/>
  <c r="J414" i="1"/>
  <c r="AM414" i="1" s="1"/>
  <c r="J413" i="1"/>
  <c r="AM413" i="1" s="1"/>
  <c r="J412" i="1"/>
  <c r="AM412" i="1" s="1"/>
  <c r="J411" i="1"/>
  <c r="AM411" i="1" s="1"/>
  <c r="J410" i="1"/>
  <c r="AM410" i="1" s="1"/>
  <c r="J409" i="1"/>
  <c r="AM409" i="1" s="1"/>
  <c r="J408" i="1"/>
  <c r="AM408" i="1" s="1"/>
  <c r="J407" i="1"/>
  <c r="AM407" i="1" s="1"/>
  <c r="J406" i="1"/>
  <c r="AM406" i="1" s="1"/>
  <c r="J405" i="1"/>
  <c r="AM405" i="1" s="1"/>
  <c r="J404" i="1"/>
  <c r="AM404" i="1" s="1"/>
  <c r="J403" i="1"/>
  <c r="AM403" i="1" s="1"/>
  <c r="J402" i="1"/>
  <c r="AM402" i="1" s="1"/>
  <c r="J401" i="1"/>
  <c r="AM401" i="1" s="1"/>
  <c r="J400" i="1"/>
  <c r="AM400" i="1" s="1"/>
  <c r="J399" i="1"/>
  <c r="AM399" i="1" s="1"/>
  <c r="J398" i="1"/>
  <c r="AM398" i="1" s="1"/>
  <c r="J397" i="1"/>
  <c r="AM397" i="1" s="1"/>
  <c r="J396" i="1"/>
  <c r="AM396" i="1" s="1"/>
  <c r="J395" i="1"/>
  <c r="AM395" i="1" s="1"/>
  <c r="J394" i="1"/>
  <c r="AM394" i="1" s="1"/>
  <c r="J393" i="1"/>
  <c r="AM393" i="1" s="1"/>
  <c r="J392" i="1"/>
  <c r="AM392" i="1" s="1"/>
  <c r="J391" i="1"/>
  <c r="AM391" i="1" s="1"/>
  <c r="J390" i="1"/>
  <c r="AM390" i="1" s="1"/>
  <c r="J389" i="1"/>
  <c r="AM389" i="1" s="1"/>
  <c r="J388" i="1"/>
  <c r="AM388" i="1" s="1"/>
  <c r="J387" i="1"/>
  <c r="AM387" i="1" s="1"/>
  <c r="J386" i="1"/>
  <c r="AM386" i="1" s="1"/>
  <c r="J385" i="1"/>
  <c r="AM385" i="1" s="1"/>
  <c r="J384" i="1"/>
  <c r="AM384" i="1" s="1"/>
  <c r="J383" i="1"/>
  <c r="AM383" i="1" s="1"/>
  <c r="J382" i="1"/>
  <c r="AM382" i="1" s="1"/>
  <c r="J381" i="1"/>
  <c r="AM381" i="1" s="1"/>
  <c r="J380" i="1"/>
  <c r="AM380" i="1" s="1"/>
  <c r="J379" i="1"/>
  <c r="AM379" i="1" s="1"/>
  <c r="J378" i="1"/>
  <c r="AM378" i="1" s="1"/>
  <c r="J377" i="1"/>
  <c r="AM377" i="1" s="1"/>
  <c r="J376" i="1"/>
  <c r="AM376" i="1" s="1"/>
  <c r="J375" i="1"/>
  <c r="AM375" i="1" s="1"/>
  <c r="J374" i="1"/>
  <c r="AM374" i="1" s="1"/>
  <c r="J373" i="1"/>
  <c r="AM373" i="1" s="1"/>
  <c r="J372" i="1"/>
  <c r="AM372" i="1" s="1"/>
  <c r="J371" i="1"/>
  <c r="AM371" i="1" s="1"/>
  <c r="J370" i="1"/>
  <c r="AM370" i="1" s="1"/>
  <c r="J369" i="1"/>
  <c r="AM369" i="1" s="1"/>
  <c r="J368" i="1"/>
  <c r="AM368" i="1" s="1"/>
  <c r="J367" i="1"/>
  <c r="AM367" i="1" s="1"/>
  <c r="J366" i="1"/>
  <c r="AM366" i="1" s="1"/>
  <c r="J365" i="1"/>
  <c r="AM365" i="1" s="1"/>
  <c r="J364" i="1"/>
  <c r="AM364" i="1" s="1"/>
  <c r="J363" i="1"/>
  <c r="AM363" i="1" s="1"/>
  <c r="J362" i="1"/>
  <c r="AM362" i="1" s="1"/>
  <c r="J361" i="1"/>
  <c r="AM361" i="1" s="1"/>
  <c r="J360" i="1"/>
  <c r="AM360" i="1" s="1"/>
  <c r="J359" i="1"/>
  <c r="AM359" i="1" s="1"/>
  <c r="J358" i="1"/>
  <c r="AM358" i="1" s="1"/>
  <c r="J357" i="1"/>
  <c r="AM357" i="1" s="1"/>
  <c r="J356" i="1"/>
  <c r="AM356" i="1" s="1"/>
  <c r="J355" i="1"/>
  <c r="AM355" i="1" s="1"/>
  <c r="J354" i="1"/>
  <c r="AM354" i="1" s="1"/>
  <c r="J353" i="1"/>
  <c r="AM353" i="1" s="1"/>
  <c r="J352" i="1"/>
  <c r="AM352" i="1" s="1"/>
  <c r="J351" i="1"/>
  <c r="AM351" i="1" s="1"/>
  <c r="J350" i="1"/>
  <c r="AM350" i="1" s="1"/>
  <c r="J349" i="1"/>
  <c r="AM349" i="1" s="1"/>
  <c r="J348" i="1"/>
  <c r="AM348" i="1" s="1"/>
  <c r="J347" i="1"/>
  <c r="AM347" i="1" s="1"/>
  <c r="J346" i="1"/>
  <c r="AM346" i="1" s="1"/>
  <c r="J345" i="1"/>
  <c r="AM345" i="1" s="1"/>
  <c r="J344" i="1"/>
  <c r="AM344" i="1" s="1"/>
  <c r="J343" i="1"/>
  <c r="AM343" i="1" s="1"/>
  <c r="J342" i="1"/>
  <c r="AM342" i="1" s="1"/>
  <c r="J341" i="1"/>
  <c r="AM341" i="1" s="1"/>
  <c r="J340" i="1"/>
  <c r="AM340" i="1" s="1"/>
  <c r="J339" i="1"/>
  <c r="AM339" i="1" s="1"/>
  <c r="J338" i="1"/>
  <c r="AM338" i="1" s="1"/>
  <c r="J337" i="1"/>
  <c r="AM337" i="1" s="1"/>
  <c r="J336" i="1"/>
  <c r="AM336" i="1" s="1"/>
  <c r="J335" i="1"/>
  <c r="AM335" i="1" s="1"/>
  <c r="J334" i="1"/>
  <c r="AM334" i="1" s="1"/>
  <c r="J333" i="1"/>
  <c r="AM333" i="1" s="1"/>
  <c r="J332" i="1"/>
  <c r="AM332" i="1" s="1"/>
  <c r="J331" i="1"/>
  <c r="AM331" i="1" s="1"/>
  <c r="J330" i="1"/>
  <c r="AM330" i="1" s="1"/>
  <c r="J329" i="1"/>
  <c r="AM329" i="1" s="1"/>
  <c r="J328" i="1"/>
  <c r="AM328" i="1" s="1"/>
  <c r="J327" i="1"/>
  <c r="AM327" i="1" s="1"/>
  <c r="J326" i="1"/>
  <c r="AM326" i="1" s="1"/>
  <c r="J325" i="1"/>
  <c r="AM325" i="1" s="1"/>
  <c r="J324" i="1"/>
  <c r="AM324" i="1" s="1"/>
  <c r="J323" i="1"/>
  <c r="AM323" i="1" s="1"/>
  <c r="J322" i="1"/>
  <c r="AM322" i="1" s="1"/>
  <c r="J321" i="1"/>
  <c r="AM321" i="1" s="1"/>
  <c r="J320" i="1"/>
  <c r="AM320" i="1" s="1"/>
  <c r="J319" i="1"/>
  <c r="AM319" i="1" s="1"/>
  <c r="J318" i="1"/>
  <c r="AM318" i="1" s="1"/>
  <c r="J317" i="1"/>
  <c r="AM317" i="1" s="1"/>
  <c r="J316" i="1"/>
  <c r="AM316" i="1" s="1"/>
  <c r="J315" i="1"/>
  <c r="AM315" i="1" s="1"/>
  <c r="J314" i="1"/>
  <c r="AM314" i="1" s="1"/>
  <c r="J313" i="1"/>
  <c r="AM313" i="1" s="1"/>
  <c r="J312" i="1"/>
  <c r="AM312" i="1" s="1"/>
  <c r="J311" i="1"/>
  <c r="AM311" i="1" s="1"/>
  <c r="J310" i="1"/>
  <c r="AM310" i="1" s="1"/>
  <c r="J309" i="1"/>
  <c r="AM309" i="1" s="1"/>
  <c r="J308" i="1"/>
  <c r="AM308" i="1" s="1"/>
  <c r="J307" i="1"/>
  <c r="AM307" i="1" s="1"/>
  <c r="J306" i="1"/>
  <c r="AM306" i="1" s="1"/>
  <c r="J305" i="1"/>
  <c r="AM305" i="1" s="1"/>
  <c r="J304" i="1"/>
  <c r="AM304" i="1" s="1"/>
  <c r="J303" i="1"/>
  <c r="AM303" i="1" s="1"/>
  <c r="J302" i="1"/>
  <c r="AM302" i="1" s="1"/>
  <c r="J301" i="1"/>
  <c r="AM301" i="1" s="1"/>
  <c r="J300" i="1"/>
  <c r="AM300" i="1" s="1"/>
  <c r="J299" i="1"/>
  <c r="AM299" i="1" s="1"/>
  <c r="J298" i="1"/>
  <c r="AM298" i="1" s="1"/>
  <c r="J297" i="1"/>
  <c r="AM297" i="1" s="1"/>
  <c r="J296" i="1"/>
  <c r="AM296" i="1" s="1"/>
  <c r="J295" i="1"/>
  <c r="AM295" i="1" s="1"/>
  <c r="J294" i="1"/>
  <c r="AM294" i="1" s="1"/>
  <c r="J293" i="1"/>
  <c r="AM293" i="1" s="1"/>
  <c r="J292" i="1"/>
  <c r="AM292" i="1" s="1"/>
  <c r="J291" i="1"/>
  <c r="AM291" i="1" s="1"/>
  <c r="J290" i="1"/>
  <c r="AM290" i="1" s="1"/>
  <c r="J289" i="1"/>
  <c r="AM289" i="1" s="1"/>
  <c r="J288" i="1"/>
  <c r="AM288" i="1" s="1"/>
  <c r="J287" i="1"/>
  <c r="AM287" i="1" s="1"/>
  <c r="J286" i="1"/>
  <c r="AM286" i="1" s="1"/>
  <c r="J285" i="1"/>
  <c r="AM285" i="1" s="1"/>
  <c r="J284" i="1"/>
  <c r="AM284" i="1" s="1"/>
  <c r="J283" i="1"/>
  <c r="AM283" i="1" s="1"/>
  <c r="J282" i="1"/>
  <c r="AM282" i="1" s="1"/>
  <c r="J281" i="1"/>
  <c r="AM281" i="1" s="1"/>
  <c r="J280" i="1"/>
  <c r="AM280" i="1" s="1"/>
  <c r="J279" i="1"/>
  <c r="AM279" i="1" s="1"/>
  <c r="J278" i="1"/>
  <c r="AM278" i="1" s="1"/>
  <c r="J277" i="1"/>
  <c r="AM277" i="1" s="1"/>
  <c r="J276" i="1"/>
  <c r="AM276" i="1" s="1"/>
  <c r="J275" i="1"/>
  <c r="AM275" i="1" s="1"/>
  <c r="J274" i="1"/>
  <c r="AM274" i="1" s="1"/>
  <c r="J273" i="1"/>
  <c r="AM273" i="1" s="1"/>
  <c r="J272" i="1"/>
  <c r="AM272" i="1" s="1"/>
  <c r="J271" i="1"/>
  <c r="AM271" i="1" s="1"/>
  <c r="J270" i="1"/>
  <c r="AM270" i="1" s="1"/>
  <c r="J269" i="1"/>
  <c r="AM269" i="1" s="1"/>
  <c r="J268" i="1"/>
  <c r="AM268" i="1" s="1"/>
  <c r="J267" i="1"/>
  <c r="AM267" i="1" s="1"/>
  <c r="J266" i="1"/>
  <c r="AM266" i="1" s="1"/>
  <c r="J265" i="1"/>
  <c r="AM265" i="1" s="1"/>
  <c r="J264" i="1"/>
  <c r="AM264" i="1" s="1"/>
  <c r="J263" i="1"/>
  <c r="AM263" i="1" s="1"/>
  <c r="J262" i="1"/>
  <c r="AM262" i="1" s="1"/>
  <c r="J261" i="1"/>
  <c r="AM261" i="1" s="1"/>
  <c r="J260" i="1"/>
  <c r="AM260" i="1" s="1"/>
  <c r="J259" i="1"/>
  <c r="AM259" i="1" s="1"/>
  <c r="J258" i="1"/>
  <c r="AM258" i="1" s="1"/>
  <c r="J257" i="1"/>
  <c r="AM257" i="1" s="1"/>
  <c r="J256" i="1"/>
  <c r="AM256" i="1" s="1"/>
  <c r="J255" i="1"/>
  <c r="AM255" i="1" s="1"/>
  <c r="J254" i="1"/>
  <c r="AM254" i="1" s="1"/>
  <c r="J253" i="1"/>
  <c r="AM253" i="1" s="1"/>
  <c r="J252" i="1"/>
  <c r="AM252" i="1" s="1"/>
  <c r="J251" i="1"/>
  <c r="AM251" i="1" s="1"/>
  <c r="J250" i="1"/>
  <c r="AM250" i="1" s="1"/>
  <c r="J249" i="1"/>
  <c r="AM249" i="1" s="1"/>
  <c r="J248" i="1"/>
  <c r="AM248" i="1" s="1"/>
  <c r="J247" i="1"/>
  <c r="AM247" i="1" s="1"/>
  <c r="J246" i="1"/>
  <c r="AM246" i="1" s="1"/>
  <c r="J245" i="1"/>
  <c r="AM245" i="1" s="1"/>
  <c r="J244" i="1"/>
  <c r="AM244" i="1" s="1"/>
  <c r="J243" i="1"/>
  <c r="AM243" i="1" s="1"/>
  <c r="J242" i="1"/>
  <c r="AM242" i="1" s="1"/>
  <c r="J241" i="1"/>
  <c r="AM241" i="1" s="1"/>
  <c r="J240" i="1"/>
  <c r="AM240" i="1" s="1"/>
  <c r="J239" i="1"/>
  <c r="AM239" i="1" s="1"/>
  <c r="J238" i="1"/>
  <c r="AM238" i="1" s="1"/>
  <c r="J237" i="1"/>
  <c r="AM237" i="1" s="1"/>
  <c r="J236" i="1"/>
  <c r="AM236" i="1" s="1"/>
  <c r="J235" i="1"/>
  <c r="AM235" i="1" s="1"/>
  <c r="J234" i="1"/>
  <c r="AM234" i="1" s="1"/>
  <c r="J233" i="1"/>
  <c r="AM233" i="1" s="1"/>
  <c r="J232" i="1"/>
  <c r="AM232" i="1" s="1"/>
  <c r="J231" i="1"/>
  <c r="AM231" i="1" s="1"/>
  <c r="J230" i="1"/>
  <c r="AM230" i="1" s="1"/>
  <c r="J229" i="1"/>
  <c r="AM229" i="1" s="1"/>
  <c r="J228" i="1"/>
  <c r="AM228" i="1" s="1"/>
  <c r="J227" i="1"/>
  <c r="AM227" i="1" s="1"/>
  <c r="J226" i="1"/>
  <c r="AM226" i="1" s="1"/>
  <c r="J225" i="1"/>
  <c r="AM225" i="1" s="1"/>
  <c r="J224" i="1"/>
  <c r="AM224" i="1" s="1"/>
  <c r="J223" i="1"/>
  <c r="AM223" i="1" s="1"/>
  <c r="J222" i="1"/>
  <c r="AM222" i="1" s="1"/>
  <c r="J221" i="1"/>
  <c r="AM221" i="1" s="1"/>
  <c r="J220" i="1"/>
  <c r="AM220" i="1" s="1"/>
  <c r="J219" i="1"/>
  <c r="AM219" i="1" s="1"/>
  <c r="J218" i="1"/>
  <c r="AM218" i="1" s="1"/>
  <c r="J217" i="1"/>
  <c r="AM217" i="1" s="1"/>
  <c r="J216" i="1"/>
  <c r="AM216" i="1" s="1"/>
  <c r="J215" i="1"/>
  <c r="AM215" i="1" s="1"/>
  <c r="J214" i="1"/>
  <c r="AM214" i="1" s="1"/>
  <c r="J213" i="1"/>
  <c r="AM213" i="1" s="1"/>
  <c r="J212" i="1"/>
  <c r="AM212" i="1" s="1"/>
  <c r="J211" i="1"/>
  <c r="AM211" i="1" s="1"/>
  <c r="J210" i="1"/>
  <c r="AM210" i="1" s="1"/>
  <c r="J209" i="1"/>
  <c r="AM209" i="1" s="1"/>
  <c r="J208" i="1"/>
  <c r="AM208" i="1" s="1"/>
  <c r="J207" i="1"/>
  <c r="AM207" i="1" s="1"/>
  <c r="J206" i="1"/>
  <c r="AM206" i="1" s="1"/>
  <c r="J205" i="1"/>
  <c r="AM205" i="1" s="1"/>
  <c r="J204" i="1"/>
  <c r="AM204" i="1" s="1"/>
  <c r="J203" i="1"/>
  <c r="AM203" i="1" s="1"/>
  <c r="J202" i="1"/>
  <c r="AM202" i="1" s="1"/>
  <c r="J201" i="1"/>
  <c r="AM201" i="1" s="1"/>
  <c r="J200" i="1"/>
  <c r="AM200" i="1" s="1"/>
  <c r="J199" i="1"/>
  <c r="AM199" i="1" s="1"/>
  <c r="J198" i="1"/>
  <c r="AM198" i="1" s="1"/>
  <c r="J197" i="1"/>
  <c r="AM197" i="1" s="1"/>
  <c r="J196" i="1"/>
  <c r="AM196" i="1" s="1"/>
  <c r="J195" i="1"/>
  <c r="AM195" i="1" s="1"/>
  <c r="J194" i="1"/>
  <c r="AM194" i="1" s="1"/>
  <c r="J193" i="1"/>
  <c r="AM193" i="1" s="1"/>
  <c r="J192" i="1"/>
  <c r="AM192" i="1" s="1"/>
  <c r="J191" i="1"/>
  <c r="AM191" i="1" s="1"/>
  <c r="J190" i="1"/>
  <c r="AM190" i="1" s="1"/>
  <c r="J189" i="1"/>
  <c r="AM189" i="1" s="1"/>
  <c r="J188" i="1"/>
  <c r="AM188" i="1" s="1"/>
  <c r="J187" i="1"/>
  <c r="AM187" i="1" s="1"/>
  <c r="J186" i="1"/>
  <c r="AM186" i="1" s="1"/>
  <c r="J185" i="1"/>
  <c r="AM185" i="1" s="1"/>
  <c r="J184" i="1"/>
  <c r="AM184" i="1" s="1"/>
  <c r="J183" i="1"/>
  <c r="AM183" i="1" s="1"/>
  <c r="J182" i="1"/>
  <c r="AM182" i="1" s="1"/>
  <c r="J181" i="1"/>
  <c r="AM181" i="1" s="1"/>
  <c r="J180" i="1"/>
  <c r="AM180" i="1" s="1"/>
  <c r="J179" i="1"/>
  <c r="AM179" i="1" s="1"/>
  <c r="J178" i="1"/>
  <c r="AM178" i="1" s="1"/>
  <c r="J177" i="1"/>
  <c r="AM177" i="1" s="1"/>
  <c r="J176" i="1"/>
  <c r="AM176" i="1" s="1"/>
  <c r="J175" i="1"/>
  <c r="AM175" i="1" s="1"/>
  <c r="J174" i="1"/>
  <c r="AM174" i="1" s="1"/>
  <c r="J173" i="1"/>
  <c r="AM173" i="1" s="1"/>
  <c r="J172" i="1"/>
  <c r="AM172" i="1" s="1"/>
  <c r="J171" i="1"/>
  <c r="AM171" i="1" s="1"/>
  <c r="J170" i="1"/>
  <c r="AM170" i="1" s="1"/>
  <c r="J169" i="1"/>
  <c r="AM169" i="1" s="1"/>
  <c r="J168" i="1"/>
  <c r="AM168" i="1" s="1"/>
  <c r="J167" i="1"/>
  <c r="AM167" i="1" s="1"/>
  <c r="J166" i="1"/>
  <c r="AM166" i="1" s="1"/>
  <c r="J165" i="1"/>
  <c r="AM165" i="1" s="1"/>
  <c r="J164" i="1"/>
  <c r="AM164" i="1" s="1"/>
  <c r="J163" i="1"/>
  <c r="AM163" i="1" s="1"/>
  <c r="J162" i="1"/>
  <c r="AM162" i="1" s="1"/>
  <c r="J161" i="1"/>
  <c r="AM161" i="1" s="1"/>
  <c r="J160" i="1"/>
  <c r="AM160" i="1" s="1"/>
  <c r="J159" i="1"/>
  <c r="AM159" i="1" s="1"/>
  <c r="J158" i="1"/>
  <c r="AM158" i="1" s="1"/>
  <c r="J157" i="1"/>
  <c r="AM157" i="1" s="1"/>
  <c r="J156" i="1"/>
  <c r="AM156" i="1" s="1"/>
  <c r="J155" i="1"/>
  <c r="AM155" i="1" s="1"/>
  <c r="J154" i="1"/>
  <c r="AM154" i="1" s="1"/>
  <c r="J153" i="1"/>
  <c r="AM153" i="1" s="1"/>
  <c r="J152" i="1"/>
  <c r="AM152" i="1" s="1"/>
  <c r="J151" i="1"/>
  <c r="AM151" i="1" s="1"/>
  <c r="J150" i="1"/>
  <c r="AM150" i="1" s="1"/>
  <c r="J149" i="1"/>
  <c r="AM149" i="1" s="1"/>
  <c r="J148" i="1"/>
  <c r="AM148" i="1" s="1"/>
  <c r="J147" i="1"/>
  <c r="AM147" i="1" s="1"/>
  <c r="J146" i="1"/>
  <c r="AM146" i="1" s="1"/>
  <c r="J145" i="1"/>
  <c r="AM145" i="1" s="1"/>
  <c r="J144" i="1"/>
  <c r="AM144" i="1" s="1"/>
  <c r="J143" i="1"/>
  <c r="AM143" i="1" s="1"/>
  <c r="J142" i="1"/>
  <c r="AM142" i="1" s="1"/>
  <c r="J141" i="1"/>
  <c r="AM141" i="1" s="1"/>
  <c r="J140" i="1"/>
  <c r="AM140" i="1" s="1"/>
  <c r="J139" i="1"/>
  <c r="AM139" i="1" s="1"/>
  <c r="J138" i="1"/>
  <c r="AM138" i="1" s="1"/>
  <c r="J137" i="1"/>
  <c r="AM137" i="1" s="1"/>
  <c r="J136" i="1"/>
  <c r="AM136" i="1" s="1"/>
  <c r="J135" i="1"/>
  <c r="AM135" i="1" s="1"/>
  <c r="J134" i="1"/>
  <c r="AM134" i="1" s="1"/>
  <c r="J133" i="1"/>
  <c r="AM133" i="1" s="1"/>
  <c r="J132" i="1"/>
  <c r="AM132" i="1" s="1"/>
  <c r="J131" i="1"/>
  <c r="AM131" i="1" s="1"/>
  <c r="J130" i="1"/>
  <c r="AM130" i="1" s="1"/>
  <c r="J129" i="1"/>
  <c r="AM129" i="1" s="1"/>
  <c r="J128" i="1"/>
  <c r="AM128" i="1" s="1"/>
  <c r="J127" i="1"/>
  <c r="AM127" i="1" s="1"/>
  <c r="J126" i="1"/>
  <c r="AM126" i="1" s="1"/>
  <c r="J125" i="1"/>
  <c r="AM125" i="1" s="1"/>
  <c r="J124" i="1"/>
  <c r="AM124" i="1" s="1"/>
  <c r="J123" i="1"/>
  <c r="AM123" i="1" s="1"/>
  <c r="J122" i="1"/>
  <c r="AM122" i="1" s="1"/>
  <c r="J121" i="1"/>
  <c r="AM121" i="1" s="1"/>
  <c r="J120" i="1"/>
  <c r="AM120" i="1" s="1"/>
  <c r="J119" i="1"/>
  <c r="AM119" i="1" s="1"/>
  <c r="J118" i="1"/>
  <c r="AM118" i="1" s="1"/>
  <c r="J117" i="1"/>
  <c r="AM117" i="1" s="1"/>
  <c r="J116" i="1"/>
  <c r="AM116" i="1" s="1"/>
  <c r="J115" i="1"/>
  <c r="AM115" i="1" s="1"/>
  <c r="J114" i="1"/>
  <c r="AM114" i="1" s="1"/>
  <c r="J113" i="1"/>
  <c r="AM113" i="1" s="1"/>
  <c r="J112" i="1"/>
  <c r="AM112" i="1" s="1"/>
  <c r="J111" i="1"/>
  <c r="AM111" i="1" s="1"/>
  <c r="J110" i="1"/>
  <c r="AM110" i="1" s="1"/>
  <c r="J109" i="1"/>
  <c r="AM109" i="1" s="1"/>
  <c r="J108" i="1"/>
  <c r="AM108" i="1" s="1"/>
  <c r="J107" i="1"/>
  <c r="AM107" i="1" s="1"/>
  <c r="J106" i="1"/>
  <c r="AM106" i="1" s="1"/>
  <c r="J105" i="1"/>
  <c r="AM105" i="1" s="1"/>
  <c r="J104" i="1"/>
  <c r="AM104" i="1" s="1"/>
  <c r="J103" i="1"/>
  <c r="AM103" i="1" s="1"/>
  <c r="J102" i="1"/>
  <c r="AM102" i="1" s="1"/>
  <c r="J101" i="1"/>
  <c r="AM101" i="1" s="1"/>
  <c r="J100" i="1"/>
  <c r="AM100" i="1" s="1"/>
  <c r="J99" i="1"/>
  <c r="AM99" i="1" s="1"/>
  <c r="J98" i="1"/>
  <c r="AM98" i="1" s="1"/>
  <c r="J97" i="1"/>
  <c r="AM97" i="1" s="1"/>
  <c r="J96" i="1"/>
  <c r="AM96" i="1" s="1"/>
  <c r="J95" i="1"/>
  <c r="AM95" i="1" s="1"/>
  <c r="J94" i="1"/>
  <c r="AM94" i="1" s="1"/>
  <c r="J93" i="1"/>
  <c r="AM93" i="1" s="1"/>
  <c r="J92" i="1"/>
  <c r="AM92" i="1" s="1"/>
  <c r="J91" i="1"/>
  <c r="AM91" i="1" s="1"/>
  <c r="J90" i="1"/>
  <c r="AM90" i="1" s="1"/>
  <c r="J89" i="1"/>
  <c r="AM89" i="1" s="1"/>
  <c r="J88" i="1"/>
  <c r="AM88" i="1" s="1"/>
  <c r="J87" i="1"/>
  <c r="AM87" i="1" s="1"/>
  <c r="J86" i="1"/>
  <c r="AM86" i="1" s="1"/>
  <c r="J85" i="1"/>
  <c r="AM85" i="1" s="1"/>
  <c r="J84" i="1"/>
  <c r="AM84" i="1" s="1"/>
  <c r="J83" i="1"/>
  <c r="AM83" i="1" s="1"/>
  <c r="J82" i="1"/>
  <c r="AM82" i="1" s="1"/>
  <c r="J81" i="1"/>
  <c r="AM81" i="1" s="1"/>
  <c r="J80" i="1"/>
  <c r="AM80" i="1" s="1"/>
  <c r="J79" i="1"/>
  <c r="AM79" i="1" s="1"/>
  <c r="J78" i="1"/>
  <c r="AM78" i="1" s="1"/>
  <c r="J77" i="1"/>
  <c r="AM77" i="1" s="1"/>
  <c r="J76" i="1"/>
  <c r="AM76" i="1" s="1"/>
  <c r="J75" i="1"/>
  <c r="AM75" i="1" s="1"/>
  <c r="J74" i="1"/>
  <c r="AM74" i="1" s="1"/>
  <c r="J73" i="1"/>
  <c r="AM73" i="1" s="1"/>
  <c r="J72" i="1"/>
  <c r="AM72" i="1" s="1"/>
  <c r="J71" i="1"/>
  <c r="AM71" i="1" s="1"/>
  <c r="J70" i="1"/>
  <c r="AM70" i="1" s="1"/>
  <c r="J69" i="1"/>
  <c r="AM69" i="1" s="1"/>
  <c r="J68" i="1"/>
  <c r="AM68" i="1" s="1"/>
  <c r="J67" i="1"/>
  <c r="AM67" i="1" s="1"/>
  <c r="J66" i="1"/>
  <c r="AM66" i="1" s="1"/>
  <c r="J65" i="1"/>
  <c r="AM65" i="1" s="1"/>
  <c r="J64" i="1"/>
  <c r="AM64" i="1" s="1"/>
  <c r="J63" i="1"/>
  <c r="AM63" i="1" s="1"/>
  <c r="J62" i="1"/>
  <c r="AM62" i="1" s="1"/>
  <c r="J61" i="1"/>
  <c r="AM61" i="1" s="1"/>
  <c r="J60" i="1"/>
  <c r="AM60" i="1" s="1"/>
  <c r="J59" i="1"/>
  <c r="AM59" i="1" s="1"/>
  <c r="J58" i="1"/>
  <c r="AM58" i="1" s="1"/>
  <c r="J57" i="1"/>
  <c r="AM57" i="1" s="1"/>
  <c r="J56" i="1"/>
  <c r="AM56" i="1" s="1"/>
  <c r="J55" i="1"/>
  <c r="AM55" i="1" s="1"/>
  <c r="J54" i="1"/>
  <c r="AM54" i="1" s="1"/>
  <c r="J53" i="1"/>
  <c r="AM53" i="1" s="1"/>
  <c r="J52" i="1"/>
  <c r="AM52" i="1" s="1"/>
  <c r="J51" i="1"/>
  <c r="AM51" i="1" s="1"/>
  <c r="J50" i="1"/>
  <c r="AM50" i="1" s="1"/>
  <c r="J49" i="1"/>
  <c r="AM49" i="1" s="1"/>
  <c r="J48" i="1"/>
  <c r="AM48" i="1" s="1"/>
  <c r="J47" i="1"/>
  <c r="AM47" i="1" s="1"/>
  <c r="J46" i="1"/>
  <c r="AM46" i="1" s="1"/>
  <c r="J45" i="1"/>
  <c r="AM45" i="1" s="1"/>
  <c r="J44" i="1"/>
  <c r="AM44" i="1" s="1"/>
  <c r="J43" i="1"/>
  <c r="AM43" i="1" s="1"/>
  <c r="J42" i="1"/>
  <c r="AM42" i="1" s="1"/>
  <c r="J41" i="1"/>
  <c r="AM41" i="1" s="1"/>
  <c r="J40" i="1"/>
  <c r="AM40" i="1" s="1"/>
  <c r="J39" i="1"/>
  <c r="AM39" i="1" s="1"/>
  <c r="J38" i="1"/>
  <c r="AM38" i="1" s="1"/>
  <c r="J37" i="1"/>
  <c r="AM37" i="1" s="1"/>
  <c r="J36" i="1"/>
  <c r="AM36" i="1" s="1"/>
  <c r="J35" i="1"/>
  <c r="AM35" i="1" s="1"/>
  <c r="J34" i="1"/>
  <c r="AM34" i="1" s="1"/>
  <c r="J33" i="1"/>
  <c r="AM33" i="1" s="1"/>
  <c r="J32" i="1"/>
  <c r="AM32" i="1" s="1"/>
  <c r="J31" i="1"/>
  <c r="AM31" i="1" s="1"/>
  <c r="J30" i="1"/>
  <c r="AM30" i="1" s="1"/>
  <c r="J29" i="1"/>
  <c r="AM29" i="1" s="1"/>
  <c r="J28" i="1"/>
  <c r="AM28" i="1" s="1"/>
  <c r="J27" i="1"/>
  <c r="AM27" i="1" s="1"/>
  <c r="J26" i="1"/>
  <c r="AM26" i="1" s="1"/>
  <c r="J25" i="1"/>
  <c r="AM25" i="1" s="1"/>
  <c r="J24" i="1"/>
  <c r="AM24" i="1" s="1"/>
  <c r="J23" i="1"/>
  <c r="AM23" i="1" s="1"/>
  <c r="J22" i="1"/>
  <c r="AM22" i="1" s="1"/>
  <c r="J21" i="1"/>
  <c r="AM21" i="1" s="1"/>
  <c r="J20" i="1"/>
  <c r="AM20" i="1" s="1"/>
  <c r="J19" i="1"/>
  <c r="AM19" i="1" s="1"/>
  <c r="J18" i="1"/>
  <c r="AM18" i="1" s="1"/>
  <c r="J17" i="1"/>
  <c r="AM17" i="1" s="1"/>
  <c r="J16" i="1"/>
  <c r="AM16" i="1" s="1"/>
  <c r="J15" i="1"/>
  <c r="AM15" i="1" s="1"/>
  <c r="J14" i="1"/>
  <c r="AM14" i="1" s="1"/>
  <c r="J13" i="1"/>
  <c r="AM13" i="1" s="1"/>
  <c r="J12" i="1"/>
  <c r="AM12" i="1" s="1"/>
  <c r="J11" i="1"/>
  <c r="AM11" i="1" s="1"/>
  <c r="J10" i="1"/>
  <c r="AM10" i="1" s="1"/>
  <c r="J9" i="1"/>
  <c r="AM9" i="1" s="1"/>
  <c r="J8" i="1"/>
  <c r="AM8" i="1" s="1"/>
  <c r="J7" i="1"/>
  <c r="AM7" i="1" s="1"/>
  <c r="J6" i="1"/>
  <c r="AM6" i="1" s="1"/>
  <c r="J5" i="1"/>
  <c r="AM5" i="1" s="1"/>
  <c r="N330" i="1"/>
  <c r="M330" i="1"/>
  <c r="L330" i="1"/>
  <c r="N329" i="1"/>
  <c r="M329" i="1"/>
  <c r="L329" i="1"/>
  <c r="N328" i="1"/>
  <c r="M328" i="1"/>
  <c r="L328" i="1"/>
  <c r="N327" i="1"/>
  <c r="M327" i="1"/>
  <c r="L327" i="1"/>
  <c r="N326" i="1"/>
  <c r="M326" i="1"/>
  <c r="L326" i="1"/>
  <c r="N325" i="1"/>
  <c r="M325" i="1"/>
  <c r="L325" i="1"/>
  <c r="N324" i="1"/>
  <c r="M324" i="1"/>
  <c r="L324" i="1"/>
  <c r="N323" i="1"/>
  <c r="M323" i="1"/>
  <c r="L323" i="1"/>
  <c r="N322" i="1"/>
  <c r="M322" i="1"/>
  <c r="L322" i="1"/>
  <c r="N321" i="1"/>
  <c r="M321" i="1"/>
  <c r="L321" i="1"/>
  <c r="N320" i="1"/>
  <c r="M320" i="1"/>
  <c r="L320" i="1"/>
  <c r="N319" i="1"/>
  <c r="M319" i="1"/>
  <c r="L319" i="1"/>
  <c r="N318" i="1"/>
  <c r="M318" i="1"/>
  <c r="L318" i="1"/>
  <c r="N317" i="1"/>
  <c r="M317" i="1"/>
  <c r="L317" i="1"/>
  <c r="N316" i="1"/>
  <c r="M316" i="1"/>
  <c r="L316" i="1"/>
  <c r="N315" i="1"/>
  <c r="M315" i="1"/>
  <c r="L315" i="1"/>
  <c r="N314" i="1"/>
  <c r="M314" i="1"/>
  <c r="L314" i="1"/>
  <c r="N313" i="1"/>
  <c r="M313" i="1"/>
  <c r="L313" i="1"/>
  <c r="N312" i="1"/>
  <c r="M312" i="1"/>
  <c r="L312" i="1"/>
  <c r="N311" i="1"/>
  <c r="M311" i="1"/>
  <c r="L311" i="1"/>
  <c r="N310" i="1"/>
  <c r="M310" i="1"/>
  <c r="L310" i="1"/>
  <c r="N309" i="1"/>
  <c r="M309" i="1"/>
  <c r="L309" i="1"/>
  <c r="N308" i="1"/>
  <c r="M308" i="1"/>
  <c r="L308" i="1"/>
  <c r="N307" i="1"/>
  <c r="M307" i="1"/>
  <c r="L307" i="1"/>
  <c r="N306" i="1"/>
  <c r="M306" i="1"/>
  <c r="L306" i="1"/>
  <c r="N305" i="1"/>
  <c r="M305" i="1"/>
  <c r="L305" i="1"/>
  <c r="N304" i="1"/>
  <c r="M304" i="1"/>
  <c r="L304" i="1"/>
  <c r="N303" i="1"/>
  <c r="M303" i="1"/>
  <c r="L303" i="1"/>
  <c r="N302" i="1"/>
  <c r="M302" i="1"/>
  <c r="L302" i="1"/>
  <c r="N301" i="1"/>
  <c r="M301" i="1"/>
  <c r="L301" i="1"/>
  <c r="N300" i="1"/>
  <c r="M300" i="1"/>
  <c r="L300" i="1"/>
  <c r="N299" i="1"/>
  <c r="M299" i="1"/>
  <c r="L299" i="1"/>
  <c r="N298" i="1"/>
  <c r="M298" i="1"/>
  <c r="L298" i="1"/>
  <c r="N297" i="1"/>
  <c r="M297" i="1"/>
  <c r="L297" i="1"/>
  <c r="N296" i="1"/>
  <c r="M296" i="1"/>
  <c r="L296" i="1"/>
  <c r="N295" i="1"/>
  <c r="M295" i="1"/>
  <c r="L295" i="1"/>
  <c r="N294" i="1"/>
  <c r="M294" i="1"/>
  <c r="L294" i="1"/>
  <c r="N293" i="1"/>
  <c r="M293" i="1"/>
  <c r="L293" i="1"/>
  <c r="N292" i="1"/>
  <c r="M292" i="1"/>
  <c r="L292" i="1"/>
  <c r="N291" i="1"/>
  <c r="M291" i="1"/>
  <c r="L291" i="1"/>
  <c r="N290" i="1"/>
  <c r="M290" i="1"/>
  <c r="L290" i="1"/>
  <c r="N289" i="1"/>
  <c r="M289" i="1"/>
  <c r="L289" i="1"/>
  <c r="N288" i="1"/>
  <c r="M288" i="1"/>
  <c r="L288" i="1"/>
  <c r="N287" i="1"/>
  <c r="M287" i="1"/>
  <c r="L287" i="1"/>
  <c r="N286" i="1"/>
  <c r="M286" i="1"/>
  <c r="L286" i="1"/>
  <c r="N285" i="1"/>
  <c r="M285" i="1"/>
  <c r="L285" i="1"/>
  <c r="N284" i="1"/>
  <c r="M284" i="1"/>
  <c r="L284" i="1"/>
  <c r="N283" i="1"/>
  <c r="M283" i="1"/>
  <c r="L283" i="1"/>
  <c r="N282" i="1"/>
  <c r="M282" i="1"/>
  <c r="L282" i="1"/>
  <c r="N281" i="1"/>
  <c r="M281" i="1"/>
  <c r="L281" i="1"/>
  <c r="N280" i="1"/>
  <c r="M280" i="1"/>
  <c r="L280" i="1"/>
  <c r="N279" i="1"/>
  <c r="M279" i="1"/>
  <c r="L279" i="1"/>
  <c r="N278" i="1"/>
  <c r="M278" i="1"/>
  <c r="L278" i="1"/>
  <c r="N277" i="1"/>
  <c r="M277" i="1"/>
  <c r="L277" i="1"/>
  <c r="N276" i="1"/>
  <c r="M276" i="1"/>
  <c r="L276" i="1"/>
  <c r="N275" i="1"/>
  <c r="M275" i="1"/>
  <c r="L275" i="1"/>
  <c r="N274" i="1"/>
  <c r="M274" i="1"/>
  <c r="L274" i="1"/>
  <c r="N273" i="1"/>
  <c r="M273" i="1"/>
  <c r="L273" i="1"/>
  <c r="N272" i="1"/>
  <c r="M272" i="1"/>
  <c r="L272" i="1"/>
  <c r="N271" i="1"/>
  <c r="M271" i="1"/>
  <c r="L271" i="1"/>
  <c r="N270" i="1"/>
  <c r="M270" i="1"/>
  <c r="L270" i="1"/>
  <c r="N269" i="1"/>
  <c r="M269" i="1"/>
  <c r="L269" i="1"/>
  <c r="N268" i="1"/>
  <c r="M268" i="1"/>
  <c r="L268" i="1"/>
  <c r="N267" i="1"/>
  <c r="M267" i="1"/>
  <c r="L267" i="1"/>
  <c r="N266" i="1"/>
  <c r="M266" i="1"/>
  <c r="L266" i="1"/>
  <c r="N265" i="1"/>
  <c r="M265" i="1"/>
  <c r="L265" i="1"/>
  <c r="N264" i="1"/>
  <c r="M264" i="1"/>
  <c r="L264" i="1"/>
  <c r="N263" i="1"/>
  <c r="M263" i="1"/>
  <c r="L263" i="1"/>
  <c r="N262" i="1"/>
  <c r="M262" i="1"/>
  <c r="L262" i="1"/>
  <c r="N261" i="1"/>
  <c r="M261" i="1"/>
  <c r="L261" i="1"/>
  <c r="N260" i="1"/>
  <c r="M260" i="1"/>
  <c r="L260" i="1"/>
  <c r="N259" i="1"/>
  <c r="M259" i="1"/>
  <c r="L259" i="1"/>
  <c r="N258" i="1"/>
  <c r="M258" i="1"/>
  <c r="L258" i="1"/>
  <c r="N257" i="1"/>
  <c r="M257" i="1"/>
  <c r="L257" i="1"/>
  <c r="N256" i="1"/>
  <c r="M256" i="1"/>
  <c r="L256" i="1"/>
  <c r="N255" i="1"/>
  <c r="M255" i="1"/>
  <c r="L255" i="1"/>
  <c r="N254" i="1"/>
  <c r="M254" i="1"/>
  <c r="L254" i="1"/>
  <c r="N253" i="1"/>
  <c r="M253" i="1"/>
  <c r="L253" i="1"/>
  <c r="N252" i="1"/>
  <c r="M252" i="1"/>
  <c r="L252" i="1"/>
  <c r="N251" i="1"/>
  <c r="M251" i="1"/>
  <c r="L251" i="1"/>
  <c r="N250" i="1"/>
  <c r="M250" i="1"/>
  <c r="L250" i="1"/>
  <c r="N249" i="1"/>
  <c r="M249" i="1"/>
  <c r="L249" i="1"/>
  <c r="N248" i="1"/>
  <c r="M248" i="1"/>
  <c r="L248" i="1"/>
  <c r="N247" i="1"/>
  <c r="M247" i="1"/>
  <c r="L247" i="1"/>
  <c r="N246" i="1"/>
  <c r="M246" i="1"/>
  <c r="L246" i="1"/>
  <c r="N245" i="1"/>
  <c r="M245" i="1"/>
  <c r="L245" i="1"/>
  <c r="N244" i="1"/>
  <c r="M244" i="1"/>
  <c r="L244" i="1"/>
  <c r="N243" i="1"/>
  <c r="M243" i="1"/>
  <c r="L243" i="1"/>
  <c r="N242" i="1"/>
  <c r="M242" i="1"/>
  <c r="L242" i="1"/>
  <c r="N241" i="1"/>
  <c r="M241" i="1"/>
  <c r="L241" i="1"/>
  <c r="N240" i="1"/>
  <c r="M240" i="1"/>
  <c r="L240" i="1"/>
  <c r="N239" i="1"/>
  <c r="M239" i="1"/>
  <c r="L239" i="1"/>
  <c r="N238" i="1"/>
  <c r="M238" i="1"/>
  <c r="L238" i="1"/>
  <c r="N237" i="1"/>
  <c r="M237" i="1"/>
  <c r="L237" i="1"/>
  <c r="N236" i="1"/>
  <c r="M236" i="1"/>
  <c r="L236" i="1"/>
  <c r="N235" i="1"/>
  <c r="M235" i="1"/>
  <c r="L235" i="1"/>
  <c r="N234" i="1"/>
  <c r="M234" i="1"/>
  <c r="L234" i="1"/>
  <c r="N233" i="1"/>
  <c r="M233" i="1"/>
  <c r="L233" i="1"/>
  <c r="N232" i="1"/>
  <c r="M232" i="1"/>
  <c r="L232" i="1"/>
  <c r="N231" i="1"/>
  <c r="M231" i="1"/>
  <c r="L231" i="1"/>
  <c r="N230" i="1"/>
  <c r="M230" i="1"/>
  <c r="L230" i="1"/>
  <c r="N229" i="1"/>
  <c r="M229" i="1"/>
  <c r="L229" i="1"/>
  <c r="N228" i="1"/>
  <c r="M228" i="1"/>
  <c r="L228" i="1"/>
  <c r="N227" i="1"/>
  <c r="M227" i="1"/>
  <c r="L227" i="1"/>
  <c r="N226" i="1"/>
  <c r="M226" i="1"/>
  <c r="L226" i="1"/>
  <c r="N225" i="1"/>
  <c r="M225" i="1"/>
  <c r="L225" i="1"/>
  <c r="N224" i="1"/>
  <c r="M224" i="1"/>
  <c r="L224" i="1"/>
  <c r="N223" i="1"/>
  <c r="M223" i="1"/>
  <c r="L223" i="1"/>
  <c r="N222" i="1"/>
  <c r="M222" i="1"/>
  <c r="L222" i="1"/>
  <c r="N221" i="1"/>
  <c r="M221" i="1"/>
  <c r="L221" i="1"/>
  <c r="N220" i="1"/>
  <c r="M220" i="1"/>
  <c r="L220" i="1"/>
  <c r="N219" i="1"/>
  <c r="M219" i="1"/>
  <c r="L219" i="1"/>
  <c r="N218" i="1"/>
  <c r="M218" i="1"/>
  <c r="L218" i="1"/>
  <c r="N217" i="1"/>
  <c r="M217" i="1"/>
  <c r="L217" i="1"/>
  <c r="N216" i="1"/>
  <c r="M216" i="1"/>
  <c r="L216" i="1"/>
  <c r="N215" i="1"/>
  <c r="M215" i="1"/>
  <c r="L215" i="1"/>
  <c r="N214" i="1"/>
  <c r="M214" i="1"/>
  <c r="L214" i="1"/>
  <c r="Z494" i="1"/>
  <c r="Y494" i="1"/>
  <c r="X494" i="1"/>
  <c r="W494" i="1"/>
  <c r="V494" i="1"/>
  <c r="U494" i="1"/>
  <c r="T494" i="1"/>
  <c r="S494" i="1"/>
  <c r="R494" i="1"/>
  <c r="Q494" i="1"/>
  <c r="P494" i="1"/>
  <c r="O494" i="1"/>
  <c r="Z493" i="1"/>
  <c r="Y493" i="1"/>
  <c r="X493" i="1"/>
  <c r="W493" i="1"/>
  <c r="V493" i="1"/>
  <c r="U493" i="1"/>
  <c r="T493" i="1"/>
  <c r="S493" i="1"/>
  <c r="R493" i="1"/>
  <c r="Q493" i="1"/>
  <c r="P493" i="1"/>
  <c r="O493" i="1"/>
  <c r="Z492" i="1"/>
  <c r="Y492" i="1"/>
  <c r="X492" i="1"/>
  <c r="W492" i="1"/>
  <c r="V492" i="1"/>
  <c r="U492" i="1"/>
  <c r="T492" i="1"/>
  <c r="S492" i="1"/>
  <c r="R492" i="1"/>
  <c r="Q492" i="1"/>
  <c r="P492" i="1"/>
  <c r="O492" i="1"/>
  <c r="Z491" i="1"/>
  <c r="Y491" i="1"/>
  <c r="X491" i="1"/>
  <c r="W491" i="1"/>
  <c r="V491" i="1"/>
  <c r="U491" i="1"/>
  <c r="T491" i="1"/>
  <c r="S491" i="1"/>
  <c r="R491" i="1"/>
  <c r="Q491" i="1"/>
  <c r="P491" i="1"/>
  <c r="O491" i="1"/>
  <c r="Z490" i="1"/>
  <c r="Y490" i="1"/>
  <c r="X490" i="1"/>
  <c r="W490" i="1"/>
  <c r="V490" i="1"/>
  <c r="U490" i="1"/>
  <c r="T490" i="1"/>
  <c r="S490" i="1"/>
  <c r="R490" i="1"/>
  <c r="Q490" i="1"/>
  <c r="P490" i="1"/>
  <c r="O490" i="1"/>
  <c r="Z489" i="1"/>
  <c r="Y489" i="1"/>
  <c r="X489" i="1"/>
  <c r="W489" i="1"/>
  <c r="V489" i="1"/>
  <c r="U489" i="1"/>
  <c r="T489" i="1"/>
  <c r="S489" i="1"/>
  <c r="R489" i="1"/>
  <c r="Q489" i="1"/>
  <c r="P489" i="1"/>
  <c r="O489" i="1"/>
  <c r="Z488" i="1"/>
  <c r="Y488" i="1"/>
  <c r="X488" i="1"/>
  <c r="W488" i="1"/>
  <c r="V488" i="1"/>
  <c r="U488" i="1"/>
  <c r="T488" i="1"/>
  <c r="S488" i="1"/>
  <c r="R488" i="1"/>
  <c r="Q488" i="1"/>
  <c r="P488" i="1"/>
  <c r="O488" i="1"/>
  <c r="Z487" i="1"/>
  <c r="Y487" i="1"/>
  <c r="X487" i="1"/>
  <c r="W487" i="1"/>
  <c r="V487" i="1"/>
  <c r="U487" i="1"/>
  <c r="T487" i="1"/>
  <c r="S487" i="1"/>
  <c r="R487" i="1"/>
  <c r="Q487" i="1"/>
  <c r="P487" i="1"/>
  <c r="O487" i="1"/>
  <c r="Z486" i="1"/>
  <c r="Y486" i="1"/>
  <c r="X486" i="1"/>
  <c r="W486" i="1"/>
  <c r="V486" i="1"/>
  <c r="U486" i="1"/>
  <c r="T486" i="1"/>
  <c r="S486" i="1"/>
  <c r="R486" i="1"/>
  <c r="Q486" i="1"/>
  <c r="P486" i="1"/>
  <c r="O486" i="1"/>
  <c r="Z485" i="1"/>
  <c r="Y485" i="1"/>
  <c r="X485" i="1"/>
  <c r="W485" i="1"/>
  <c r="V485" i="1"/>
  <c r="U485" i="1"/>
  <c r="T485" i="1"/>
  <c r="S485" i="1"/>
  <c r="R485" i="1"/>
  <c r="Q485" i="1"/>
  <c r="P485" i="1"/>
  <c r="O485" i="1"/>
  <c r="Z484" i="1"/>
  <c r="Y484" i="1"/>
  <c r="X484" i="1"/>
  <c r="W484" i="1"/>
  <c r="V484" i="1"/>
  <c r="U484" i="1"/>
  <c r="T484" i="1"/>
  <c r="S484" i="1"/>
  <c r="R484" i="1"/>
  <c r="Q484" i="1"/>
  <c r="P484" i="1"/>
  <c r="O484" i="1"/>
  <c r="Z483" i="1"/>
  <c r="Y483" i="1"/>
  <c r="X483" i="1"/>
  <c r="W483" i="1"/>
  <c r="V483" i="1"/>
  <c r="U483" i="1"/>
  <c r="T483" i="1"/>
  <c r="S483" i="1"/>
  <c r="R483" i="1"/>
  <c r="Q483" i="1"/>
  <c r="P483" i="1"/>
  <c r="O483" i="1"/>
  <c r="Z482" i="1"/>
  <c r="Y482" i="1"/>
  <c r="X482" i="1"/>
  <c r="W482" i="1"/>
  <c r="V482" i="1"/>
  <c r="U482" i="1"/>
  <c r="T482" i="1"/>
  <c r="S482" i="1"/>
  <c r="R482" i="1"/>
  <c r="Q482" i="1"/>
  <c r="P482" i="1"/>
  <c r="O482" i="1"/>
  <c r="Z481" i="1"/>
  <c r="Y481" i="1"/>
  <c r="X481" i="1"/>
  <c r="W481" i="1"/>
  <c r="V481" i="1"/>
  <c r="U481" i="1"/>
  <c r="T481" i="1"/>
  <c r="S481" i="1"/>
  <c r="R481" i="1"/>
  <c r="Q481" i="1"/>
  <c r="P481" i="1"/>
  <c r="O481" i="1"/>
  <c r="Z480" i="1"/>
  <c r="Y480" i="1"/>
  <c r="X480" i="1"/>
  <c r="W480" i="1"/>
  <c r="V480" i="1"/>
  <c r="U480" i="1"/>
  <c r="T480" i="1"/>
  <c r="S480" i="1"/>
  <c r="R480" i="1"/>
  <c r="Q480" i="1"/>
  <c r="P480" i="1"/>
  <c r="O480" i="1"/>
  <c r="Z479" i="1"/>
  <c r="Y479" i="1"/>
  <c r="X479" i="1"/>
  <c r="W479" i="1"/>
  <c r="V479" i="1"/>
  <c r="U479" i="1"/>
  <c r="T479" i="1"/>
  <c r="S479" i="1"/>
  <c r="R479" i="1"/>
  <c r="Q479" i="1"/>
  <c r="P479" i="1"/>
  <c r="O479" i="1"/>
  <c r="Z478" i="1"/>
  <c r="Y478" i="1"/>
  <c r="X478" i="1"/>
  <c r="W478" i="1"/>
  <c r="V478" i="1"/>
  <c r="U478" i="1"/>
  <c r="T478" i="1"/>
  <c r="S478" i="1"/>
  <c r="R478" i="1"/>
  <c r="Q478" i="1"/>
  <c r="P478" i="1"/>
  <c r="O478" i="1"/>
  <c r="Z477" i="1"/>
  <c r="Y477" i="1"/>
  <c r="X477" i="1"/>
  <c r="W477" i="1"/>
  <c r="V477" i="1"/>
  <c r="U477" i="1"/>
  <c r="T477" i="1"/>
  <c r="S477" i="1"/>
  <c r="R477" i="1"/>
  <c r="Q477" i="1"/>
  <c r="P477" i="1"/>
  <c r="O477" i="1"/>
  <c r="Z476" i="1"/>
  <c r="Y476" i="1"/>
  <c r="X476" i="1"/>
  <c r="W476" i="1"/>
  <c r="V476" i="1"/>
  <c r="U476" i="1"/>
  <c r="T476" i="1"/>
  <c r="S476" i="1"/>
  <c r="R476" i="1"/>
  <c r="Q476" i="1"/>
  <c r="P476" i="1"/>
  <c r="O476" i="1"/>
  <c r="Z475" i="1"/>
  <c r="Y475" i="1"/>
  <c r="X475" i="1"/>
  <c r="W475" i="1"/>
  <c r="V475" i="1"/>
  <c r="U475" i="1"/>
  <c r="T475" i="1"/>
  <c r="S475" i="1"/>
  <c r="R475" i="1"/>
  <c r="Q475" i="1"/>
  <c r="P475" i="1"/>
  <c r="O475" i="1"/>
  <c r="Z474" i="1"/>
  <c r="Y474" i="1"/>
  <c r="X474" i="1"/>
  <c r="W474" i="1"/>
  <c r="V474" i="1"/>
  <c r="U474" i="1"/>
  <c r="T474" i="1"/>
  <c r="S474" i="1"/>
  <c r="R474" i="1"/>
  <c r="Q474" i="1"/>
  <c r="P474" i="1"/>
  <c r="O474" i="1"/>
  <c r="Z473" i="1"/>
  <c r="Y473" i="1"/>
  <c r="X473" i="1"/>
  <c r="W473" i="1"/>
  <c r="V473" i="1"/>
  <c r="U473" i="1"/>
  <c r="T473" i="1"/>
  <c r="S473" i="1"/>
  <c r="R473" i="1"/>
  <c r="Q473" i="1"/>
  <c r="P473" i="1"/>
  <c r="O473" i="1"/>
  <c r="Z472" i="1"/>
  <c r="Y472" i="1"/>
  <c r="X472" i="1"/>
  <c r="W472" i="1"/>
  <c r="V472" i="1"/>
  <c r="U472" i="1"/>
  <c r="T472" i="1"/>
  <c r="S472" i="1"/>
  <c r="R472" i="1"/>
  <c r="Q472" i="1"/>
  <c r="P472" i="1"/>
  <c r="O472" i="1"/>
  <c r="Z471" i="1"/>
  <c r="Y471" i="1"/>
  <c r="X471" i="1"/>
  <c r="W471" i="1"/>
  <c r="V471" i="1"/>
  <c r="U471" i="1"/>
  <c r="T471" i="1"/>
  <c r="S471" i="1"/>
  <c r="R471" i="1"/>
  <c r="Q471" i="1"/>
  <c r="P471" i="1"/>
  <c r="O471" i="1"/>
  <c r="Z470" i="1"/>
  <c r="Y470" i="1"/>
  <c r="X470" i="1"/>
  <c r="W470" i="1"/>
  <c r="V470" i="1"/>
  <c r="U470" i="1"/>
  <c r="T470" i="1"/>
  <c r="S470" i="1"/>
  <c r="R470" i="1"/>
  <c r="Q470" i="1"/>
  <c r="P470" i="1"/>
  <c r="O470" i="1"/>
  <c r="Z469" i="1"/>
  <c r="Y469" i="1"/>
  <c r="X469" i="1"/>
  <c r="W469" i="1"/>
  <c r="V469" i="1"/>
  <c r="U469" i="1"/>
  <c r="T469" i="1"/>
  <c r="S469" i="1"/>
  <c r="R469" i="1"/>
  <c r="Q469" i="1"/>
  <c r="P469" i="1"/>
  <c r="O469" i="1"/>
  <c r="Z468" i="1"/>
  <c r="Y468" i="1"/>
  <c r="X468" i="1"/>
  <c r="W468" i="1"/>
  <c r="V468" i="1"/>
  <c r="U468" i="1"/>
  <c r="T468" i="1"/>
  <c r="S468" i="1"/>
  <c r="R468" i="1"/>
  <c r="Q468" i="1"/>
  <c r="P468" i="1"/>
  <c r="O468" i="1"/>
  <c r="Z467" i="1"/>
  <c r="Y467" i="1"/>
  <c r="X467" i="1"/>
  <c r="W467" i="1"/>
  <c r="V467" i="1"/>
  <c r="U467" i="1"/>
  <c r="T467" i="1"/>
  <c r="S467" i="1"/>
  <c r="R467" i="1"/>
  <c r="Q467" i="1"/>
  <c r="P467" i="1"/>
  <c r="O467" i="1"/>
  <c r="Z466" i="1"/>
  <c r="Y466" i="1"/>
  <c r="X466" i="1"/>
  <c r="W466" i="1"/>
  <c r="V466" i="1"/>
  <c r="U466" i="1"/>
  <c r="T466" i="1"/>
  <c r="S466" i="1"/>
  <c r="R466" i="1"/>
  <c r="Q466" i="1"/>
  <c r="P466" i="1"/>
  <c r="O466" i="1"/>
  <c r="Z465" i="1"/>
  <c r="Y465" i="1"/>
  <c r="X465" i="1"/>
  <c r="W465" i="1"/>
  <c r="V465" i="1"/>
  <c r="U465" i="1"/>
  <c r="T465" i="1"/>
  <c r="S465" i="1"/>
  <c r="R465" i="1"/>
  <c r="Q465" i="1"/>
  <c r="P465" i="1"/>
  <c r="O465" i="1"/>
  <c r="Z464" i="1"/>
  <c r="Y464" i="1"/>
  <c r="X464" i="1"/>
  <c r="W464" i="1"/>
  <c r="V464" i="1"/>
  <c r="U464" i="1"/>
  <c r="T464" i="1"/>
  <c r="S464" i="1"/>
  <c r="R464" i="1"/>
  <c r="Q464" i="1"/>
  <c r="P464" i="1"/>
  <c r="O464" i="1"/>
  <c r="Z463" i="1"/>
  <c r="Y463" i="1"/>
  <c r="X463" i="1"/>
  <c r="W463" i="1"/>
  <c r="V463" i="1"/>
  <c r="U463" i="1"/>
  <c r="T463" i="1"/>
  <c r="S463" i="1"/>
  <c r="R463" i="1"/>
  <c r="Q463" i="1"/>
  <c r="P463" i="1"/>
  <c r="O463" i="1"/>
  <c r="Z462" i="1"/>
  <c r="Y462" i="1"/>
  <c r="X462" i="1"/>
  <c r="W462" i="1"/>
  <c r="V462" i="1"/>
  <c r="U462" i="1"/>
  <c r="T462" i="1"/>
  <c r="S462" i="1"/>
  <c r="R462" i="1"/>
  <c r="Q462" i="1"/>
  <c r="P462" i="1"/>
  <c r="O462" i="1"/>
  <c r="Z461" i="1"/>
  <c r="Y461" i="1"/>
  <c r="X461" i="1"/>
  <c r="W461" i="1"/>
  <c r="V461" i="1"/>
  <c r="U461" i="1"/>
  <c r="T461" i="1"/>
  <c r="S461" i="1"/>
  <c r="R461" i="1"/>
  <c r="Q461" i="1"/>
  <c r="P461" i="1"/>
  <c r="O461" i="1"/>
  <c r="Z460" i="1"/>
  <c r="Y460" i="1"/>
  <c r="X460" i="1"/>
  <c r="W460" i="1"/>
  <c r="V460" i="1"/>
  <c r="U460" i="1"/>
  <c r="T460" i="1"/>
  <c r="S460" i="1"/>
  <c r="R460" i="1"/>
  <c r="Q460" i="1"/>
  <c r="P460" i="1"/>
  <c r="O460" i="1"/>
  <c r="Z459" i="1"/>
  <c r="Y459" i="1"/>
  <c r="X459" i="1"/>
  <c r="W459" i="1"/>
  <c r="V459" i="1"/>
  <c r="U459" i="1"/>
  <c r="T459" i="1"/>
  <c r="S459" i="1"/>
  <c r="R459" i="1"/>
  <c r="Q459" i="1"/>
  <c r="P459" i="1"/>
  <c r="O459" i="1"/>
  <c r="Z458" i="1"/>
  <c r="Y458" i="1"/>
  <c r="X458" i="1"/>
  <c r="W458" i="1"/>
  <c r="V458" i="1"/>
  <c r="U458" i="1"/>
  <c r="T458" i="1"/>
  <c r="S458" i="1"/>
  <c r="R458" i="1"/>
  <c r="Q458" i="1"/>
  <c r="P458" i="1"/>
  <c r="O458" i="1"/>
  <c r="Z457" i="1"/>
  <c r="Y457" i="1"/>
  <c r="X457" i="1"/>
  <c r="W457" i="1"/>
  <c r="V457" i="1"/>
  <c r="U457" i="1"/>
  <c r="T457" i="1"/>
  <c r="S457" i="1"/>
  <c r="R457" i="1"/>
  <c r="Q457" i="1"/>
  <c r="P457" i="1"/>
  <c r="O457" i="1"/>
  <c r="Z456" i="1"/>
  <c r="Y456" i="1"/>
  <c r="X456" i="1"/>
  <c r="W456" i="1"/>
  <c r="V456" i="1"/>
  <c r="U456" i="1"/>
  <c r="T456" i="1"/>
  <c r="S456" i="1"/>
  <c r="R456" i="1"/>
  <c r="Q456" i="1"/>
  <c r="P456" i="1"/>
  <c r="O456" i="1"/>
  <c r="Z455" i="1"/>
  <c r="Y455" i="1"/>
  <c r="X455" i="1"/>
  <c r="W455" i="1"/>
  <c r="V455" i="1"/>
  <c r="U455" i="1"/>
  <c r="T455" i="1"/>
  <c r="S455" i="1"/>
  <c r="R455" i="1"/>
  <c r="Q455" i="1"/>
  <c r="P455" i="1"/>
  <c r="O455" i="1"/>
  <c r="Z454" i="1"/>
  <c r="Y454" i="1"/>
  <c r="X454" i="1"/>
  <c r="W454" i="1"/>
  <c r="V454" i="1"/>
  <c r="U454" i="1"/>
  <c r="T454" i="1"/>
  <c r="S454" i="1"/>
  <c r="R454" i="1"/>
  <c r="Q454" i="1"/>
  <c r="P454" i="1"/>
  <c r="O454" i="1"/>
  <c r="Z453" i="1"/>
  <c r="Y453" i="1"/>
  <c r="X453" i="1"/>
  <c r="W453" i="1"/>
  <c r="V453" i="1"/>
  <c r="U453" i="1"/>
  <c r="T453" i="1"/>
  <c r="S453" i="1"/>
  <c r="R453" i="1"/>
  <c r="Q453" i="1"/>
  <c r="P453" i="1"/>
  <c r="O453" i="1"/>
  <c r="Z452" i="1"/>
  <c r="Y452" i="1"/>
  <c r="X452" i="1"/>
  <c r="W452" i="1"/>
  <c r="V452" i="1"/>
  <c r="U452" i="1"/>
  <c r="T452" i="1"/>
  <c r="S452" i="1"/>
  <c r="R452" i="1"/>
  <c r="Q452" i="1"/>
  <c r="P452" i="1"/>
  <c r="O452" i="1"/>
  <c r="Z451" i="1"/>
  <c r="Y451" i="1"/>
  <c r="X451" i="1"/>
  <c r="W451" i="1"/>
  <c r="V451" i="1"/>
  <c r="U451" i="1"/>
  <c r="T451" i="1"/>
  <c r="S451" i="1"/>
  <c r="R451" i="1"/>
  <c r="Q451" i="1"/>
  <c r="P451" i="1"/>
  <c r="O451" i="1"/>
  <c r="Z450" i="1"/>
  <c r="Y450" i="1"/>
  <c r="X450" i="1"/>
  <c r="W450" i="1"/>
  <c r="V450" i="1"/>
  <c r="U450" i="1"/>
  <c r="T450" i="1"/>
  <c r="S450" i="1"/>
  <c r="R450" i="1"/>
  <c r="Q450" i="1"/>
  <c r="P450" i="1"/>
  <c r="O450" i="1"/>
  <c r="Z449" i="1"/>
  <c r="Y449" i="1"/>
  <c r="X449" i="1"/>
  <c r="W449" i="1"/>
  <c r="V449" i="1"/>
  <c r="U449" i="1"/>
  <c r="T449" i="1"/>
  <c r="S449" i="1"/>
  <c r="R449" i="1"/>
  <c r="Q449" i="1"/>
  <c r="P449" i="1"/>
  <c r="O449" i="1"/>
  <c r="Z448" i="1"/>
  <c r="Y448" i="1"/>
  <c r="X448" i="1"/>
  <c r="W448" i="1"/>
  <c r="V448" i="1"/>
  <c r="U448" i="1"/>
  <c r="T448" i="1"/>
  <c r="S448" i="1"/>
  <c r="R448" i="1"/>
  <c r="Q448" i="1"/>
  <c r="P448" i="1"/>
  <c r="O448" i="1"/>
  <c r="Z447" i="1"/>
  <c r="Y447" i="1"/>
  <c r="X447" i="1"/>
  <c r="W447" i="1"/>
  <c r="V447" i="1"/>
  <c r="U447" i="1"/>
  <c r="T447" i="1"/>
  <c r="S447" i="1"/>
  <c r="R447" i="1"/>
  <c r="Q447" i="1"/>
  <c r="P447" i="1"/>
  <c r="O447" i="1"/>
  <c r="Z446" i="1"/>
  <c r="Y446" i="1"/>
  <c r="X446" i="1"/>
  <c r="W446" i="1"/>
  <c r="V446" i="1"/>
  <c r="U446" i="1"/>
  <c r="T446" i="1"/>
  <c r="S446" i="1"/>
  <c r="R446" i="1"/>
  <c r="Q446" i="1"/>
  <c r="P446" i="1"/>
  <c r="O446" i="1"/>
  <c r="Z445" i="1"/>
  <c r="Y445" i="1"/>
  <c r="X445" i="1"/>
  <c r="W445" i="1"/>
  <c r="V445" i="1"/>
  <c r="U445" i="1"/>
  <c r="T445" i="1"/>
  <c r="S445" i="1"/>
  <c r="R445" i="1"/>
  <c r="Q445" i="1"/>
  <c r="P445" i="1"/>
  <c r="O445" i="1"/>
  <c r="Z444" i="1"/>
  <c r="Y444" i="1"/>
  <c r="X444" i="1"/>
  <c r="W444" i="1"/>
  <c r="V444" i="1"/>
  <c r="U444" i="1"/>
  <c r="T444" i="1"/>
  <c r="S444" i="1"/>
  <c r="R444" i="1"/>
  <c r="Q444" i="1"/>
  <c r="P444" i="1"/>
  <c r="O444" i="1"/>
  <c r="Z443" i="1"/>
  <c r="Y443" i="1"/>
  <c r="X443" i="1"/>
  <c r="W443" i="1"/>
  <c r="V443" i="1"/>
  <c r="U443" i="1"/>
  <c r="T443" i="1"/>
  <c r="S443" i="1"/>
  <c r="R443" i="1"/>
  <c r="Q443" i="1"/>
  <c r="P443" i="1"/>
  <c r="O443" i="1"/>
  <c r="Z442" i="1"/>
  <c r="Y442" i="1"/>
  <c r="X442" i="1"/>
  <c r="W442" i="1"/>
  <c r="V442" i="1"/>
  <c r="U442" i="1"/>
  <c r="T442" i="1"/>
  <c r="S442" i="1"/>
  <c r="R442" i="1"/>
  <c r="Q442" i="1"/>
  <c r="P442" i="1"/>
  <c r="O442" i="1"/>
  <c r="Z441" i="1"/>
  <c r="Y441" i="1"/>
  <c r="X441" i="1"/>
  <c r="W441" i="1"/>
  <c r="V441" i="1"/>
  <c r="U441" i="1"/>
  <c r="T441" i="1"/>
  <c r="S441" i="1"/>
  <c r="R441" i="1"/>
  <c r="Q441" i="1"/>
  <c r="P441" i="1"/>
  <c r="O441" i="1"/>
  <c r="Z440" i="1"/>
  <c r="Y440" i="1"/>
  <c r="X440" i="1"/>
  <c r="W440" i="1"/>
  <c r="V440" i="1"/>
  <c r="U440" i="1"/>
  <c r="T440" i="1"/>
  <c r="S440" i="1"/>
  <c r="R440" i="1"/>
  <c r="Q440" i="1"/>
  <c r="P440" i="1"/>
  <c r="O440" i="1"/>
  <c r="Z439" i="1"/>
  <c r="Y439" i="1"/>
  <c r="X439" i="1"/>
  <c r="W439" i="1"/>
  <c r="V439" i="1"/>
  <c r="U439" i="1"/>
  <c r="T439" i="1"/>
  <c r="S439" i="1"/>
  <c r="R439" i="1"/>
  <c r="Q439" i="1"/>
  <c r="P439" i="1"/>
  <c r="O439" i="1"/>
  <c r="Z438" i="1"/>
  <c r="Y438" i="1"/>
  <c r="X438" i="1"/>
  <c r="W438" i="1"/>
  <c r="V438" i="1"/>
  <c r="U438" i="1"/>
  <c r="T438" i="1"/>
  <c r="S438" i="1"/>
  <c r="R438" i="1"/>
  <c r="Q438" i="1"/>
  <c r="P438" i="1"/>
  <c r="O438" i="1"/>
  <c r="Z437" i="1"/>
  <c r="Y437" i="1"/>
  <c r="X437" i="1"/>
  <c r="W437" i="1"/>
  <c r="V437" i="1"/>
  <c r="U437" i="1"/>
  <c r="T437" i="1"/>
  <c r="S437" i="1"/>
  <c r="R437" i="1"/>
  <c r="Q437" i="1"/>
  <c r="P437" i="1"/>
  <c r="O437" i="1"/>
  <c r="Z436" i="1"/>
  <c r="Y436" i="1"/>
  <c r="X436" i="1"/>
  <c r="W436" i="1"/>
  <c r="V436" i="1"/>
  <c r="U436" i="1"/>
  <c r="T436" i="1"/>
  <c r="S436" i="1"/>
  <c r="R436" i="1"/>
  <c r="Q436" i="1"/>
  <c r="P436" i="1"/>
  <c r="O436" i="1"/>
  <c r="Z435" i="1"/>
  <c r="Y435" i="1"/>
  <c r="X435" i="1"/>
  <c r="W435" i="1"/>
  <c r="V435" i="1"/>
  <c r="U435" i="1"/>
  <c r="T435" i="1"/>
  <c r="S435" i="1"/>
  <c r="R435" i="1"/>
  <c r="Q435" i="1"/>
  <c r="P435" i="1"/>
  <c r="O435" i="1"/>
  <c r="Z434" i="1"/>
  <c r="Y434" i="1"/>
  <c r="X434" i="1"/>
  <c r="W434" i="1"/>
  <c r="V434" i="1"/>
  <c r="U434" i="1"/>
  <c r="T434" i="1"/>
  <c r="S434" i="1"/>
  <c r="R434" i="1"/>
  <c r="Q434" i="1"/>
  <c r="P434" i="1"/>
  <c r="O434" i="1"/>
  <c r="Z433" i="1"/>
  <c r="Y433" i="1"/>
  <c r="X433" i="1"/>
  <c r="W433" i="1"/>
  <c r="V433" i="1"/>
  <c r="U433" i="1"/>
  <c r="T433" i="1"/>
  <c r="S433" i="1"/>
  <c r="R433" i="1"/>
  <c r="Q433" i="1"/>
  <c r="P433" i="1"/>
  <c r="O433" i="1"/>
  <c r="Z432" i="1"/>
  <c r="Y432" i="1"/>
  <c r="X432" i="1"/>
  <c r="W432" i="1"/>
  <c r="V432" i="1"/>
  <c r="U432" i="1"/>
  <c r="T432" i="1"/>
  <c r="S432" i="1"/>
  <c r="R432" i="1"/>
  <c r="Q432" i="1"/>
  <c r="P432" i="1"/>
  <c r="O432" i="1"/>
  <c r="Z431" i="1"/>
  <c r="Y431" i="1"/>
  <c r="X431" i="1"/>
  <c r="W431" i="1"/>
  <c r="V431" i="1"/>
  <c r="U431" i="1"/>
  <c r="T431" i="1"/>
  <c r="S431" i="1"/>
  <c r="R431" i="1"/>
  <c r="Q431" i="1"/>
  <c r="P431" i="1"/>
  <c r="O431" i="1"/>
  <c r="Z430" i="1"/>
  <c r="Y430" i="1"/>
  <c r="X430" i="1"/>
  <c r="W430" i="1"/>
  <c r="V430" i="1"/>
  <c r="U430" i="1"/>
  <c r="T430" i="1"/>
  <c r="S430" i="1"/>
  <c r="R430" i="1"/>
  <c r="Q430" i="1"/>
  <c r="P430" i="1"/>
  <c r="O430" i="1"/>
  <c r="Z429" i="1"/>
  <c r="Y429" i="1"/>
  <c r="X429" i="1"/>
  <c r="W429" i="1"/>
  <c r="V429" i="1"/>
  <c r="U429" i="1"/>
  <c r="T429" i="1"/>
  <c r="S429" i="1"/>
  <c r="R429" i="1"/>
  <c r="Q429" i="1"/>
  <c r="P429" i="1"/>
  <c r="O429" i="1"/>
  <c r="Z428" i="1"/>
  <c r="Y428" i="1"/>
  <c r="X428" i="1"/>
  <c r="W428" i="1"/>
  <c r="V428" i="1"/>
  <c r="U428" i="1"/>
  <c r="T428" i="1"/>
  <c r="S428" i="1"/>
  <c r="R428" i="1"/>
  <c r="Q428" i="1"/>
  <c r="P428" i="1"/>
  <c r="O428" i="1"/>
  <c r="Z427" i="1"/>
  <c r="Y427" i="1"/>
  <c r="X427" i="1"/>
  <c r="W427" i="1"/>
  <c r="V427" i="1"/>
  <c r="U427" i="1"/>
  <c r="T427" i="1"/>
  <c r="S427" i="1"/>
  <c r="R427" i="1"/>
  <c r="Q427" i="1"/>
  <c r="P427" i="1"/>
  <c r="O427" i="1"/>
  <c r="Z426" i="1"/>
  <c r="Y426" i="1"/>
  <c r="X426" i="1"/>
  <c r="W426" i="1"/>
  <c r="V426" i="1"/>
  <c r="U426" i="1"/>
  <c r="T426" i="1"/>
  <c r="S426" i="1"/>
  <c r="R426" i="1"/>
  <c r="Q426" i="1"/>
  <c r="P426" i="1"/>
  <c r="O426" i="1"/>
  <c r="Z425" i="1"/>
  <c r="Y425" i="1"/>
  <c r="X425" i="1"/>
  <c r="W425" i="1"/>
  <c r="V425" i="1"/>
  <c r="U425" i="1"/>
  <c r="T425" i="1"/>
  <c r="S425" i="1"/>
  <c r="R425" i="1"/>
  <c r="Q425" i="1"/>
  <c r="P425" i="1"/>
  <c r="O425" i="1"/>
  <c r="Z424" i="1"/>
  <c r="Y424" i="1"/>
  <c r="X424" i="1"/>
  <c r="W424" i="1"/>
  <c r="V424" i="1"/>
  <c r="U424" i="1"/>
  <c r="T424" i="1"/>
  <c r="S424" i="1"/>
  <c r="R424" i="1"/>
  <c r="Q424" i="1"/>
  <c r="P424" i="1"/>
  <c r="O424" i="1"/>
  <c r="Z423" i="1"/>
  <c r="Y423" i="1"/>
  <c r="X423" i="1"/>
  <c r="W423" i="1"/>
  <c r="V423" i="1"/>
  <c r="U423" i="1"/>
  <c r="T423" i="1"/>
  <c r="S423" i="1"/>
  <c r="R423" i="1"/>
  <c r="Q423" i="1"/>
  <c r="P423" i="1"/>
  <c r="O423" i="1"/>
  <c r="Z422" i="1"/>
  <c r="Y422" i="1"/>
  <c r="X422" i="1"/>
  <c r="W422" i="1"/>
  <c r="V422" i="1"/>
  <c r="U422" i="1"/>
  <c r="T422" i="1"/>
  <c r="S422" i="1"/>
  <c r="R422" i="1"/>
  <c r="Q422" i="1"/>
  <c r="P422" i="1"/>
  <c r="O422" i="1"/>
  <c r="Z421" i="1"/>
  <c r="Y421" i="1"/>
  <c r="X421" i="1"/>
  <c r="W421" i="1"/>
  <c r="V421" i="1"/>
  <c r="U421" i="1"/>
  <c r="T421" i="1"/>
  <c r="S421" i="1"/>
  <c r="R421" i="1"/>
  <c r="Q421" i="1"/>
  <c r="P421" i="1"/>
  <c r="O421" i="1"/>
  <c r="Z420" i="1"/>
  <c r="Y420" i="1"/>
  <c r="X420" i="1"/>
  <c r="W420" i="1"/>
  <c r="V420" i="1"/>
  <c r="U420" i="1"/>
  <c r="T420" i="1"/>
  <c r="S420" i="1"/>
  <c r="R420" i="1"/>
  <c r="Q420" i="1"/>
  <c r="P420" i="1"/>
  <c r="O420" i="1"/>
  <c r="Z419" i="1"/>
  <c r="Y419" i="1"/>
  <c r="X419" i="1"/>
  <c r="W419" i="1"/>
  <c r="V419" i="1"/>
  <c r="U419" i="1"/>
  <c r="T419" i="1"/>
  <c r="S419" i="1"/>
  <c r="R419" i="1"/>
  <c r="Q419" i="1"/>
  <c r="P419" i="1"/>
  <c r="O419" i="1"/>
  <c r="Z418" i="1"/>
  <c r="Y418" i="1"/>
  <c r="X418" i="1"/>
  <c r="W418" i="1"/>
  <c r="V418" i="1"/>
  <c r="U418" i="1"/>
  <c r="T418" i="1"/>
  <c r="S418" i="1"/>
  <c r="R418" i="1"/>
  <c r="Q418" i="1"/>
  <c r="P418" i="1"/>
  <c r="O418" i="1"/>
  <c r="Z417" i="1"/>
  <c r="Y417" i="1"/>
  <c r="X417" i="1"/>
  <c r="W417" i="1"/>
  <c r="V417" i="1"/>
  <c r="U417" i="1"/>
  <c r="T417" i="1"/>
  <c r="S417" i="1"/>
  <c r="R417" i="1"/>
  <c r="Q417" i="1"/>
  <c r="P417" i="1"/>
  <c r="O417" i="1"/>
  <c r="Z416" i="1"/>
  <c r="Y416" i="1"/>
  <c r="X416" i="1"/>
  <c r="W416" i="1"/>
  <c r="V416" i="1"/>
  <c r="U416" i="1"/>
  <c r="T416" i="1"/>
  <c r="S416" i="1"/>
  <c r="R416" i="1"/>
  <c r="Q416" i="1"/>
  <c r="P416" i="1"/>
  <c r="O416" i="1"/>
  <c r="Z415" i="1"/>
  <c r="Y415" i="1"/>
  <c r="X415" i="1"/>
  <c r="W415" i="1"/>
  <c r="V415" i="1"/>
  <c r="U415" i="1"/>
  <c r="T415" i="1"/>
  <c r="S415" i="1"/>
  <c r="R415" i="1"/>
  <c r="Q415" i="1"/>
  <c r="P415" i="1"/>
  <c r="O415" i="1"/>
  <c r="Z414" i="1"/>
  <c r="Y414" i="1"/>
  <c r="X414" i="1"/>
  <c r="W414" i="1"/>
  <c r="V414" i="1"/>
  <c r="U414" i="1"/>
  <c r="T414" i="1"/>
  <c r="S414" i="1"/>
  <c r="R414" i="1"/>
  <c r="Q414" i="1"/>
  <c r="P414" i="1"/>
  <c r="O414" i="1"/>
  <c r="Z413" i="1"/>
  <c r="Y413" i="1"/>
  <c r="X413" i="1"/>
  <c r="W413" i="1"/>
  <c r="V413" i="1"/>
  <c r="U413" i="1"/>
  <c r="T413" i="1"/>
  <c r="S413" i="1"/>
  <c r="R413" i="1"/>
  <c r="Q413" i="1"/>
  <c r="P413" i="1"/>
  <c r="O413" i="1"/>
  <c r="Z412" i="1"/>
  <c r="Y412" i="1"/>
  <c r="X412" i="1"/>
  <c r="W412" i="1"/>
  <c r="V412" i="1"/>
  <c r="U412" i="1"/>
  <c r="T412" i="1"/>
  <c r="S412" i="1"/>
  <c r="R412" i="1"/>
  <c r="Q412" i="1"/>
  <c r="P412" i="1"/>
  <c r="O412" i="1"/>
  <c r="Z411" i="1"/>
  <c r="Y411" i="1"/>
  <c r="X411" i="1"/>
  <c r="W411" i="1"/>
  <c r="V411" i="1"/>
  <c r="U411" i="1"/>
  <c r="T411" i="1"/>
  <c r="S411" i="1"/>
  <c r="R411" i="1"/>
  <c r="Q411" i="1"/>
  <c r="P411" i="1"/>
  <c r="O411" i="1"/>
  <c r="Z410" i="1"/>
  <c r="Y410" i="1"/>
  <c r="X410" i="1"/>
  <c r="W410" i="1"/>
  <c r="V410" i="1"/>
  <c r="U410" i="1"/>
  <c r="T410" i="1"/>
  <c r="S410" i="1"/>
  <c r="R410" i="1"/>
  <c r="Q410" i="1"/>
  <c r="P410" i="1"/>
  <c r="O410" i="1"/>
  <c r="Z409" i="1"/>
  <c r="Y409" i="1"/>
  <c r="X409" i="1"/>
  <c r="W409" i="1"/>
  <c r="V409" i="1"/>
  <c r="U409" i="1"/>
  <c r="T409" i="1"/>
  <c r="S409" i="1"/>
  <c r="R409" i="1"/>
  <c r="Q409" i="1"/>
  <c r="P409" i="1"/>
  <c r="O409" i="1"/>
  <c r="Z408" i="1"/>
  <c r="Y408" i="1"/>
  <c r="X408" i="1"/>
  <c r="W408" i="1"/>
  <c r="V408" i="1"/>
  <c r="U408" i="1"/>
  <c r="T408" i="1"/>
  <c r="S408" i="1"/>
  <c r="R408" i="1"/>
  <c r="Q408" i="1"/>
  <c r="P408" i="1"/>
  <c r="O408" i="1"/>
  <c r="Z407" i="1"/>
  <c r="Y407" i="1"/>
  <c r="X407" i="1"/>
  <c r="W407" i="1"/>
  <c r="V407" i="1"/>
  <c r="U407" i="1"/>
  <c r="T407" i="1"/>
  <c r="S407" i="1"/>
  <c r="R407" i="1"/>
  <c r="Q407" i="1"/>
  <c r="P407" i="1"/>
  <c r="O407" i="1"/>
  <c r="Z406" i="1"/>
  <c r="Y406" i="1"/>
  <c r="X406" i="1"/>
  <c r="W406" i="1"/>
  <c r="V406" i="1"/>
  <c r="U406" i="1"/>
  <c r="T406" i="1"/>
  <c r="S406" i="1"/>
  <c r="R406" i="1"/>
  <c r="Q406" i="1"/>
  <c r="P406" i="1"/>
  <c r="O406" i="1"/>
  <c r="Z405" i="1"/>
  <c r="Y405" i="1"/>
  <c r="X405" i="1"/>
  <c r="W405" i="1"/>
  <c r="V405" i="1"/>
  <c r="U405" i="1"/>
  <c r="T405" i="1"/>
  <c r="S405" i="1"/>
  <c r="R405" i="1"/>
  <c r="Q405" i="1"/>
  <c r="P405" i="1"/>
  <c r="O405" i="1"/>
  <c r="Z404" i="1"/>
  <c r="Y404" i="1"/>
  <c r="X404" i="1"/>
  <c r="W404" i="1"/>
  <c r="V404" i="1"/>
  <c r="U404" i="1"/>
  <c r="T404" i="1"/>
  <c r="S404" i="1"/>
  <c r="R404" i="1"/>
  <c r="Q404" i="1"/>
  <c r="P404" i="1"/>
  <c r="O404" i="1"/>
  <c r="Z403" i="1"/>
  <c r="Y403" i="1"/>
  <c r="X403" i="1"/>
  <c r="W403" i="1"/>
  <c r="V403" i="1"/>
  <c r="U403" i="1"/>
  <c r="T403" i="1"/>
  <c r="S403" i="1"/>
  <c r="R403" i="1"/>
  <c r="Q403" i="1"/>
  <c r="P403" i="1"/>
  <c r="O403" i="1"/>
  <c r="Z402" i="1"/>
  <c r="Y402" i="1"/>
  <c r="X402" i="1"/>
  <c r="W402" i="1"/>
  <c r="V402" i="1"/>
  <c r="U402" i="1"/>
  <c r="T402" i="1"/>
  <c r="S402" i="1"/>
  <c r="R402" i="1"/>
  <c r="Q402" i="1"/>
  <c r="P402" i="1"/>
  <c r="O402" i="1"/>
  <c r="Z401" i="1"/>
  <c r="Y401" i="1"/>
  <c r="X401" i="1"/>
  <c r="W401" i="1"/>
  <c r="V401" i="1"/>
  <c r="U401" i="1"/>
  <c r="T401" i="1"/>
  <c r="S401" i="1"/>
  <c r="R401" i="1"/>
  <c r="Q401" i="1"/>
  <c r="P401" i="1"/>
  <c r="O401" i="1"/>
  <c r="Z400" i="1"/>
  <c r="Y400" i="1"/>
  <c r="X400" i="1"/>
  <c r="W400" i="1"/>
  <c r="V400" i="1"/>
  <c r="U400" i="1"/>
  <c r="T400" i="1"/>
  <c r="S400" i="1"/>
  <c r="R400" i="1"/>
  <c r="Q400" i="1"/>
  <c r="P400" i="1"/>
  <c r="O400" i="1"/>
  <c r="Z399" i="1"/>
  <c r="Y399" i="1"/>
  <c r="X399" i="1"/>
  <c r="W399" i="1"/>
  <c r="V399" i="1"/>
  <c r="U399" i="1"/>
  <c r="T399" i="1"/>
  <c r="S399" i="1"/>
  <c r="R399" i="1"/>
  <c r="Q399" i="1"/>
  <c r="P399" i="1"/>
  <c r="O399" i="1"/>
  <c r="Z398" i="1"/>
  <c r="Y398" i="1"/>
  <c r="X398" i="1"/>
  <c r="W398" i="1"/>
  <c r="V398" i="1"/>
  <c r="U398" i="1"/>
  <c r="T398" i="1"/>
  <c r="S398" i="1"/>
  <c r="R398" i="1"/>
  <c r="Q398" i="1"/>
  <c r="P398" i="1"/>
  <c r="O398" i="1"/>
  <c r="Z397" i="1"/>
  <c r="Y397" i="1"/>
  <c r="X397" i="1"/>
  <c r="W397" i="1"/>
  <c r="V397" i="1"/>
  <c r="U397" i="1"/>
  <c r="T397" i="1"/>
  <c r="S397" i="1"/>
  <c r="R397" i="1"/>
  <c r="Q397" i="1"/>
  <c r="P397" i="1"/>
  <c r="O397" i="1"/>
  <c r="Z396" i="1"/>
  <c r="Y396" i="1"/>
  <c r="X396" i="1"/>
  <c r="W396" i="1"/>
  <c r="V396" i="1"/>
  <c r="U396" i="1"/>
  <c r="T396" i="1"/>
  <c r="S396" i="1"/>
  <c r="R396" i="1"/>
  <c r="Q396" i="1"/>
  <c r="P396" i="1"/>
  <c r="O396" i="1"/>
  <c r="Z395" i="1"/>
  <c r="Y395" i="1"/>
  <c r="X395" i="1"/>
  <c r="W395" i="1"/>
  <c r="V395" i="1"/>
  <c r="U395" i="1"/>
  <c r="T395" i="1"/>
  <c r="S395" i="1"/>
  <c r="R395" i="1"/>
  <c r="Q395" i="1"/>
  <c r="P395" i="1"/>
  <c r="O395" i="1"/>
  <c r="Z394" i="1"/>
  <c r="Y394" i="1"/>
  <c r="X394" i="1"/>
  <c r="W394" i="1"/>
  <c r="V394" i="1"/>
  <c r="U394" i="1"/>
  <c r="T394" i="1"/>
  <c r="S394" i="1"/>
  <c r="R394" i="1"/>
  <c r="Q394" i="1"/>
  <c r="P394" i="1"/>
  <c r="O394" i="1"/>
  <c r="Z393" i="1"/>
  <c r="Y393" i="1"/>
  <c r="X393" i="1"/>
  <c r="W393" i="1"/>
  <c r="V393" i="1"/>
  <c r="U393" i="1"/>
  <c r="T393" i="1"/>
  <c r="S393" i="1"/>
  <c r="R393" i="1"/>
  <c r="Q393" i="1"/>
  <c r="P393" i="1"/>
  <c r="O393" i="1"/>
  <c r="Z392" i="1"/>
  <c r="Y392" i="1"/>
  <c r="X392" i="1"/>
  <c r="W392" i="1"/>
  <c r="V392" i="1"/>
  <c r="U392" i="1"/>
  <c r="T392" i="1"/>
  <c r="S392" i="1"/>
  <c r="R392" i="1"/>
  <c r="Q392" i="1"/>
  <c r="P392" i="1"/>
  <c r="O392" i="1"/>
  <c r="Z391" i="1"/>
  <c r="Y391" i="1"/>
  <c r="X391" i="1"/>
  <c r="W391" i="1"/>
  <c r="V391" i="1"/>
  <c r="U391" i="1"/>
  <c r="T391" i="1"/>
  <c r="S391" i="1"/>
  <c r="R391" i="1"/>
  <c r="Q391" i="1"/>
  <c r="P391" i="1"/>
  <c r="O391" i="1"/>
  <c r="Z390" i="1"/>
  <c r="Y390" i="1"/>
  <c r="X390" i="1"/>
  <c r="W390" i="1"/>
  <c r="V390" i="1"/>
  <c r="U390" i="1"/>
  <c r="T390" i="1"/>
  <c r="S390" i="1"/>
  <c r="R390" i="1"/>
  <c r="Q390" i="1"/>
  <c r="P390" i="1"/>
  <c r="O390" i="1"/>
  <c r="Z389" i="1"/>
  <c r="Y389" i="1"/>
  <c r="X389" i="1"/>
  <c r="W389" i="1"/>
  <c r="V389" i="1"/>
  <c r="U389" i="1"/>
  <c r="T389" i="1"/>
  <c r="S389" i="1"/>
  <c r="R389" i="1"/>
  <c r="Q389" i="1"/>
  <c r="P389" i="1"/>
  <c r="O389" i="1"/>
  <c r="Z388" i="1"/>
  <c r="Y388" i="1"/>
  <c r="X388" i="1"/>
  <c r="W388" i="1"/>
  <c r="V388" i="1"/>
  <c r="U388" i="1"/>
  <c r="T388" i="1"/>
  <c r="S388" i="1"/>
  <c r="R388" i="1"/>
  <c r="Q388" i="1"/>
  <c r="P388" i="1"/>
  <c r="O388" i="1"/>
  <c r="Z387" i="1"/>
  <c r="Y387" i="1"/>
  <c r="X387" i="1"/>
  <c r="W387" i="1"/>
  <c r="V387" i="1"/>
  <c r="U387" i="1"/>
  <c r="T387" i="1"/>
  <c r="S387" i="1"/>
  <c r="R387" i="1"/>
  <c r="Q387" i="1"/>
  <c r="P387" i="1"/>
  <c r="O387" i="1"/>
  <c r="Z386" i="1"/>
  <c r="Y386" i="1"/>
  <c r="X386" i="1"/>
  <c r="W386" i="1"/>
  <c r="V386" i="1"/>
  <c r="U386" i="1"/>
  <c r="T386" i="1"/>
  <c r="S386" i="1"/>
  <c r="R386" i="1"/>
  <c r="Q386" i="1"/>
  <c r="P386" i="1"/>
  <c r="O386" i="1"/>
  <c r="Z385" i="1"/>
  <c r="Y385" i="1"/>
  <c r="X385" i="1"/>
  <c r="W385" i="1"/>
  <c r="V385" i="1"/>
  <c r="U385" i="1"/>
  <c r="T385" i="1"/>
  <c r="S385" i="1"/>
  <c r="R385" i="1"/>
  <c r="Q385" i="1"/>
  <c r="P385" i="1"/>
  <c r="O385" i="1"/>
  <c r="Z384" i="1"/>
  <c r="Y384" i="1"/>
  <c r="X384" i="1"/>
  <c r="W384" i="1"/>
  <c r="V384" i="1"/>
  <c r="U384" i="1"/>
  <c r="T384" i="1"/>
  <c r="S384" i="1"/>
  <c r="R384" i="1"/>
  <c r="Q384" i="1"/>
  <c r="P384" i="1"/>
  <c r="O384" i="1"/>
  <c r="Z383" i="1"/>
  <c r="Y383" i="1"/>
  <c r="X383" i="1"/>
  <c r="W383" i="1"/>
  <c r="V383" i="1"/>
  <c r="U383" i="1"/>
  <c r="T383" i="1"/>
  <c r="S383" i="1"/>
  <c r="R383" i="1"/>
  <c r="Q383" i="1"/>
  <c r="P383" i="1"/>
  <c r="O383" i="1"/>
  <c r="Z382" i="1"/>
  <c r="Y382" i="1"/>
  <c r="X382" i="1"/>
  <c r="W382" i="1"/>
  <c r="V382" i="1"/>
  <c r="U382" i="1"/>
  <c r="T382" i="1"/>
  <c r="S382" i="1"/>
  <c r="R382" i="1"/>
  <c r="Q382" i="1"/>
  <c r="P382" i="1"/>
  <c r="O382" i="1"/>
  <c r="Z381" i="1"/>
  <c r="Y381" i="1"/>
  <c r="X381" i="1"/>
  <c r="W381" i="1"/>
  <c r="V381" i="1"/>
  <c r="U381" i="1"/>
  <c r="T381" i="1"/>
  <c r="S381" i="1"/>
  <c r="R381" i="1"/>
  <c r="Q381" i="1"/>
  <c r="P381" i="1"/>
  <c r="O381" i="1"/>
  <c r="Z380" i="1"/>
  <c r="Y380" i="1"/>
  <c r="X380" i="1"/>
  <c r="W380" i="1"/>
  <c r="V380" i="1"/>
  <c r="U380" i="1"/>
  <c r="T380" i="1"/>
  <c r="S380" i="1"/>
  <c r="R380" i="1"/>
  <c r="Q380" i="1"/>
  <c r="P380" i="1"/>
  <c r="O380" i="1"/>
  <c r="Z379" i="1"/>
  <c r="Y379" i="1"/>
  <c r="X379" i="1"/>
  <c r="W379" i="1"/>
  <c r="V379" i="1"/>
  <c r="U379" i="1"/>
  <c r="T379" i="1"/>
  <c r="S379" i="1"/>
  <c r="R379" i="1"/>
  <c r="Q379" i="1"/>
  <c r="P379" i="1"/>
  <c r="O379" i="1"/>
  <c r="Z378" i="1"/>
  <c r="Y378" i="1"/>
  <c r="X378" i="1"/>
  <c r="W378" i="1"/>
  <c r="V378" i="1"/>
  <c r="U378" i="1"/>
  <c r="T378" i="1"/>
  <c r="S378" i="1"/>
  <c r="R378" i="1"/>
  <c r="Q378" i="1"/>
  <c r="P378" i="1"/>
  <c r="O378" i="1"/>
  <c r="Z377" i="1"/>
  <c r="Y377" i="1"/>
  <c r="X377" i="1"/>
  <c r="W377" i="1"/>
  <c r="V377" i="1"/>
  <c r="U377" i="1"/>
  <c r="T377" i="1"/>
  <c r="S377" i="1"/>
  <c r="R377" i="1"/>
  <c r="Q377" i="1"/>
  <c r="P377" i="1"/>
  <c r="O377" i="1"/>
  <c r="Z376" i="1"/>
  <c r="Y376" i="1"/>
  <c r="X376" i="1"/>
  <c r="W376" i="1"/>
  <c r="V376" i="1"/>
  <c r="U376" i="1"/>
  <c r="T376" i="1"/>
  <c r="S376" i="1"/>
  <c r="R376" i="1"/>
  <c r="Q376" i="1"/>
  <c r="P376" i="1"/>
  <c r="O376" i="1"/>
  <c r="Z375" i="1"/>
  <c r="Y375" i="1"/>
  <c r="X375" i="1"/>
  <c r="W375" i="1"/>
  <c r="V375" i="1"/>
  <c r="U375" i="1"/>
  <c r="T375" i="1"/>
  <c r="S375" i="1"/>
  <c r="R375" i="1"/>
  <c r="Q375" i="1"/>
  <c r="P375" i="1"/>
  <c r="O375" i="1"/>
  <c r="Z374" i="1"/>
  <c r="Y374" i="1"/>
  <c r="X374" i="1"/>
  <c r="W374" i="1"/>
  <c r="V374" i="1"/>
  <c r="U374" i="1"/>
  <c r="T374" i="1"/>
  <c r="S374" i="1"/>
  <c r="R374" i="1"/>
  <c r="Q374" i="1"/>
  <c r="P374" i="1"/>
  <c r="O374" i="1"/>
  <c r="Z373" i="1"/>
  <c r="Y373" i="1"/>
  <c r="X373" i="1"/>
  <c r="W373" i="1"/>
  <c r="V373" i="1"/>
  <c r="U373" i="1"/>
  <c r="T373" i="1"/>
  <c r="S373" i="1"/>
  <c r="R373" i="1"/>
  <c r="Q373" i="1"/>
  <c r="P373" i="1"/>
  <c r="O373" i="1"/>
  <c r="Z372" i="1"/>
  <c r="Y372" i="1"/>
  <c r="X372" i="1"/>
  <c r="W372" i="1"/>
  <c r="V372" i="1"/>
  <c r="U372" i="1"/>
  <c r="T372" i="1"/>
  <c r="S372" i="1"/>
  <c r="R372" i="1"/>
  <c r="Q372" i="1"/>
  <c r="P372" i="1"/>
  <c r="O372" i="1"/>
  <c r="Z371" i="1"/>
  <c r="Y371" i="1"/>
  <c r="X371" i="1"/>
  <c r="W371" i="1"/>
  <c r="V371" i="1"/>
  <c r="U371" i="1"/>
  <c r="T371" i="1"/>
  <c r="S371" i="1"/>
  <c r="R371" i="1"/>
  <c r="Q371" i="1"/>
  <c r="P371" i="1"/>
  <c r="O371" i="1"/>
  <c r="Z370" i="1"/>
  <c r="Y370" i="1"/>
  <c r="X370" i="1"/>
  <c r="W370" i="1"/>
  <c r="V370" i="1"/>
  <c r="U370" i="1"/>
  <c r="T370" i="1"/>
  <c r="S370" i="1"/>
  <c r="R370" i="1"/>
  <c r="Q370" i="1"/>
  <c r="P370" i="1"/>
  <c r="O370" i="1"/>
  <c r="Z369" i="1"/>
  <c r="Y369" i="1"/>
  <c r="X369" i="1"/>
  <c r="W369" i="1"/>
  <c r="V369" i="1"/>
  <c r="U369" i="1"/>
  <c r="T369" i="1"/>
  <c r="S369" i="1"/>
  <c r="R369" i="1"/>
  <c r="Q369" i="1"/>
  <c r="P369" i="1"/>
  <c r="O369" i="1"/>
  <c r="Z368" i="1"/>
  <c r="Y368" i="1"/>
  <c r="X368" i="1"/>
  <c r="W368" i="1"/>
  <c r="V368" i="1"/>
  <c r="U368" i="1"/>
  <c r="T368" i="1"/>
  <c r="S368" i="1"/>
  <c r="R368" i="1"/>
  <c r="Q368" i="1"/>
  <c r="P368" i="1"/>
  <c r="O368" i="1"/>
  <c r="Z367" i="1"/>
  <c r="Y367" i="1"/>
  <c r="X367" i="1"/>
  <c r="W367" i="1"/>
  <c r="V367" i="1"/>
  <c r="U367" i="1"/>
  <c r="T367" i="1"/>
  <c r="S367" i="1"/>
  <c r="R367" i="1"/>
  <c r="Q367" i="1"/>
  <c r="P367" i="1"/>
  <c r="O367" i="1"/>
  <c r="Z366" i="1"/>
  <c r="Y366" i="1"/>
  <c r="X366" i="1"/>
  <c r="W366" i="1"/>
  <c r="V366" i="1"/>
  <c r="U366" i="1"/>
  <c r="T366" i="1"/>
  <c r="S366" i="1"/>
  <c r="R366" i="1"/>
  <c r="Q366" i="1"/>
  <c r="P366" i="1"/>
  <c r="O366" i="1"/>
  <c r="Z365" i="1"/>
  <c r="Y365" i="1"/>
  <c r="X365" i="1"/>
  <c r="W365" i="1"/>
  <c r="V365" i="1"/>
  <c r="U365" i="1"/>
  <c r="T365" i="1"/>
  <c r="S365" i="1"/>
  <c r="R365" i="1"/>
  <c r="Q365" i="1"/>
  <c r="P365" i="1"/>
  <c r="O365" i="1"/>
  <c r="Z364" i="1"/>
  <c r="Y364" i="1"/>
  <c r="X364" i="1"/>
  <c r="W364" i="1"/>
  <c r="V364" i="1"/>
  <c r="U364" i="1"/>
  <c r="T364" i="1"/>
  <c r="S364" i="1"/>
  <c r="R364" i="1"/>
  <c r="Q364" i="1"/>
  <c r="P364" i="1"/>
  <c r="O364" i="1"/>
  <c r="Z363" i="1"/>
  <c r="Y363" i="1"/>
  <c r="X363" i="1"/>
  <c r="W363" i="1"/>
  <c r="V363" i="1"/>
  <c r="U363" i="1"/>
  <c r="T363" i="1"/>
  <c r="S363" i="1"/>
  <c r="R363" i="1"/>
  <c r="Q363" i="1"/>
  <c r="P363" i="1"/>
  <c r="O363" i="1"/>
  <c r="Z362" i="1"/>
  <c r="Y362" i="1"/>
  <c r="X362" i="1"/>
  <c r="W362" i="1"/>
  <c r="V362" i="1"/>
  <c r="U362" i="1"/>
  <c r="T362" i="1"/>
  <c r="S362" i="1"/>
  <c r="R362" i="1"/>
  <c r="Q362" i="1"/>
  <c r="P362" i="1"/>
  <c r="O362" i="1"/>
  <c r="Z361" i="1"/>
  <c r="Y361" i="1"/>
  <c r="X361" i="1"/>
  <c r="W361" i="1"/>
  <c r="V361" i="1"/>
  <c r="U361" i="1"/>
  <c r="T361" i="1"/>
  <c r="S361" i="1"/>
  <c r="R361" i="1"/>
  <c r="Q361" i="1"/>
  <c r="P361" i="1"/>
  <c r="O361" i="1"/>
  <c r="Z360" i="1"/>
  <c r="Y360" i="1"/>
  <c r="X360" i="1"/>
  <c r="W360" i="1"/>
  <c r="V360" i="1"/>
  <c r="U360" i="1"/>
  <c r="T360" i="1"/>
  <c r="S360" i="1"/>
  <c r="R360" i="1"/>
  <c r="Q360" i="1"/>
  <c r="P360" i="1"/>
  <c r="O360" i="1"/>
  <c r="Z359" i="1"/>
  <c r="Y359" i="1"/>
  <c r="X359" i="1"/>
  <c r="W359" i="1"/>
  <c r="V359" i="1"/>
  <c r="U359" i="1"/>
  <c r="T359" i="1"/>
  <c r="S359" i="1"/>
  <c r="R359" i="1"/>
  <c r="Q359" i="1"/>
  <c r="P359" i="1"/>
  <c r="O359" i="1"/>
  <c r="Z358" i="1"/>
  <c r="Y358" i="1"/>
  <c r="X358" i="1"/>
  <c r="W358" i="1"/>
  <c r="V358" i="1"/>
  <c r="U358" i="1"/>
  <c r="T358" i="1"/>
  <c r="S358" i="1"/>
  <c r="R358" i="1"/>
  <c r="Q358" i="1"/>
  <c r="P358" i="1"/>
  <c r="O358" i="1"/>
  <c r="Z357" i="1"/>
  <c r="Y357" i="1"/>
  <c r="X357" i="1"/>
  <c r="W357" i="1"/>
  <c r="V357" i="1"/>
  <c r="U357" i="1"/>
  <c r="T357" i="1"/>
  <c r="S357" i="1"/>
  <c r="R357" i="1"/>
  <c r="Q357" i="1"/>
  <c r="P357" i="1"/>
  <c r="O357" i="1"/>
  <c r="Z356" i="1"/>
  <c r="Y356" i="1"/>
  <c r="X356" i="1"/>
  <c r="W356" i="1"/>
  <c r="V356" i="1"/>
  <c r="U356" i="1"/>
  <c r="T356" i="1"/>
  <c r="S356" i="1"/>
  <c r="R356" i="1"/>
  <c r="Q356" i="1"/>
  <c r="P356" i="1"/>
  <c r="O356" i="1"/>
  <c r="Z355" i="1"/>
  <c r="Y355" i="1"/>
  <c r="X355" i="1"/>
  <c r="W355" i="1"/>
  <c r="V355" i="1"/>
  <c r="U355" i="1"/>
  <c r="T355" i="1"/>
  <c r="S355" i="1"/>
  <c r="R355" i="1"/>
  <c r="Q355" i="1"/>
  <c r="P355" i="1"/>
  <c r="O355" i="1"/>
  <c r="Z354" i="1"/>
  <c r="Y354" i="1"/>
  <c r="X354" i="1"/>
  <c r="W354" i="1"/>
  <c r="V354" i="1"/>
  <c r="U354" i="1"/>
  <c r="T354" i="1"/>
  <c r="S354" i="1"/>
  <c r="R354" i="1"/>
  <c r="Q354" i="1"/>
  <c r="P354" i="1"/>
  <c r="O354" i="1"/>
  <c r="Z353" i="1"/>
  <c r="Y353" i="1"/>
  <c r="X353" i="1"/>
  <c r="W353" i="1"/>
  <c r="V353" i="1"/>
  <c r="U353" i="1"/>
  <c r="T353" i="1"/>
  <c r="S353" i="1"/>
  <c r="R353" i="1"/>
  <c r="Q353" i="1"/>
  <c r="P353" i="1"/>
  <c r="O353" i="1"/>
  <c r="Z352" i="1"/>
  <c r="Y352" i="1"/>
  <c r="X352" i="1"/>
  <c r="W352" i="1"/>
  <c r="V352" i="1"/>
  <c r="U352" i="1"/>
  <c r="T352" i="1"/>
  <c r="S352" i="1"/>
  <c r="R352" i="1"/>
  <c r="Q352" i="1"/>
  <c r="P352" i="1"/>
  <c r="O352" i="1"/>
  <c r="Z351" i="1"/>
  <c r="Y351" i="1"/>
  <c r="X351" i="1"/>
  <c r="W351" i="1"/>
  <c r="V351" i="1"/>
  <c r="U351" i="1"/>
  <c r="T351" i="1"/>
  <c r="S351" i="1"/>
  <c r="R351" i="1"/>
  <c r="Q351" i="1"/>
  <c r="P351" i="1"/>
  <c r="O351" i="1"/>
  <c r="Z350" i="1"/>
  <c r="Y350" i="1"/>
  <c r="X350" i="1"/>
  <c r="W350" i="1"/>
  <c r="V350" i="1"/>
  <c r="U350" i="1"/>
  <c r="T350" i="1"/>
  <c r="S350" i="1"/>
  <c r="R350" i="1"/>
  <c r="Q350" i="1"/>
  <c r="P350" i="1"/>
  <c r="O350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Z342" i="1"/>
  <c r="Y342" i="1"/>
  <c r="X342" i="1"/>
  <c r="W342" i="1"/>
  <c r="V342" i="1"/>
  <c r="U342" i="1"/>
  <c r="T342" i="1"/>
  <c r="S342" i="1"/>
  <c r="R342" i="1"/>
  <c r="Q342" i="1"/>
  <c r="P342" i="1"/>
  <c r="O342" i="1"/>
  <c r="Z341" i="1"/>
  <c r="Y341" i="1"/>
  <c r="X341" i="1"/>
  <c r="W341" i="1"/>
  <c r="V341" i="1"/>
  <c r="U341" i="1"/>
  <c r="T341" i="1"/>
  <c r="S341" i="1"/>
  <c r="R341" i="1"/>
  <c r="Q341" i="1"/>
  <c r="P341" i="1"/>
  <c r="O341" i="1"/>
  <c r="Z340" i="1"/>
  <c r="Y340" i="1"/>
  <c r="X340" i="1"/>
  <c r="W340" i="1"/>
  <c r="V340" i="1"/>
  <c r="U340" i="1"/>
  <c r="T340" i="1"/>
  <c r="S340" i="1"/>
  <c r="R340" i="1"/>
  <c r="Q340" i="1"/>
  <c r="P340" i="1"/>
  <c r="O340" i="1"/>
  <c r="Z339" i="1"/>
  <c r="Y339" i="1"/>
  <c r="X339" i="1"/>
  <c r="W339" i="1"/>
  <c r="V339" i="1"/>
  <c r="U339" i="1"/>
  <c r="T339" i="1"/>
  <c r="S339" i="1"/>
  <c r="R339" i="1"/>
  <c r="Q339" i="1"/>
  <c r="P339" i="1"/>
  <c r="O339" i="1"/>
  <c r="Z338" i="1"/>
  <c r="Y338" i="1"/>
  <c r="X338" i="1"/>
  <c r="W338" i="1"/>
  <c r="V338" i="1"/>
  <c r="U338" i="1"/>
  <c r="T338" i="1"/>
  <c r="S338" i="1"/>
  <c r="R338" i="1"/>
  <c r="Q338" i="1"/>
  <c r="P338" i="1"/>
  <c r="O338" i="1"/>
  <c r="Z337" i="1"/>
  <c r="Y337" i="1"/>
  <c r="X337" i="1"/>
  <c r="W337" i="1"/>
  <c r="V337" i="1"/>
  <c r="U337" i="1"/>
  <c r="T337" i="1"/>
  <c r="S337" i="1"/>
  <c r="R337" i="1"/>
  <c r="Q337" i="1"/>
  <c r="P337" i="1"/>
  <c r="O337" i="1"/>
  <c r="Z336" i="1"/>
  <c r="Y336" i="1"/>
  <c r="X336" i="1"/>
  <c r="W336" i="1"/>
  <c r="V336" i="1"/>
  <c r="U336" i="1"/>
  <c r="T336" i="1"/>
  <c r="S336" i="1"/>
  <c r="R336" i="1"/>
  <c r="Q336" i="1"/>
  <c r="P336" i="1"/>
  <c r="O336" i="1"/>
  <c r="Z335" i="1"/>
  <c r="Y335" i="1"/>
  <c r="X335" i="1"/>
  <c r="W335" i="1"/>
  <c r="V335" i="1"/>
  <c r="U335" i="1"/>
  <c r="T335" i="1"/>
  <c r="S335" i="1"/>
  <c r="R335" i="1"/>
  <c r="Q335" i="1"/>
  <c r="P335" i="1"/>
  <c r="O335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Z333" i="1"/>
  <c r="Y333" i="1"/>
  <c r="X333" i="1"/>
  <c r="W333" i="1"/>
  <c r="V333" i="1"/>
  <c r="U333" i="1"/>
  <c r="T333" i="1"/>
  <c r="S333" i="1"/>
  <c r="R333" i="1"/>
  <c r="Q333" i="1"/>
  <c r="P333" i="1"/>
  <c r="O333" i="1"/>
  <c r="Z332" i="1"/>
  <c r="Y332" i="1"/>
  <c r="X332" i="1"/>
  <c r="W332" i="1"/>
  <c r="V332" i="1"/>
  <c r="U332" i="1"/>
  <c r="T332" i="1"/>
  <c r="S332" i="1"/>
  <c r="R332" i="1"/>
  <c r="Q332" i="1"/>
  <c r="P332" i="1"/>
  <c r="O332" i="1"/>
  <c r="Z331" i="1"/>
  <c r="Y331" i="1"/>
  <c r="X331" i="1"/>
  <c r="W331" i="1"/>
  <c r="V331" i="1"/>
  <c r="U331" i="1"/>
  <c r="T331" i="1"/>
  <c r="S331" i="1"/>
  <c r="R331" i="1"/>
  <c r="Q331" i="1"/>
  <c r="P331" i="1"/>
  <c r="O331" i="1"/>
  <c r="Z330" i="1"/>
  <c r="Y330" i="1"/>
  <c r="X330" i="1"/>
  <c r="W330" i="1"/>
  <c r="V330" i="1"/>
  <c r="U330" i="1"/>
  <c r="T330" i="1"/>
  <c r="S330" i="1"/>
  <c r="R330" i="1"/>
  <c r="Q330" i="1"/>
  <c r="P330" i="1"/>
  <c r="O330" i="1"/>
  <c r="Z329" i="1"/>
  <c r="Y329" i="1"/>
  <c r="X329" i="1"/>
  <c r="W329" i="1"/>
  <c r="V329" i="1"/>
  <c r="U329" i="1"/>
  <c r="T329" i="1"/>
  <c r="S329" i="1"/>
  <c r="R329" i="1"/>
  <c r="Q329" i="1"/>
  <c r="P329" i="1"/>
  <c r="O329" i="1"/>
  <c r="Z328" i="1"/>
  <c r="Y328" i="1"/>
  <c r="X328" i="1"/>
  <c r="W328" i="1"/>
  <c r="V328" i="1"/>
  <c r="U328" i="1"/>
  <c r="T328" i="1"/>
  <c r="S328" i="1"/>
  <c r="R328" i="1"/>
  <c r="Q328" i="1"/>
  <c r="P328" i="1"/>
  <c r="O328" i="1"/>
  <c r="Z327" i="1"/>
  <c r="Y327" i="1"/>
  <c r="X327" i="1"/>
  <c r="W327" i="1"/>
  <c r="V327" i="1"/>
  <c r="U327" i="1"/>
  <c r="T327" i="1"/>
  <c r="S327" i="1"/>
  <c r="R327" i="1"/>
  <c r="Q327" i="1"/>
  <c r="P327" i="1"/>
  <c r="O327" i="1"/>
  <c r="Z326" i="1"/>
  <c r="Y326" i="1"/>
  <c r="X326" i="1"/>
  <c r="W326" i="1"/>
  <c r="V326" i="1"/>
  <c r="U326" i="1"/>
  <c r="T326" i="1"/>
  <c r="S326" i="1"/>
  <c r="R326" i="1"/>
  <c r="Q326" i="1"/>
  <c r="P326" i="1"/>
  <c r="O326" i="1"/>
  <c r="Z325" i="1"/>
  <c r="Y325" i="1"/>
  <c r="X325" i="1"/>
  <c r="W325" i="1"/>
  <c r="V325" i="1"/>
  <c r="U325" i="1"/>
  <c r="T325" i="1"/>
  <c r="S325" i="1"/>
  <c r="R325" i="1"/>
  <c r="Q325" i="1"/>
  <c r="P325" i="1"/>
  <c r="O325" i="1"/>
  <c r="Z324" i="1"/>
  <c r="Y324" i="1"/>
  <c r="X324" i="1"/>
  <c r="W324" i="1"/>
  <c r="V324" i="1"/>
  <c r="U324" i="1"/>
  <c r="T324" i="1"/>
  <c r="S324" i="1"/>
  <c r="R324" i="1"/>
  <c r="Q324" i="1"/>
  <c r="P324" i="1"/>
  <c r="O324" i="1"/>
  <c r="Z323" i="1"/>
  <c r="Y323" i="1"/>
  <c r="X323" i="1"/>
  <c r="W323" i="1"/>
  <c r="V323" i="1"/>
  <c r="U323" i="1"/>
  <c r="T323" i="1"/>
  <c r="S323" i="1"/>
  <c r="R323" i="1"/>
  <c r="Q323" i="1"/>
  <c r="P323" i="1"/>
  <c r="O323" i="1"/>
  <c r="Z322" i="1"/>
  <c r="Y322" i="1"/>
  <c r="X322" i="1"/>
  <c r="W322" i="1"/>
  <c r="V322" i="1"/>
  <c r="U322" i="1"/>
  <c r="T322" i="1"/>
  <c r="S322" i="1"/>
  <c r="R322" i="1"/>
  <c r="Q322" i="1"/>
  <c r="P322" i="1"/>
  <c r="O322" i="1"/>
  <c r="Z321" i="1"/>
  <c r="Y321" i="1"/>
  <c r="X321" i="1"/>
  <c r="W321" i="1"/>
  <c r="V321" i="1"/>
  <c r="U321" i="1"/>
  <c r="T321" i="1"/>
  <c r="S321" i="1"/>
  <c r="R321" i="1"/>
  <c r="Q321" i="1"/>
  <c r="P321" i="1"/>
  <c r="O321" i="1"/>
  <c r="Z320" i="1"/>
  <c r="Y320" i="1"/>
  <c r="X320" i="1"/>
  <c r="W320" i="1"/>
  <c r="V320" i="1"/>
  <c r="U320" i="1"/>
  <c r="T320" i="1"/>
  <c r="S320" i="1"/>
  <c r="R320" i="1"/>
  <c r="Q320" i="1"/>
  <c r="P320" i="1"/>
  <c r="O320" i="1"/>
  <c r="Z319" i="1"/>
  <c r="Y319" i="1"/>
  <c r="X319" i="1"/>
  <c r="W319" i="1"/>
  <c r="V319" i="1"/>
  <c r="U319" i="1"/>
  <c r="T319" i="1"/>
  <c r="S319" i="1"/>
  <c r="R319" i="1"/>
  <c r="Q319" i="1"/>
  <c r="P319" i="1"/>
  <c r="O319" i="1"/>
  <c r="Z318" i="1"/>
  <c r="Y318" i="1"/>
  <c r="X318" i="1"/>
  <c r="W318" i="1"/>
  <c r="V318" i="1"/>
  <c r="U318" i="1"/>
  <c r="T318" i="1"/>
  <c r="S318" i="1"/>
  <c r="R318" i="1"/>
  <c r="Q318" i="1"/>
  <c r="P318" i="1"/>
  <c r="O318" i="1"/>
  <c r="Z317" i="1"/>
  <c r="Y317" i="1"/>
  <c r="X317" i="1"/>
  <c r="W317" i="1"/>
  <c r="V317" i="1"/>
  <c r="U317" i="1"/>
  <c r="T317" i="1"/>
  <c r="S317" i="1"/>
  <c r="R317" i="1"/>
  <c r="Q317" i="1"/>
  <c r="P317" i="1"/>
  <c r="O317" i="1"/>
  <c r="Z316" i="1"/>
  <c r="Y316" i="1"/>
  <c r="X316" i="1"/>
  <c r="W316" i="1"/>
  <c r="V316" i="1"/>
  <c r="U316" i="1"/>
  <c r="T316" i="1"/>
  <c r="S316" i="1"/>
  <c r="R316" i="1"/>
  <c r="Q316" i="1"/>
  <c r="P316" i="1"/>
  <c r="O316" i="1"/>
  <c r="Z315" i="1"/>
  <c r="Y315" i="1"/>
  <c r="X315" i="1"/>
  <c r="W315" i="1"/>
  <c r="V315" i="1"/>
  <c r="U315" i="1"/>
  <c r="T315" i="1"/>
  <c r="S315" i="1"/>
  <c r="R315" i="1"/>
  <c r="Q315" i="1"/>
  <c r="P315" i="1"/>
  <c r="O315" i="1"/>
  <c r="Z314" i="1"/>
  <c r="Y314" i="1"/>
  <c r="X314" i="1"/>
  <c r="W314" i="1"/>
  <c r="V314" i="1"/>
  <c r="U314" i="1"/>
  <c r="T314" i="1"/>
  <c r="S314" i="1"/>
  <c r="R314" i="1"/>
  <c r="Q314" i="1"/>
  <c r="P314" i="1"/>
  <c r="O314" i="1"/>
  <c r="Z313" i="1"/>
  <c r="Y313" i="1"/>
  <c r="X313" i="1"/>
  <c r="W313" i="1"/>
  <c r="V313" i="1"/>
  <c r="U313" i="1"/>
  <c r="T313" i="1"/>
  <c r="S313" i="1"/>
  <c r="R313" i="1"/>
  <c r="Q313" i="1"/>
  <c r="P313" i="1"/>
  <c r="O313" i="1"/>
  <c r="Z312" i="1"/>
  <c r="Y312" i="1"/>
  <c r="X312" i="1"/>
  <c r="W312" i="1"/>
  <c r="V312" i="1"/>
  <c r="U312" i="1"/>
  <c r="T312" i="1"/>
  <c r="S312" i="1"/>
  <c r="R312" i="1"/>
  <c r="Q312" i="1"/>
  <c r="P312" i="1"/>
  <c r="O312" i="1"/>
  <c r="Z311" i="1"/>
  <c r="Y311" i="1"/>
  <c r="X311" i="1"/>
  <c r="W311" i="1"/>
  <c r="V311" i="1"/>
  <c r="U311" i="1"/>
  <c r="T311" i="1"/>
  <c r="S311" i="1"/>
  <c r="R311" i="1"/>
  <c r="Q311" i="1"/>
  <c r="P311" i="1"/>
  <c r="O311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Z309" i="1"/>
  <c r="Y309" i="1"/>
  <c r="X309" i="1"/>
  <c r="W309" i="1"/>
  <c r="V309" i="1"/>
  <c r="U309" i="1"/>
  <c r="T309" i="1"/>
  <c r="S309" i="1"/>
  <c r="R309" i="1"/>
  <c r="Q309" i="1"/>
  <c r="P309" i="1"/>
  <c r="O309" i="1"/>
  <c r="Z308" i="1"/>
  <c r="Y308" i="1"/>
  <c r="X308" i="1"/>
  <c r="W308" i="1"/>
  <c r="V308" i="1"/>
  <c r="U308" i="1"/>
  <c r="T308" i="1"/>
  <c r="S308" i="1"/>
  <c r="R308" i="1"/>
  <c r="Q308" i="1"/>
  <c r="P308" i="1"/>
  <c r="O308" i="1"/>
  <c r="Z307" i="1"/>
  <c r="Y307" i="1"/>
  <c r="X307" i="1"/>
  <c r="W307" i="1"/>
  <c r="V307" i="1"/>
  <c r="U307" i="1"/>
  <c r="T307" i="1"/>
  <c r="S307" i="1"/>
  <c r="R307" i="1"/>
  <c r="Q307" i="1"/>
  <c r="P307" i="1"/>
  <c r="O307" i="1"/>
  <c r="Z306" i="1"/>
  <c r="Y306" i="1"/>
  <c r="X306" i="1"/>
  <c r="W306" i="1"/>
  <c r="V306" i="1"/>
  <c r="U306" i="1"/>
  <c r="T306" i="1"/>
  <c r="S306" i="1"/>
  <c r="R306" i="1"/>
  <c r="Q306" i="1"/>
  <c r="P306" i="1"/>
  <c r="O306" i="1"/>
  <c r="Z305" i="1"/>
  <c r="Y305" i="1"/>
  <c r="X305" i="1"/>
  <c r="W305" i="1"/>
  <c r="V305" i="1"/>
  <c r="U305" i="1"/>
  <c r="T305" i="1"/>
  <c r="S305" i="1"/>
  <c r="R305" i="1"/>
  <c r="Q305" i="1"/>
  <c r="P305" i="1"/>
  <c r="O305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Z303" i="1"/>
  <c r="Y303" i="1"/>
  <c r="X303" i="1"/>
  <c r="W303" i="1"/>
  <c r="V303" i="1"/>
  <c r="U303" i="1"/>
  <c r="T303" i="1"/>
  <c r="S303" i="1"/>
  <c r="R303" i="1"/>
  <c r="Q303" i="1"/>
  <c r="P303" i="1"/>
  <c r="O303" i="1"/>
  <c r="Z302" i="1"/>
  <c r="Y302" i="1"/>
  <c r="X302" i="1"/>
  <c r="W302" i="1"/>
  <c r="V302" i="1"/>
  <c r="U302" i="1"/>
  <c r="T302" i="1"/>
  <c r="S302" i="1"/>
  <c r="R302" i="1"/>
  <c r="Q302" i="1"/>
  <c r="P302" i="1"/>
  <c r="O302" i="1"/>
  <c r="Z301" i="1"/>
  <c r="Y301" i="1"/>
  <c r="X301" i="1"/>
  <c r="W301" i="1"/>
  <c r="V301" i="1"/>
  <c r="U301" i="1"/>
  <c r="T301" i="1"/>
  <c r="S301" i="1"/>
  <c r="R301" i="1"/>
  <c r="Q301" i="1"/>
  <c r="P301" i="1"/>
  <c r="O301" i="1"/>
  <c r="Z300" i="1"/>
  <c r="Y300" i="1"/>
  <c r="X300" i="1"/>
  <c r="W300" i="1"/>
  <c r="V300" i="1"/>
  <c r="U300" i="1"/>
  <c r="T300" i="1"/>
  <c r="S300" i="1"/>
  <c r="R300" i="1"/>
  <c r="Q300" i="1"/>
  <c r="P300" i="1"/>
  <c r="O300" i="1"/>
  <c r="Z299" i="1"/>
  <c r="Y299" i="1"/>
  <c r="X299" i="1"/>
  <c r="W299" i="1"/>
  <c r="V299" i="1"/>
  <c r="U299" i="1"/>
  <c r="T299" i="1"/>
  <c r="S299" i="1"/>
  <c r="R299" i="1"/>
  <c r="Q299" i="1"/>
  <c r="P299" i="1"/>
  <c r="O299" i="1"/>
  <c r="Z298" i="1"/>
  <c r="Y298" i="1"/>
  <c r="X298" i="1"/>
  <c r="W298" i="1"/>
  <c r="V298" i="1"/>
  <c r="U298" i="1"/>
  <c r="T298" i="1"/>
  <c r="S298" i="1"/>
  <c r="R298" i="1"/>
  <c r="Q298" i="1"/>
  <c r="P298" i="1"/>
  <c r="O298" i="1"/>
  <c r="Z297" i="1"/>
  <c r="Y297" i="1"/>
  <c r="X297" i="1"/>
  <c r="W297" i="1"/>
  <c r="V297" i="1"/>
  <c r="U297" i="1"/>
  <c r="T297" i="1"/>
  <c r="S297" i="1"/>
  <c r="R297" i="1"/>
  <c r="Q297" i="1"/>
  <c r="P297" i="1"/>
  <c r="O297" i="1"/>
  <c r="Z296" i="1"/>
  <c r="Y296" i="1"/>
  <c r="X296" i="1"/>
  <c r="W296" i="1"/>
  <c r="V296" i="1"/>
  <c r="U296" i="1"/>
  <c r="T296" i="1"/>
  <c r="S296" i="1"/>
  <c r="R296" i="1"/>
  <c r="Q296" i="1"/>
  <c r="P296" i="1"/>
  <c r="O296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Z294" i="1"/>
  <c r="Y294" i="1"/>
  <c r="X294" i="1"/>
  <c r="W294" i="1"/>
  <c r="V294" i="1"/>
  <c r="U294" i="1"/>
  <c r="T294" i="1"/>
  <c r="S294" i="1"/>
  <c r="R294" i="1"/>
  <c r="Q294" i="1"/>
  <c r="P294" i="1"/>
  <c r="O294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Z292" i="1"/>
  <c r="Y292" i="1"/>
  <c r="X292" i="1"/>
  <c r="W292" i="1"/>
  <c r="V292" i="1"/>
  <c r="U292" i="1"/>
  <c r="T292" i="1"/>
  <c r="S292" i="1"/>
  <c r="R292" i="1"/>
  <c r="Q292" i="1"/>
  <c r="P292" i="1"/>
  <c r="O292" i="1"/>
  <c r="Z291" i="1"/>
  <c r="Y291" i="1"/>
  <c r="X291" i="1"/>
  <c r="W291" i="1"/>
  <c r="V291" i="1"/>
  <c r="U291" i="1"/>
  <c r="T291" i="1"/>
  <c r="S291" i="1"/>
  <c r="R291" i="1"/>
  <c r="Q291" i="1"/>
  <c r="P291" i="1"/>
  <c r="O291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Z270" i="1"/>
  <c r="Y270" i="1"/>
  <c r="X270" i="1"/>
  <c r="W270" i="1"/>
  <c r="V270" i="1"/>
  <c r="U270" i="1"/>
  <c r="T270" i="1"/>
  <c r="S270" i="1"/>
  <c r="R270" i="1"/>
  <c r="Q270" i="1"/>
  <c r="P270" i="1"/>
  <c r="O270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Z99" i="1"/>
  <c r="Y99" i="1"/>
  <c r="X99" i="1"/>
  <c r="W99" i="1"/>
  <c r="V99" i="1"/>
  <c r="U99" i="1"/>
  <c r="T99" i="1"/>
  <c r="S99" i="1"/>
  <c r="R99" i="1"/>
  <c r="Q99" i="1"/>
  <c r="P99" i="1"/>
  <c r="O99" i="1"/>
  <c r="Z98" i="1"/>
  <c r="Y98" i="1"/>
  <c r="X98" i="1"/>
  <c r="W98" i="1"/>
  <c r="V98" i="1"/>
  <c r="U98" i="1"/>
  <c r="T98" i="1"/>
  <c r="S98" i="1"/>
  <c r="R98" i="1"/>
  <c r="Q98" i="1"/>
  <c r="P98" i="1"/>
  <c r="O98" i="1"/>
  <c r="Z97" i="1"/>
  <c r="Y97" i="1"/>
  <c r="X97" i="1"/>
  <c r="W97" i="1"/>
  <c r="V97" i="1"/>
  <c r="U97" i="1"/>
  <c r="T97" i="1"/>
  <c r="S97" i="1"/>
  <c r="R97" i="1"/>
  <c r="Q97" i="1"/>
  <c r="P97" i="1"/>
  <c r="O97" i="1"/>
  <c r="Z96" i="1"/>
  <c r="Y96" i="1"/>
  <c r="X96" i="1"/>
  <c r="W96" i="1"/>
  <c r="V96" i="1"/>
  <c r="U96" i="1"/>
  <c r="T96" i="1"/>
  <c r="S96" i="1"/>
  <c r="R96" i="1"/>
  <c r="Q96" i="1"/>
  <c r="P96" i="1"/>
  <c r="O96" i="1"/>
  <c r="Z95" i="1"/>
  <c r="Y95" i="1"/>
  <c r="X95" i="1"/>
  <c r="W95" i="1"/>
  <c r="V95" i="1"/>
  <c r="U95" i="1"/>
  <c r="T95" i="1"/>
  <c r="S95" i="1"/>
  <c r="R95" i="1"/>
  <c r="Q95" i="1"/>
  <c r="P95" i="1"/>
  <c r="O95" i="1"/>
  <c r="Z94" i="1"/>
  <c r="Y94" i="1"/>
  <c r="X94" i="1"/>
  <c r="W94" i="1"/>
  <c r="V94" i="1"/>
  <c r="U94" i="1"/>
  <c r="T94" i="1"/>
  <c r="S94" i="1"/>
  <c r="R94" i="1"/>
  <c r="Q94" i="1"/>
  <c r="P94" i="1"/>
  <c r="O94" i="1"/>
  <c r="Z93" i="1"/>
  <c r="Y93" i="1"/>
  <c r="X93" i="1"/>
  <c r="W93" i="1"/>
  <c r="V93" i="1"/>
  <c r="U93" i="1"/>
  <c r="T93" i="1"/>
  <c r="S93" i="1"/>
  <c r="R93" i="1"/>
  <c r="Q93" i="1"/>
  <c r="P93" i="1"/>
  <c r="O93" i="1"/>
  <c r="Z92" i="1"/>
  <c r="Y92" i="1"/>
  <c r="X92" i="1"/>
  <c r="W92" i="1"/>
  <c r="V92" i="1"/>
  <c r="U92" i="1"/>
  <c r="T92" i="1"/>
  <c r="S92" i="1"/>
  <c r="R92" i="1"/>
  <c r="Q92" i="1"/>
  <c r="P92" i="1"/>
  <c r="O92" i="1"/>
  <c r="Z91" i="1"/>
  <c r="Y91" i="1"/>
  <c r="X91" i="1"/>
  <c r="W91" i="1"/>
  <c r="V91" i="1"/>
  <c r="U91" i="1"/>
  <c r="T91" i="1"/>
  <c r="S91" i="1"/>
  <c r="R91" i="1"/>
  <c r="Q91" i="1"/>
  <c r="P91" i="1"/>
  <c r="O91" i="1"/>
  <c r="Z90" i="1"/>
  <c r="Y90" i="1"/>
  <c r="X90" i="1"/>
  <c r="W90" i="1"/>
  <c r="V90" i="1"/>
  <c r="U90" i="1"/>
  <c r="T90" i="1"/>
  <c r="S90" i="1"/>
  <c r="R90" i="1"/>
  <c r="Q90" i="1"/>
  <c r="P90" i="1"/>
  <c r="O90" i="1"/>
  <c r="Z89" i="1"/>
  <c r="Y89" i="1"/>
  <c r="X89" i="1"/>
  <c r="W89" i="1"/>
  <c r="V89" i="1"/>
  <c r="U89" i="1"/>
  <c r="T89" i="1"/>
  <c r="S89" i="1"/>
  <c r="R89" i="1"/>
  <c r="Q89" i="1"/>
  <c r="P89" i="1"/>
  <c r="O89" i="1"/>
  <c r="Z88" i="1"/>
  <c r="Y88" i="1"/>
  <c r="X88" i="1"/>
  <c r="W88" i="1"/>
  <c r="V88" i="1"/>
  <c r="U88" i="1"/>
  <c r="T88" i="1"/>
  <c r="S88" i="1"/>
  <c r="R88" i="1"/>
  <c r="Q88" i="1"/>
  <c r="P88" i="1"/>
  <c r="O88" i="1"/>
  <c r="Z87" i="1"/>
  <c r="Y87" i="1"/>
  <c r="X87" i="1"/>
  <c r="W87" i="1"/>
  <c r="V87" i="1"/>
  <c r="U87" i="1"/>
  <c r="T87" i="1"/>
  <c r="S87" i="1"/>
  <c r="R87" i="1"/>
  <c r="Q87" i="1"/>
  <c r="P87" i="1"/>
  <c r="O87" i="1"/>
  <c r="Z86" i="1"/>
  <c r="Y86" i="1"/>
  <c r="X86" i="1"/>
  <c r="W86" i="1"/>
  <c r="V86" i="1"/>
  <c r="U86" i="1"/>
  <c r="T86" i="1"/>
  <c r="S86" i="1"/>
  <c r="R86" i="1"/>
  <c r="Q86" i="1"/>
  <c r="P86" i="1"/>
  <c r="O86" i="1"/>
  <c r="Z85" i="1"/>
  <c r="Y85" i="1"/>
  <c r="X85" i="1"/>
  <c r="W85" i="1"/>
  <c r="V85" i="1"/>
  <c r="U85" i="1"/>
  <c r="T85" i="1"/>
  <c r="S85" i="1"/>
  <c r="R85" i="1"/>
  <c r="Q85" i="1"/>
  <c r="P85" i="1"/>
  <c r="O85" i="1"/>
  <c r="Z84" i="1"/>
  <c r="Y84" i="1"/>
  <c r="X84" i="1"/>
  <c r="W84" i="1"/>
  <c r="V84" i="1"/>
  <c r="U84" i="1"/>
  <c r="T84" i="1"/>
  <c r="S84" i="1"/>
  <c r="R84" i="1"/>
  <c r="Q84" i="1"/>
  <c r="P84" i="1"/>
  <c r="O84" i="1"/>
  <c r="Z83" i="1"/>
  <c r="Y83" i="1"/>
  <c r="X83" i="1"/>
  <c r="W83" i="1"/>
  <c r="V83" i="1"/>
  <c r="U83" i="1"/>
  <c r="T83" i="1"/>
  <c r="S83" i="1"/>
  <c r="R83" i="1"/>
  <c r="Q83" i="1"/>
  <c r="P83" i="1"/>
  <c r="O83" i="1"/>
  <c r="Z82" i="1"/>
  <c r="Y82" i="1"/>
  <c r="X82" i="1"/>
  <c r="W82" i="1"/>
  <c r="V82" i="1"/>
  <c r="U82" i="1"/>
  <c r="T82" i="1"/>
  <c r="S82" i="1"/>
  <c r="R82" i="1"/>
  <c r="Q82" i="1"/>
  <c r="P82" i="1"/>
  <c r="O82" i="1"/>
  <c r="Z81" i="1"/>
  <c r="Y81" i="1"/>
  <c r="X81" i="1"/>
  <c r="W81" i="1"/>
  <c r="V81" i="1"/>
  <c r="U81" i="1"/>
  <c r="T81" i="1"/>
  <c r="S81" i="1"/>
  <c r="R81" i="1"/>
  <c r="Q81" i="1"/>
  <c r="P81" i="1"/>
  <c r="O81" i="1"/>
  <c r="Z80" i="1"/>
  <c r="Y80" i="1"/>
  <c r="X80" i="1"/>
  <c r="W80" i="1"/>
  <c r="V80" i="1"/>
  <c r="U80" i="1"/>
  <c r="T80" i="1"/>
  <c r="S80" i="1"/>
  <c r="R80" i="1"/>
  <c r="Q80" i="1"/>
  <c r="P80" i="1"/>
  <c r="O80" i="1"/>
  <c r="Z79" i="1"/>
  <c r="Y79" i="1"/>
  <c r="X79" i="1"/>
  <c r="W79" i="1"/>
  <c r="V79" i="1"/>
  <c r="U79" i="1"/>
  <c r="T79" i="1"/>
  <c r="S79" i="1"/>
  <c r="R79" i="1"/>
  <c r="Q79" i="1"/>
  <c r="P79" i="1"/>
  <c r="O79" i="1"/>
  <c r="Z78" i="1"/>
  <c r="Y78" i="1"/>
  <c r="X78" i="1"/>
  <c r="W78" i="1"/>
  <c r="V78" i="1"/>
  <c r="U78" i="1"/>
  <c r="T78" i="1"/>
  <c r="S78" i="1"/>
  <c r="R78" i="1"/>
  <c r="Q78" i="1"/>
  <c r="P78" i="1"/>
  <c r="O78" i="1"/>
  <c r="Z77" i="1"/>
  <c r="Y77" i="1"/>
  <c r="X77" i="1"/>
  <c r="W77" i="1"/>
  <c r="V77" i="1"/>
  <c r="U77" i="1"/>
  <c r="T77" i="1"/>
  <c r="S77" i="1"/>
  <c r="R77" i="1"/>
  <c r="Q77" i="1"/>
  <c r="P77" i="1"/>
  <c r="O77" i="1"/>
  <c r="Z76" i="1"/>
  <c r="Y76" i="1"/>
  <c r="X76" i="1"/>
  <c r="W76" i="1"/>
  <c r="V76" i="1"/>
  <c r="U76" i="1"/>
  <c r="T76" i="1"/>
  <c r="S76" i="1"/>
  <c r="R76" i="1"/>
  <c r="Q76" i="1"/>
  <c r="P76" i="1"/>
  <c r="O76" i="1"/>
  <c r="Z75" i="1"/>
  <c r="Y75" i="1"/>
  <c r="X75" i="1"/>
  <c r="W75" i="1"/>
  <c r="V75" i="1"/>
  <c r="U75" i="1"/>
  <c r="T75" i="1"/>
  <c r="S75" i="1"/>
  <c r="R75" i="1"/>
  <c r="Q75" i="1"/>
  <c r="P75" i="1"/>
  <c r="O75" i="1"/>
  <c r="Z74" i="1"/>
  <c r="Y74" i="1"/>
  <c r="X74" i="1"/>
  <c r="W74" i="1"/>
  <c r="V74" i="1"/>
  <c r="U74" i="1"/>
  <c r="T74" i="1"/>
  <c r="S74" i="1"/>
  <c r="R74" i="1"/>
  <c r="Q74" i="1"/>
  <c r="P74" i="1"/>
  <c r="O74" i="1"/>
  <c r="Z73" i="1"/>
  <c r="Y73" i="1"/>
  <c r="X73" i="1"/>
  <c r="W73" i="1"/>
  <c r="V73" i="1"/>
  <c r="U73" i="1"/>
  <c r="T73" i="1"/>
  <c r="S73" i="1"/>
  <c r="R73" i="1"/>
  <c r="Q73" i="1"/>
  <c r="P73" i="1"/>
  <c r="O73" i="1"/>
  <c r="Z72" i="1"/>
  <c r="Y72" i="1"/>
  <c r="X72" i="1"/>
  <c r="W72" i="1"/>
  <c r="V72" i="1"/>
  <c r="U72" i="1"/>
  <c r="T72" i="1"/>
  <c r="S72" i="1"/>
  <c r="R72" i="1"/>
  <c r="Q72" i="1"/>
  <c r="P72" i="1"/>
  <c r="O72" i="1"/>
  <c r="Z71" i="1"/>
  <c r="Y71" i="1"/>
  <c r="X71" i="1"/>
  <c r="W71" i="1"/>
  <c r="V71" i="1"/>
  <c r="U71" i="1"/>
  <c r="T71" i="1"/>
  <c r="S71" i="1"/>
  <c r="R71" i="1"/>
  <c r="Q71" i="1"/>
  <c r="P71" i="1"/>
  <c r="O71" i="1"/>
  <c r="Z70" i="1"/>
  <c r="Y70" i="1"/>
  <c r="X70" i="1"/>
  <c r="W70" i="1"/>
  <c r="V70" i="1"/>
  <c r="U70" i="1"/>
  <c r="T70" i="1"/>
  <c r="S70" i="1"/>
  <c r="R70" i="1"/>
  <c r="Q70" i="1"/>
  <c r="P70" i="1"/>
  <c r="O70" i="1"/>
  <c r="Z69" i="1"/>
  <c r="Y69" i="1"/>
  <c r="X69" i="1"/>
  <c r="W69" i="1"/>
  <c r="V69" i="1"/>
  <c r="U69" i="1"/>
  <c r="T69" i="1"/>
  <c r="S69" i="1"/>
  <c r="R69" i="1"/>
  <c r="Q69" i="1"/>
  <c r="P69" i="1"/>
  <c r="O69" i="1"/>
  <c r="Z68" i="1"/>
  <c r="Y68" i="1"/>
  <c r="X68" i="1"/>
  <c r="W68" i="1"/>
  <c r="V68" i="1"/>
  <c r="U68" i="1"/>
  <c r="T68" i="1"/>
  <c r="S68" i="1"/>
  <c r="R68" i="1"/>
  <c r="Q68" i="1"/>
  <c r="P68" i="1"/>
  <c r="O68" i="1"/>
  <c r="Z67" i="1"/>
  <c r="Y67" i="1"/>
  <c r="X67" i="1"/>
  <c r="W67" i="1"/>
  <c r="V67" i="1"/>
  <c r="U67" i="1"/>
  <c r="T67" i="1"/>
  <c r="S67" i="1"/>
  <c r="R67" i="1"/>
  <c r="Q67" i="1"/>
  <c r="P67" i="1"/>
  <c r="O67" i="1"/>
  <c r="Z66" i="1"/>
  <c r="Y66" i="1"/>
  <c r="X66" i="1"/>
  <c r="W66" i="1"/>
  <c r="V66" i="1"/>
  <c r="U66" i="1"/>
  <c r="T66" i="1"/>
  <c r="S66" i="1"/>
  <c r="R66" i="1"/>
  <c r="Q66" i="1"/>
  <c r="P66" i="1"/>
  <c r="O66" i="1"/>
  <c r="Z65" i="1"/>
  <c r="Y65" i="1"/>
  <c r="X65" i="1"/>
  <c r="W65" i="1"/>
  <c r="V65" i="1"/>
  <c r="U65" i="1"/>
  <c r="T65" i="1"/>
  <c r="S65" i="1"/>
  <c r="R65" i="1"/>
  <c r="Q65" i="1"/>
  <c r="P65" i="1"/>
  <c r="O65" i="1"/>
  <c r="Z64" i="1"/>
  <c r="Y64" i="1"/>
  <c r="X64" i="1"/>
  <c r="W64" i="1"/>
  <c r="V64" i="1"/>
  <c r="U64" i="1"/>
  <c r="T64" i="1"/>
  <c r="S64" i="1"/>
  <c r="R64" i="1"/>
  <c r="Q64" i="1"/>
  <c r="P64" i="1"/>
  <c r="O64" i="1"/>
  <c r="Z63" i="1"/>
  <c r="Y63" i="1"/>
  <c r="X63" i="1"/>
  <c r="W63" i="1"/>
  <c r="V63" i="1"/>
  <c r="U63" i="1"/>
  <c r="T63" i="1"/>
  <c r="S63" i="1"/>
  <c r="R63" i="1"/>
  <c r="Q63" i="1"/>
  <c r="P63" i="1"/>
  <c r="O63" i="1"/>
  <c r="Z62" i="1"/>
  <c r="Y62" i="1"/>
  <c r="X62" i="1"/>
  <c r="W62" i="1"/>
  <c r="V62" i="1"/>
  <c r="U62" i="1"/>
  <c r="T62" i="1"/>
  <c r="S62" i="1"/>
  <c r="R62" i="1"/>
  <c r="Q62" i="1"/>
  <c r="P62" i="1"/>
  <c r="O62" i="1"/>
  <c r="Z61" i="1"/>
  <c r="Y61" i="1"/>
  <c r="X61" i="1"/>
  <c r="W61" i="1"/>
  <c r="V61" i="1"/>
  <c r="U61" i="1"/>
  <c r="T61" i="1"/>
  <c r="S61" i="1"/>
  <c r="R61" i="1"/>
  <c r="Q61" i="1"/>
  <c r="P61" i="1"/>
  <c r="O61" i="1"/>
  <c r="Z60" i="1"/>
  <c r="Y60" i="1"/>
  <c r="X60" i="1"/>
  <c r="W60" i="1"/>
  <c r="V60" i="1"/>
  <c r="U60" i="1"/>
  <c r="T60" i="1"/>
  <c r="S60" i="1"/>
  <c r="R60" i="1"/>
  <c r="Q60" i="1"/>
  <c r="P60" i="1"/>
  <c r="O60" i="1"/>
  <c r="Z59" i="1"/>
  <c r="Y59" i="1"/>
  <c r="X59" i="1"/>
  <c r="W59" i="1"/>
  <c r="V59" i="1"/>
  <c r="U59" i="1"/>
  <c r="T59" i="1"/>
  <c r="S59" i="1"/>
  <c r="R59" i="1"/>
  <c r="Q59" i="1"/>
  <c r="P59" i="1"/>
  <c r="O59" i="1"/>
  <c r="Z58" i="1"/>
  <c r="Y58" i="1"/>
  <c r="X58" i="1"/>
  <c r="W58" i="1"/>
  <c r="V58" i="1"/>
  <c r="U58" i="1"/>
  <c r="T58" i="1"/>
  <c r="S58" i="1"/>
  <c r="R58" i="1"/>
  <c r="Q58" i="1"/>
  <c r="P58" i="1"/>
  <c r="O58" i="1"/>
  <c r="Z57" i="1"/>
  <c r="Y57" i="1"/>
  <c r="X57" i="1"/>
  <c r="W57" i="1"/>
  <c r="V57" i="1"/>
  <c r="U57" i="1"/>
  <c r="T57" i="1"/>
  <c r="S57" i="1"/>
  <c r="R57" i="1"/>
  <c r="Q57" i="1"/>
  <c r="P57" i="1"/>
  <c r="O57" i="1"/>
  <c r="Z56" i="1"/>
  <c r="Y56" i="1"/>
  <c r="X56" i="1"/>
  <c r="W56" i="1"/>
  <c r="V56" i="1"/>
  <c r="U56" i="1"/>
  <c r="T56" i="1"/>
  <c r="S56" i="1"/>
  <c r="R56" i="1"/>
  <c r="Q56" i="1"/>
  <c r="P56" i="1"/>
  <c r="O56" i="1"/>
  <c r="Z55" i="1"/>
  <c r="Y55" i="1"/>
  <c r="X55" i="1"/>
  <c r="W55" i="1"/>
  <c r="V55" i="1"/>
  <c r="U55" i="1"/>
  <c r="T55" i="1"/>
  <c r="S55" i="1"/>
  <c r="R55" i="1"/>
  <c r="Q55" i="1"/>
  <c r="P55" i="1"/>
  <c r="O55" i="1"/>
  <c r="Z54" i="1"/>
  <c r="Y54" i="1"/>
  <c r="X54" i="1"/>
  <c r="W54" i="1"/>
  <c r="V54" i="1"/>
  <c r="U54" i="1"/>
  <c r="T54" i="1"/>
  <c r="S54" i="1"/>
  <c r="R54" i="1"/>
  <c r="Q54" i="1"/>
  <c r="P54" i="1"/>
  <c r="O54" i="1"/>
  <c r="Z53" i="1"/>
  <c r="Y53" i="1"/>
  <c r="X53" i="1"/>
  <c r="W53" i="1"/>
  <c r="V53" i="1"/>
  <c r="U53" i="1"/>
  <c r="T53" i="1"/>
  <c r="S53" i="1"/>
  <c r="R53" i="1"/>
  <c r="Q53" i="1"/>
  <c r="P53" i="1"/>
  <c r="O53" i="1"/>
  <c r="Z52" i="1"/>
  <c r="Y52" i="1"/>
  <c r="X52" i="1"/>
  <c r="W52" i="1"/>
  <c r="V52" i="1"/>
  <c r="U52" i="1"/>
  <c r="T52" i="1"/>
  <c r="S52" i="1"/>
  <c r="R52" i="1"/>
  <c r="Q52" i="1"/>
  <c r="P52" i="1"/>
  <c r="O52" i="1"/>
  <c r="Z51" i="1"/>
  <c r="Y51" i="1"/>
  <c r="X51" i="1"/>
  <c r="W51" i="1"/>
  <c r="V51" i="1"/>
  <c r="U51" i="1"/>
  <c r="T51" i="1"/>
  <c r="S51" i="1"/>
  <c r="R51" i="1"/>
  <c r="Q51" i="1"/>
  <c r="P51" i="1"/>
  <c r="O51" i="1"/>
  <c r="Z50" i="1"/>
  <c r="Y50" i="1"/>
  <c r="X50" i="1"/>
  <c r="W50" i="1"/>
  <c r="V50" i="1"/>
  <c r="U50" i="1"/>
  <c r="T50" i="1"/>
  <c r="S50" i="1"/>
  <c r="R50" i="1"/>
  <c r="Q50" i="1"/>
  <c r="P50" i="1"/>
  <c r="O50" i="1"/>
  <c r="Z49" i="1"/>
  <c r="Y49" i="1"/>
  <c r="X49" i="1"/>
  <c r="W49" i="1"/>
  <c r="V49" i="1"/>
  <c r="U49" i="1"/>
  <c r="T49" i="1"/>
  <c r="S49" i="1"/>
  <c r="R49" i="1"/>
  <c r="Q49" i="1"/>
  <c r="P49" i="1"/>
  <c r="O49" i="1"/>
  <c r="Z48" i="1"/>
  <c r="Y48" i="1"/>
  <c r="X48" i="1"/>
  <c r="W48" i="1"/>
  <c r="V48" i="1"/>
  <c r="U48" i="1"/>
  <c r="T48" i="1"/>
  <c r="S48" i="1"/>
  <c r="R48" i="1"/>
  <c r="Q48" i="1"/>
  <c r="P48" i="1"/>
  <c r="O48" i="1"/>
  <c r="Z47" i="1"/>
  <c r="Y47" i="1"/>
  <c r="X47" i="1"/>
  <c r="W47" i="1"/>
  <c r="V47" i="1"/>
  <c r="U47" i="1"/>
  <c r="T47" i="1"/>
  <c r="S47" i="1"/>
  <c r="R47" i="1"/>
  <c r="Q47" i="1"/>
  <c r="P47" i="1"/>
  <c r="O47" i="1"/>
  <c r="Z46" i="1"/>
  <c r="Y46" i="1"/>
  <c r="X46" i="1"/>
  <c r="W46" i="1"/>
  <c r="V46" i="1"/>
  <c r="U46" i="1"/>
  <c r="T46" i="1"/>
  <c r="S46" i="1"/>
  <c r="R46" i="1"/>
  <c r="Q46" i="1"/>
  <c r="P46" i="1"/>
  <c r="O46" i="1"/>
  <c r="Z45" i="1"/>
  <c r="Y45" i="1"/>
  <c r="X45" i="1"/>
  <c r="W45" i="1"/>
  <c r="V45" i="1"/>
  <c r="U45" i="1"/>
  <c r="T45" i="1"/>
  <c r="S45" i="1"/>
  <c r="R45" i="1"/>
  <c r="Q45" i="1"/>
  <c r="P45" i="1"/>
  <c r="O45" i="1"/>
  <c r="Z44" i="1"/>
  <c r="Y44" i="1"/>
  <c r="X44" i="1"/>
  <c r="W44" i="1"/>
  <c r="V44" i="1"/>
  <c r="U44" i="1"/>
  <c r="T44" i="1"/>
  <c r="S44" i="1"/>
  <c r="R44" i="1"/>
  <c r="Q44" i="1"/>
  <c r="P44" i="1"/>
  <c r="O44" i="1"/>
  <c r="Z43" i="1"/>
  <c r="Y43" i="1"/>
  <c r="X43" i="1"/>
  <c r="W43" i="1"/>
  <c r="V43" i="1"/>
  <c r="U43" i="1"/>
  <c r="T43" i="1"/>
  <c r="S43" i="1"/>
  <c r="R43" i="1"/>
  <c r="Q43" i="1"/>
  <c r="P43" i="1"/>
  <c r="O43" i="1"/>
  <c r="Z42" i="1"/>
  <c r="Y42" i="1"/>
  <c r="X42" i="1"/>
  <c r="W42" i="1"/>
  <c r="V42" i="1"/>
  <c r="U42" i="1"/>
  <c r="T42" i="1"/>
  <c r="S42" i="1"/>
  <c r="R42" i="1"/>
  <c r="Q42" i="1"/>
  <c r="P42" i="1"/>
  <c r="O42" i="1"/>
  <c r="Z41" i="1"/>
  <c r="Y41" i="1"/>
  <c r="X41" i="1"/>
  <c r="W41" i="1"/>
  <c r="V41" i="1"/>
  <c r="U41" i="1"/>
  <c r="T41" i="1"/>
  <c r="S41" i="1"/>
  <c r="R41" i="1"/>
  <c r="Q41" i="1"/>
  <c r="P41" i="1"/>
  <c r="O41" i="1"/>
  <c r="Z40" i="1"/>
  <c r="Y40" i="1"/>
  <c r="X40" i="1"/>
  <c r="W40" i="1"/>
  <c r="V40" i="1"/>
  <c r="U40" i="1"/>
  <c r="T40" i="1"/>
  <c r="S40" i="1"/>
  <c r="R40" i="1"/>
  <c r="Q40" i="1"/>
  <c r="P40" i="1"/>
  <c r="O40" i="1"/>
  <c r="Z39" i="1"/>
  <c r="Y39" i="1"/>
  <c r="X39" i="1"/>
  <c r="W39" i="1"/>
  <c r="V39" i="1"/>
  <c r="U39" i="1"/>
  <c r="T39" i="1"/>
  <c r="S39" i="1"/>
  <c r="R39" i="1"/>
  <c r="Q39" i="1"/>
  <c r="P39" i="1"/>
  <c r="O39" i="1"/>
  <c r="Z38" i="1"/>
  <c r="Y38" i="1"/>
  <c r="X38" i="1"/>
  <c r="W38" i="1"/>
  <c r="V38" i="1"/>
  <c r="U38" i="1"/>
  <c r="T38" i="1"/>
  <c r="S38" i="1"/>
  <c r="R38" i="1"/>
  <c r="Q38" i="1"/>
  <c r="P38" i="1"/>
  <c r="O38" i="1"/>
  <c r="Z37" i="1"/>
  <c r="Y37" i="1"/>
  <c r="X37" i="1"/>
  <c r="W37" i="1"/>
  <c r="V37" i="1"/>
  <c r="U37" i="1"/>
  <c r="T37" i="1"/>
  <c r="S37" i="1"/>
  <c r="R37" i="1"/>
  <c r="Q37" i="1"/>
  <c r="P37" i="1"/>
  <c r="O37" i="1"/>
  <c r="Z36" i="1"/>
  <c r="Y36" i="1"/>
  <c r="X36" i="1"/>
  <c r="W36" i="1"/>
  <c r="V36" i="1"/>
  <c r="U36" i="1"/>
  <c r="T36" i="1"/>
  <c r="S36" i="1"/>
  <c r="R36" i="1"/>
  <c r="Q36" i="1"/>
  <c r="P36" i="1"/>
  <c r="O36" i="1"/>
  <c r="Z35" i="1"/>
  <c r="Y35" i="1"/>
  <c r="X35" i="1"/>
  <c r="W35" i="1"/>
  <c r="V35" i="1"/>
  <c r="U35" i="1"/>
  <c r="T35" i="1"/>
  <c r="S35" i="1"/>
  <c r="R35" i="1"/>
  <c r="Q35" i="1"/>
  <c r="P35" i="1"/>
  <c r="O35" i="1"/>
  <c r="Z34" i="1"/>
  <c r="Y34" i="1"/>
  <c r="X34" i="1"/>
  <c r="W34" i="1"/>
  <c r="V34" i="1"/>
  <c r="U34" i="1"/>
  <c r="T34" i="1"/>
  <c r="S34" i="1"/>
  <c r="R34" i="1"/>
  <c r="Q34" i="1"/>
  <c r="P34" i="1"/>
  <c r="O34" i="1"/>
  <c r="Z33" i="1"/>
  <c r="Y33" i="1"/>
  <c r="X33" i="1"/>
  <c r="W33" i="1"/>
  <c r="V33" i="1"/>
  <c r="U33" i="1"/>
  <c r="T33" i="1"/>
  <c r="S33" i="1"/>
  <c r="R33" i="1"/>
  <c r="Q33" i="1"/>
  <c r="P33" i="1"/>
  <c r="O33" i="1"/>
  <c r="Z32" i="1"/>
  <c r="Y32" i="1"/>
  <c r="X32" i="1"/>
  <c r="W32" i="1"/>
  <c r="V32" i="1"/>
  <c r="U32" i="1"/>
  <c r="T32" i="1"/>
  <c r="S32" i="1"/>
  <c r="R32" i="1"/>
  <c r="Q32" i="1"/>
  <c r="P32" i="1"/>
  <c r="O32" i="1"/>
  <c r="Z31" i="1"/>
  <c r="Y31" i="1"/>
  <c r="X31" i="1"/>
  <c r="W31" i="1"/>
  <c r="V31" i="1"/>
  <c r="U31" i="1"/>
  <c r="T31" i="1"/>
  <c r="S31" i="1"/>
  <c r="R31" i="1"/>
  <c r="Q31" i="1"/>
  <c r="P31" i="1"/>
  <c r="O31" i="1"/>
  <c r="Z30" i="1"/>
  <c r="Y30" i="1"/>
  <c r="X30" i="1"/>
  <c r="W30" i="1"/>
  <c r="V30" i="1"/>
  <c r="U30" i="1"/>
  <c r="T30" i="1"/>
  <c r="S30" i="1"/>
  <c r="R30" i="1"/>
  <c r="Q30" i="1"/>
  <c r="P30" i="1"/>
  <c r="O30" i="1"/>
  <c r="Z29" i="1"/>
  <c r="Y29" i="1"/>
  <c r="X29" i="1"/>
  <c r="W29" i="1"/>
  <c r="V29" i="1"/>
  <c r="U29" i="1"/>
  <c r="T29" i="1"/>
  <c r="S29" i="1"/>
  <c r="R29" i="1"/>
  <c r="Q29" i="1"/>
  <c r="P29" i="1"/>
  <c r="O29" i="1"/>
  <c r="Z28" i="1"/>
  <c r="Y28" i="1"/>
  <c r="X28" i="1"/>
  <c r="W28" i="1"/>
  <c r="V28" i="1"/>
  <c r="U28" i="1"/>
  <c r="T28" i="1"/>
  <c r="S28" i="1"/>
  <c r="R28" i="1"/>
  <c r="Q28" i="1"/>
  <c r="P28" i="1"/>
  <c r="O28" i="1"/>
  <c r="Z27" i="1"/>
  <c r="Y27" i="1"/>
  <c r="X27" i="1"/>
  <c r="W27" i="1"/>
  <c r="V27" i="1"/>
  <c r="U27" i="1"/>
  <c r="T27" i="1"/>
  <c r="S27" i="1"/>
  <c r="R27" i="1"/>
  <c r="Q27" i="1"/>
  <c r="P27" i="1"/>
  <c r="O27" i="1"/>
  <c r="Z26" i="1"/>
  <c r="Y26" i="1"/>
  <c r="X26" i="1"/>
  <c r="W26" i="1"/>
  <c r="V26" i="1"/>
  <c r="U26" i="1"/>
  <c r="T26" i="1"/>
  <c r="S26" i="1"/>
  <c r="R26" i="1"/>
  <c r="Q26" i="1"/>
  <c r="P26" i="1"/>
  <c r="O26" i="1"/>
  <c r="Z25" i="1"/>
  <c r="Y25" i="1"/>
  <c r="X25" i="1"/>
  <c r="W25" i="1"/>
  <c r="V25" i="1"/>
  <c r="U25" i="1"/>
  <c r="T25" i="1"/>
  <c r="S25" i="1"/>
  <c r="R25" i="1"/>
  <c r="Q25" i="1"/>
  <c r="P25" i="1"/>
  <c r="O25" i="1"/>
  <c r="Z24" i="1"/>
  <c r="Y24" i="1"/>
  <c r="X24" i="1"/>
  <c r="W24" i="1"/>
  <c r="V24" i="1"/>
  <c r="U24" i="1"/>
  <c r="T24" i="1"/>
  <c r="S24" i="1"/>
  <c r="R24" i="1"/>
  <c r="Q24" i="1"/>
  <c r="P24" i="1"/>
  <c r="O24" i="1"/>
  <c r="Z23" i="1"/>
  <c r="Y23" i="1"/>
  <c r="X23" i="1"/>
  <c r="W23" i="1"/>
  <c r="V23" i="1"/>
  <c r="U23" i="1"/>
  <c r="T23" i="1"/>
  <c r="S23" i="1"/>
  <c r="R23" i="1"/>
  <c r="Q23" i="1"/>
  <c r="P23" i="1"/>
  <c r="O23" i="1"/>
  <c r="Z22" i="1"/>
  <c r="Y22" i="1"/>
  <c r="X22" i="1"/>
  <c r="W22" i="1"/>
  <c r="V22" i="1"/>
  <c r="U22" i="1"/>
  <c r="T22" i="1"/>
  <c r="S22" i="1"/>
  <c r="R22" i="1"/>
  <c r="Q22" i="1"/>
  <c r="P22" i="1"/>
  <c r="O22" i="1"/>
  <c r="Z21" i="1"/>
  <c r="Y21" i="1"/>
  <c r="X21" i="1"/>
  <c r="W21" i="1"/>
  <c r="V21" i="1"/>
  <c r="U21" i="1"/>
  <c r="T21" i="1"/>
  <c r="S21" i="1"/>
  <c r="R21" i="1"/>
  <c r="Q21" i="1"/>
  <c r="P21" i="1"/>
  <c r="O21" i="1"/>
  <c r="Z20" i="1"/>
  <c r="Y20" i="1"/>
  <c r="X20" i="1"/>
  <c r="W20" i="1"/>
  <c r="V20" i="1"/>
  <c r="U20" i="1"/>
  <c r="T20" i="1"/>
  <c r="S20" i="1"/>
  <c r="R20" i="1"/>
  <c r="Q20" i="1"/>
  <c r="P20" i="1"/>
  <c r="O20" i="1"/>
  <c r="Z19" i="1"/>
  <c r="Y19" i="1"/>
  <c r="X19" i="1"/>
  <c r="W19" i="1"/>
  <c r="V19" i="1"/>
  <c r="U19" i="1"/>
  <c r="T19" i="1"/>
  <c r="S19" i="1"/>
  <c r="R19" i="1"/>
  <c r="Q19" i="1"/>
  <c r="P19" i="1"/>
  <c r="O19" i="1"/>
  <c r="Z18" i="1"/>
  <c r="Y18" i="1"/>
  <c r="X18" i="1"/>
  <c r="W18" i="1"/>
  <c r="V18" i="1"/>
  <c r="U18" i="1"/>
  <c r="T18" i="1"/>
  <c r="S18" i="1"/>
  <c r="R18" i="1"/>
  <c r="Q18" i="1"/>
  <c r="P18" i="1"/>
  <c r="O18" i="1"/>
  <c r="Z17" i="1"/>
  <c r="Y17" i="1"/>
  <c r="X17" i="1"/>
  <c r="W17" i="1"/>
  <c r="V17" i="1"/>
  <c r="U17" i="1"/>
  <c r="T17" i="1"/>
  <c r="S17" i="1"/>
  <c r="R17" i="1"/>
  <c r="Q17" i="1"/>
  <c r="P17" i="1"/>
  <c r="O17" i="1"/>
  <c r="Z16" i="1"/>
  <c r="Y16" i="1"/>
  <c r="X16" i="1"/>
  <c r="W16" i="1"/>
  <c r="V16" i="1"/>
  <c r="U16" i="1"/>
  <c r="T16" i="1"/>
  <c r="S16" i="1"/>
  <c r="R16" i="1"/>
  <c r="Q16" i="1"/>
  <c r="P16" i="1"/>
  <c r="O16" i="1"/>
  <c r="Z15" i="1"/>
  <c r="Y15" i="1"/>
  <c r="X15" i="1"/>
  <c r="W15" i="1"/>
  <c r="V15" i="1"/>
  <c r="U15" i="1"/>
  <c r="T15" i="1"/>
  <c r="S15" i="1"/>
  <c r="R15" i="1"/>
  <c r="Q15" i="1"/>
  <c r="P15" i="1"/>
  <c r="O15" i="1"/>
  <c r="Z14" i="1"/>
  <c r="Y14" i="1"/>
  <c r="X14" i="1"/>
  <c r="W14" i="1"/>
  <c r="V14" i="1"/>
  <c r="U14" i="1"/>
  <c r="T14" i="1"/>
  <c r="S14" i="1"/>
  <c r="R14" i="1"/>
  <c r="Q14" i="1"/>
  <c r="P14" i="1"/>
  <c r="O14" i="1"/>
  <c r="Z13" i="1"/>
  <c r="Y13" i="1"/>
  <c r="X13" i="1"/>
  <c r="W13" i="1"/>
  <c r="V13" i="1"/>
  <c r="U13" i="1"/>
  <c r="T13" i="1"/>
  <c r="S13" i="1"/>
  <c r="R13" i="1"/>
  <c r="Q13" i="1"/>
  <c r="P13" i="1"/>
  <c r="O13" i="1"/>
  <c r="Z12" i="1"/>
  <c r="Y12" i="1"/>
  <c r="X12" i="1"/>
  <c r="W12" i="1"/>
  <c r="V12" i="1"/>
  <c r="U12" i="1"/>
  <c r="T12" i="1"/>
  <c r="S12" i="1"/>
  <c r="R12" i="1"/>
  <c r="Q12" i="1"/>
  <c r="P12" i="1"/>
  <c r="O12" i="1"/>
  <c r="Z11" i="1"/>
  <c r="Y11" i="1"/>
  <c r="X11" i="1"/>
  <c r="W11" i="1"/>
  <c r="V11" i="1"/>
  <c r="U11" i="1"/>
  <c r="T11" i="1"/>
  <c r="S11" i="1"/>
  <c r="R11" i="1"/>
  <c r="Q11" i="1"/>
  <c r="P11" i="1"/>
  <c r="O11" i="1"/>
  <c r="Z10" i="1"/>
  <c r="Y10" i="1"/>
  <c r="X10" i="1"/>
  <c r="W10" i="1"/>
  <c r="V10" i="1"/>
  <c r="U10" i="1"/>
  <c r="T10" i="1"/>
  <c r="S10" i="1"/>
  <c r="R10" i="1"/>
  <c r="Q10" i="1"/>
  <c r="P10" i="1"/>
  <c r="O10" i="1"/>
  <c r="Z9" i="1"/>
  <c r="Y9" i="1"/>
  <c r="X9" i="1"/>
  <c r="W9" i="1"/>
  <c r="V9" i="1"/>
  <c r="U9" i="1"/>
  <c r="T9" i="1"/>
  <c r="S9" i="1"/>
  <c r="R9" i="1"/>
  <c r="Q9" i="1"/>
  <c r="P9" i="1"/>
  <c r="O9" i="1"/>
  <c r="Z8" i="1"/>
  <c r="Y8" i="1"/>
  <c r="X8" i="1"/>
  <c r="W8" i="1"/>
  <c r="V8" i="1"/>
  <c r="U8" i="1"/>
  <c r="T8" i="1"/>
  <c r="S8" i="1"/>
  <c r="R8" i="1"/>
  <c r="Q8" i="1"/>
  <c r="P8" i="1"/>
  <c r="O8" i="1"/>
  <c r="Z7" i="1"/>
  <c r="Y7" i="1"/>
  <c r="X7" i="1"/>
  <c r="W7" i="1"/>
  <c r="V7" i="1"/>
  <c r="U7" i="1"/>
  <c r="T7" i="1"/>
  <c r="S7" i="1"/>
  <c r="R7" i="1"/>
  <c r="Q7" i="1"/>
  <c r="P7" i="1"/>
  <c r="O7" i="1"/>
  <c r="Z6" i="1"/>
  <c r="Y6" i="1"/>
  <c r="X6" i="1"/>
  <c r="W6" i="1"/>
  <c r="V6" i="1"/>
  <c r="U6" i="1"/>
  <c r="T6" i="1"/>
  <c r="S6" i="1"/>
  <c r="R6" i="1"/>
  <c r="Q6" i="1"/>
  <c r="P6" i="1"/>
  <c r="O6" i="1"/>
  <c r="Z5" i="1"/>
  <c r="Y5" i="1"/>
  <c r="X5" i="1"/>
  <c r="W5" i="1"/>
  <c r="V5" i="1"/>
  <c r="U5" i="1"/>
  <c r="T5" i="1"/>
  <c r="S5" i="1"/>
  <c r="R5" i="1"/>
  <c r="Q5" i="1"/>
  <c r="P5" i="1"/>
  <c r="O5" i="1"/>
  <c r="O4" i="1"/>
  <c r="N213" i="1"/>
  <c r="M213" i="1"/>
  <c r="L213" i="1"/>
  <c r="N212" i="1"/>
  <c r="M212" i="1"/>
  <c r="L212" i="1"/>
  <c r="N211" i="1"/>
  <c r="M211" i="1"/>
  <c r="L211" i="1"/>
  <c r="N210" i="1"/>
  <c r="M210" i="1"/>
  <c r="L210" i="1"/>
  <c r="N209" i="1"/>
  <c r="M209" i="1"/>
  <c r="L209" i="1"/>
  <c r="N208" i="1"/>
  <c r="M208" i="1"/>
  <c r="L208" i="1"/>
  <c r="N207" i="1"/>
  <c r="M207" i="1"/>
  <c r="L207" i="1"/>
  <c r="N206" i="1"/>
  <c r="M206" i="1"/>
  <c r="L206" i="1"/>
  <c r="N205" i="1"/>
  <c r="M205" i="1"/>
  <c r="L205" i="1"/>
  <c r="N204" i="1"/>
  <c r="M204" i="1"/>
  <c r="L204" i="1"/>
  <c r="N203" i="1"/>
  <c r="M203" i="1"/>
  <c r="L203" i="1"/>
  <c r="N202" i="1"/>
  <c r="M202" i="1"/>
  <c r="L202" i="1"/>
  <c r="N201" i="1"/>
  <c r="M201" i="1"/>
  <c r="L201" i="1"/>
  <c r="N200" i="1"/>
  <c r="M200" i="1"/>
  <c r="L200" i="1"/>
  <c r="N199" i="1"/>
  <c r="M199" i="1"/>
  <c r="L199" i="1"/>
  <c r="N198" i="1"/>
  <c r="M198" i="1"/>
  <c r="L198" i="1"/>
  <c r="N197" i="1"/>
  <c r="M197" i="1"/>
  <c r="L197" i="1"/>
  <c r="N196" i="1"/>
  <c r="M196" i="1"/>
  <c r="L196" i="1"/>
  <c r="N195" i="1"/>
  <c r="M195" i="1"/>
  <c r="L195" i="1"/>
  <c r="N194" i="1"/>
  <c r="M194" i="1"/>
  <c r="L194" i="1"/>
  <c r="N193" i="1"/>
  <c r="M193" i="1"/>
  <c r="L193" i="1"/>
  <c r="N192" i="1"/>
  <c r="M192" i="1"/>
  <c r="L192" i="1"/>
  <c r="N191" i="1"/>
  <c r="M191" i="1"/>
  <c r="L191" i="1"/>
  <c r="N190" i="1"/>
  <c r="M190" i="1"/>
  <c r="L190" i="1"/>
  <c r="N189" i="1"/>
  <c r="M189" i="1"/>
  <c r="L189" i="1"/>
  <c r="N188" i="1"/>
  <c r="M188" i="1"/>
  <c r="L188" i="1"/>
  <c r="N187" i="1"/>
  <c r="M187" i="1"/>
  <c r="L187" i="1"/>
  <c r="N186" i="1"/>
  <c r="M186" i="1"/>
  <c r="L186" i="1"/>
  <c r="N185" i="1"/>
  <c r="M185" i="1"/>
  <c r="L185" i="1"/>
  <c r="N184" i="1"/>
  <c r="M184" i="1"/>
  <c r="L184" i="1"/>
  <c r="N183" i="1"/>
  <c r="M183" i="1"/>
  <c r="L183" i="1"/>
  <c r="N182" i="1"/>
  <c r="M182" i="1"/>
  <c r="L182" i="1"/>
  <c r="N181" i="1"/>
  <c r="M181" i="1"/>
  <c r="L181" i="1"/>
  <c r="N180" i="1"/>
  <c r="M180" i="1"/>
  <c r="L180" i="1"/>
  <c r="N179" i="1"/>
  <c r="M179" i="1"/>
  <c r="L179" i="1"/>
  <c r="N178" i="1"/>
  <c r="M178" i="1"/>
  <c r="L178" i="1"/>
  <c r="N177" i="1"/>
  <c r="M177" i="1"/>
  <c r="L177" i="1"/>
  <c r="N176" i="1"/>
  <c r="M176" i="1"/>
  <c r="L176" i="1"/>
  <c r="N175" i="1"/>
  <c r="M175" i="1"/>
  <c r="L175" i="1"/>
  <c r="N174" i="1"/>
  <c r="M174" i="1"/>
  <c r="L174" i="1"/>
  <c r="N173" i="1"/>
  <c r="M173" i="1"/>
  <c r="L173" i="1"/>
  <c r="N172" i="1"/>
  <c r="M172" i="1"/>
  <c r="L172" i="1"/>
  <c r="N171" i="1"/>
  <c r="M171" i="1"/>
  <c r="L171" i="1"/>
  <c r="N170" i="1"/>
  <c r="M170" i="1"/>
  <c r="L170" i="1"/>
  <c r="N169" i="1"/>
  <c r="M169" i="1"/>
  <c r="L169" i="1"/>
  <c r="N168" i="1"/>
  <c r="M168" i="1"/>
  <c r="L168" i="1"/>
  <c r="N167" i="1"/>
  <c r="M167" i="1"/>
  <c r="L167" i="1"/>
  <c r="N166" i="1"/>
  <c r="M166" i="1"/>
  <c r="L166" i="1"/>
  <c r="N165" i="1"/>
  <c r="M165" i="1"/>
  <c r="L165" i="1"/>
  <c r="N164" i="1"/>
  <c r="M164" i="1"/>
  <c r="L164" i="1"/>
  <c r="N163" i="1"/>
  <c r="M163" i="1"/>
  <c r="L163" i="1"/>
  <c r="N162" i="1"/>
  <c r="M162" i="1"/>
  <c r="L162" i="1"/>
  <c r="N161" i="1"/>
  <c r="M161" i="1"/>
  <c r="L161" i="1"/>
  <c r="N160" i="1"/>
  <c r="M160" i="1"/>
  <c r="L160" i="1"/>
  <c r="N159" i="1"/>
  <c r="M159" i="1"/>
  <c r="L159" i="1"/>
  <c r="N158" i="1"/>
  <c r="M158" i="1"/>
  <c r="L158" i="1"/>
  <c r="N157" i="1"/>
  <c r="M157" i="1"/>
  <c r="L157" i="1"/>
  <c r="N156" i="1"/>
  <c r="M156" i="1"/>
  <c r="L156" i="1"/>
  <c r="N155" i="1"/>
  <c r="M155" i="1"/>
  <c r="L155" i="1"/>
  <c r="N154" i="1"/>
  <c r="M154" i="1"/>
  <c r="L154" i="1"/>
  <c r="N153" i="1"/>
  <c r="M153" i="1"/>
  <c r="L153" i="1"/>
  <c r="N152" i="1"/>
  <c r="M152" i="1"/>
  <c r="L152" i="1"/>
  <c r="N151" i="1"/>
  <c r="M151" i="1"/>
  <c r="L151" i="1"/>
  <c r="N150" i="1"/>
  <c r="M150" i="1"/>
  <c r="L150" i="1"/>
  <c r="N149" i="1"/>
  <c r="M149" i="1"/>
  <c r="L149" i="1"/>
  <c r="N148" i="1"/>
  <c r="M148" i="1"/>
  <c r="L148" i="1"/>
  <c r="N147" i="1"/>
  <c r="M147" i="1"/>
  <c r="L147" i="1"/>
  <c r="N146" i="1"/>
  <c r="M146" i="1"/>
  <c r="L146" i="1"/>
  <c r="N145" i="1"/>
  <c r="M145" i="1"/>
  <c r="L145" i="1"/>
  <c r="N144" i="1"/>
  <c r="M144" i="1"/>
  <c r="L144" i="1"/>
  <c r="N143" i="1"/>
  <c r="M143" i="1"/>
  <c r="L143" i="1"/>
  <c r="N142" i="1"/>
  <c r="M142" i="1"/>
  <c r="L142" i="1"/>
  <c r="N141" i="1"/>
  <c r="M141" i="1"/>
  <c r="L141" i="1"/>
  <c r="N140" i="1"/>
  <c r="M140" i="1"/>
  <c r="L140" i="1"/>
  <c r="N139" i="1"/>
  <c r="M139" i="1"/>
  <c r="L139" i="1"/>
  <c r="N138" i="1"/>
  <c r="M138" i="1"/>
  <c r="L138" i="1"/>
  <c r="N137" i="1"/>
  <c r="M137" i="1"/>
  <c r="L137" i="1"/>
  <c r="N136" i="1"/>
  <c r="M136" i="1"/>
  <c r="L136" i="1"/>
  <c r="N135" i="1"/>
  <c r="M135" i="1"/>
  <c r="L135" i="1"/>
  <c r="N134" i="1"/>
  <c r="M134" i="1"/>
  <c r="L134" i="1"/>
  <c r="N133" i="1"/>
  <c r="M133" i="1"/>
  <c r="L133" i="1"/>
  <c r="N132" i="1"/>
  <c r="M132" i="1"/>
  <c r="L132" i="1"/>
  <c r="N131" i="1"/>
  <c r="M131" i="1"/>
  <c r="L131" i="1"/>
  <c r="N130" i="1"/>
  <c r="M130" i="1"/>
  <c r="L130" i="1"/>
  <c r="N129" i="1"/>
  <c r="M129" i="1"/>
  <c r="L129" i="1"/>
  <c r="N128" i="1"/>
  <c r="M128" i="1"/>
  <c r="L128" i="1"/>
  <c r="N127" i="1"/>
  <c r="M127" i="1"/>
  <c r="L127" i="1"/>
  <c r="N126" i="1"/>
  <c r="M126" i="1"/>
  <c r="L126" i="1"/>
  <c r="N125" i="1"/>
  <c r="M125" i="1"/>
  <c r="L125" i="1"/>
  <c r="N124" i="1"/>
  <c r="M124" i="1"/>
  <c r="L124" i="1"/>
  <c r="N123" i="1"/>
  <c r="M123" i="1"/>
  <c r="L123" i="1"/>
  <c r="N122" i="1"/>
  <c r="M122" i="1"/>
  <c r="L122" i="1"/>
  <c r="N121" i="1"/>
  <c r="M121" i="1"/>
  <c r="L121" i="1"/>
  <c r="N120" i="1"/>
  <c r="M120" i="1"/>
  <c r="L120" i="1"/>
  <c r="N119" i="1"/>
  <c r="M119" i="1"/>
  <c r="L119" i="1"/>
  <c r="N118" i="1"/>
  <c r="M118" i="1"/>
  <c r="L118" i="1"/>
  <c r="N117" i="1"/>
  <c r="M117" i="1"/>
  <c r="L117" i="1"/>
  <c r="N116" i="1"/>
  <c r="M116" i="1"/>
  <c r="L116" i="1"/>
  <c r="N115" i="1"/>
  <c r="M115" i="1"/>
  <c r="L115" i="1"/>
  <c r="N114" i="1"/>
  <c r="M114" i="1"/>
  <c r="L114" i="1"/>
  <c r="N113" i="1"/>
  <c r="M113" i="1"/>
  <c r="L113" i="1"/>
  <c r="N112" i="1"/>
  <c r="M112" i="1"/>
  <c r="L112" i="1"/>
  <c r="N111" i="1"/>
  <c r="M111" i="1"/>
  <c r="L111" i="1"/>
  <c r="N110" i="1"/>
  <c r="M110" i="1"/>
  <c r="L110" i="1"/>
  <c r="N109" i="1"/>
  <c r="M109" i="1"/>
  <c r="L109" i="1"/>
  <c r="N108" i="1"/>
  <c r="M108" i="1"/>
  <c r="L108" i="1"/>
  <c r="N107" i="1"/>
  <c r="M107" i="1"/>
  <c r="L107" i="1"/>
  <c r="N106" i="1"/>
  <c r="M106" i="1"/>
  <c r="L106" i="1"/>
  <c r="N105" i="1"/>
  <c r="M105" i="1"/>
  <c r="L105" i="1"/>
  <c r="N104" i="1"/>
  <c r="M104" i="1"/>
  <c r="L104" i="1"/>
  <c r="N103" i="1"/>
  <c r="M103" i="1"/>
  <c r="L103" i="1"/>
  <c r="N102" i="1"/>
  <c r="M102" i="1"/>
  <c r="L102" i="1"/>
  <c r="N101" i="1"/>
  <c r="M101" i="1"/>
  <c r="L101" i="1"/>
  <c r="N100" i="1"/>
  <c r="M100" i="1"/>
  <c r="L100" i="1"/>
  <c r="N99" i="1"/>
  <c r="M99" i="1"/>
  <c r="L99" i="1"/>
  <c r="N98" i="1"/>
  <c r="M98" i="1"/>
  <c r="L98" i="1"/>
  <c r="N97" i="1"/>
  <c r="M97" i="1"/>
  <c r="L97" i="1"/>
  <c r="N96" i="1"/>
  <c r="M96" i="1"/>
  <c r="L96" i="1"/>
  <c r="N95" i="1"/>
  <c r="M95" i="1"/>
  <c r="L95" i="1"/>
  <c r="N94" i="1"/>
  <c r="M94" i="1"/>
  <c r="L94" i="1"/>
  <c r="N93" i="1"/>
  <c r="M93" i="1"/>
  <c r="L93" i="1"/>
  <c r="N92" i="1"/>
  <c r="M92" i="1"/>
  <c r="L92" i="1"/>
  <c r="N91" i="1"/>
  <c r="M91" i="1"/>
  <c r="L91" i="1"/>
  <c r="N90" i="1"/>
  <c r="M90" i="1"/>
  <c r="L90" i="1"/>
  <c r="N89" i="1"/>
  <c r="M89" i="1"/>
  <c r="L89" i="1"/>
  <c r="N88" i="1"/>
  <c r="M88" i="1"/>
  <c r="L88" i="1"/>
  <c r="N87" i="1"/>
  <c r="M87" i="1"/>
  <c r="L87" i="1"/>
  <c r="N86" i="1"/>
  <c r="M86" i="1"/>
  <c r="L86" i="1"/>
  <c r="N85" i="1"/>
  <c r="M85" i="1"/>
  <c r="L85" i="1"/>
  <c r="N84" i="1"/>
  <c r="M84" i="1"/>
  <c r="L84" i="1"/>
  <c r="N83" i="1"/>
  <c r="M83" i="1"/>
  <c r="L83" i="1"/>
  <c r="N82" i="1"/>
  <c r="M82" i="1"/>
  <c r="L82" i="1"/>
  <c r="N81" i="1"/>
  <c r="M81" i="1"/>
  <c r="L81" i="1"/>
  <c r="N80" i="1"/>
  <c r="M80" i="1"/>
  <c r="L80" i="1"/>
  <c r="N79" i="1"/>
  <c r="M79" i="1"/>
  <c r="L79" i="1"/>
  <c r="N78" i="1"/>
  <c r="M78" i="1"/>
  <c r="L78" i="1"/>
  <c r="N77" i="1"/>
  <c r="M77" i="1"/>
  <c r="L77" i="1"/>
  <c r="N76" i="1"/>
  <c r="M76" i="1"/>
  <c r="L76" i="1"/>
  <c r="N75" i="1"/>
  <c r="M75" i="1"/>
  <c r="L75" i="1"/>
  <c r="N74" i="1"/>
  <c r="M74" i="1"/>
  <c r="L74" i="1"/>
  <c r="N73" i="1"/>
  <c r="M73" i="1"/>
  <c r="L73" i="1"/>
  <c r="N72" i="1"/>
  <c r="M72" i="1"/>
  <c r="L72" i="1"/>
  <c r="N71" i="1"/>
  <c r="M71" i="1"/>
  <c r="L71" i="1"/>
  <c r="N70" i="1"/>
  <c r="M70" i="1"/>
  <c r="L70" i="1"/>
  <c r="N69" i="1"/>
  <c r="M69" i="1"/>
  <c r="L69" i="1"/>
  <c r="N68" i="1"/>
  <c r="M68" i="1"/>
  <c r="L68" i="1"/>
  <c r="N67" i="1"/>
  <c r="M67" i="1"/>
  <c r="L67" i="1"/>
  <c r="N66" i="1"/>
  <c r="M66" i="1"/>
  <c r="L66" i="1"/>
  <c r="N65" i="1"/>
  <c r="M65" i="1"/>
  <c r="L65" i="1"/>
  <c r="N64" i="1"/>
  <c r="M64" i="1"/>
  <c r="L64" i="1"/>
  <c r="N63" i="1"/>
  <c r="M63" i="1"/>
  <c r="L63" i="1"/>
  <c r="N62" i="1"/>
  <c r="M62" i="1"/>
  <c r="L62" i="1"/>
  <c r="N61" i="1"/>
  <c r="M61" i="1"/>
  <c r="L61" i="1"/>
  <c r="N60" i="1"/>
  <c r="M60" i="1"/>
  <c r="L60" i="1"/>
  <c r="N59" i="1"/>
  <c r="M59" i="1"/>
  <c r="L59" i="1"/>
  <c r="N58" i="1"/>
  <c r="M58" i="1"/>
  <c r="L58" i="1"/>
  <c r="N57" i="1"/>
  <c r="M57" i="1"/>
  <c r="L57" i="1"/>
  <c r="N56" i="1"/>
  <c r="M56" i="1"/>
  <c r="L56" i="1"/>
  <c r="N55" i="1"/>
  <c r="M55" i="1"/>
  <c r="L55" i="1"/>
  <c r="N54" i="1"/>
  <c r="M54" i="1"/>
  <c r="L54" i="1"/>
  <c r="N53" i="1"/>
  <c r="M53" i="1"/>
  <c r="L53" i="1"/>
  <c r="N52" i="1"/>
  <c r="M52" i="1"/>
  <c r="L52" i="1"/>
  <c r="N51" i="1"/>
  <c r="M51" i="1"/>
  <c r="L51" i="1"/>
  <c r="N50" i="1"/>
  <c r="M50" i="1"/>
  <c r="L50" i="1"/>
  <c r="N49" i="1"/>
  <c r="M49" i="1"/>
  <c r="L49" i="1"/>
  <c r="N48" i="1"/>
  <c r="M48" i="1"/>
  <c r="L48" i="1"/>
  <c r="N47" i="1"/>
  <c r="M47" i="1"/>
  <c r="L47" i="1"/>
  <c r="N46" i="1"/>
  <c r="M46" i="1"/>
  <c r="L46" i="1"/>
  <c r="N45" i="1"/>
  <c r="M45" i="1"/>
  <c r="L45" i="1"/>
  <c r="N44" i="1"/>
  <c r="M44" i="1"/>
  <c r="L44" i="1"/>
  <c r="N43" i="1"/>
  <c r="M43" i="1"/>
  <c r="L43" i="1"/>
  <c r="N42" i="1"/>
  <c r="M42" i="1"/>
  <c r="L42" i="1"/>
  <c r="N41" i="1"/>
  <c r="M41" i="1"/>
  <c r="L41" i="1"/>
  <c r="N40" i="1"/>
  <c r="M40" i="1"/>
  <c r="L40" i="1"/>
  <c r="N39" i="1"/>
  <c r="M39" i="1"/>
  <c r="L39" i="1"/>
  <c r="N38" i="1"/>
  <c r="M38" i="1"/>
  <c r="L38" i="1"/>
  <c r="N37" i="1"/>
  <c r="M37" i="1"/>
  <c r="L37" i="1"/>
  <c r="N36" i="1"/>
  <c r="M36" i="1"/>
  <c r="L36" i="1"/>
  <c r="N35" i="1"/>
  <c r="M35" i="1"/>
  <c r="L35" i="1"/>
  <c r="N34" i="1"/>
  <c r="M34" i="1"/>
  <c r="L34" i="1"/>
  <c r="N33" i="1"/>
  <c r="M33" i="1"/>
  <c r="L33" i="1"/>
  <c r="N32" i="1"/>
  <c r="M32" i="1"/>
  <c r="L32" i="1"/>
  <c r="N31" i="1"/>
  <c r="M31" i="1"/>
  <c r="L31" i="1"/>
  <c r="N30" i="1"/>
  <c r="M30" i="1"/>
  <c r="L30" i="1"/>
  <c r="N29" i="1"/>
  <c r="M29" i="1"/>
  <c r="L29" i="1"/>
  <c r="N28" i="1"/>
  <c r="M28" i="1"/>
  <c r="L28" i="1"/>
  <c r="N27" i="1"/>
  <c r="M27" i="1"/>
  <c r="L27" i="1"/>
  <c r="N26" i="1"/>
  <c r="M26" i="1"/>
  <c r="L26" i="1"/>
  <c r="N25" i="1"/>
  <c r="M25" i="1"/>
  <c r="L25" i="1"/>
  <c r="N24" i="1"/>
  <c r="M24" i="1"/>
  <c r="L24" i="1"/>
  <c r="N23" i="1"/>
  <c r="M23" i="1"/>
  <c r="L23" i="1"/>
  <c r="N22" i="1"/>
  <c r="M22" i="1"/>
  <c r="L22" i="1"/>
  <c r="N21" i="1"/>
  <c r="M21" i="1"/>
  <c r="L21" i="1"/>
  <c r="N20" i="1"/>
  <c r="M20" i="1"/>
  <c r="L20" i="1"/>
  <c r="N19" i="1"/>
  <c r="M19" i="1"/>
  <c r="L19" i="1"/>
  <c r="N18" i="1"/>
  <c r="M18" i="1"/>
  <c r="L18" i="1"/>
  <c r="N17" i="1"/>
  <c r="M17" i="1"/>
  <c r="L17" i="1"/>
  <c r="N16" i="1"/>
  <c r="M16" i="1"/>
  <c r="L16" i="1"/>
  <c r="N15" i="1"/>
  <c r="M15" i="1"/>
  <c r="L15" i="1"/>
  <c r="N14" i="1"/>
  <c r="M14" i="1"/>
  <c r="L14" i="1"/>
  <c r="N13" i="1"/>
  <c r="M13" i="1"/>
  <c r="L13" i="1"/>
  <c r="N12" i="1"/>
  <c r="M12" i="1"/>
  <c r="L12" i="1"/>
  <c r="N11" i="1"/>
  <c r="M11" i="1"/>
  <c r="L11" i="1"/>
  <c r="N10" i="1"/>
  <c r="M10" i="1"/>
  <c r="L10" i="1"/>
  <c r="N9" i="1"/>
  <c r="M9" i="1"/>
  <c r="L9" i="1"/>
  <c r="N8" i="1"/>
  <c r="M8" i="1"/>
  <c r="L8" i="1"/>
  <c r="N7" i="1"/>
  <c r="M7" i="1"/>
  <c r="L7" i="1"/>
  <c r="N6" i="1"/>
  <c r="M6" i="1"/>
  <c r="L6" i="1"/>
  <c r="N5" i="1"/>
  <c r="M5" i="1"/>
  <c r="L5" i="1"/>
  <c r="N4" i="1"/>
  <c r="M4" i="1"/>
  <c r="L4" i="1"/>
  <c r="F4" i="1"/>
  <c r="U4" i="1"/>
  <c r="T4" i="1"/>
  <c r="AB4" i="1"/>
  <c r="AL4" i="1"/>
  <c r="AK4" i="1"/>
  <c r="AJ4" i="1"/>
  <c r="AI4" i="1"/>
  <c r="AH4" i="1"/>
  <c r="AG4" i="1"/>
  <c r="AD4" i="1"/>
  <c r="AC4" i="1"/>
  <c r="AA4" i="1"/>
  <c r="Z4" i="1"/>
  <c r="Y4" i="1"/>
  <c r="X4" i="1"/>
  <c r="W4" i="1"/>
  <c r="V4" i="1"/>
  <c r="S4" i="1"/>
  <c r="R4" i="1"/>
  <c r="Q4" i="1"/>
  <c r="P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Karthik Murali</author>
  </authors>
  <commentList>
    <comment ref="B8" authorId="0" shapeId="0" xr:uid="{847BB2D6-AF12-4E93-A67A-3C89DC368122}">
      <text>
        <r>
          <rPr>
            <sz val="9"/>
            <color indexed="81"/>
            <rFont val="Tahoma"/>
            <family val="2"/>
          </rPr>
          <t>INHERITED VALUE(S)</t>
        </r>
      </text>
    </comment>
    <comment ref="B9" authorId="0" shapeId="0" xr:uid="{43127BF4-9565-4839-A9FB-3353C9B79BCB}">
      <text>
        <r>
          <rPr>
            <sz val="9"/>
            <color indexed="81"/>
            <rFont val="Tahoma"/>
            <family val="2"/>
          </rPr>
          <t>GOVERNANCE ERROR(S)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Mandatory for entity data when there are multiple rows containing nested child or contexts for the same entity</t>
        </r>
      </text>
    </comment>
    <comment ref="E2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00 - Einzelartikel: bei allen In/Out- &amp; Sortimentsartikeln
12 - Display: bei Displays + beim Display Aktionsartikel</t>
        </r>
      </text>
    </comment>
    <comment ref="F2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SAP Warengruppe</t>
        </r>
      </text>
    </comment>
    <comment ref="G2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MDM-Identifier</t>
        </r>
      </text>
    </comment>
    <comment ref="L2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M2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N2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O2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Marke + Produktbezeichnung (Wird von Artikel auf Trade Item vererbt)</t>
        </r>
      </text>
    </comment>
    <comment ref="P2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Marke + Produktbezeichnung (Wird von Artikel auf Trade Item vererbt)</t>
        </r>
      </text>
    </comment>
    <comment ref="Q2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Marke + Produktbezeichnung (Wird von Artikel auf Trade Item vererbt)</t>
        </r>
      </text>
    </comment>
    <comment ref="R2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Variation + ,ggf. Label (Wird von Artikel auf Trade Item vererbt)</t>
        </r>
      </text>
    </comment>
    <comment ref="S2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Variation + ,ggf. Label (Wird von Artikel auf Trade Item vererbt)</t>
        </r>
      </text>
    </comment>
    <comment ref="T2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Variation + ,ggf. Label (Wird von Artikel auf Trade Item vererbt)</t>
        </r>
      </text>
    </comment>
    <comment ref="AA2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Inhalt in kg/Liter/Stk 
Bsp. 640g. Eingabe: 0.64</t>
        </r>
      </text>
    </comment>
    <comment ref="AB2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Einheit zur Grundeinheit
Bsp. Grundeinheit ist 100g. Eingabe: Gramm</t>
        </r>
      </text>
    </comment>
    <comment ref="AC2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Grundeinheit
Bsp: Grundeinheit ist 100g. Eingabe: 100</t>
        </r>
      </text>
    </comment>
    <comment ref="AD2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Handelt es sich um einen Offenverkauf-Artikel? 
(KGM) KG = Offenverkauf-Artikel
(PCE) Stück = Normalartikel/Abgepackte Gewichtsartikel</t>
        </r>
      </text>
    </comment>
    <comment ref="AF2" authorId="0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Muss ausgefüllt werden, wenn Artikel nicht an Minderjährige verkauft werden darf (Alkohol und Tabak).</t>
        </r>
      </text>
    </comment>
    <comment ref="AG2" authorId="0" shapeId="0" xr:uid="{00000000-0006-0000-0100-000022000000}">
      <text>
        <r>
          <rPr>
            <sz val="11"/>
            <color theme="1"/>
            <rFont val="Calibri"/>
            <family val="2"/>
            <scheme val="minor"/>
          </rPr>
          <t>Steuert Rabattberechtigung für Kasse</t>
        </r>
      </text>
    </comment>
    <comment ref="AH2" authorId="0" shapeId="0" xr:uid="{00000000-0006-0000-0100-000023000000}">
      <text>
        <r>
          <rPr>
            <sz val="11"/>
            <color theme="1"/>
            <rFont val="Calibri"/>
            <family val="2"/>
            <scheme val="minor"/>
          </rPr>
          <t>Kann der Artikel an der Kasse zurückgegeben werden?</t>
        </r>
      </text>
    </comment>
    <comment ref="AI2" authorId="0" shapeId="0" xr:uid="{00000000-0006-0000-0100-000024000000}">
      <text>
        <r>
          <rPr>
            <sz val="11"/>
            <color theme="1"/>
            <rFont val="Calibri"/>
            <family val="2"/>
            <scheme val="minor"/>
          </rPr>
          <t>Bei abgepackten Gewichtsartikeln wird dies per default auf FALSCH gesetzt</t>
        </r>
      </text>
    </comment>
    <comment ref="AJ2" authorId="0" shapeId="0" xr:uid="{00000000-0006-0000-0100-000025000000}">
      <text>
        <r>
          <rPr>
            <sz val="11"/>
            <color theme="1"/>
            <rFont val="Calibri"/>
            <family val="2"/>
            <scheme val="minor"/>
          </rPr>
          <t>Kauf erzeugt immer einen Bondruck an der Kasse, z.B. bei Garantieartikel</t>
        </r>
      </text>
    </comment>
    <comment ref="AO2" authorId="0" shapeId="0" xr:uid="{00000000-0006-0000-0100-000026000000}">
      <text>
        <r>
          <rPr>
            <sz val="11"/>
            <color theme="1"/>
            <rFont val="Calibri"/>
            <family val="2"/>
            <scheme val="minor"/>
          </rPr>
          <t>In welches SAP System soll der Artikel gesendet werden</t>
        </r>
      </text>
    </comment>
  </commentList>
</comments>
</file>

<file path=xl/sharedStrings.xml><?xml version="1.0" encoding="utf-8"?>
<sst xmlns="http://schemas.openxmlformats.org/spreadsheetml/2006/main" count="11177" uniqueCount="1906">
  <si>
    <t>TEMPLATE NAME</t>
  </si>
  <si>
    <t>RS EXCEL</t>
  </si>
  <si>
    <t>TEMPLATE VERSION</t>
  </si>
  <si>
    <t>MULTI VALUES DELIMITER</t>
  </si>
  <si>
    <t>||</t>
  </si>
  <si>
    <t>CONTEXT PATH DELIMITER</t>
  </si>
  <si>
    <t>LEGENDS</t>
  </si>
  <si>
    <t>MANDATORY</t>
  </si>
  <si>
    <t>&gt;&gt;</t>
  </si>
  <si>
    <t>Sheet Name</t>
  </si>
  <si>
    <t>Data</t>
  </si>
  <si>
    <t>Attribute Name</t>
  </si>
  <si>
    <t>isCollection</t>
  </si>
  <si>
    <t>Entities</t>
  </si>
  <si>
    <t>These are all read only</t>
  </si>
  <si>
    <t>Type</t>
  </si>
  <si>
    <t>SYSTEM/RELATIONSHIPS</t>
  </si>
  <si>
    <t>COLLECTION</t>
  </si>
  <si>
    <t>MANDATORY COLLECTION</t>
  </si>
  <si>
    <t>CONTEXT</t>
  </si>
  <si>
    <t>CONTEXT ENHANCER</t>
  </si>
  <si>
    <t>V1.0</t>
  </si>
  <si>
    <t>GLOBAL</t>
  </si>
  <si>
    <t>GLOBAL ENHANCER</t>
  </si>
  <si>
    <t>INHERITED VALUE(S)</t>
  </si>
  <si>
    <t>GOVERNANCE ERROR(S)</t>
  </si>
  <si>
    <t>Action</t>
  </si>
  <si>
    <t>ID</t>
  </si>
  <si>
    <t>Name</t>
  </si>
  <si>
    <t>System Attributes</t>
  </si>
  <si>
    <t>Artikeltyp</t>
  </si>
  <si>
    <t>Warengruppe//de-DE</t>
  </si>
  <si>
    <t>Enhancer Attribute(s)</t>
  </si>
  <si>
    <t>MDM ID</t>
  </si>
  <si>
    <t>Matching Attribute(s)</t>
  </si>
  <si>
    <t>Artikelart//de-DE</t>
  </si>
  <si>
    <t>Saison Typ//de-DE</t>
  </si>
  <si>
    <t>GTIN Suche</t>
  </si>
  <si>
    <t>01 - Rumpfinformationen</t>
  </si>
  <si>
    <t>Ergänzte Regio-Artikel-GTIN</t>
  </si>
  <si>
    <t>Artikeltext//de-DE</t>
  </si>
  <si>
    <t>99 - intern</t>
  </si>
  <si>
    <t>Artikeltext//fr-FR</t>
  </si>
  <si>
    <t>Artikeltext//it-IT</t>
  </si>
  <si>
    <t>Gestellbeschriftung 1//de-DE</t>
  </si>
  <si>
    <t>Gestellbeschriftung 1//fr-FR</t>
  </si>
  <si>
    <t>Gestellbeschriftung 1//it-IT</t>
  </si>
  <si>
    <t>Gestellbeschriftung 2//de-DE</t>
  </si>
  <si>
    <t>Gestellbeschriftung 2//fr-FR</t>
  </si>
  <si>
    <t>Gestellbeschriftung 2//it-IT</t>
  </si>
  <si>
    <t>Gestellbeschriftung 3 Regio//de-DE</t>
  </si>
  <si>
    <t>03 - Texte</t>
  </si>
  <si>
    <t>Gestellbeschriftung 3 Regio//fr-FR</t>
  </si>
  <si>
    <t>Gestellbeschriftung 3 Regio//it-IT</t>
  </si>
  <si>
    <t>Cash receipt text Regio//de-DE</t>
  </si>
  <si>
    <t>Cash receipt text Regio//fr-FR</t>
  </si>
  <si>
    <t>Cash receipt text Regio//it-IT</t>
  </si>
  <si>
    <t>Nettoinhalt</t>
  </si>
  <si>
    <t>Inhaltsmengeneinheit Grundpreis//de-DE</t>
  </si>
  <si>
    <t>Grundpreiseinheit//de-DE</t>
  </si>
  <si>
    <t>Basismengeneinheit//de-DE</t>
  </si>
  <si>
    <t>Steuerklassifikation//de-DE</t>
  </si>
  <si>
    <t>Altersbegrenzungs-Typ//de-DE</t>
  </si>
  <si>
    <t>Rabatt zugelassen</t>
  </si>
  <si>
    <t>Rückgabe zugelassen</t>
  </si>
  <si>
    <t>Preisänderung Kasse erlaubt</t>
  </si>
  <si>
    <t>Automatischer Bondruck</t>
  </si>
  <si>
    <t>Shop-In-Shop</t>
  </si>
  <si>
    <t>Ist Fremdartikel</t>
  </si>
  <si>
    <t>05 - Kasse</t>
  </si>
  <si>
    <t>GTIN-Typ Regioapp</t>
  </si>
  <si>
    <t>SAP System Integration</t>
  </si>
  <si>
    <t>axartikelslpmstruktur__it_IT</t>
  </si>
  <si>
    <t>SLPM Struktur&gt;&gt;3 Getränke&gt;&gt;30 Getränke&gt;&gt;3025 Tafelgetränke&gt;&gt;30251010 Säfte gekühlt</t>
  </si>
  <si>
    <t>atxwarengruppesap__de_DE</t>
  </si>
  <si>
    <t>Warengruppe&gt;&gt;Getränke&gt;&gt;Tafelgetränke&gt;&gt;Säfte gekühlt</t>
  </si>
  <si>
    <t>axartikelslpmstruktur__de_DE</t>
  </si>
  <si>
    <t>axmhdvorhanden__it_IT</t>
  </si>
  <si>
    <t>Ja</t>
  </si>
  <si>
    <t>atxwarengruppesap__fr_FR</t>
  </si>
  <si>
    <t>Groupe de produits&gt;&gt;Boissons&gt;&gt;Boissons de table&gt;&gt;Jus de fruits réfrigérés</t>
  </si>
  <si>
    <t>axtaxdummyfilter__it_IT</t>
  </si>
  <si>
    <t>Dummy for Attribute Filtering</t>
  </si>
  <si>
    <t>atxalkoholhaltig__it_IT</t>
  </si>
  <si>
    <t>Nein</t>
  </si>
  <si>
    <t>axartikelslpmstruktur__fr_FR</t>
  </si>
  <si>
    <t>axartikeltypsap__fr_FR</t>
  </si>
  <si>
    <t>00 - Einzelartikel</t>
  </si>
  <si>
    <t>axartikeltypsap__de_DE</t>
  </si>
  <si>
    <t>axtaxdummyfilter__de_DE</t>
  </si>
  <si>
    <t>atxalkoholhaltig__fr_FR</t>
  </si>
  <si>
    <t>atxalkoholhaltig__de_DE</t>
  </si>
  <si>
    <t>axmhdvorhanden__de_DE</t>
  </si>
  <si>
    <t>atxwarengruppesap__it_IT</t>
  </si>
  <si>
    <t>Gruppo di prodotti&gt;&gt;Bevande&gt;&gt;Bevande da tavola&gt;&gt;Succhi refrigerati</t>
  </si>
  <si>
    <t>axartikeltypsap__it_IT</t>
  </si>
  <si>
    <t>axmhdvorhanden__fr_FR</t>
  </si>
  <si>
    <t>axtaxdummyfilter__fr_FR</t>
  </si>
  <si>
    <t>ENTITY_NAME</t>
  </si>
  <si>
    <t>exartikel</t>
  </si>
  <si>
    <t xml:space="preserve">refxartikeltypsap </t>
  </si>
  <si>
    <t>12 - Display</t>
  </si>
  <si>
    <t>[DELETE]</t>
  </si>
  <si>
    <t>[NULL]</t>
  </si>
  <si>
    <t xml:space="preserve">refxbooleanalkoholhaltig </t>
  </si>
  <si>
    <t xml:space="preserve">refxboolen </t>
  </si>
  <si>
    <t>refxartikelartsap de-DE</t>
  </si>
  <si>
    <t>ZAUS - Display In/Out Artikel</t>
  </si>
  <si>
    <t>ZEGS - Externe Gutscheine</t>
  </si>
  <si>
    <t>ZHAW - Handelsware ohne Charge</t>
  </si>
  <si>
    <t>ZHIB - Hilfs-/Betriebsstoffe aus VZ</t>
  </si>
  <si>
    <t>ZIGS  - Denner Gutschein</t>
  </si>
  <si>
    <t>ZLEE - Leergut</t>
  </si>
  <si>
    <t>ZLOS - Lose</t>
  </si>
  <si>
    <t>ZRWE - Wein in Tanks</t>
  </si>
  <si>
    <t>ZVBR - Verbrauchsmat. aus Antalis</t>
  </si>
  <si>
    <t>ZVOL - Vollgut</t>
  </si>
  <si>
    <t>ZWEI - Wein mit Charge</t>
  </si>
  <si>
    <t>refxartikelartsap fr-FR</t>
  </si>
  <si>
    <t>refxartikelartsap it-IT</t>
  </si>
  <si>
    <t>refxsaisontypsap de-DE</t>
  </si>
  <si>
    <t>In/Out</t>
  </si>
  <si>
    <t>Permanent</t>
  </si>
  <si>
    <t>Saison</t>
  </si>
  <si>
    <t>Saison/Promo</t>
  </si>
  <si>
    <t>refxsaisontypsap fr-FR</t>
  </si>
  <si>
    <t>refxsaisontypsap it-IT</t>
  </si>
  <si>
    <t>refxmengeneinheit de-DE</t>
  </si>
  <si>
    <t>Centiliter</t>
  </si>
  <si>
    <t>Each</t>
  </si>
  <si>
    <t>Gramm</t>
  </si>
  <si>
    <t>Kilogramm</t>
  </si>
  <si>
    <t>Kiste</t>
  </si>
  <si>
    <t>Liter</t>
  </si>
  <si>
    <t>Milliliter</t>
  </si>
  <si>
    <t>Pack</t>
  </si>
  <si>
    <t>Rolle</t>
  </si>
  <si>
    <t>Stück</t>
  </si>
  <si>
    <t>Tüte</t>
  </si>
  <si>
    <t>refxmengeneinheit fr-FR</t>
  </si>
  <si>
    <t>Caisse</t>
  </si>
  <si>
    <t>Centilitre</t>
  </si>
  <si>
    <t>Chaque</t>
  </si>
  <si>
    <t>Gramme</t>
  </si>
  <si>
    <t>Kilogramme</t>
  </si>
  <si>
    <t>Litre</t>
  </si>
  <si>
    <t>Millilitre</t>
  </si>
  <si>
    <t>Paquet</t>
  </si>
  <si>
    <t>Pièce</t>
  </si>
  <si>
    <t>Rouleau</t>
  </si>
  <si>
    <t>Sachet</t>
  </si>
  <si>
    <t>refxmengeneinheit it-IT</t>
  </si>
  <si>
    <t>Borsa</t>
  </si>
  <si>
    <t>Cassa</t>
  </si>
  <si>
    <t>Centilitro</t>
  </si>
  <si>
    <t>Chilogrammo</t>
  </si>
  <si>
    <t>Confezione</t>
  </si>
  <si>
    <t>Grammo</t>
  </si>
  <si>
    <t>Litro</t>
  </si>
  <si>
    <t>Millilitro</t>
  </si>
  <si>
    <t>Pezzo</t>
  </si>
  <si>
    <t>Rotolo</t>
  </si>
  <si>
    <t>refxvergleichspreiseinheit de-DE</t>
  </si>
  <si>
    <t>1</t>
  </si>
  <si>
    <t>10</t>
  </si>
  <si>
    <t>100</t>
  </si>
  <si>
    <t>refxvergleichspreiseinheit fr-FR</t>
  </si>
  <si>
    <t>refxvergleichspreiseinheit it-IT</t>
  </si>
  <si>
    <t>(KGM) KG</t>
  </si>
  <si>
    <t>(PCE) Stück</t>
  </si>
  <si>
    <t>[EMPTY]</t>
  </si>
  <si>
    <t>(LTR) Liter</t>
  </si>
  <si>
    <t>(PCE) Pièce</t>
  </si>
  <si>
    <t>(KGM) kg</t>
  </si>
  <si>
    <t>(L) Litre</t>
  </si>
  <si>
    <t>(PCE) Pezzo</t>
  </si>
  <si>
    <t>(L) Litro</t>
  </si>
  <si>
    <t>refxtaxclass de-DE</t>
  </si>
  <si>
    <t>0 - Ohne MWST</t>
  </si>
  <si>
    <t>1 - Normalsatz</t>
  </si>
  <si>
    <t>3 - Reduzierter Satz</t>
  </si>
  <si>
    <t>refxtaxclass fr-FR</t>
  </si>
  <si>
    <t>0 - Sans TVA</t>
  </si>
  <si>
    <t>1 - Taux normal</t>
  </si>
  <si>
    <t>3 - Taux réduit</t>
  </si>
  <si>
    <t>refxtaxclass it-IT</t>
  </si>
  <si>
    <t>0 - Senza IVA</t>
  </si>
  <si>
    <t>1 - Tariffa standard</t>
  </si>
  <si>
    <t>3 - Tariffa ridotta</t>
  </si>
  <si>
    <t>refxaltersbegrtyp de-DE</t>
  </si>
  <si>
    <t>Alcopops</t>
  </si>
  <si>
    <t>Bier</t>
  </si>
  <si>
    <t>Keine</t>
  </si>
  <si>
    <t>Rauchwaren</t>
  </si>
  <si>
    <t>Spirituosen</t>
  </si>
  <si>
    <t>Wein</t>
  </si>
  <si>
    <t>refxaltersbegrtyp fr-FR</t>
  </si>
  <si>
    <t>Alcopop</t>
  </si>
  <si>
    <t>Aucune</t>
  </si>
  <si>
    <t>Bière</t>
  </si>
  <si>
    <t>Spiriteux</t>
  </si>
  <si>
    <t>Tabac</t>
  </si>
  <si>
    <t>Vin</t>
  </si>
  <si>
    <t>refxaltersbegrtyp it-IT</t>
  </si>
  <si>
    <t>Alcolpop</t>
  </si>
  <si>
    <t>Birra</t>
  </si>
  <si>
    <t>Nessuna</t>
  </si>
  <si>
    <t>Superalcolici</t>
  </si>
  <si>
    <t>Tabacchi</t>
  </si>
  <si>
    <t>Vino</t>
  </si>
  <si>
    <t xml:space="preserve">refxshopinshop </t>
  </si>
  <si>
    <t>Denner Partner</t>
  </si>
  <si>
    <t>Postartikel</t>
  </si>
  <si>
    <t xml:space="preserve">refxgtintyperegioartikel </t>
  </si>
  <si>
    <t>GTIN</t>
  </si>
  <si>
    <t>_EMPTY</t>
  </si>
  <si>
    <t xml:space="preserve">refxsystemsap </t>
  </si>
  <si>
    <t>S4H</t>
  </si>
  <si>
    <t>S4HP</t>
  </si>
  <si>
    <t>true</t>
  </si>
  <si>
    <t>fb03a8a8-92fa-4327-9d81-07b476c5f202</t>
  </si>
  <si>
    <t>1602056 - 661812 - Importierter Artikeltext PLU</t>
  </si>
  <si>
    <t>1602056</t>
  </si>
  <si>
    <t>753</t>
  </si>
  <si>
    <t>Importierter Artikeltext PLU</t>
  </si>
  <si>
    <t>Kirschsaft</t>
  </si>
  <si>
    <t>frisch ab Presse</t>
  </si>
  <si>
    <t>ca. 250 ml</t>
  </si>
  <si>
    <t>Kirschsaft ca. 250 ml</t>
  </si>
  <si>
    <t>false</t>
  </si>
  <si>
    <t>PLU</t>
  </si>
  <si>
    <t>Lf Nr.</t>
  </si>
  <si>
    <t>PLU-Nr. 
neu</t>
  </si>
  <si>
    <t>Stk / kg</t>
  </si>
  <si>
    <t>PAZ</t>
  </si>
  <si>
    <t>EAN</t>
  </si>
  <si>
    <t>Gestellbeschriftung 1
Max. 22 Zeichen (d)</t>
  </si>
  <si>
    <t>Gestellbeschriftung 2
Max. 22 Zeichen (d)</t>
  </si>
  <si>
    <t>Gestellbeschriftung 3
Max. 4-8 Zeichen (d)</t>
  </si>
  <si>
    <t>Kassenbontext
Max. 28 Zeichen (d)</t>
  </si>
  <si>
    <t>Gestellbeschriftung 1
Max. 22 Zeichen (f)</t>
  </si>
  <si>
    <t>Gestellbeschriftung 2
Max. 22 Zeichen (f)</t>
  </si>
  <si>
    <t>Gestellbeschriftung 3
Max. 4-8 Zeichen (f)</t>
  </si>
  <si>
    <t>Kassenbontext
Max. 28 Zeichen (f)</t>
  </si>
  <si>
    <t>Gestellbeschriftung 1
Max. 22 Zeichen (i)</t>
  </si>
  <si>
    <t>Gestellbeschriftung 2
Max. 22 Zeichen (i)</t>
  </si>
  <si>
    <t>Gestellbeschriftung 3
Max. 4-8 Zeichen (i)</t>
  </si>
  <si>
    <t>Kassenbontext
Max. 28 Zeichen (i)</t>
  </si>
  <si>
    <t>Grundpreismenge
Feld 1</t>
  </si>
  <si>
    <t>Grundpreismenge
Feld 2</t>
  </si>
  <si>
    <t>Basismengeneinheit
Waage = Kg
Verkauf = Stk = Stk
Relevant für Berechnungen im MDM/SAP</t>
  </si>
  <si>
    <t>Warengruppe
1. Feld</t>
  </si>
  <si>
    <t>Warengruppe
2. Feld</t>
  </si>
  <si>
    <t>Warengruppe
3. Feld</t>
  </si>
  <si>
    <t>Rabatt
zugelassen</t>
  </si>
  <si>
    <t>Rückgabe
zugelassen</t>
  </si>
  <si>
    <t>Preisänderung
zugelassen</t>
  </si>
  <si>
    <t>Etiketten-druck</t>
  </si>
  <si>
    <t>Shop-in-Shop</t>
  </si>
  <si>
    <t>Fremdartikel</t>
  </si>
  <si>
    <t>Qualitätsanforderung
geprüft</t>
  </si>
  <si>
    <t>Verkaufskonditionen</t>
  </si>
  <si>
    <t>Lieferant</t>
  </si>
  <si>
    <t>Stk</t>
  </si>
  <si>
    <t>Baguette</t>
  </si>
  <si>
    <t>aus der Region</t>
  </si>
  <si>
    <t>250g</t>
  </si>
  <si>
    <t>Baguette 250g</t>
  </si>
  <si>
    <t xml:space="preserve">Baguette </t>
  </si>
  <si>
    <t>de la région</t>
  </si>
  <si>
    <t>della regione</t>
  </si>
  <si>
    <t>Backwaren &amp; Convenience</t>
  </si>
  <si>
    <t>Brot und Backwaren</t>
  </si>
  <si>
    <t>Backwaren andere</t>
  </si>
  <si>
    <t>ja</t>
  </si>
  <si>
    <t>-</t>
  </si>
  <si>
    <t>Baslerbrot</t>
  </si>
  <si>
    <t>Baslerbrot 250g</t>
  </si>
  <si>
    <t xml:space="preserve">Pain bâlois </t>
  </si>
  <si>
    <t>Pain bâlois 250g</t>
  </si>
  <si>
    <t xml:space="preserve">Pane di Basilea </t>
  </si>
  <si>
    <t>Pane di Basilea 250g</t>
  </si>
  <si>
    <t>500g</t>
  </si>
  <si>
    <t>Baslerbrot 500g</t>
  </si>
  <si>
    <t>Pain bâlois 500g</t>
  </si>
  <si>
    <t>Pane di Basilea 500g</t>
  </si>
  <si>
    <t>Berliner</t>
  </si>
  <si>
    <t>1Stk</t>
  </si>
  <si>
    <t xml:space="preserve">Boule de Berlin </t>
  </si>
  <si>
    <t>1pce</t>
  </si>
  <si>
    <t>1pz</t>
  </si>
  <si>
    <t>Birewegge</t>
  </si>
  <si>
    <t>Bricelets</t>
  </si>
  <si>
    <t xml:space="preserve">Bricelets </t>
  </si>
  <si>
    <t>Brioche mit Füllung</t>
  </si>
  <si>
    <t xml:space="preserve">Brioche fourée </t>
  </si>
  <si>
    <t>Brioche ripiena</t>
  </si>
  <si>
    <t>Brot vom Beck</t>
  </si>
  <si>
    <t>Pain du boulanger</t>
  </si>
  <si>
    <t>Pane del panettiere</t>
  </si>
  <si>
    <t>Brottheke</t>
  </si>
  <si>
    <t>Comptoir à pain</t>
  </si>
  <si>
    <t>Banco pane</t>
  </si>
  <si>
    <t xml:space="preserve">Bürli </t>
  </si>
  <si>
    <t xml:space="preserve">Buttergipfel </t>
  </si>
  <si>
    <t xml:space="preserve">Croissant au beurre </t>
  </si>
  <si>
    <t>Cornetto al burro</t>
  </si>
  <si>
    <t xml:space="preserve">Butterzopf </t>
  </si>
  <si>
    <t>300g</t>
  </si>
  <si>
    <t>Butterzopf 300g</t>
  </si>
  <si>
    <t xml:space="preserve">Tresse </t>
  </si>
  <si>
    <t>Tresse 300g</t>
  </si>
  <si>
    <t xml:space="preserve">Treccia </t>
  </si>
  <si>
    <t>Treccia 300g</t>
  </si>
  <si>
    <t>Butterzopf 500g</t>
  </si>
  <si>
    <t>Tresse 500g</t>
  </si>
  <si>
    <t>Treccia 500g</t>
  </si>
  <si>
    <t>700g</t>
  </si>
  <si>
    <t>Butterzopf 700g</t>
  </si>
  <si>
    <t>Tresse 700g</t>
  </si>
  <si>
    <t>Treccia 700g</t>
  </si>
  <si>
    <t>Ciabattina</t>
  </si>
  <si>
    <t>Flûtes</t>
  </si>
  <si>
    <t xml:space="preserve">Flûtes </t>
  </si>
  <si>
    <t>Focaccia</t>
  </si>
  <si>
    <t>Halbweissbrot</t>
  </si>
  <si>
    <t>Halbweissbrot 500g</t>
  </si>
  <si>
    <t>Pain mi-blanc</t>
  </si>
  <si>
    <t>Pain mi-blanc 500g</t>
  </si>
  <si>
    <t>Pane semibianco</t>
  </si>
  <si>
    <t>Pane semibianco 500g</t>
  </si>
  <si>
    <t xml:space="preserve">Halbweissbrot </t>
  </si>
  <si>
    <t>1kg</t>
  </si>
  <si>
    <t>Halbweissbrot 1kg</t>
  </si>
  <si>
    <t>Pain mi-blanc 1kg</t>
  </si>
  <si>
    <t>Pane semibianco 1kg</t>
  </si>
  <si>
    <t>Halbweissbrot 250g</t>
  </si>
  <si>
    <t>Pain mi-blanc 250g</t>
  </si>
  <si>
    <t>Pane semibianco 250g</t>
  </si>
  <si>
    <t xml:space="preserve">Laugenbrötli </t>
  </si>
  <si>
    <t xml:space="preserve">Petits pains sils </t>
  </si>
  <si>
    <t xml:space="preserve">Panino di sils </t>
  </si>
  <si>
    <t xml:space="preserve">Laugengipfel </t>
  </si>
  <si>
    <t xml:space="preserve">Croissant sils </t>
  </si>
  <si>
    <t>Cornetto di sils</t>
  </si>
  <si>
    <t xml:space="preserve">Mandelgipfel </t>
  </si>
  <si>
    <t xml:space="preserve">Croissant aux amandes </t>
  </si>
  <si>
    <t>Cornetto alle mandorle</t>
  </si>
  <si>
    <t xml:space="preserve">Mehrkorngipfel </t>
  </si>
  <si>
    <t>Croissant multicér.</t>
  </si>
  <si>
    <t>Cornetto ai cereali</t>
  </si>
  <si>
    <t xml:space="preserve">Meringues </t>
  </si>
  <si>
    <t>Meringues régional</t>
  </si>
  <si>
    <t>Meringues</t>
  </si>
  <si>
    <t xml:space="preserve">Meringhe </t>
  </si>
  <si>
    <t xml:space="preserve">Nussgipfel </t>
  </si>
  <si>
    <t>Croissant aux noix</t>
  </si>
  <si>
    <t>Cornetto alle noci</t>
  </si>
  <si>
    <t xml:space="preserve">Nuss-Stange </t>
  </si>
  <si>
    <t>Bâton aux noix</t>
  </si>
  <si>
    <t>Bastoncino alle noci</t>
  </si>
  <si>
    <t>Pizza</t>
  </si>
  <si>
    <t xml:space="preserve">Pizza </t>
  </si>
  <si>
    <t>Ruchbrot</t>
  </si>
  <si>
    <t>Ruchbrot 1kg</t>
  </si>
  <si>
    <t xml:space="preserve">Pain bis </t>
  </si>
  <si>
    <t>Pain bis 1kg</t>
  </si>
  <si>
    <t xml:space="preserve">Pane bigio </t>
  </si>
  <si>
    <t>Pane bigio 1kg</t>
  </si>
  <si>
    <t>Ruchbrot 500g</t>
  </si>
  <si>
    <t>Pain bis 500g</t>
  </si>
  <si>
    <t>Pane bigio</t>
  </si>
  <si>
    <t>Pane bigio 500g</t>
  </si>
  <si>
    <t xml:space="preserve">Ruchbrot </t>
  </si>
  <si>
    <t>Ruchbrot 250g</t>
  </si>
  <si>
    <t>Pain bis 250g</t>
  </si>
  <si>
    <t>Pane bigio 250g</t>
  </si>
  <si>
    <t>Sandwich</t>
  </si>
  <si>
    <t>Panino</t>
  </si>
  <si>
    <t>Sandwichbrötli gross</t>
  </si>
  <si>
    <t>Pain sandwich grand</t>
  </si>
  <si>
    <t>Pane per panino grande</t>
  </si>
  <si>
    <t>Sandwichbrötli klein</t>
  </si>
  <si>
    <t>Pain sandwich petit</t>
  </si>
  <si>
    <t>Pane per panino picc.</t>
  </si>
  <si>
    <t>Schinkengipfel</t>
  </si>
  <si>
    <t xml:space="preserve">Croissant au jambon </t>
  </si>
  <si>
    <t>Cornetto al prosciutto</t>
  </si>
  <si>
    <t xml:space="preserve">Schoggibrötli </t>
  </si>
  <si>
    <t xml:space="preserve">Pain au chocolat </t>
  </si>
  <si>
    <t xml:space="preserve">Panino al cioccolato </t>
  </si>
  <si>
    <t xml:space="preserve">Schoggigipfel </t>
  </si>
  <si>
    <t xml:space="preserve">Croissant au chocolat </t>
  </si>
  <si>
    <t>Cornetto al cioccolato</t>
  </si>
  <si>
    <t xml:space="preserve">Schraubenbrötli </t>
  </si>
  <si>
    <t>Petit pain torsadé</t>
  </si>
  <si>
    <t>Panino torciglione</t>
  </si>
  <si>
    <t xml:space="preserve">Semmeli </t>
  </si>
  <si>
    <t>Ballon régional</t>
  </si>
  <si>
    <t>Michetta</t>
  </si>
  <si>
    <t xml:space="preserve">St. Gallerbrot </t>
  </si>
  <si>
    <t>St. Gallerbrot 250g</t>
  </si>
  <si>
    <t>Pain St-Gall</t>
  </si>
  <si>
    <t>Pain St-Gall 250g</t>
  </si>
  <si>
    <t>Pane di San Gallo</t>
  </si>
  <si>
    <t>Pane di San Gallo 250g</t>
  </si>
  <si>
    <t>St. Gallerbrot 500g</t>
  </si>
  <si>
    <t>Pain St-Gall 500g</t>
  </si>
  <si>
    <t>Pane di San Gallo 500g</t>
  </si>
  <si>
    <t xml:space="preserve">Tessinerbrot </t>
  </si>
  <si>
    <t>400g</t>
  </si>
  <si>
    <t>Tessinerbrot 400g</t>
  </si>
  <si>
    <t xml:space="preserve">Pain tessinois </t>
  </si>
  <si>
    <t>Pain tessinois 400g</t>
  </si>
  <si>
    <t>Pane ticinese</t>
  </si>
  <si>
    <t>Pane ticinese 400g</t>
  </si>
  <si>
    <t xml:space="preserve">Vanillebrötli </t>
  </si>
  <si>
    <t xml:space="preserve">Petit pain vanille </t>
  </si>
  <si>
    <t xml:space="preserve">Panino alla vaniglia </t>
  </si>
  <si>
    <t xml:space="preserve">Vanillegipfel </t>
  </si>
  <si>
    <t xml:space="preserve">Croissant vanille </t>
  </si>
  <si>
    <t>Cornetto alla vaniglia</t>
  </si>
  <si>
    <t xml:space="preserve">Vanille-Himb. Plunder </t>
  </si>
  <si>
    <t>Friv. vanille-framb.</t>
  </si>
  <si>
    <t>Sfoglia vanigl.-lamp.</t>
  </si>
  <si>
    <t xml:space="preserve">Vanille-Stange </t>
  </si>
  <si>
    <t>Bâton à la vanille</t>
  </si>
  <si>
    <t>Bastoncino vaniglia</t>
  </si>
  <si>
    <t xml:space="preserve">Vollkorngipfel </t>
  </si>
  <si>
    <t>Croissant complet</t>
  </si>
  <si>
    <t>Cornetto integrale</t>
  </si>
  <si>
    <t xml:space="preserve">Weggli </t>
  </si>
  <si>
    <t xml:space="preserve">Pain au lait </t>
  </si>
  <si>
    <t>Michetta al latte</t>
  </si>
  <si>
    <t>Frische Pasta</t>
  </si>
  <si>
    <t>Pâtes fraîches</t>
  </si>
  <si>
    <t>Pasta fresca</t>
  </si>
  <si>
    <t>Convenience-Produkte</t>
  </si>
  <si>
    <t>Ready to cook</t>
  </si>
  <si>
    <t>Ravioli</t>
  </si>
  <si>
    <t xml:space="preserve">Ravioli </t>
  </si>
  <si>
    <t>Gastronomietheke</t>
  </si>
  <si>
    <t>Comptoir gastronomie</t>
  </si>
  <si>
    <t>Banco gastronomia</t>
  </si>
  <si>
    <t>Ready to eat</t>
  </si>
  <si>
    <t>Glace Becher</t>
  </si>
  <si>
    <t>Glace gobelet</t>
  </si>
  <si>
    <t>Gelato coppetta</t>
  </si>
  <si>
    <t>Tiefkühlprodukte</t>
  </si>
  <si>
    <t>Glace Behälter</t>
  </si>
  <si>
    <t>1l</t>
  </si>
  <si>
    <t>Glace Behälter 1l</t>
  </si>
  <si>
    <t>Glace bac</t>
  </si>
  <si>
    <t>Glace bac 1l</t>
  </si>
  <si>
    <t>Gelato vaschetta</t>
  </si>
  <si>
    <t>Gelato vaschetta 1l</t>
  </si>
  <si>
    <t xml:space="preserve">Mehl </t>
  </si>
  <si>
    <t>Mehl 500g</t>
  </si>
  <si>
    <t xml:space="preserve">Farine </t>
  </si>
  <si>
    <t>Farine 500g</t>
  </si>
  <si>
    <t xml:space="preserve">Farina </t>
  </si>
  <si>
    <t>Farina 500g</t>
  </si>
  <si>
    <t>Food</t>
  </si>
  <si>
    <t>Grundnahrungsmittel</t>
  </si>
  <si>
    <t>Mehl 1kg</t>
  </si>
  <si>
    <t>Farine 1kg</t>
  </si>
  <si>
    <t>Farina 1kg</t>
  </si>
  <si>
    <t xml:space="preserve">Salatsauce </t>
  </si>
  <si>
    <t>500ml</t>
  </si>
  <si>
    <t>Salatsauce 500ml</t>
  </si>
  <si>
    <t>Sauce à salade</t>
  </si>
  <si>
    <t>Sauce à salade 500ml</t>
  </si>
  <si>
    <t>Salsa per insalata</t>
  </si>
  <si>
    <t>Salsa per insalata 500ml</t>
  </si>
  <si>
    <t>Öl/Essig/Salatsaucen</t>
  </si>
  <si>
    <t>Salatsauce 1l</t>
  </si>
  <si>
    <t>Sauce à salade 1l</t>
  </si>
  <si>
    <t>Salsa per insalata 1l</t>
  </si>
  <si>
    <t>Mohrenkopf</t>
  </si>
  <si>
    <t>Tête de choco</t>
  </si>
  <si>
    <t>Moretti</t>
  </si>
  <si>
    <t>Schokolade</t>
  </si>
  <si>
    <t>Bénichon-Senf</t>
  </si>
  <si>
    <t>100g</t>
  </si>
  <si>
    <t>Bénichon-Senf 100g</t>
  </si>
  <si>
    <t>Moutarde de Bénichon</t>
  </si>
  <si>
    <t>Moutarde de Bénichon 100g</t>
  </si>
  <si>
    <t>Senape di Bénichon</t>
  </si>
  <si>
    <t>Senape di Bénichon 100g</t>
  </si>
  <si>
    <t>Sonstige Nahrungsmittel</t>
  </si>
  <si>
    <t>Bénichon-Senf 250g</t>
  </si>
  <si>
    <t>Moutarde de Bénichon 250</t>
  </si>
  <si>
    <t>Senape di Bénichon 250</t>
  </si>
  <si>
    <t>Geschenkkorb</t>
  </si>
  <si>
    <t>Panier cadeau</t>
  </si>
  <si>
    <t>Cesto regalo</t>
  </si>
  <si>
    <t xml:space="preserve">Honig </t>
  </si>
  <si>
    <t>Honig 250g</t>
  </si>
  <si>
    <t>Miel</t>
  </si>
  <si>
    <t>Miel 250g</t>
  </si>
  <si>
    <t xml:space="preserve">Miele </t>
  </si>
  <si>
    <t>Miele 250g</t>
  </si>
  <si>
    <t>Honig 500g</t>
  </si>
  <si>
    <t>Miel 500g</t>
  </si>
  <si>
    <t>Miele 500g</t>
  </si>
  <si>
    <t>Konfitüre</t>
  </si>
  <si>
    <t>150g</t>
  </si>
  <si>
    <t>Konfitüre 150g</t>
  </si>
  <si>
    <t xml:space="preserve">Confiture </t>
  </si>
  <si>
    <t>Confiture 150g</t>
  </si>
  <si>
    <t xml:space="preserve">Confettura </t>
  </si>
  <si>
    <t>Confettura 150g</t>
  </si>
  <si>
    <t>Konfitüre 250g</t>
  </si>
  <si>
    <t>Confiture 250g</t>
  </si>
  <si>
    <t>Confettura 250g</t>
  </si>
  <si>
    <t>350g</t>
  </si>
  <si>
    <t>Konfitüre 350g</t>
  </si>
  <si>
    <t>Confiture 350g</t>
  </si>
  <si>
    <t>Confettura 350g</t>
  </si>
  <si>
    <t>450g</t>
  </si>
  <si>
    <t>Konfitüre 450g</t>
  </si>
  <si>
    <t>Confiture 450g</t>
  </si>
  <si>
    <t>Confettura 450g</t>
  </si>
  <si>
    <t xml:space="preserve">Karamell </t>
  </si>
  <si>
    <t xml:space="preserve">Caramel </t>
  </si>
  <si>
    <t xml:space="preserve">Caramello </t>
  </si>
  <si>
    <t>Zuckerconfiserie</t>
  </si>
  <si>
    <t>Eier</t>
  </si>
  <si>
    <t>4Stk</t>
  </si>
  <si>
    <t>Eier 4Stk</t>
  </si>
  <si>
    <t>Oeufs</t>
  </si>
  <si>
    <t>4pces</t>
  </si>
  <si>
    <t>Oeufs 4pces</t>
  </si>
  <si>
    <t>Uova</t>
  </si>
  <si>
    <t>4pz</t>
  </si>
  <si>
    <t>Uova 4pz</t>
  </si>
  <si>
    <t>Frische</t>
  </si>
  <si>
    <t xml:space="preserve">Molkereiprodukte &amp; Eier </t>
  </si>
  <si>
    <t xml:space="preserve">Eier </t>
  </si>
  <si>
    <t>10Stk</t>
  </si>
  <si>
    <t>Eier 10Stk</t>
  </si>
  <si>
    <t>10pces</t>
  </si>
  <si>
    <t>Oeufs 10pces</t>
  </si>
  <si>
    <t>10pz</t>
  </si>
  <si>
    <t>Uova 10pz</t>
  </si>
  <si>
    <t>Eier 1Stk</t>
  </si>
  <si>
    <t>Oeuf</t>
  </si>
  <si>
    <t>Oeuf 1pce</t>
  </si>
  <si>
    <t>Uovo</t>
  </si>
  <si>
    <t>Uovo 1pz</t>
  </si>
  <si>
    <t>6Stk</t>
  </si>
  <si>
    <t>Eier 6Stk</t>
  </si>
  <si>
    <t>6pces</t>
  </si>
  <si>
    <t>Oeufs 6pces</t>
  </si>
  <si>
    <t>6pz</t>
  </si>
  <si>
    <t>Uova 6pz</t>
  </si>
  <si>
    <t>Picnic-Eier</t>
  </si>
  <si>
    <t>Picnic-Eier 6Stk</t>
  </si>
  <si>
    <t xml:space="preserve">Oeufs picnic </t>
  </si>
  <si>
    <t>Oeufs picnic 6pces</t>
  </si>
  <si>
    <t>Uova picnic</t>
  </si>
  <si>
    <t>Uova picnic 6pz</t>
  </si>
  <si>
    <t xml:space="preserve">Picnic-Eier </t>
  </si>
  <si>
    <t>Picnic-Eier 1Stk</t>
  </si>
  <si>
    <t>Oeuf picnic</t>
  </si>
  <si>
    <t>Oeuf picnic 1pce</t>
  </si>
  <si>
    <t>Uovo picnic</t>
  </si>
  <si>
    <t>Uovo picnic 1pz</t>
  </si>
  <si>
    <t>Wachteleier</t>
  </si>
  <si>
    <t>8Stk</t>
  </si>
  <si>
    <t>Wachteleier 8Stk</t>
  </si>
  <si>
    <t>Oeufs de caille</t>
  </si>
  <si>
    <t>8pces</t>
  </si>
  <si>
    <t>Oeufs de caille 8pces</t>
  </si>
  <si>
    <t>Uova di quaglia</t>
  </si>
  <si>
    <t>8pz</t>
  </si>
  <si>
    <t>Uova di quaglia 8pz</t>
  </si>
  <si>
    <t>Wachteleier 6Stk</t>
  </si>
  <si>
    <t>Oeufs de caille 6pces</t>
  </si>
  <si>
    <t>Uova di quaglia 6pz</t>
  </si>
  <si>
    <t>Wachteleier 1Stk</t>
  </si>
  <si>
    <t>kg</t>
  </si>
  <si>
    <t xml:space="preserve">Eglifilet </t>
  </si>
  <si>
    <t>Filet de perche</t>
  </si>
  <si>
    <t>Filetto di persico</t>
  </si>
  <si>
    <t>SB - Fleisch</t>
  </si>
  <si>
    <t>Fisch</t>
  </si>
  <si>
    <t>Rindstartar</t>
  </si>
  <si>
    <t>Tartare de boeuf</t>
  </si>
  <si>
    <t>Tartare di manzo</t>
  </si>
  <si>
    <t>Fleisch</t>
  </si>
  <si>
    <t>Theke Wurstwaren</t>
  </si>
  <si>
    <t>Comptoir charcuterie</t>
  </si>
  <si>
    <t>Banco salumeria</t>
  </si>
  <si>
    <t>Fleisch- und Wurstwaren</t>
  </si>
  <si>
    <t>Fleisch- und Wurstwaren andere</t>
  </si>
  <si>
    <t xml:space="preserve">Wurstwaren </t>
  </si>
  <si>
    <t>Charcuterie</t>
  </si>
  <si>
    <t>Salumi</t>
  </si>
  <si>
    <t>Büscion</t>
  </si>
  <si>
    <t>2Stk</t>
  </si>
  <si>
    <t>Büscion 2Stk</t>
  </si>
  <si>
    <t>Büscion 2pces</t>
  </si>
  <si>
    <t>2pces</t>
  </si>
  <si>
    <t>2pz</t>
  </si>
  <si>
    <t>Büscion 2pz</t>
  </si>
  <si>
    <t>Käse</t>
  </si>
  <si>
    <t>Fondue</t>
  </si>
  <si>
    <t>Fondue 400g</t>
  </si>
  <si>
    <t>600g</t>
  </si>
  <si>
    <t>Fondue 600g</t>
  </si>
  <si>
    <t>800g</t>
  </si>
  <si>
    <t>Fondue 800g</t>
  </si>
  <si>
    <t>Frischkäse</t>
  </si>
  <si>
    <t>Frischkäse 2Stk</t>
  </si>
  <si>
    <t xml:space="preserve">Fromage frais </t>
  </si>
  <si>
    <t>Fromage frais 2pces</t>
  </si>
  <si>
    <t>Formaggini freschi</t>
  </si>
  <si>
    <t>Formaggini freschi 2pz</t>
  </si>
  <si>
    <t>Gruyère</t>
  </si>
  <si>
    <t xml:space="preserve">Gruyère </t>
  </si>
  <si>
    <t>Käse Spezialitäten</t>
  </si>
  <si>
    <t>Spécialités de fromage</t>
  </si>
  <si>
    <t>Formaggi</t>
  </si>
  <si>
    <t>Käsetheke</t>
  </si>
  <si>
    <t xml:space="preserve">Fromagerie </t>
  </si>
  <si>
    <t>Banco formaggi</t>
  </si>
  <si>
    <t>Mutschli</t>
  </si>
  <si>
    <t xml:space="preserve">Tomme </t>
  </si>
  <si>
    <t>Tomino</t>
  </si>
  <si>
    <t>Raclette</t>
  </si>
  <si>
    <t xml:space="preserve">Raclette </t>
  </si>
  <si>
    <t>Zincarlin</t>
  </si>
  <si>
    <t xml:space="preserve">Butter </t>
  </si>
  <si>
    <t>Butter 100g</t>
  </si>
  <si>
    <t xml:space="preserve">Beurre </t>
  </si>
  <si>
    <t>Beurre 100g</t>
  </si>
  <si>
    <t xml:space="preserve">Burro </t>
  </si>
  <si>
    <t>Burro 100g</t>
  </si>
  <si>
    <t>Milchprodukte</t>
  </si>
  <si>
    <t>200g</t>
  </si>
  <si>
    <t>Butter 200g</t>
  </si>
  <si>
    <t>Beurre</t>
  </si>
  <si>
    <t>Beurre 200g</t>
  </si>
  <si>
    <t>Burro 200g</t>
  </si>
  <si>
    <t>Butter 250g</t>
  </si>
  <si>
    <t>Beurre 250g</t>
  </si>
  <si>
    <t>Burro 250g</t>
  </si>
  <si>
    <t>Doppel-Rahm</t>
  </si>
  <si>
    <t>200ml</t>
  </si>
  <si>
    <t>Doppel-Rahm 200ml</t>
  </si>
  <si>
    <t>Double crème</t>
  </si>
  <si>
    <t>Double crème 200ml</t>
  </si>
  <si>
    <t>Panna doppia</t>
  </si>
  <si>
    <t>Panna 200ml</t>
  </si>
  <si>
    <t>250ml</t>
  </si>
  <si>
    <t>Doppel-Rahm 250ml</t>
  </si>
  <si>
    <t>Double crème 250ml</t>
  </si>
  <si>
    <t>Panna 250ml</t>
  </si>
  <si>
    <t>Jogurt</t>
  </si>
  <si>
    <t>130g</t>
  </si>
  <si>
    <t>Jogurt 130g</t>
  </si>
  <si>
    <t>Yogourt</t>
  </si>
  <si>
    <t>Yogourt 130g</t>
  </si>
  <si>
    <t>Jogurt 150g</t>
  </si>
  <si>
    <t>Yogourt 150g</t>
  </si>
  <si>
    <t>180g</t>
  </si>
  <si>
    <t>Jogurt 180g</t>
  </si>
  <si>
    <t>Yogourt 180g</t>
  </si>
  <si>
    <t>Jogurt 200g</t>
  </si>
  <si>
    <t>Yogourt 200g</t>
  </si>
  <si>
    <t>Jogurt 250g</t>
  </si>
  <si>
    <t>Yogourt 250g</t>
  </si>
  <si>
    <t>Jogurt 400g</t>
  </si>
  <si>
    <t>Yogourt 400g</t>
  </si>
  <si>
    <t>Jogurt 500g</t>
  </si>
  <si>
    <t>Yogourt 500g</t>
  </si>
  <si>
    <t xml:space="preserve">Kräuterbutter </t>
  </si>
  <si>
    <t>40g</t>
  </si>
  <si>
    <t>Kräuterbutter 40g</t>
  </si>
  <si>
    <t>Beurre aux herbes</t>
  </si>
  <si>
    <t>Beurre aux herbes 40g</t>
  </si>
  <si>
    <t>Burro alle erbe</t>
  </si>
  <si>
    <t>Burro alle erbe 40g</t>
  </si>
  <si>
    <t>60g</t>
  </si>
  <si>
    <t>Kräuterbutter 60g</t>
  </si>
  <si>
    <t>Beurre aux herbes 60g</t>
  </si>
  <si>
    <t>Burro alle erbe 60g</t>
  </si>
  <si>
    <t>Kräuterbutter 100g</t>
  </si>
  <si>
    <t>Beurre aux herbes 100g</t>
  </si>
  <si>
    <t>Burro alle erbe 100g</t>
  </si>
  <si>
    <t>Molki Spezialitäten</t>
  </si>
  <si>
    <t>Spécialités laiterie</t>
  </si>
  <si>
    <t>Specialità di latteria</t>
  </si>
  <si>
    <t>Fleischtheke</t>
  </si>
  <si>
    <t xml:space="preserve">Boucherie </t>
  </si>
  <si>
    <t xml:space="preserve">Banco carni </t>
  </si>
  <si>
    <t>SB - Fleisch andere</t>
  </si>
  <si>
    <t xml:space="preserve">Bauernschüblig </t>
  </si>
  <si>
    <t>Bauernschüblig 2Stk</t>
  </si>
  <si>
    <t xml:space="preserve">Schüblig </t>
  </si>
  <si>
    <t>Schüblig 2pces</t>
  </si>
  <si>
    <t>Schüblig contadino</t>
  </si>
  <si>
    <t>Schüblig contadino 2pz</t>
  </si>
  <si>
    <t>Wurstwaren</t>
  </si>
  <si>
    <t xml:space="preserve">Cervelat </t>
  </si>
  <si>
    <t>Cervelat 2Stk</t>
  </si>
  <si>
    <t xml:space="preserve">Cervelas </t>
  </si>
  <si>
    <t>Cervelas 2pces</t>
  </si>
  <si>
    <t>Cervelat 2pz</t>
  </si>
  <si>
    <t xml:space="preserve">Hauswurst </t>
  </si>
  <si>
    <t>Hauswurst 2Stk</t>
  </si>
  <si>
    <t xml:space="preserve">Saucisse </t>
  </si>
  <si>
    <t>Saucisse 2pces</t>
  </si>
  <si>
    <t xml:space="preserve">Salsiccia </t>
  </si>
  <si>
    <t>Salsiccia 2pz</t>
  </si>
  <si>
    <t xml:space="preserve">Landjäger dunkel </t>
  </si>
  <si>
    <t>Landjäger dunkel 2Stk</t>
  </si>
  <si>
    <t>Sauc. Landjäger foncée</t>
  </si>
  <si>
    <t>Sauc. foncée 2pces</t>
  </si>
  <si>
    <t>Sals. Landjäger scura</t>
  </si>
  <si>
    <t>Sals. scura 2pz</t>
  </si>
  <si>
    <t xml:space="preserve">Landjäger hell </t>
  </si>
  <si>
    <t>Landjäger hell 2Stk</t>
  </si>
  <si>
    <t>Sauc. Landjäger claire</t>
  </si>
  <si>
    <t>Sauc. claire 2pces</t>
  </si>
  <si>
    <t>Sals. Landjäger chiara</t>
  </si>
  <si>
    <t>Sals. chiara 2pz</t>
  </si>
  <si>
    <t xml:space="preserve">Rauchwurst </t>
  </si>
  <si>
    <t>Rauchwurst 2Stk</t>
  </si>
  <si>
    <t>Saucisse fumée</t>
  </si>
  <si>
    <t>Saucisse fumée 2pces</t>
  </si>
  <si>
    <t xml:space="preserve">Salsiccia affumicata </t>
  </si>
  <si>
    <t>Salsiccia affumicata 2pz</t>
  </si>
  <si>
    <t>6x25cl</t>
  </si>
  <si>
    <t>Bier 6x25cl</t>
  </si>
  <si>
    <t>Bière 6x25cl</t>
  </si>
  <si>
    <t>Birra 6x25cl</t>
  </si>
  <si>
    <t>Getränke</t>
  </si>
  <si>
    <t>4x25cl</t>
  </si>
  <si>
    <t>Bier 4x25cl</t>
  </si>
  <si>
    <t>Bière 4x25cl</t>
  </si>
  <si>
    <t>Birra 4x25cl</t>
  </si>
  <si>
    <t>25cl</t>
  </si>
  <si>
    <t>Bier 25cl</t>
  </si>
  <si>
    <t>Bière 25cl</t>
  </si>
  <si>
    <t>Birra 25cl</t>
  </si>
  <si>
    <t>10x33cl</t>
  </si>
  <si>
    <t>Bier 10x33cl</t>
  </si>
  <si>
    <t>Bière 10x33cl</t>
  </si>
  <si>
    <t>Birra 10x33cl</t>
  </si>
  <si>
    <t>6x33cl</t>
  </si>
  <si>
    <t>Bier 6x33cl</t>
  </si>
  <si>
    <t>Bière 6x33cl</t>
  </si>
  <si>
    <t>Birra 6x33cl</t>
  </si>
  <si>
    <t>4x33cl</t>
  </si>
  <si>
    <t>Bier 4x33cl</t>
  </si>
  <si>
    <t>Bière 4x33cl</t>
  </si>
  <si>
    <t>Birra 4x33cl</t>
  </si>
  <si>
    <t>3x33cl</t>
  </si>
  <si>
    <t>Bier 3x33cl</t>
  </si>
  <si>
    <t>Bière 3x33cl</t>
  </si>
  <si>
    <t>Birra 3x33cl</t>
  </si>
  <si>
    <t>33cl</t>
  </si>
  <si>
    <t>Bier 33cl</t>
  </si>
  <si>
    <t>Bière 33cl</t>
  </si>
  <si>
    <t>Birra 33cl</t>
  </si>
  <si>
    <t>6x50cl</t>
  </si>
  <si>
    <t>Bier 6x50cl</t>
  </si>
  <si>
    <t>Bière 6x50cl</t>
  </si>
  <si>
    <t>Birra 6x50cl</t>
  </si>
  <si>
    <t>4x50cl</t>
  </si>
  <si>
    <t>Bier 4x50cl</t>
  </si>
  <si>
    <t>Bière 4x50cl</t>
  </si>
  <si>
    <t>Birra 4x50cl</t>
  </si>
  <si>
    <t>50cl</t>
  </si>
  <si>
    <t>Bier 50cl</t>
  </si>
  <si>
    <t>Bière 50cl</t>
  </si>
  <si>
    <t>Birra 50cl</t>
  </si>
  <si>
    <t>75cl</t>
  </si>
  <si>
    <t>Bier 75cl</t>
  </si>
  <si>
    <t>Bière 75cl</t>
  </si>
  <si>
    <t>Birra 75cl</t>
  </si>
  <si>
    <t xml:space="preserve">Kaffee </t>
  </si>
  <si>
    <t xml:space="preserve">Café </t>
  </si>
  <si>
    <t xml:space="preserve">Caffè </t>
  </si>
  <si>
    <t>Kaffee und Tee</t>
  </si>
  <si>
    <t>Kaffee</t>
  </si>
  <si>
    <t>Kaffee to go</t>
  </si>
  <si>
    <t>Café à l'emporter</t>
  </si>
  <si>
    <t>Caffè da asporto</t>
  </si>
  <si>
    <t>Absinth</t>
  </si>
  <si>
    <t>Absinth 1l</t>
  </si>
  <si>
    <t>Absinthe</t>
  </si>
  <si>
    <t>Absinthe 1l</t>
  </si>
  <si>
    <t>Assenzio</t>
  </si>
  <si>
    <t>Assenzio 1l</t>
  </si>
  <si>
    <t>Absinth 50cl</t>
  </si>
  <si>
    <t>Absinthe 50cl</t>
  </si>
  <si>
    <t>Assenzio 50cl</t>
  </si>
  <si>
    <t>Grappa</t>
  </si>
  <si>
    <t>Grappa 1l</t>
  </si>
  <si>
    <t>Grappa 50cl</t>
  </si>
  <si>
    <t>70cl</t>
  </si>
  <si>
    <t>Grappa 70cl</t>
  </si>
  <si>
    <t>Likör &amp; Schnaps</t>
  </si>
  <si>
    <t>Liqueurs &amp; eaux-de-vie</t>
  </si>
  <si>
    <t>Liquori e distillati</t>
  </si>
  <si>
    <t>Limoncello</t>
  </si>
  <si>
    <t>Limoncello 1l</t>
  </si>
  <si>
    <t>Nocino</t>
  </si>
  <si>
    <t>Nocino 1l</t>
  </si>
  <si>
    <t>Nocino 50cl</t>
  </si>
  <si>
    <t>Nocino 70cl</t>
  </si>
  <si>
    <t>Apfelsaft</t>
  </si>
  <si>
    <t>Apfelsaft 33cl</t>
  </si>
  <si>
    <t>Jus de pomme</t>
  </si>
  <si>
    <t>Jus de pomme 33cl</t>
  </si>
  <si>
    <t>Succo di mela</t>
  </si>
  <si>
    <t>Succo mela 33cl</t>
  </si>
  <si>
    <t>Tafelgetränke</t>
  </si>
  <si>
    <t>Apfelsaft 50cl</t>
  </si>
  <si>
    <t>Jus de pomme 50cl</t>
  </si>
  <si>
    <t>Succo mela 50cl</t>
  </si>
  <si>
    <t>Apfelsaft 1l</t>
  </si>
  <si>
    <t>Jus de pomme 1l</t>
  </si>
  <si>
    <t>Succo mela 1l</t>
  </si>
  <si>
    <t>1.5l</t>
  </si>
  <si>
    <t>Apfelsaft 1.5l</t>
  </si>
  <si>
    <t>Jus de pomme 1.5l</t>
  </si>
  <si>
    <t>Succo mela 1.5l</t>
  </si>
  <si>
    <t>10l</t>
  </si>
  <si>
    <t>Apfelsaft 10l</t>
  </si>
  <si>
    <t>Jus de pomme 10l</t>
  </si>
  <si>
    <t>Succo mela 10l</t>
  </si>
  <si>
    <t>5l</t>
  </si>
  <si>
    <t>Apfelsaft 5l</t>
  </si>
  <si>
    <t>Jus de pomme 5l</t>
  </si>
  <si>
    <t>Succo mela 5l</t>
  </si>
  <si>
    <t>3l</t>
  </si>
  <si>
    <t>Apfelsaft 3l</t>
  </si>
  <si>
    <t>Jus de pomme 3l</t>
  </si>
  <si>
    <t>Succo mela 3l</t>
  </si>
  <si>
    <t>Apfelshorle</t>
  </si>
  <si>
    <t>Jus de pomme pétillant</t>
  </si>
  <si>
    <t>Jus de pomme pétillant 33cl</t>
  </si>
  <si>
    <t>Succo di mela gassato</t>
  </si>
  <si>
    <t>Succo di mela gas. 33cl</t>
  </si>
  <si>
    <t>Jus de pomme pétillant 50cl</t>
  </si>
  <si>
    <t>Succo di mela gas. 50cl</t>
  </si>
  <si>
    <t>Jus de pomme pétillant 1l</t>
  </si>
  <si>
    <t>Succo di mela gas. 1l</t>
  </si>
  <si>
    <t>Jus de pomme pétillant 1.5l</t>
  </si>
  <si>
    <t>Succo di mela gas. 1.5l</t>
  </si>
  <si>
    <t>Apfelwein</t>
  </si>
  <si>
    <t>Apfelwein 33cl</t>
  </si>
  <si>
    <t>Vin de pomme</t>
  </si>
  <si>
    <t>Vin de pomme 33cl</t>
  </si>
  <si>
    <t>Vino di mele</t>
  </si>
  <si>
    <t>Vino di mele 33cl</t>
  </si>
  <si>
    <t>Apfelwein 50cl</t>
  </si>
  <si>
    <t>Vin de pomme 50cl</t>
  </si>
  <si>
    <t>Vino di mele 50cl</t>
  </si>
  <si>
    <t>Apfelwein 75cl</t>
  </si>
  <si>
    <t>Vin de pomme 75cl</t>
  </si>
  <si>
    <t>Vino di mele 75cl</t>
  </si>
  <si>
    <t>Apfelwein 1l</t>
  </si>
  <si>
    <t>Vin de pomme 1l</t>
  </si>
  <si>
    <t>Vino di mele 1l</t>
  </si>
  <si>
    <t>Apfelwein 1.5l</t>
  </si>
  <si>
    <t>Vin de pomme 1.5l</t>
  </si>
  <si>
    <t>Vino di mele 1.5l</t>
  </si>
  <si>
    <t>Cider</t>
  </si>
  <si>
    <t>Cider 33cl</t>
  </si>
  <si>
    <t>Cidre</t>
  </si>
  <si>
    <t>Cidre 33cl</t>
  </si>
  <si>
    <t>Sidro</t>
  </si>
  <si>
    <t>Sidro 33cl</t>
  </si>
  <si>
    <t>Cider 50cl</t>
  </si>
  <si>
    <t>Cidre 50cl</t>
  </si>
  <si>
    <t>Sidro 50cl</t>
  </si>
  <si>
    <t>Cider 75cl</t>
  </si>
  <si>
    <t>Cidre 75cl</t>
  </si>
  <si>
    <t>Sidro 75cl</t>
  </si>
  <si>
    <t>Cider 1l</t>
  </si>
  <si>
    <t>Cidre 1l</t>
  </si>
  <si>
    <t>Sidro 1l</t>
  </si>
  <si>
    <t>Sirup</t>
  </si>
  <si>
    <t>35cl</t>
  </si>
  <si>
    <t>Sirup 35cl</t>
  </si>
  <si>
    <t xml:space="preserve">Sirop </t>
  </si>
  <si>
    <t>Sirop 35cl</t>
  </si>
  <si>
    <t>Sciroppo</t>
  </si>
  <si>
    <t>Sciroppo 35cl</t>
  </si>
  <si>
    <t>Sirup 50cl</t>
  </si>
  <si>
    <t>Sirop 50cl</t>
  </si>
  <si>
    <t>Sciroppo 50cl</t>
  </si>
  <si>
    <t>Sirup 75cl</t>
  </si>
  <si>
    <t>Sirop 75cl</t>
  </si>
  <si>
    <t>Sciroppo 75cl</t>
  </si>
  <si>
    <t>Sirup 1l</t>
  </si>
  <si>
    <t>Sirop 1l</t>
  </si>
  <si>
    <t>Sciroppo 1l</t>
  </si>
  <si>
    <t xml:space="preserve">Tee </t>
  </si>
  <si>
    <t xml:space="preserve">Thé </t>
  </si>
  <si>
    <t xml:space="preserve">Tè </t>
  </si>
  <si>
    <t>Tee</t>
  </si>
  <si>
    <t>Gasflasche</t>
  </si>
  <si>
    <t>10.5kg</t>
  </si>
  <si>
    <t>Gasflasche 10.5kg</t>
  </si>
  <si>
    <t>Bouteille de gaz</t>
  </si>
  <si>
    <t>Bouteille gaz 10.5kg</t>
  </si>
  <si>
    <t>Bombola di gas</t>
  </si>
  <si>
    <t>Bombola gas 10.5kg</t>
  </si>
  <si>
    <t>Near Food</t>
  </si>
  <si>
    <t>Gebrauchsartikel</t>
  </si>
  <si>
    <t>5kg</t>
  </si>
  <si>
    <t>Gasflasche 5kg</t>
  </si>
  <si>
    <t>Bouteille gaz 5kg</t>
  </si>
  <si>
    <t>Bombola gas 5kg</t>
  </si>
  <si>
    <t xml:space="preserve">Gasflasche </t>
  </si>
  <si>
    <t>33kg</t>
  </si>
  <si>
    <t>Gasflasche 33kg</t>
  </si>
  <si>
    <t>Bouteille gaz 33kg</t>
  </si>
  <si>
    <t>Bombola gas 33kg</t>
  </si>
  <si>
    <t>35kg</t>
  </si>
  <si>
    <t>Gasflasche 35kg</t>
  </si>
  <si>
    <t>Bouteille gaz 35kg</t>
  </si>
  <si>
    <t>Bombola gas 35kg</t>
  </si>
  <si>
    <t>7.5kg</t>
  </si>
  <si>
    <t>Gasflasche 7.5kg</t>
  </si>
  <si>
    <t>Bouteille gaz 7.5kg</t>
  </si>
  <si>
    <t>Bombola gas 7.5kg</t>
  </si>
  <si>
    <t>Holz</t>
  </si>
  <si>
    <t>Bois de chauffage</t>
  </si>
  <si>
    <t>Legna da ardere</t>
  </si>
  <si>
    <t>Holzkohle</t>
  </si>
  <si>
    <t>Charbon de bois</t>
  </si>
  <si>
    <t>Carbone</t>
  </si>
  <si>
    <t>Karten</t>
  </si>
  <si>
    <t xml:space="preserve">Cartes </t>
  </si>
  <si>
    <t>Cartoline</t>
  </si>
  <si>
    <t>Pellets</t>
  </si>
  <si>
    <t>Pellet</t>
  </si>
  <si>
    <t>Zeitschriften</t>
  </si>
  <si>
    <t>Magazines</t>
  </si>
  <si>
    <t>Riviste</t>
  </si>
  <si>
    <t>Bündelmarke</t>
  </si>
  <si>
    <t>Marque de regroupement</t>
  </si>
  <si>
    <t>Tagliando tarif. fasci</t>
  </si>
  <si>
    <t>Gebührensäcke und Marken</t>
  </si>
  <si>
    <t>Container Band</t>
  </si>
  <si>
    <t>Container Band 1Stk</t>
  </si>
  <si>
    <t>Bande de conteneur</t>
  </si>
  <si>
    <t>Bande conteneur 1pce</t>
  </si>
  <si>
    <t>Fascia per contenitore</t>
  </si>
  <si>
    <t>Fascia contenitore 1pz</t>
  </si>
  <si>
    <t>240L</t>
  </si>
  <si>
    <t>Container Band 240L</t>
  </si>
  <si>
    <t>240l</t>
  </si>
  <si>
    <t>Bande conteneur 240l</t>
  </si>
  <si>
    <t>Fascia contenitore 240l</t>
  </si>
  <si>
    <t>800L</t>
  </si>
  <si>
    <t>Container Band 800L</t>
  </si>
  <si>
    <t>800l</t>
  </si>
  <si>
    <t>Bande conteneur 800l</t>
  </si>
  <si>
    <t>Fascia contenitore 800l</t>
  </si>
  <si>
    <t xml:space="preserve">Container Band </t>
  </si>
  <si>
    <t>250L</t>
  </si>
  <si>
    <t>Container Band 250L</t>
  </si>
  <si>
    <t>250l</t>
  </si>
  <si>
    <t>Bande conteneur 250l</t>
  </si>
  <si>
    <t>Fascia contenitore 250l</t>
  </si>
  <si>
    <t>Gebührenmarke Sperrgut</t>
  </si>
  <si>
    <t>Timbre-taxe encombr.</t>
  </si>
  <si>
    <t>Tagliando tarif. ing.</t>
  </si>
  <si>
    <t xml:space="preserve">Gebührensäcke </t>
  </si>
  <si>
    <t>110L</t>
  </si>
  <si>
    <t>Gebührensäcke 110L</t>
  </si>
  <si>
    <t>Sacs poubelles taxés</t>
  </si>
  <si>
    <t>110l</t>
  </si>
  <si>
    <t>Sacs poubelles 110l</t>
  </si>
  <si>
    <t>Sacchi rifiuti</t>
  </si>
  <si>
    <t>Sacchi rifiuti 110l</t>
  </si>
  <si>
    <t>17L</t>
  </si>
  <si>
    <t>Gebührensäcke 17L</t>
  </si>
  <si>
    <t>17l</t>
  </si>
  <si>
    <t>Sacs poubelles 17l</t>
  </si>
  <si>
    <t>Sacchi rifiuti 17l</t>
  </si>
  <si>
    <t>35L</t>
  </si>
  <si>
    <t>Gebührensäcke 35L</t>
  </si>
  <si>
    <t>35l</t>
  </si>
  <si>
    <t>Sacs poubelles 35l</t>
  </si>
  <si>
    <t>Sacchi rifiuti 35l</t>
  </si>
  <si>
    <t>60L</t>
  </si>
  <si>
    <t>Gebührensäcke 60L</t>
  </si>
  <si>
    <t>60l</t>
  </si>
  <si>
    <t>Sacs poubelles 60l</t>
  </si>
  <si>
    <t>Sacchi rifiuti 60l</t>
  </si>
  <si>
    <t>Plastikmüllsäcke</t>
  </si>
  <si>
    <t>Sacs poubelles plast.</t>
  </si>
  <si>
    <t>Sacchi rifiuti plast.</t>
  </si>
  <si>
    <t>Lieferpauschale</t>
  </si>
  <si>
    <t>Frais de livraison</t>
  </si>
  <si>
    <t>Costi di consegna</t>
  </si>
  <si>
    <t>Nicht-Handelsware</t>
  </si>
  <si>
    <t>Non-Merchandise</t>
  </si>
  <si>
    <t>Dienstleistungen</t>
  </si>
  <si>
    <t>Gutschein</t>
  </si>
  <si>
    <t>Bon cadeau</t>
  </si>
  <si>
    <t xml:space="preserve">Buono regalo </t>
  </si>
  <si>
    <t>Kasse</t>
  </si>
  <si>
    <t>Gutschein, Voucher</t>
  </si>
  <si>
    <t>Vin cuit</t>
  </si>
  <si>
    <t>Vin cuit 50cl</t>
  </si>
  <si>
    <t xml:space="preserve">Vin cuit </t>
  </si>
  <si>
    <t>Weine</t>
  </si>
  <si>
    <t>Wein andere</t>
  </si>
  <si>
    <t>Vin cuit 75cl</t>
  </si>
  <si>
    <t>Vin cuit 1l</t>
  </si>
  <si>
    <t>Wein 1l</t>
  </si>
  <si>
    <t xml:space="preserve">Vin </t>
  </si>
  <si>
    <t>Vin 1l</t>
  </si>
  <si>
    <t>Vino 1l</t>
  </si>
  <si>
    <t xml:space="preserve">Wein </t>
  </si>
  <si>
    <t>Wein 25cl</t>
  </si>
  <si>
    <t>Vin 25cl</t>
  </si>
  <si>
    <t>Vino 25cl</t>
  </si>
  <si>
    <t>Wein 50cl</t>
  </si>
  <si>
    <t>Vin 50cl</t>
  </si>
  <si>
    <t>Vino 50cl</t>
  </si>
  <si>
    <t>Wein 75cl</t>
  </si>
  <si>
    <t>Vin 75cl</t>
  </si>
  <si>
    <t>Vino 75cl</t>
  </si>
  <si>
    <t>Birnen Büscheli</t>
  </si>
  <si>
    <t>Offen Kl. 1</t>
  </si>
  <si>
    <t>Birnen Büscheli Offen Kl. 1</t>
  </si>
  <si>
    <t>Poires Büscheli</t>
  </si>
  <si>
    <t>En vrac, cl. 1</t>
  </si>
  <si>
    <t>Pere Büscheli</t>
  </si>
  <si>
    <t>Cl. 1 vendita sfusa</t>
  </si>
  <si>
    <t>Pere Büscheli Cl. 1 v.s.</t>
  </si>
  <si>
    <t>Früchte und Gemüse</t>
  </si>
  <si>
    <t>Früchte</t>
  </si>
  <si>
    <t>Ananas</t>
  </si>
  <si>
    <t>Baby</t>
  </si>
  <si>
    <t>Ananas Baby Stk</t>
  </si>
  <si>
    <t>Ananas Baby</t>
  </si>
  <si>
    <t>Ananas Baby 1 pz</t>
  </si>
  <si>
    <t>Becher</t>
  </si>
  <si>
    <t>Ananas Becher 200g</t>
  </si>
  <si>
    <t>Gobelet</t>
  </si>
  <si>
    <t>Ananas gobelet 200g</t>
  </si>
  <si>
    <t>bicchiere</t>
  </si>
  <si>
    <t>Ananas bicchiere 200g</t>
  </si>
  <si>
    <t>Äpfel Granny Smith</t>
  </si>
  <si>
    <t>gepackt</t>
  </si>
  <si>
    <t>Äpfel Granny Smith gepackt</t>
  </si>
  <si>
    <t>Pommes Granny Smith</t>
  </si>
  <si>
    <t>Emballé</t>
  </si>
  <si>
    <t>Pommes Granny Smith, emballé</t>
  </si>
  <si>
    <t>Mele Granny Smith</t>
  </si>
  <si>
    <t>confezionato</t>
  </si>
  <si>
    <t>Mele Granny Smith confez.</t>
  </si>
  <si>
    <t>Aprikosen</t>
  </si>
  <si>
    <t>2kg</t>
  </si>
  <si>
    <t>Aprikosen 2kg</t>
  </si>
  <si>
    <t>Abricots</t>
  </si>
  <si>
    <t>Abricots 2kg</t>
  </si>
  <si>
    <t>Albicocche</t>
  </si>
  <si>
    <t>Albicocche 2kg</t>
  </si>
  <si>
    <t xml:space="preserve">Aprikosen </t>
  </si>
  <si>
    <t>Offen AAA</t>
  </si>
  <si>
    <t>Aprikosen Offen AAA</t>
  </si>
  <si>
    <t xml:space="preserve">Abricots </t>
  </si>
  <si>
    <t>En vrac AAA</t>
  </si>
  <si>
    <t>Abricosts en vrac AAA</t>
  </si>
  <si>
    <t xml:space="preserve">Albicocche </t>
  </si>
  <si>
    <t>vendita sfusa AAA</t>
  </si>
  <si>
    <t xml:space="preserve">Albicocche vend. sfus. AAA </t>
  </si>
  <si>
    <t>ca. 800g</t>
  </si>
  <si>
    <t>Aprikosen ca. 800g</t>
  </si>
  <si>
    <t>env. 800g</t>
  </si>
  <si>
    <t>Abricots env. 800g</t>
  </si>
  <si>
    <t>Albicocche ca. 800g</t>
  </si>
  <si>
    <t>Aprikosen Offen</t>
  </si>
  <si>
    <t>Abrivots</t>
  </si>
  <si>
    <t>En Vrac</t>
  </si>
  <si>
    <t>Abricots en vrac</t>
  </si>
  <si>
    <t>vendita sfusa</t>
  </si>
  <si>
    <t>Albicocche vend. sfusa</t>
  </si>
  <si>
    <t>Schale</t>
  </si>
  <si>
    <t>650g</t>
  </si>
  <si>
    <t>Aprikosen Schale 650g</t>
  </si>
  <si>
    <t>Barquette</t>
  </si>
  <si>
    <t>Abricots barquette 650g</t>
  </si>
  <si>
    <t>vaschetta</t>
  </si>
  <si>
    <t>Albicocche vasch. 650g</t>
  </si>
  <si>
    <t>Aprikosen getrocknet</t>
  </si>
  <si>
    <t>Aprikosen getrocknet 200g</t>
  </si>
  <si>
    <t>Abricots secs</t>
  </si>
  <si>
    <t>Abricots secs 200g</t>
  </si>
  <si>
    <t>Albicocche secche</t>
  </si>
  <si>
    <t>Albicocche secche 200g</t>
  </si>
  <si>
    <t>Bananen Fyffes</t>
  </si>
  <si>
    <t>Offen</t>
  </si>
  <si>
    <t>Bananen Fyffes Offen</t>
  </si>
  <si>
    <t>Bananes Fyffes</t>
  </si>
  <si>
    <t>En vrac</t>
  </si>
  <si>
    <t>Bananes Fyffes en vrac</t>
  </si>
  <si>
    <t>Banane Fyffes</t>
  </si>
  <si>
    <t>Banane Fyffes vend. sfusa</t>
  </si>
  <si>
    <t>Bananen</t>
  </si>
  <si>
    <t>Bananen gepackt</t>
  </si>
  <si>
    <t>Bananes</t>
  </si>
  <si>
    <t>Bananes emballé</t>
  </si>
  <si>
    <t>Banane</t>
  </si>
  <si>
    <t>Banane confezionato</t>
  </si>
  <si>
    <t>Beerenmischung</t>
  </si>
  <si>
    <t>Beerenmischung Schale 250g</t>
  </si>
  <si>
    <t>Mélange de baies</t>
  </si>
  <si>
    <t>Melange de baies 250g</t>
  </si>
  <si>
    <t>Bacche miste</t>
  </si>
  <si>
    <t>Bacche miste 250g</t>
  </si>
  <si>
    <t>Bio Bananen Offen</t>
  </si>
  <si>
    <t>Bio Bananes</t>
  </si>
  <si>
    <t>Bio Bananes en vrac</t>
  </si>
  <si>
    <t>Bio Banane</t>
  </si>
  <si>
    <t>Bio Banane vendita sfusa</t>
  </si>
  <si>
    <t>Bio Wassermelone Mini</t>
  </si>
  <si>
    <t>Bio Pastèques</t>
  </si>
  <si>
    <t>Mini</t>
  </si>
  <si>
    <t>Bio Pastèques Mini</t>
  </si>
  <si>
    <t>Bio Angurie mini</t>
  </si>
  <si>
    <t>Bio Orangen Offen</t>
  </si>
  <si>
    <t>Bio Oranges</t>
  </si>
  <si>
    <t>Bio Oranges en vrac</t>
  </si>
  <si>
    <t>Bio Arance</t>
  </si>
  <si>
    <t>Bio Arance vendita sfusa</t>
  </si>
  <si>
    <t>Birnen Ercolini</t>
  </si>
  <si>
    <t>Birnen Ercolini Offen Kl. 1</t>
  </si>
  <si>
    <t>Poires Ercolini</t>
  </si>
  <si>
    <t>Poire Ercolini en vrac cl. 1</t>
  </si>
  <si>
    <t>Pere Ercolini</t>
  </si>
  <si>
    <t>Pere Ercolini cl.1 vend. Sf.</t>
  </si>
  <si>
    <t>Birnen Kaiser</t>
  </si>
  <si>
    <t>Birnen Kaiser Offen Kl.1</t>
  </si>
  <si>
    <t>Poires Beurré Bosc</t>
  </si>
  <si>
    <t>Poire Beurré Bosc en v. cl1</t>
  </si>
  <si>
    <t>Pere Kaiser</t>
  </si>
  <si>
    <t>Pere Kaiser cl. 1 vendta sf.</t>
  </si>
  <si>
    <t>Birnen Abate</t>
  </si>
  <si>
    <t>Kl. 1 gepackt</t>
  </si>
  <si>
    <t>Birnen Abate Kl. 1 gepackt</t>
  </si>
  <si>
    <t>Poires Abate</t>
  </si>
  <si>
    <t>Cl. 1 emballé</t>
  </si>
  <si>
    <t>Poires Abate cl. 1 emballé</t>
  </si>
  <si>
    <t>Pere Abate</t>
  </si>
  <si>
    <t>Cl. 1 confezionato</t>
  </si>
  <si>
    <t>Pere Abate cl.1 confezionato</t>
  </si>
  <si>
    <t>Bio Birnen Abate</t>
  </si>
  <si>
    <t>Bio Birnen Abate Kl. 1 gep.</t>
  </si>
  <si>
    <t>Bio Poires Abate</t>
  </si>
  <si>
    <t>Bio Poires Abate cl1 emballé</t>
  </si>
  <si>
    <t>Bio Pere Abate</t>
  </si>
  <si>
    <t>Bio Pere Abate cl. 1 confez.</t>
  </si>
  <si>
    <t>Birnen Boscop</t>
  </si>
  <si>
    <t>Birnen Boscop Offen Kl. 1</t>
  </si>
  <si>
    <t>Poires Boscop</t>
  </si>
  <si>
    <t>Poires Boscop en vrac cl. 1</t>
  </si>
  <si>
    <t>Pere Boscop</t>
  </si>
  <si>
    <t>Pere Boscop cl.1 vend. sfusa</t>
  </si>
  <si>
    <t>Birnen Boscop Kl. 1 gepackt</t>
  </si>
  <si>
    <t>Poires Boscop cl. 1 emballé</t>
  </si>
  <si>
    <t>Pere Boscop cl. 1 confez.</t>
  </si>
  <si>
    <t>Birnen Carmen</t>
  </si>
  <si>
    <t>Birnen Carmen Kl. 1 gepackt</t>
  </si>
  <si>
    <t>Poires Carmen</t>
  </si>
  <si>
    <t>Poires Carmen cl. 1 emballé</t>
  </si>
  <si>
    <t>Pere Carmen</t>
  </si>
  <si>
    <t>Pere Carmen cl. 1 confez.</t>
  </si>
  <si>
    <t>Birnen Conférence</t>
  </si>
  <si>
    <t>Birnen Conférence Offen Kl.1</t>
  </si>
  <si>
    <t>Poires Conférence</t>
  </si>
  <si>
    <t>Poires Conférence cl.1 en vr</t>
  </si>
  <si>
    <t>Pere Conférence</t>
  </si>
  <si>
    <t>Pere Conférence cl. 1 ve. Sf</t>
  </si>
  <si>
    <t>Birnen Conférence Kl. 2 gep.</t>
  </si>
  <si>
    <t>Poires Conférence cl. 1 emb.</t>
  </si>
  <si>
    <t>Pere Conférence cl. 1 conf</t>
  </si>
  <si>
    <t>Bio Birnen Conférence</t>
  </si>
  <si>
    <t>Bio Birnen Conf. Kl.1 gep.</t>
  </si>
  <si>
    <t>Bio Poires Conférence</t>
  </si>
  <si>
    <t>Bio Poires Confér. cl.1 emb.</t>
  </si>
  <si>
    <t>Bio Pere Conférence</t>
  </si>
  <si>
    <t>Bio Pere Conf. cl. 1 conf.</t>
  </si>
  <si>
    <t xml:space="preserve">Birnen Forellen </t>
  </si>
  <si>
    <t>Birnen Forellen Offen Kl. 1</t>
  </si>
  <si>
    <t xml:space="preserve">Poires Forelle </t>
  </si>
  <si>
    <t>Poires Forelle cl. 1 en vrac</t>
  </si>
  <si>
    <t xml:space="preserve">Pere Forelle </t>
  </si>
  <si>
    <t>Pere Forelle cl. 1 vend. Sf.</t>
  </si>
  <si>
    <t>Birnen Forellen Kl.1 gepackt</t>
  </si>
  <si>
    <t>Poires Forelle cl. 1 emballé</t>
  </si>
  <si>
    <t>Pere Forelle cl. 1 confez.</t>
  </si>
  <si>
    <t>Birnen Fred</t>
  </si>
  <si>
    <t>Birnen Fred Offen Kl. 1</t>
  </si>
  <si>
    <t>Poires Fred</t>
  </si>
  <si>
    <t>Poires Fred cl. 1 en vrac</t>
  </si>
  <si>
    <t>Pere Fred</t>
  </si>
  <si>
    <t>Pere Fred cl. 1 vend sfusa</t>
  </si>
  <si>
    <t>Birnen Fred Kl. 1 gepackt</t>
  </si>
  <si>
    <t>Poires Fred cl. 1 emballé</t>
  </si>
  <si>
    <t>Pere Fred cl. 1 confez.</t>
  </si>
  <si>
    <t>Birnen Gute Louise</t>
  </si>
  <si>
    <t>Birnen Gute Louise Off. Kl.1</t>
  </si>
  <si>
    <t>Poires Bonne Louise</t>
  </si>
  <si>
    <t>Poires Bonn. Lou. cl.1 en v.</t>
  </si>
  <si>
    <t>Pere Gute Luise</t>
  </si>
  <si>
    <t>Pere Gute Luise cl. 1 v. sf.</t>
  </si>
  <si>
    <t>Birnen Gute Louise Kl.1 gep.</t>
  </si>
  <si>
    <t>Poires Bonn. Lou. cl.1 emb.</t>
  </si>
  <si>
    <t>Pere Gute Luise cl. 1 confez</t>
  </si>
  <si>
    <t>Birnen Guyot</t>
  </si>
  <si>
    <t>Birnen Guyot Offen Kl. 1</t>
  </si>
  <si>
    <t>Poires Guyot</t>
  </si>
  <si>
    <t>Poires Guyot cl. 1 en vrac</t>
  </si>
  <si>
    <t>Pere Guyot</t>
  </si>
  <si>
    <t>Pere Guyot cl. 1 vend. sfusa</t>
  </si>
  <si>
    <t xml:space="preserve">Birnen Guyot </t>
  </si>
  <si>
    <t>Birnen Guyot Kl. 1 gepackt</t>
  </si>
  <si>
    <t xml:space="preserve">Poires Guyot </t>
  </si>
  <si>
    <t>Poires Guyot cl. 1 emballé</t>
  </si>
  <si>
    <t xml:space="preserve">Pere Guyot </t>
  </si>
  <si>
    <t>Pere Guyot cl. 1 confez.</t>
  </si>
  <si>
    <t>Birnen Offen</t>
  </si>
  <si>
    <t>Poires</t>
  </si>
  <si>
    <t>Poires en vrac</t>
  </si>
  <si>
    <t>Pere</t>
  </si>
  <si>
    <t>Pere vendita sfusa</t>
  </si>
  <si>
    <t>Birnen Packhams</t>
  </si>
  <si>
    <t>Birnen Packhams Offen Kl. 1</t>
  </si>
  <si>
    <t>Poires Packhams</t>
  </si>
  <si>
    <t>Poires Packhams cl.1 en vrac</t>
  </si>
  <si>
    <t>Pere Packhams</t>
  </si>
  <si>
    <t>Pere Packhams cl. 1 v.sfusa</t>
  </si>
  <si>
    <t>Birnen Packhams Kl.1 gepackt</t>
  </si>
  <si>
    <t>Poires Packhams cl. 1 emb.</t>
  </si>
  <si>
    <t>Pere Packhams cl. 1 convez.</t>
  </si>
  <si>
    <t>Birnen Rocha</t>
  </si>
  <si>
    <t>Birnen Rocha Offen Kl. 1</t>
  </si>
  <si>
    <t>Poires Rocha</t>
  </si>
  <si>
    <t>Poires Rocha cl.1 en vrac</t>
  </si>
  <si>
    <t>Pere Rocha</t>
  </si>
  <si>
    <t>Pere Rocha cl. 1 v. sfusa</t>
  </si>
  <si>
    <t>Birnen Rosmarie</t>
  </si>
  <si>
    <t>Birnen Rosmarei Kl.1 gepackt</t>
  </si>
  <si>
    <t>Poires Rosemarie</t>
  </si>
  <si>
    <t>Poires Rosemarie cl. 1 emb.</t>
  </si>
  <si>
    <t>Pere Rosmarie</t>
  </si>
  <si>
    <t>Pere Rosmarie cl. 1 confez.</t>
  </si>
  <si>
    <t>Birnen Trévoux</t>
  </si>
  <si>
    <t>Birnen Trévoux Kl. 1 gepackt</t>
  </si>
  <si>
    <t>Poires Trévoux</t>
  </si>
  <si>
    <t>Poires Trévoux cl. 1 emballé</t>
  </si>
  <si>
    <t>Pere Trévoux</t>
  </si>
  <si>
    <t xml:space="preserve">Pere Trévoux cl. 1 confez. </t>
  </si>
  <si>
    <t>Birnen Williams</t>
  </si>
  <si>
    <t>Birnen Williams Offen Kl. 1</t>
  </si>
  <si>
    <t>Poires Williams</t>
  </si>
  <si>
    <t>Poires Williams cl.1 en vrac</t>
  </si>
  <si>
    <t>Pere Williams</t>
  </si>
  <si>
    <t>Pere Williams cl. 1 v. sfusa</t>
  </si>
  <si>
    <t>Birnen Williams Kl.1 gepackt</t>
  </si>
  <si>
    <t>Poires Williams cl.1 emballé</t>
  </si>
  <si>
    <t>Pere Williams cl. 1 confez.</t>
  </si>
  <si>
    <t>Bio Birnen Williams</t>
  </si>
  <si>
    <t>Bio Birne Will. Off Kl1 500g</t>
  </si>
  <si>
    <t>Bio Poires Williams</t>
  </si>
  <si>
    <t>Bio Poires Will. cl1 en vrac</t>
  </si>
  <si>
    <t>Bio Pere Williams</t>
  </si>
  <si>
    <t>Bio Pere Williams cl. 1 500g</t>
  </si>
  <si>
    <t>Orangen Tarocco</t>
  </si>
  <si>
    <t xml:space="preserve">Offen </t>
  </si>
  <si>
    <t>Orangen Tarocco Offen</t>
  </si>
  <si>
    <t>Oranges Tarocco</t>
  </si>
  <si>
    <t xml:space="preserve">En vrac </t>
  </si>
  <si>
    <t>Oranges Tarocco en vrac</t>
  </si>
  <si>
    <t>Arance Tarocco</t>
  </si>
  <si>
    <t xml:space="preserve">vendita sfusa </t>
  </si>
  <si>
    <t>Arance Tarocco vendita sfusa</t>
  </si>
  <si>
    <t>Äpfel Boskoop</t>
  </si>
  <si>
    <t>Äpel Boskoop Offen Kl. 1</t>
  </si>
  <si>
    <t>Pommes Boskoop</t>
  </si>
  <si>
    <t>Pommes Boskoop cl.1 en vrac</t>
  </si>
  <si>
    <t>Mele Boskoop</t>
  </si>
  <si>
    <t>Mele Boskoop cl. 1 v. sfusa</t>
  </si>
  <si>
    <t>Äpfel Boskoop Kl. 1 gepackt</t>
  </si>
  <si>
    <t>Pommes Boskoop cl.1 emball.</t>
  </si>
  <si>
    <t>Mele Boskoop cl. 1 confez.</t>
  </si>
  <si>
    <t>Äpfel Braeburn</t>
  </si>
  <si>
    <t>Äpfel Braeburn Offen Kl. 1</t>
  </si>
  <si>
    <t>Pommes Braeburn</t>
  </si>
  <si>
    <t>Pommes Braeburn cl.1 en vrac</t>
  </si>
  <si>
    <t>Mele Braeburn</t>
  </si>
  <si>
    <t>Mele Braeburn cl. 1 v. sfusa</t>
  </si>
  <si>
    <t>Äpfel Braeburn Kl. 1 gepackt</t>
  </si>
  <si>
    <t>Pommes Braeburn cl.1 emball.</t>
  </si>
  <si>
    <t>Mele Braeburn cl. 1 confez.</t>
  </si>
  <si>
    <t>Offen Kl. 2</t>
  </si>
  <si>
    <t>Äpfel Braeburn Offen Kl. 2</t>
  </si>
  <si>
    <t>En vrac, cl. 2</t>
  </si>
  <si>
    <t>Pommes Braeburn cl.2 en vrac</t>
  </si>
  <si>
    <t>Cl. 2 vendita sfusa</t>
  </si>
  <si>
    <t>Mele Braeburn cl. 2 v. sfusa</t>
  </si>
  <si>
    <t xml:space="preserve">Brombeeren </t>
  </si>
  <si>
    <t>125g</t>
  </si>
  <si>
    <t>Brombeeren Schale 125g</t>
  </si>
  <si>
    <t xml:space="preserve">Mûres </t>
  </si>
  <si>
    <t>Mûres barquette 125g</t>
  </si>
  <si>
    <t xml:space="preserve">More </t>
  </si>
  <si>
    <t>More vaschetta 125g</t>
  </si>
  <si>
    <t>Brombeeren Schale 250g</t>
  </si>
  <si>
    <t>Mûres barquette 250g</t>
  </si>
  <si>
    <t>More vaschetta 250g</t>
  </si>
  <si>
    <t>Bananen Chiquita Offen</t>
  </si>
  <si>
    <t>Bananes Chiquita</t>
  </si>
  <si>
    <t>Bananes Chiquita en vrac</t>
  </si>
  <si>
    <t>Banane Chiquita</t>
  </si>
  <si>
    <t>Banane Chiquita v. sfusa</t>
  </si>
  <si>
    <t>Bio Clementinen</t>
  </si>
  <si>
    <t>Bio Clementinen Offen</t>
  </si>
  <si>
    <t>Bio Clémentines</t>
  </si>
  <si>
    <t>Bio Clémentines en vrac</t>
  </si>
  <si>
    <t>Bio Clementine</t>
  </si>
  <si>
    <t>Bio Clementine vendita sfusa</t>
  </si>
  <si>
    <t>Clementinen mit Blatt</t>
  </si>
  <si>
    <t>Clementinen mit Blatt Offen</t>
  </si>
  <si>
    <t>Clémentines + feuilles</t>
  </si>
  <si>
    <t>Clémentines feuilles en vrac</t>
  </si>
  <si>
    <t>Clementine con foglia</t>
  </si>
  <si>
    <t>Clementine con foglia v.s.</t>
  </si>
  <si>
    <t>Clementinen</t>
  </si>
  <si>
    <t>Rotkehlchen Offen</t>
  </si>
  <si>
    <t>Clementinen Rothehlchen Off.</t>
  </si>
  <si>
    <t>Clémentines Rotkehlchen</t>
  </si>
  <si>
    <t>Clémentines Rotkehl en vrac</t>
  </si>
  <si>
    <t>Clementine Rotkehlchen</t>
  </si>
  <si>
    <t>Clementine Rotk. v. sfusa</t>
  </si>
  <si>
    <t>Clementinen/Mandarinen Offen</t>
  </si>
  <si>
    <t>Clementeinen/Mandarinen Offen</t>
  </si>
  <si>
    <t>Clémentines/Mandarines</t>
  </si>
  <si>
    <t>Clément/Mandarines en vrac</t>
  </si>
  <si>
    <t>Clementine/mandarini</t>
  </si>
  <si>
    <t>Clementine/mandarini v.s.</t>
  </si>
  <si>
    <t>Äpfel Cox Orange</t>
  </si>
  <si>
    <t>Äpfel Cox Orange Offen Kl. 1</t>
  </si>
  <si>
    <t>Pommes Cox Orange</t>
  </si>
  <si>
    <t>Pommes Cox Orange cl.1 en v.</t>
  </si>
  <si>
    <t>Mele Cox Orange</t>
  </si>
  <si>
    <t>Mele Cox Orange cl. 1 v.s.</t>
  </si>
  <si>
    <t>Äpfel Cox Orange Kl. 1 gep.</t>
  </si>
  <si>
    <t>Pommes Cox Orange cl.1 emb.</t>
  </si>
  <si>
    <t>Mele Cox Orange cl. 1 confez</t>
  </si>
  <si>
    <t>Bananen Denner Offen</t>
  </si>
  <si>
    <t>Bananes Denner</t>
  </si>
  <si>
    <t>en vrac</t>
  </si>
  <si>
    <t>Bananes Denner en vrac</t>
  </si>
  <si>
    <t>Banane Denner</t>
  </si>
  <si>
    <t>Banane Denner vendita sfusa</t>
  </si>
  <si>
    <t>Äpfel Elstar</t>
  </si>
  <si>
    <t>Äpfel Elstar Offen Kl. 1</t>
  </si>
  <si>
    <t>Pommes Elstar</t>
  </si>
  <si>
    <t>Pommes Elstar cl. 1 en vrac</t>
  </si>
  <si>
    <t>Mele Elstar</t>
  </si>
  <si>
    <t>Mele Elstar cl. 1 ven. sfusa</t>
  </si>
  <si>
    <t>Äpfel Elstar Kl. 1 gepackt</t>
  </si>
  <si>
    <t>Pommes Elstar cl. 1 emballé</t>
  </si>
  <si>
    <t>Mele Elstar cl. 1 confez.</t>
  </si>
  <si>
    <t>Flachpfirsiche</t>
  </si>
  <si>
    <t>Flachpfirsiche Offen</t>
  </si>
  <si>
    <t>Pêches plates</t>
  </si>
  <si>
    <t>Pêches plartes en vrac</t>
  </si>
  <si>
    <t>Pesche tabacchiera</t>
  </si>
  <si>
    <t>Pesche tabacchiera v. sfusa</t>
  </si>
  <si>
    <t>Fruchtbecher</t>
  </si>
  <si>
    <t>Fruchtbecher 200g</t>
  </si>
  <si>
    <t>Gobelet de fruits</t>
  </si>
  <si>
    <t>Gobelet de fruits 200g</t>
  </si>
  <si>
    <t>Bicchiere di frutta</t>
  </si>
  <si>
    <t>Bicchiere di frutta 200g</t>
  </si>
  <si>
    <t>Früchtemix</t>
  </si>
  <si>
    <t>Äpfel/Orangen/Bananen</t>
  </si>
  <si>
    <t>Früchtemix Äpfel/Orange/Ban.</t>
  </si>
  <si>
    <t>Mélange de fruits</t>
  </si>
  <si>
    <t>Pommes/oranges/bananes</t>
  </si>
  <si>
    <t>Mélange fruits pom/oran/ban</t>
  </si>
  <si>
    <t>Mix di frutta</t>
  </si>
  <si>
    <t>Mele/arance/banane</t>
  </si>
  <si>
    <t>Mix di frutta mele/aran./ban</t>
  </si>
  <si>
    <t>Äpfel Gala</t>
  </si>
  <si>
    <t>Äpfel Gala Offen Kl. 1</t>
  </si>
  <si>
    <t>Pommes Gala</t>
  </si>
  <si>
    <t>Pommes Gala cl. 1 en vrac</t>
  </si>
  <si>
    <t>Mele Gala</t>
  </si>
  <si>
    <t>Mele Gala cl.1 vendita sfusa</t>
  </si>
  <si>
    <t>Äpfel Gala Kl. 1 gepackt</t>
  </si>
  <si>
    <t>Pommes Gala cl. 1 emballé</t>
  </si>
  <si>
    <t>Mele Gala cl. 1 confezionato</t>
  </si>
  <si>
    <t/>
  </si>
  <si>
    <t>2203231000000</t>
  </si>
  <si>
    <t>2008002220011</t>
  </si>
  <si>
    <t>Steuerklassifikation</t>
  </si>
  <si>
    <t>Altersbegrenzung</t>
  </si>
  <si>
    <t>Depot</t>
  </si>
  <si>
    <t>1 - Einzelartikel</t>
  </si>
  <si>
    <t>2 - Einzelartikel</t>
  </si>
  <si>
    <t>3 - Einzelartikel</t>
  </si>
  <si>
    <t>4 - Einzelartikel</t>
  </si>
  <si>
    <t>5 - Einzelartikel</t>
  </si>
  <si>
    <t>6 - Einzelartikel</t>
  </si>
  <si>
    <t>7 - Einzelartikel</t>
  </si>
  <si>
    <t>8 - Einzelartikel</t>
  </si>
  <si>
    <t>9 - Einzelartikel</t>
  </si>
  <si>
    <t>10 - Einzelartikel</t>
  </si>
  <si>
    <t>11 - Einzelartikel</t>
  </si>
  <si>
    <t>12 - Einzelartikel</t>
  </si>
  <si>
    <t>13 - Einzelartikel</t>
  </si>
  <si>
    <t>14 - Einzelartikel</t>
  </si>
  <si>
    <t>15 - Einzelartikel</t>
  </si>
  <si>
    <t>16 - Einzelartikel</t>
  </si>
  <si>
    <t>17 - Einzelartikel</t>
  </si>
  <si>
    <t>18 - Einzelartikel</t>
  </si>
  <si>
    <t>19 - Einzelartikel</t>
  </si>
  <si>
    <t>20 - Einzelartikel</t>
  </si>
  <si>
    <t>21 - Einzelartikel</t>
  </si>
  <si>
    <t>22 - Einzelartikel</t>
  </si>
  <si>
    <t>23 - Einzelartikel</t>
  </si>
  <si>
    <t>24 - Einzelartikel</t>
  </si>
  <si>
    <t>25 - Einzelartikel</t>
  </si>
  <si>
    <t>26 - Einzelartikel</t>
  </si>
  <si>
    <t>27 - Einzelartikel</t>
  </si>
  <si>
    <t>28 - Einzelartikel</t>
  </si>
  <si>
    <t>29 - Einzelartikel</t>
  </si>
  <si>
    <t>30 - Einzelartikel</t>
  </si>
  <si>
    <t>31 - Einzelartikel</t>
  </si>
  <si>
    <t>32 - Einzelartikel</t>
  </si>
  <si>
    <t>33 - Einzelartikel</t>
  </si>
  <si>
    <t>34 - Einzelartikel</t>
  </si>
  <si>
    <t>35 - Einzelartikel</t>
  </si>
  <si>
    <t>36 - Einzelartikel</t>
  </si>
  <si>
    <t>37 - Einzelartikel</t>
  </si>
  <si>
    <t>38 - Einzelartikel</t>
  </si>
  <si>
    <t>39 - Einzelartikel</t>
  </si>
  <si>
    <t>40 - Einzelartikel</t>
  </si>
  <si>
    <t>41 - Einzelartikel</t>
  </si>
  <si>
    <t>42 - Einzelartikel</t>
  </si>
  <si>
    <t>43 - Einzelartikel</t>
  </si>
  <si>
    <t>44 - Einzelartikel</t>
  </si>
  <si>
    <t>45 - Einzelartikel</t>
  </si>
  <si>
    <t>46 - Einzelartikel</t>
  </si>
  <si>
    <t>47 - Einzelartikel</t>
  </si>
  <si>
    <t>48 - Einzelartikel</t>
  </si>
  <si>
    <t>49 - Einzelartikel</t>
  </si>
  <si>
    <t>50 - Einzelartikel</t>
  </si>
  <si>
    <t>51 - Einzelartikel</t>
  </si>
  <si>
    <t>52 - Einzelartikel</t>
  </si>
  <si>
    <t>53 - Einzelartikel</t>
  </si>
  <si>
    <t>54 - Einzelartikel</t>
  </si>
  <si>
    <t>55 - Einzelartikel</t>
  </si>
  <si>
    <t>56 - Einzelartikel</t>
  </si>
  <si>
    <t>57 - Einzelartikel</t>
  </si>
  <si>
    <t>58 - Einzelartikel</t>
  </si>
  <si>
    <t>59 - Einzelartikel</t>
  </si>
  <si>
    <t>60 - Einzelartikel</t>
  </si>
  <si>
    <t>61 - Einzelartikel</t>
  </si>
  <si>
    <t>62 - Einzelartikel</t>
  </si>
  <si>
    <t>63 - Einzelartikel</t>
  </si>
  <si>
    <t>64 - Einzelartikel</t>
  </si>
  <si>
    <t>65 - Einzelartikel</t>
  </si>
  <si>
    <t>66 - Einzelartikel</t>
  </si>
  <si>
    <t>67 - Einzelartikel</t>
  </si>
  <si>
    <t>68 - Einzelartikel</t>
  </si>
  <si>
    <t>69 - Einzelartikel</t>
  </si>
  <si>
    <t>70 - Einzelartikel</t>
  </si>
  <si>
    <t>71 - Einzelartikel</t>
  </si>
  <si>
    <t>72 - Einzelartikel</t>
  </si>
  <si>
    <t>73 - Einzelartikel</t>
  </si>
  <si>
    <t>74 - Einzelartikel</t>
  </si>
  <si>
    <t>75 - Einzelartikel</t>
  </si>
  <si>
    <t>76 - Einzelartikel</t>
  </si>
  <si>
    <t>77 - Einzelartikel</t>
  </si>
  <si>
    <t>78 - Einzelartikel</t>
  </si>
  <si>
    <t>79 - Einzelartikel</t>
  </si>
  <si>
    <t>80 - Einzelartikel</t>
  </si>
  <si>
    <t>81 - Einzelartikel</t>
  </si>
  <si>
    <t>82 - Einzelartikel</t>
  </si>
  <si>
    <t>83 - Einzelartikel</t>
  </si>
  <si>
    <t>84 - Einzelartikel</t>
  </si>
  <si>
    <t>85 - Einzelartikel</t>
  </si>
  <si>
    <t>86 - Einzelartikel</t>
  </si>
  <si>
    <t>87 - Einzelartikel</t>
  </si>
  <si>
    <t>88 - Einzelartikel</t>
  </si>
  <si>
    <t>89 - Einzelartikel</t>
  </si>
  <si>
    <t>90 - Einzelartikel</t>
  </si>
  <si>
    <t>91 - Einzelartikel</t>
  </si>
  <si>
    <t>92 - Einzelartikel</t>
  </si>
  <si>
    <t>93 - Einzelartikel</t>
  </si>
  <si>
    <t>94 - Einzelartikel</t>
  </si>
  <si>
    <t>95 - Einzelartikel</t>
  </si>
  <si>
    <t>96 - Einzelartikel</t>
  </si>
  <si>
    <t>97 - Einzelartikel</t>
  </si>
  <si>
    <t>98 - Einzelartikel</t>
  </si>
  <si>
    <t>99 - Einzelartikel</t>
  </si>
  <si>
    <t>100 - Einzelartikel</t>
  </si>
  <si>
    <t>101 - Einzelartikel</t>
  </si>
  <si>
    <t>102 - Einzelartikel</t>
  </si>
  <si>
    <t>103 - Einzelartikel</t>
  </si>
  <si>
    <t>104 - Einzelartikel</t>
  </si>
  <si>
    <t>105 - Einzelartikel</t>
  </si>
  <si>
    <t>106 - Einzelartikel</t>
  </si>
  <si>
    <t>107 - Einzelartikel</t>
  </si>
  <si>
    <t>108 - Einzelartikel</t>
  </si>
  <si>
    <t>109 - Einzelartikel</t>
  </si>
  <si>
    <t>110 - Einzelartikel</t>
  </si>
  <si>
    <t>111 - Einzelartikel</t>
  </si>
  <si>
    <t>112 - Einzelartikel</t>
  </si>
  <si>
    <t>113 - Einzelartikel</t>
  </si>
  <si>
    <t>114 - Einzelartikel</t>
  </si>
  <si>
    <t>115 - Einzelartikel</t>
  </si>
  <si>
    <t>116 - Einzelartikel</t>
  </si>
  <si>
    <t>117 - Einzelartikel</t>
  </si>
  <si>
    <t>118 - Einzelartikel</t>
  </si>
  <si>
    <t>119 - Einzelartikel</t>
  </si>
  <si>
    <t>120 - Einzelartikel</t>
  </si>
  <si>
    <t>121 - Einzelartikel</t>
  </si>
  <si>
    <t>122 - Einzelartikel</t>
  </si>
  <si>
    <t>123 - Einzelartikel</t>
  </si>
  <si>
    <t>124 - Einzelartikel</t>
  </si>
  <si>
    <t>125 - Einzelartikel</t>
  </si>
  <si>
    <t>126 - Einzelartikel</t>
  </si>
  <si>
    <t>127 - Einzelartikel</t>
  </si>
  <si>
    <t>128 - Einzelartikel</t>
  </si>
  <si>
    <t>129 - Einzelartikel</t>
  </si>
  <si>
    <t>130 - Einzelartikel</t>
  </si>
  <si>
    <t>131 - Einzelartikel</t>
  </si>
  <si>
    <t>132 - Einzelartikel</t>
  </si>
  <si>
    <t>133 - Einzelartikel</t>
  </si>
  <si>
    <t>134 - Einzelartikel</t>
  </si>
  <si>
    <t>135 - Einzelartikel</t>
  </si>
  <si>
    <t>136 - Einzelartikel</t>
  </si>
  <si>
    <t>137 - Einzelartikel</t>
  </si>
  <si>
    <t>138 - Einzelartikel</t>
  </si>
  <si>
    <t>139 - Einzelartikel</t>
  </si>
  <si>
    <t>140 - Einzelartikel</t>
  </si>
  <si>
    <t>141 - Einzelartikel</t>
  </si>
  <si>
    <t>142 - Einzelartikel</t>
  </si>
  <si>
    <t>143 - Einzelartikel</t>
  </si>
  <si>
    <t>144 - Einzelartikel</t>
  </si>
  <si>
    <t>145 - Einzelartikel</t>
  </si>
  <si>
    <t>146 - Einzelartikel</t>
  </si>
  <si>
    <t>147 - Einzelartikel</t>
  </si>
  <si>
    <t>148 - Einzelartikel</t>
  </si>
  <si>
    <t>149 - Einzelartikel</t>
  </si>
  <si>
    <t>150 - Einzelartikel</t>
  </si>
  <si>
    <t>151 - Einzelartikel</t>
  </si>
  <si>
    <t>152 - Einzelartikel</t>
  </si>
  <si>
    <t>153 - Einzelartikel</t>
  </si>
  <si>
    <t>154 - Einzelartikel</t>
  </si>
  <si>
    <t>155 - Einzelartikel</t>
  </si>
  <si>
    <t>156 - Einzelartikel</t>
  </si>
  <si>
    <t>157 - Einzelartikel</t>
  </si>
  <si>
    <t>158 - Einzelartikel</t>
  </si>
  <si>
    <t>159 - Einzelartikel</t>
  </si>
  <si>
    <t>160 - Einzelartikel</t>
  </si>
  <si>
    <t>161 - Einzelartikel</t>
  </si>
  <si>
    <t>162 - Einzelartikel</t>
  </si>
  <si>
    <t>163 - Einzelartikel</t>
  </si>
  <si>
    <t>164 - Einzelartikel</t>
  </si>
  <si>
    <t>165 - Einzelartikel</t>
  </si>
  <si>
    <t>166 - Einzelartikel</t>
  </si>
  <si>
    <t>167 - Einzelartikel</t>
  </si>
  <si>
    <t>168 - Einzelartikel</t>
  </si>
  <si>
    <t>169 - Einzelartikel</t>
  </si>
  <si>
    <t>170 - Einzelartikel</t>
  </si>
  <si>
    <t>171 - Einzelartikel</t>
  </si>
  <si>
    <t>172 - Einzelartikel</t>
  </si>
  <si>
    <t>173 - Einzelartikel</t>
  </si>
  <si>
    <t>174 - Einzelartikel</t>
  </si>
  <si>
    <t>175 - Einzelartikel</t>
  </si>
  <si>
    <t>176 - Einzelartikel</t>
  </si>
  <si>
    <t>177 - Einzelartikel</t>
  </si>
  <si>
    <t>178 - Einzelartikel</t>
  </si>
  <si>
    <t>179 - Einzelartikel</t>
  </si>
  <si>
    <t>180 - Einzelartikel</t>
  </si>
  <si>
    <t>181 - Einzelartikel</t>
  </si>
  <si>
    <t>182 - Einzelartikel</t>
  </si>
  <si>
    <t>183 - Einzelartikel</t>
  </si>
  <si>
    <t>184 - Einzelartikel</t>
  </si>
  <si>
    <t>185 - Einzelartikel</t>
  </si>
  <si>
    <t>186 - Einzelartikel</t>
  </si>
  <si>
    <t>187 - Einzelartikel</t>
  </si>
  <si>
    <t>188 - Einzelartikel</t>
  </si>
  <si>
    <t>189 - Einzelartikel</t>
  </si>
  <si>
    <t>190 - Einzelartikel</t>
  </si>
  <si>
    <t>191 - Einzelartikel</t>
  </si>
  <si>
    <t>192 - Einzelartikel</t>
  </si>
  <si>
    <t>193 - Einzelartikel</t>
  </si>
  <si>
    <t>194 - Einzelartikel</t>
  </si>
  <si>
    <t>195 - Einzelartikel</t>
  </si>
  <si>
    <t>196 - Einzelartikel</t>
  </si>
  <si>
    <t>197 - Einzelartikel</t>
  </si>
  <si>
    <t>198 - Einzelartikel</t>
  </si>
  <si>
    <t>199 - Einzelartikel</t>
  </si>
  <si>
    <t>200 - Einzelartikel</t>
  </si>
  <si>
    <t>201 - Einzelartikel</t>
  </si>
  <si>
    <t>202 - Einzelartikel</t>
  </si>
  <si>
    <t>203 - Einzelartikel</t>
  </si>
  <si>
    <t>204 - Einzelartikel</t>
  </si>
  <si>
    <t>205 - Einzelartikel</t>
  </si>
  <si>
    <t>206 - Einzelartikel</t>
  </si>
  <si>
    <t>207 - Einzelartikel</t>
  </si>
  <si>
    <t>208 - Einzelartikel</t>
  </si>
  <si>
    <t>209 - Einzelartikel</t>
  </si>
  <si>
    <t>210 - Einzelartikel</t>
  </si>
  <si>
    <t>211 - Einzelartikel</t>
  </si>
  <si>
    <t>212 - Einzelartikel</t>
  </si>
  <si>
    <t>213 - Einzelartikel</t>
  </si>
  <si>
    <t>214 - Einzelartikel</t>
  </si>
  <si>
    <t>215 - Einzelartikel</t>
  </si>
  <si>
    <t>216 - Einzelartikel</t>
  </si>
  <si>
    <t>217 - Einzelartikel</t>
  </si>
  <si>
    <t>218 - Einzelartikel</t>
  </si>
  <si>
    <t>219 - Einzelartikel</t>
  </si>
  <si>
    <t>220 - Einzelartikel</t>
  </si>
  <si>
    <t>221 - Einzelartikel</t>
  </si>
  <si>
    <t>222 - Einzelartikel</t>
  </si>
  <si>
    <t>223 - Einzelartikel</t>
  </si>
  <si>
    <t>224 - Einzelartikel</t>
  </si>
  <si>
    <t>225 - Einzelartikel</t>
  </si>
  <si>
    <t>226 - Einzelartikel</t>
  </si>
  <si>
    <t>227 - Einzelartikel</t>
  </si>
  <si>
    <t>228 - Einzelartikel</t>
  </si>
  <si>
    <t>229 - Einzelartikel</t>
  </si>
  <si>
    <t>230 - Einzelartikel</t>
  </si>
  <si>
    <t>231 - Einzelartikel</t>
  </si>
  <si>
    <t>232 - Einzelartikel</t>
  </si>
  <si>
    <t>233 - Einzelartikel</t>
  </si>
  <si>
    <t>234 - Einzelartikel</t>
  </si>
  <si>
    <t>235 - Einzelartikel</t>
  </si>
  <si>
    <t>236 - Einzelartikel</t>
  </si>
  <si>
    <t>237 - Einzelartikel</t>
  </si>
  <si>
    <t>238 - Einzelartikel</t>
  </si>
  <si>
    <t>239 - Einzelartikel</t>
  </si>
  <si>
    <t>240 - Einzelartikel</t>
  </si>
  <si>
    <t>241 - Einzelartikel</t>
  </si>
  <si>
    <t>242 - Einzelartikel</t>
  </si>
  <si>
    <t>243 - Einzelartikel</t>
  </si>
  <si>
    <t>244 - Einzelartikel</t>
  </si>
  <si>
    <t>245 - Einzelartikel</t>
  </si>
  <si>
    <t>246 - Einzelartikel</t>
  </si>
  <si>
    <t>247 - Einzelartikel</t>
  </si>
  <si>
    <t>248 - Einzelartikel</t>
  </si>
  <si>
    <t>249 - Einzelartikel</t>
  </si>
  <si>
    <t>250 - Einzelartikel</t>
  </si>
  <si>
    <t>251 - Einzelartikel</t>
  </si>
  <si>
    <t>252 - Einzelartikel</t>
  </si>
  <si>
    <t>253 - Einzelartikel</t>
  </si>
  <si>
    <t>254 - Einzelartikel</t>
  </si>
  <si>
    <t>255 - Einzelartikel</t>
  </si>
  <si>
    <t>256 - Einzelartikel</t>
  </si>
  <si>
    <t>257 - Einzelartikel</t>
  </si>
  <si>
    <t>258 - Einzelartikel</t>
  </si>
  <si>
    <t>259 - Einzelartikel</t>
  </si>
  <si>
    <t>260 - Einzelartikel</t>
  </si>
  <si>
    <t>261 - Einzelartikel</t>
  </si>
  <si>
    <t>262 - Einzelartikel</t>
  </si>
  <si>
    <t>263 - Einzelartikel</t>
  </si>
  <si>
    <t>264 - Einzelartikel</t>
  </si>
  <si>
    <t>265 - Einzelartikel</t>
  </si>
  <si>
    <t>266 - Einzelartikel</t>
  </si>
  <si>
    <t>267 - Einzelartikel</t>
  </si>
  <si>
    <t>268 - Einzelartikel</t>
  </si>
  <si>
    <t>269 - Einzelartikel</t>
  </si>
  <si>
    <t>270 - Einzelartikel</t>
  </si>
  <si>
    <t>271 - Einzelartikel</t>
  </si>
  <si>
    <t>272 - Einzelartikel</t>
  </si>
  <si>
    <t>273 - Einzelartikel</t>
  </si>
  <si>
    <t>274 - Einzelartikel</t>
  </si>
  <si>
    <t>275 - Einzelartikel</t>
  </si>
  <si>
    <t>276 - Einzelartikel</t>
  </si>
  <si>
    <t>277 - Einzelartikel</t>
  </si>
  <si>
    <t>278 - Einzelartikel</t>
  </si>
  <si>
    <t>279 - Einzelartikel</t>
  </si>
  <si>
    <t>280 - Einzelartikel</t>
  </si>
  <si>
    <t>281 - Einzelartikel</t>
  </si>
  <si>
    <t>282 - Einzelartikel</t>
  </si>
  <si>
    <t>283 - Einzelartikel</t>
  </si>
  <si>
    <t>284 - Einzelartikel</t>
  </si>
  <si>
    <t>285 - Einzelartikel</t>
  </si>
  <si>
    <t>286 - Einzelartikel</t>
  </si>
  <si>
    <t>287 - Einzelartikel</t>
  </si>
  <si>
    <t>288 - Einzelartikel</t>
  </si>
  <si>
    <t>289 - Einzelartikel</t>
  </si>
  <si>
    <t>290 - Einzelartikel</t>
  </si>
  <si>
    <t>291 - Einzelartikel</t>
  </si>
  <si>
    <t>292 - Einzelartikel</t>
  </si>
  <si>
    <t>293 - Einzelartikel</t>
  </si>
  <si>
    <t>294 - Einzelartikel</t>
  </si>
  <si>
    <t>295 - Einzelartikel</t>
  </si>
  <si>
    <t>296 - Einzelartikel</t>
  </si>
  <si>
    <t>297 - Einzelartikel</t>
  </si>
  <si>
    <t>298 - Einzelartikel</t>
  </si>
  <si>
    <t>299 - Einzelartikel</t>
  </si>
  <si>
    <t>300 - Einzelartikel</t>
  </si>
  <si>
    <t>301 - Einzelartikel</t>
  </si>
  <si>
    <t>302 - Einzelartikel</t>
  </si>
  <si>
    <t>303 - Einzelartikel</t>
  </si>
  <si>
    <t>304 - Einzelartikel</t>
  </si>
  <si>
    <t>305 - Einzelartikel</t>
  </si>
  <si>
    <t>306 - Einzelartikel</t>
  </si>
  <si>
    <t>307 - Einzelartikel</t>
  </si>
  <si>
    <t>308 - Einzelartikel</t>
  </si>
  <si>
    <t>309 - Einzelartikel</t>
  </si>
  <si>
    <t>310 - Einzelartikel</t>
  </si>
  <si>
    <t>311 - Einzelartikel</t>
  </si>
  <si>
    <t>312 - Einzelartikel</t>
  </si>
  <si>
    <t>313 - Einzelartikel</t>
  </si>
  <si>
    <t>314 - Einzelartikel</t>
  </si>
  <si>
    <t>315 - Einzelartikel</t>
  </si>
  <si>
    <t>316 - Einzelartikel</t>
  </si>
  <si>
    <t>317 - Einzelartikel</t>
  </si>
  <si>
    <t>318 - Einzelartikel</t>
  </si>
  <si>
    <t>319 - Einzelartikel</t>
  </si>
  <si>
    <t>320 - Einzelartikel</t>
  </si>
  <si>
    <t>321 - Einzelartikel</t>
  </si>
  <si>
    <t>322 - Einzelartikel</t>
  </si>
  <si>
    <t>323 - Einzelartikel</t>
  </si>
  <si>
    <t>324 - Einzelartikel</t>
  </si>
  <si>
    <t>325 - Einzelartikel</t>
  </si>
  <si>
    <t>326 - Einzelartikel</t>
  </si>
  <si>
    <t>327 - Einzelartikel</t>
  </si>
  <si>
    <t>328 - Einzelartikel</t>
  </si>
  <si>
    <t>329 - Einzelartikel</t>
  </si>
  <si>
    <t>330 - Einzelartikel</t>
  </si>
  <si>
    <t>331 - Einzelartikel</t>
  </si>
  <si>
    <t>332 - Einzelartikel</t>
  </si>
  <si>
    <t>333 - Einzelartikel</t>
  </si>
  <si>
    <t>334 - Einzelartikel</t>
  </si>
  <si>
    <t>335 - Einzelartikel</t>
  </si>
  <si>
    <t>336 - Einzelartikel</t>
  </si>
  <si>
    <t>337 - Einzelartikel</t>
  </si>
  <si>
    <t>338 - Einzelartikel</t>
  </si>
  <si>
    <t>339 - Einzelartikel</t>
  </si>
  <si>
    <t>340 - Einzelartikel</t>
  </si>
  <si>
    <t>341 - Einzelartikel</t>
  </si>
  <si>
    <t>342 - Einzelartikel</t>
  </si>
  <si>
    <t>343 - Einzelartikel</t>
  </si>
  <si>
    <t>344 - Einzelartikel</t>
  </si>
  <si>
    <t>345 - Einzelartikel</t>
  </si>
  <si>
    <t>346 - Einzelartikel</t>
  </si>
  <si>
    <t>347 - Einzelartikel</t>
  </si>
  <si>
    <t>348 - Einzelartikel</t>
  </si>
  <si>
    <t>349 - Einzelartikel</t>
  </si>
  <si>
    <t>350 - Einzelartikel</t>
  </si>
  <si>
    <t>351 - Einzelartikel</t>
  </si>
  <si>
    <t>352 - Einzelartikel</t>
  </si>
  <si>
    <t>353 - Einzelartikel</t>
  </si>
  <si>
    <t>354 - Einzelartikel</t>
  </si>
  <si>
    <t>355 - Einzelartikel</t>
  </si>
  <si>
    <t>356 - Einzelartikel</t>
  </si>
  <si>
    <t>357 - Einzelartikel</t>
  </si>
  <si>
    <t>358 - Einzelartikel</t>
  </si>
  <si>
    <t>359 - Einzelartikel</t>
  </si>
  <si>
    <t>360 - Einzelartikel</t>
  </si>
  <si>
    <t>361 - Einzelartikel</t>
  </si>
  <si>
    <t>362 - Einzelartikel</t>
  </si>
  <si>
    <t>363 - Einzelartikel</t>
  </si>
  <si>
    <t>364 - Einzelartikel</t>
  </si>
  <si>
    <t>365 - Einzelartikel</t>
  </si>
  <si>
    <t>366 - Einzelartikel</t>
  </si>
  <si>
    <t>367 - Einzelartikel</t>
  </si>
  <si>
    <t>368 - Einzelartikel</t>
  </si>
  <si>
    <t>369 - Einzelartikel</t>
  </si>
  <si>
    <t>370 - Einzelartikel</t>
  </si>
  <si>
    <t>371 - Einzelartikel</t>
  </si>
  <si>
    <t>372 - Einzelartikel</t>
  </si>
  <si>
    <t>373 - Einzelartikel</t>
  </si>
  <si>
    <t>374 - Einzelartikel</t>
  </si>
  <si>
    <t>375 - Einzelartikel</t>
  </si>
  <si>
    <t>376 - Einzelartikel</t>
  </si>
  <si>
    <t>377 - Einzelartikel</t>
  </si>
  <si>
    <t>378 - Einzelartikel</t>
  </si>
  <si>
    <t>379 - Einzelartikel</t>
  </si>
  <si>
    <t>380 - Einzelartikel</t>
  </si>
  <si>
    <t>381 - Einzelartikel</t>
  </si>
  <si>
    <t>382 - Einzelartikel</t>
  </si>
  <si>
    <t>383 - Einzelartikel</t>
  </si>
  <si>
    <t>384 - Einzelartikel</t>
  </si>
  <si>
    <t>385 - Einzelartikel</t>
  </si>
  <si>
    <t>386 - Einzelartikel</t>
  </si>
  <si>
    <t>387 - Einzelartikel</t>
  </si>
  <si>
    <t>388 - Einzelartikel</t>
  </si>
  <si>
    <t>389 - Einzelartikel</t>
  </si>
  <si>
    <t>390 - Einzelartikel</t>
  </si>
  <si>
    <t>391 - Einzelartikel</t>
  </si>
  <si>
    <t>392 - Einzelartikel</t>
  </si>
  <si>
    <t>393 - Einzelartikel</t>
  </si>
  <si>
    <t>394 - Einzelartikel</t>
  </si>
  <si>
    <t>395 - Einzelartikel</t>
  </si>
  <si>
    <t>396 - Einzelartikel</t>
  </si>
  <si>
    <t>397 - Einzelartikel</t>
  </si>
  <si>
    <t>398 - Einzelartikel</t>
  </si>
  <si>
    <t>399 - Einzelartikel</t>
  </si>
  <si>
    <t>400 - Einzelartikel</t>
  </si>
  <si>
    <t>401 - Einzelartikel</t>
  </si>
  <si>
    <t>402 - Einzelartikel</t>
  </si>
  <si>
    <t>403 - Einzelartikel</t>
  </si>
  <si>
    <t>404 - Einzelartikel</t>
  </si>
  <si>
    <t>405 - Einzelartikel</t>
  </si>
  <si>
    <t>406 - Einzelartikel</t>
  </si>
  <si>
    <t>407 - Einzelartikel</t>
  </si>
  <si>
    <t>408 - Einzelartikel</t>
  </si>
  <si>
    <t>409 - Einzelartikel</t>
  </si>
  <si>
    <t>410 - Einzelartikel</t>
  </si>
  <si>
    <t>411 - Einzelartikel</t>
  </si>
  <si>
    <t>412 - Einzelartikel</t>
  </si>
  <si>
    <t>413 - Einzelartikel</t>
  </si>
  <si>
    <t>414 - Einzelartikel</t>
  </si>
  <si>
    <t>415 - Einzelartikel</t>
  </si>
  <si>
    <t>416 - Einzelartikel</t>
  </si>
  <si>
    <t>417 - Einzelartikel</t>
  </si>
  <si>
    <t>418 - Einzelartikel</t>
  </si>
  <si>
    <t>419 - Einzelartikel</t>
  </si>
  <si>
    <t>420 - Einzelartikel</t>
  </si>
  <si>
    <t>421 - Einzelartikel</t>
  </si>
  <si>
    <t>422 - Einzelartikel</t>
  </si>
  <si>
    <t>423 - Einzelartikel</t>
  </si>
  <si>
    <t>424 - Einzelartikel</t>
  </si>
  <si>
    <t>425 - Einzelartikel</t>
  </si>
  <si>
    <t>426 - Einzelartikel</t>
  </si>
  <si>
    <t>427 - Einzelartikel</t>
  </si>
  <si>
    <t>428 - Einzelartikel</t>
  </si>
  <si>
    <t>429 - Einzelartikel</t>
  </si>
  <si>
    <t>430 - Einzelartikel</t>
  </si>
  <si>
    <t>431 - Einzelartikel</t>
  </si>
  <si>
    <t>432 - Einzelartikel</t>
  </si>
  <si>
    <t>433 - Einzelartikel</t>
  </si>
  <si>
    <t>434 - Einzelartikel</t>
  </si>
  <si>
    <t>435 - Einzelartikel</t>
  </si>
  <si>
    <t>436 - Einzelartikel</t>
  </si>
  <si>
    <t>437 - Einzelartikel</t>
  </si>
  <si>
    <t>438 - Einzelartikel</t>
  </si>
  <si>
    <t>439 - Einzelartikel</t>
  </si>
  <si>
    <t>440 - Einzelartikel</t>
  </si>
  <si>
    <t>441 - Einzelartikel</t>
  </si>
  <si>
    <t>442 - Einzelartikel</t>
  </si>
  <si>
    <t>443 - Einzelartikel</t>
  </si>
  <si>
    <t>444 - Einzelartikel</t>
  </si>
  <si>
    <t>445 - Einzelartikel</t>
  </si>
  <si>
    <t>446 - Einzelartikel</t>
  </si>
  <si>
    <t>447 - Einzelartikel</t>
  </si>
  <si>
    <t>448 - Einzelartikel</t>
  </si>
  <si>
    <t>449 - Einzelartikel</t>
  </si>
  <si>
    <t>450 - Einzelartikel</t>
  </si>
  <si>
    <t>451 - Einzelartikel</t>
  </si>
  <si>
    <t>452 - Einzelartikel</t>
  </si>
  <si>
    <t>453 - Einzelartikel</t>
  </si>
  <si>
    <t>454 - Einzelartikel</t>
  </si>
  <si>
    <t>455 - Einzelartikel</t>
  </si>
  <si>
    <t>456 - Einzelartikel</t>
  </si>
  <si>
    <t>457 - Einzelartikel</t>
  </si>
  <si>
    <t>458 - Einzelartikel</t>
  </si>
  <si>
    <t>459 - Einzelartikel</t>
  </si>
  <si>
    <t>460 - Einzelartikel</t>
  </si>
  <si>
    <t>461 - Einzelartikel</t>
  </si>
  <si>
    <t>462 - Einzelartikel</t>
  </si>
  <si>
    <t>463 - Einzelartikel</t>
  </si>
  <si>
    <t>464 - Einzelartikel</t>
  </si>
  <si>
    <t>465 - Einzelartikel</t>
  </si>
  <si>
    <t>466 - Einzelartikel</t>
  </si>
  <si>
    <t>467 - Einzelartikel</t>
  </si>
  <si>
    <t>468 - Einzelartikel</t>
  </si>
  <si>
    <t>469 - Einzelartikel</t>
  </si>
  <si>
    <t>470 - Einzelartikel</t>
  </si>
  <si>
    <t>471 - Einzelartikel</t>
  </si>
  <si>
    <t>472 - Einzelartikel</t>
  </si>
  <si>
    <t>473 - Einzelartikel</t>
  </si>
  <si>
    <t>474 - Einzelartikel</t>
  </si>
  <si>
    <t>475 - Einzelartikel</t>
  </si>
  <si>
    <t>476 - Einzelartikel</t>
  </si>
  <si>
    <t>477 - Einzelartikel</t>
  </si>
  <si>
    <t>478 - Einzelartikel</t>
  </si>
  <si>
    <t>479 - Einzelartikel</t>
  </si>
  <si>
    <t>480 - Einzelartikel</t>
  </si>
  <si>
    <t>481 - Einzelartikel</t>
  </si>
  <si>
    <t>482 - Einzelartikel</t>
  </si>
  <si>
    <t>483 - Einzelartikel</t>
  </si>
  <si>
    <t>484 - Einzelartikel</t>
  </si>
  <si>
    <t>485 - Einzelartikel</t>
  </si>
  <si>
    <t>486 - Einzelartikel</t>
  </si>
  <si>
    <t>487 - Einzelartikel</t>
  </si>
  <si>
    <t>488 - Einzelartikel</t>
  </si>
  <si>
    <t>489 - Einzelartikel</t>
  </si>
  <si>
    <t>490 - Einzelartikel</t>
  </si>
  <si>
    <t>Ist Regioartikel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</si>
</sst>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.00"/>
    <numFmt numFmtId="165" formatCode="0.000"/>
  </numFmts>
  <fonts count="3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rgb="FFFFFFFF"/>
      <name val="Calibri"/>
      <family val="2"/>
    </font>
    <font>
      <sz val="14"/>
      <color theme="0"/>
      <name val="Calibri"/>
      <family val="2"/>
    </font>
    <font>
      <sz val="14"/>
      <color rgb="FFFF0000"/>
      <name val="Calibri"/>
      <family val="2"/>
    </font>
    <font>
      <sz val="14"/>
      <color theme="1"/>
      <name val="Calibri"/>
      <family val="2"/>
      <scheme val="minor"/>
    </font>
    <font>
      <sz val="14"/>
      <color indexed="60"/>
      <name val="Calibri"/>
      <family val="2"/>
    </font>
    <font>
      <sz val="9"/>
      <color indexed="81"/>
      <name val="Tahoma"/>
      <family val="2"/>
    </font>
    <font>
      <sz val="11"/>
      <color rgb="FFFFFFFF"/>
      <name val="Calibri"/>
    </font>
    <font>
      <sz val="11"/>
      <color rgb="FFFF0000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sz val="11"/>
      <color rgb="FFFFFFFF"/>
      <name val="Calibri"/>
    </font>
    <font>
      <b/>
      <sz val="12"/>
      <color indexed="8"/>
      <name val="Calibri"/>
    </font>
    <font>
      <sz val="11"/>
      <color rgb="FFFF0000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sz val="11"/>
      <color rgb="FFFFFFFF"/>
      <name val="Calibri"/>
      <family val="2"/>
    </font>
  </fonts>
  <fills count="31">
    <fill>
      <patternFill patternType="none"/>
    </fill>
    <fill>
      <patternFill patternType="gray125"/>
    </fill>
    <fill>
      <patternFill patternType="solid">
        <fgColor rgb="FF00913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3A7DDC"/>
      </patternFill>
    </fill>
    <fill>
      <patternFill patternType="gray0625">
        <fgColor theme="0"/>
        <bgColor rgb="FF3A7DDC"/>
      </patternFill>
    </fill>
    <fill>
      <patternFill patternType="solid">
        <fgColor rgb="FFA8C6F0"/>
      </patternFill>
    </fill>
    <fill>
      <patternFill patternType="gray0625">
        <fgColor theme="2"/>
        <bgColor rgb="FFA8C6F0"/>
      </patternFill>
    </fill>
    <fill>
      <patternFill patternType="solid">
        <fgColor rgb="FF504389"/>
      </patternFill>
    </fill>
    <fill>
      <patternFill patternType="gray0625">
        <fgColor rgb="FFB3B3B3"/>
        <bgColor rgb="FF504389"/>
      </patternFill>
    </fill>
    <fill>
      <patternFill patternType="solid">
        <fgColor rgb="FF8376BC"/>
      </patternFill>
    </fill>
    <fill>
      <patternFill patternType="gray0625">
        <fgColor rgb="FFB3B3B3"/>
        <bgColor rgb="FF8376BC"/>
      </patternFill>
    </fill>
    <fill>
      <patternFill patternType="solid">
        <fgColor rgb="FFF45B23"/>
        <bgColor rgb="FF000000"/>
      </patternFill>
    </fill>
    <fill>
      <patternFill patternType="gray0625">
        <fgColor rgb="FF404040"/>
        <bgColor rgb="FFE06536"/>
      </patternFill>
    </fill>
    <fill>
      <patternFill patternType="solid">
        <fgColor rgb="FFEEAB91"/>
      </patternFill>
    </fill>
    <fill>
      <patternFill patternType="gray0625">
        <fgColor rgb="FF404040"/>
        <bgColor rgb="FFEEAB91"/>
      </patternFill>
    </fill>
    <fill>
      <patternFill patternType="gray0625">
        <fgColor rgb="FF404040"/>
        <bgColor rgb="FF448D41"/>
      </patternFill>
    </fill>
    <fill>
      <patternFill patternType="solid">
        <fgColor rgb="FF98CF96"/>
      </patternFill>
    </fill>
    <fill>
      <patternFill patternType="gray0625">
        <fgColor rgb="FF404040"/>
        <bgColor rgb="FF98CF96"/>
      </patternFill>
    </fill>
    <fill>
      <patternFill patternType="solid">
        <fgColor rgb="FFD5374B"/>
      </patternFill>
    </fill>
    <fill>
      <patternFill patternType="gray0625">
        <fgColor rgb="FF404040"/>
        <bgColor rgb="FFD5374B"/>
      </patternFill>
    </fill>
    <fill>
      <patternFill patternType="solid">
        <fgColor rgb="FFEDABB4"/>
      </patternFill>
    </fill>
    <fill>
      <patternFill patternType="gray0625">
        <fgColor rgb="FF404040"/>
        <bgColor rgb="FFEDABB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31" fillId="0" borderId="4"/>
  </cellStyleXfs>
  <cellXfs count="74">
    <xf numFmtId="0" fontId="0" fillId="0" borderId="0" xfId="0"/>
    <xf numFmtId="0" fontId="2" fillId="0" borderId="1" xfId="1" applyFont="1" applyBorder="1"/>
    <xf numFmtId="0" fontId="1" fillId="0" borderId="1" xfId="1" applyBorder="1"/>
    <xf numFmtId="0" fontId="1" fillId="0" borderId="0" xfId="1"/>
    <xf numFmtId="0" fontId="3" fillId="0" borderId="0" xfId="2"/>
    <xf numFmtId="0" fontId="2" fillId="0" borderId="2" xfId="1" applyFont="1" applyBorder="1"/>
    <xf numFmtId="0" fontId="5" fillId="3" borderId="3" xfId="1" applyFont="1" applyFill="1" applyBorder="1" applyAlignment="1">
      <alignment vertical="center"/>
    </xf>
    <xf numFmtId="0" fontId="6" fillId="4" borderId="0" xfId="0" applyFont="1" applyFill="1"/>
    <xf numFmtId="0" fontId="7" fillId="5" borderId="0" xfId="0" applyFont="1" applyFill="1"/>
    <xf numFmtId="0" fontId="8" fillId="6" borderId="0" xfId="0" applyFont="1" applyFill="1"/>
    <xf numFmtId="0" fontId="8" fillId="7" borderId="0" xfId="0" applyFont="1" applyFill="1"/>
    <xf numFmtId="0" fontId="6" fillId="8" borderId="0" xfId="0" applyFont="1" applyFill="1"/>
    <xf numFmtId="0" fontId="6" fillId="9" borderId="0" xfId="0" applyFont="1" applyFill="1"/>
    <xf numFmtId="0" fontId="8" fillId="10" borderId="0" xfId="0" applyFont="1" applyFill="1"/>
    <xf numFmtId="0" fontId="8" fillId="11" borderId="0" xfId="0" applyFont="1" applyFill="1"/>
    <xf numFmtId="0" fontId="4" fillId="12" borderId="3" xfId="0" applyFont="1" applyFill="1" applyBorder="1" applyAlignment="1">
      <alignment horizontal="left" vertical="center"/>
    </xf>
    <xf numFmtId="0" fontId="6" fillId="13" borderId="0" xfId="0" applyFont="1" applyFill="1"/>
    <xf numFmtId="0" fontId="8" fillId="14" borderId="0" xfId="0" applyFont="1" applyFill="1"/>
    <xf numFmtId="0" fontId="8" fillId="15" borderId="0" xfId="0" applyFont="1" applyFill="1"/>
    <xf numFmtId="0" fontId="4" fillId="2" borderId="1" xfId="0" applyFont="1" applyFill="1" applyBorder="1" applyAlignment="1">
      <alignment horizontal="left" vertical="center"/>
    </xf>
    <xf numFmtId="0" fontId="6" fillId="16" borderId="0" xfId="0" applyFont="1" applyFill="1"/>
    <xf numFmtId="0" fontId="8" fillId="17" borderId="0" xfId="0" applyFont="1" applyFill="1"/>
    <xf numFmtId="0" fontId="8" fillId="18" borderId="0" xfId="0" applyFont="1" applyFill="1"/>
    <xf numFmtId="0" fontId="6" fillId="19" borderId="0" xfId="0" applyFont="1" applyFill="1"/>
    <xf numFmtId="0" fontId="6" fillId="20" borderId="0" xfId="0" applyFont="1" applyFill="1"/>
    <xf numFmtId="0" fontId="8" fillId="21" borderId="0" xfId="0" applyFont="1" applyFill="1"/>
    <xf numFmtId="0" fontId="8" fillId="22" borderId="0" xfId="0" applyFont="1" applyFill="1"/>
    <xf numFmtId="0" fontId="9" fillId="23" borderId="0" xfId="0" applyFont="1" applyFill="1"/>
    <xf numFmtId="0" fontId="10" fillId="24" borderId="0" xfId="0" applyFont="1" applyFill="1"/>
    <xf numFmtId="0" fontId="12" fillId="4" borderId="0" xfId="0" applyFont="1" applyFill="1"/>
    <xf numFmtId="0" fontId="13" fillId="6" borderId="0" xfId="0" applyFont="1" applyFill="1"/>
    <xf numFmtId="49" fontId="0" fillId="0" borderId="0" xfId="0" applyNumberFormat="1"/>
    <xf numFmtId="0" fontId="16" fillId="8" borderId="0" xfId="0" applyFont="1" applyFill="1"/>
    <xf numFmtId="0" fontId="17" fillId="26" borderId="4" xfId="0" applyFont="1" applyFill="1" applyBorder="1" applyAlignment="1">
      <alignment horizontal="left"/>
    </xf>
    <xf numFmtId="0" fontId="18" fillId="10" borderId="0" xfId="0" applyFont="1" applyFill="1"/>
    <xf numFmtId="0" fontId="16" fillId="9" borderId="0" xfId="0" applyFont="1" applyFill="1"/>
    <xf numFmtId="1" fontId="0" fillId="0" borderId="0" xfId="0" applyNumberFormat="1"/>
    <xf numFmtId="0" fontId="26" fillId="25" borderId="0" xfId="0" applyFont="1" applyFill="1"/>
    <xf numFmtId="0" fontId="27" fillId="25" borderId="0" xfId="0" applyFont="1" applyFill="1"/>
    <xf numFmtId="0" fontId="28" fillId="25" borderId="0" xfId="0" applyFont="1" applyFill="1"/>
    <xf numFmtId="0" fontId="29" fillId="25" borderId="0" xfId="0" applyFont="1" applyFill="1"/>
    <xf numFmtId="0" fontId="30" fillId="25" borderId="0" xfId="0" applyFont="1" applyFill="1"/>
    <xf numFmtId="164" fontId="0" fillId="0" borderId="0" xfId="0" applyNumberFormat="1"/>
    <xf numFmtId="0" fontId="0" fillId="27" borderId="5" xfId="0" applyFill="1" applyBorder="1" applyAlignment="1">
      <alignment horizontal="left"/>
    </xf>
    <xf numFmtId="2" fontId="0" fillId="0" borderId="0" xfId="0" applyNumberFormat="1"/>
    <xf numFmtId="165" fontId="0" fillId="0" borderId="0" xfId="0" applyNumberFormat="1"/>
    <xf numFmtId="0" fontId="0" fillId="30" borderId="0" xfId="0" applyFill="1"/>
    <xf numFmtId="0" fontId="33" fillId="0" borderId="5" xfId="0" applyFont="1" applyBorder="1" applyAlignment="1">
      <alignment vertical="top"/>
    </xf>
    <xf numFmtId="1" fontId="33" fillId="29" borderId="5" xfId="0" applyNumberFormat="1" applyFont="1" applyFill="1" applyBorder="1" applyAlignment="1">
      <alignment horizontal="left" vertical="top" wrapText="1"/>
    </xf>
    <xf numFmtId="0" fontId="33" fillId="29" borderId="5" xfId="0" applyFont="1" applyFill="1" applyBorder="1" applyAlignment="1">
      <alignment horizontal="left" vertical="top" wrapText="1"/>
    </xf>
    <xf numFmtId="0" fontId="33" fillId="29" borderId="5" xfId="0" applyFont="1" applyFill="1" applyBorder="1" applyAlignment="1">
      <alignment horizontal="left" vertical="top"/>
    </xf>
    <xf numFmtId="165" fontId="33" fillId="29" borderId="5" xfId="0" applyNumberFormat="1" applyFont="1" applyFill="1" applyBorder="1" applyAlignment="1">
      <alignment horizontal="left" vertical="top" wrapText="1"/>
    </xf>
    <xf numFmtId="0" fontId="0" fillId="0" borderId="5" xfId="0" applyBorder="1"/>
    <xf numFmtId="0" fontId="0" fillId="28" borderId="5" xfId="0" applyFill="1" applyBorder="1" applyAlignment="1">
      <alignment horizontal="left"/>
    </xf>
    <xf numFmtId="1" fontId="0" fillId="28" borderId="5" xfId="0" applyNumberFormat="1" applyFill="1" applyBorder="1" applyAlignment="1">
      <alignment horizontal="left"/>
    </xf>
    <xf numFmtId="165" fontId="0" fillId="28" borderId="5" xfId="0" applyNumberFormat="1" applyFill="1" applyBorder="1" applyAlignment="1">
      <alignment horizontal="left"/>
    </xf>
    <xf numFmtId="0" fontId="0" fillId="28" borderId="5" xfId="0" quotePrefix="1" applyFill="1" applyBorder="1" applyAlignment="1">
      <alignment horizontal="left"/>
    </xf>
    <xf numFmtId="165" fontId="0" fillId="0" borderId="5" xfId="0" applyNumberFormat="1" applyBorder="1" applyAlignment="1">
      <alignment horizontal="left"/>
    </xf>
    <xf numFmtId="165" fontId="0" fillId="27" borderId="5" xfId="0" applyNumberFormat="1" applyFill="1" applyBorder="1" applyAlignment="1">
      <alignment horizontal="left"/>
    </xf>
    <xf numFmtId="2" fontId="0" fillId="28" borderId="5" xfId="0" applyNumberFormat="1" applyFill="1" applyBorder="1" applyAlignment="1">
      <alignment horizontal="left"/>
    </xf>
    <xf numFmtId="2" fontId="0" fillId="28" borderId="5" xfId="0" quotePrefix="1" applyNumberFormat="1" applyFill="1" applyBorder="1" applyAlignment="1">
      <alignment horizontal="left"/>
    </xf>
    <xf numFmtId="0" fontId="32" fillId="0" borderId="0" xfId="0" applyFont="1"/>
    <xf numFmtId="0" fontId="35" fillId="8" borderId="0" xfId="0" applyFont="1" applyFill="1"/>
    <xf numFmtId="0" fontId="14" fillId="26" borderId="4" xfId="0" applyFont="1" applyFill="1" applyBorder="1" applyAlignment="1">
      <alignment horizontal="left"/>
    </xf>
    <xf numFmtId="0" fontId="0" fillId="0" borderId="0" xfId="0"/>
    <xf numFmtId="0" fontId="15" fillId="26" borderId="4" xfId="0" applyFont="1" applyFill="1" applyBorder="1" applyAlignment="1">
      <alignment horizontal="left"/>
    </xf>
    <xf numFmtId="49" fontId="0" fillId="0" borderId="0" xfId="0" applyNumberFormat="1"/>
    <xf numFmtId="0" fontId="19" fillId="26" borderId="4" xfId="0" applyFont="1" applyFill="1" applyBorder="1" applyAlignment="1">
      <alignment horizontal="left"/>
    </xf>
    <xf numFmtId="0" fontId="20" fillId="26" borderId="4" xfId="0" applyFont="1" applyFill="1" applyBorder="1" applyAlignment="1">
      <alignment horizontal="left"/>
    </xf>
    <xf numFmtId="0" fontId="21" fillId="26" borderId="4" xfId="0" applyFont="1" applyFill="1" applyBorder="1" applyAlignment="1">
      <alignment horizontal="left"/>
    </xf>
    <xf numFmtId="0" fontId="22" fillId="26" borderId="4" xfId="0" applyFont="1" applyFill="1" applyBorder="1" applyAlignment="1">
      <alignment horizontal="left"/>
    </xf>
    <xf numFmtId="0" fontId="23" fillId="26" borderId="4" xfId="0" applyFont="1" applyFill="1" applyBorder="1" applyAlignment="1">
      <alignment horizontal="left"/>
    </xf>
    <xf numFmtId="0" fontId="24" fillId="26" borderId="4" xfId="0" applyFont="1" applyFill="1" applyBorder="1" applyAlignment="1">
      <alignment horizontal="left"/>
    </xf>
    <xf numFmtId="0" fontId="25" fillId="26" borderId="4" xfId="0" applyFont="1" applyFill="1" applyBorder="1" applyAlignment="1">
      <alignment horizontal="left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7CAC4AAF-856E-4156-807D-F4D1056AA8C0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790575</xdr:colOff>
      <xdr:row>0</xdr:row>
      <xdr:rowOff>152400</xdr:rowOff>
    </xdr:from>
    <xdr:to>
      <xdr:col>1</xdr:col>
      <xdr:colOff>1428750</xdr:colOff>
      <xdr:row>2</xdr:row>
      <xdr:rowOff>95250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ABC3615-78B7-4335-82B0-5FBFD7DF7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90575" y="152400"/>
          <a:ext cx="2590800" cy="4953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lationship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ationship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62FF-D9A6-4AF9-9EB4-5C0E9736F4D1}">
  <sheetPr codeName="Sheet6"/>
  <dimension ref="A3:D17"/>
  <sheetViews>
    <sheetView workbookViewId="0"/>
  </sheetViews>
  <sheetFormatPr defaultColWidth="12.3984375" defaultRowHeight="21.75" customHeight="1" x14ac:dyDescent="0.5"/>
  <cols>
    <col min="1" max="1" width="29.265625" style="3" bestFit="1" customWidth="1" collapsed="1"/>
    <col min="2" max="2" width="28.3984375" style="3" bestFit="1" customWidth="1" collapsed="1"/>
    <col min="3" max="3" width="16.1328125" style="3" bestFit="1" customWidth="1" collapsed="1"/>
    <col min="4" max="4" width="31.265625" style="3" bestFit="1" customWidth="1" collapsed="1"/>
    <col min="5" max="16384" width="12.3984375" style="3" collapsed="1"/>
  </cols>
  <sheetData>
    <row r="3" spans="1:4" ht="21.75" customHeight="1" x14ac:dyDescent="0.5">
      <c r="B3" s="3" t="s">
        <v>14</v>
      </c>
    </row>
    <row r="4" spans="1:4" ht="21.75" customHeight="1" x14ac:dyDescent="0.5">
      <c r="A4" s="1" t="s">
        <v>0</v>
      </c>
      <c r="B4" s="2" t="s">
        <v>1</v>
      </c>
    </row>
    <row r="5" spans="1:4" ht="21.75" customHeight="1" x14ac:dyDescent="0.5">
      <c r="A5" s="1" t="s">
        <v>2</v>
      </c>
      <c r="B5" s="2" t="s">
        <v>21</v>
      </c>
    </row>
    <row r="6" spans="1:4" ht="21.75" customHeight="1" x14ac:dyDescent="0.5">
      <c r="A6" s="1" t="s">
        <v>3</v>
      </c>
      <c r="B6" s="2" t="s">
        <v>4</v>
      </c>
    </row>
    <row r="7" spans="1:4" ht="21.75" customHeight="1" x14ac:dyDescent="0.5">
      <c r="A7" s="1" t="s">
        <v>5</v>
      </c>
      <c r="B7" s="2" t="s">
        <v>8</v>
      </c>
    </row>
    <row r="8" spans="1:4" ht="21.75" customHeight="1" x14ac:dyDescent="0.55000000000000004">
      <c r="A8" s="5" t="s">
        <v>6</v>
      </c>
      <c r="B8" s="27" t="s">
        <v>24</v>
      </c>
    </row>
    <row r="9" spans="1:4" ht="21.75" customHeight="1" x14ac:dyDescent="0.55000000000000004">
      <c r="A9" s="1"/>
      <c r="B9" s="28" t="s">
        <v>25</v>
      </c>
    </row>
    <row r="12" spans="1:4" ht="21.75" customHeight="1" x14ac:dyDescent="0.5">
      <c r="A12" s="6" t="s">
        <v>15</v>
      </c>
    </row>
    <row r="13" spans="1:4" ht="21.75" customHeight="1" x14ac:dyDescent="0.55000000000000004">
      <c r="A13" s="7" t="s">
        <v>16</v>
      </c>
      <c r="B13" s="8" t="s">
        <v>17</v>
      </c>
      <c r="C13" s="9" t="s">
        <v>7</v>
      </c>
      <c r="D13" s="10" t="s">
        <v>18</v>
      </c>
    </row>
    <row r="14" spans="1:4" ht="21.75" customHeight="1" x14ac:dyDescent="0.55000000000000004">
      <c r="A14" s="11" t="s">
        <v>22</v>
      </c>
      <c r="B14" s="12" t="s">
        <v>17</v>
      </c>
      <c r="C14" s="13" t="s">
        <v>7</v>
      </c>
      <c r="D14" s="14" t="s">
        <v>18</v>
      </c>
    </row>
    <row r="15" spans="1:4" ht="21.75" customHeight="1" x14ac:dyDescent="0.55000000000000004">
      <c r="A15" s="15" t="s">
        <v>23</v>
      </c>
      <c r="B15" s="16" t="s">
        <v>17</v>
      </c>
      <c r="C15" s="17" t="s">
        <v>7</v>
      </c>
      <c r="D15" s="18" t="s">
        <v>18</v>
      </c>
    </row>
    <row r="16" spans="1:4" ht="21.75" customHeight="1" x14ac:dyDescent="0.55000000000000004">
      <c r="A16" s="19" t="s">
        <v>19</v>
      </c>
      <c r="B16" s="20" t="s">
        <v>17</v>
      </c>
      <c r="C16" s="21" t="s">
        <v>7</v>
      </c>
      <c r="D16" s="22" t="s">
        <v>18</v>
      </c>
    </row>
    <row r="17" spans="1:4" ht="21.75" customHeight="1" x14ac:dyDescent="0.55000000000000004">
      <c r="A17" s="23" t="s">
        <v>20</v>
      </c>
      <c r="B17" s="24" t="s">
        <v>17</v>
      </c>
      <c r="C17" s="25" t="s">
        <v>7</v>
      </c>
      <c r="D17" s="26" t="s">
        <v>18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60DC4-1983-4DC8-BA03-80156AB48A39}">
  <sheetPr codeName="Sheet1"/>
  <dimension ref="A1:AO2262"/>
  <sheetViews>
    <sheetView tabSelected="1" workbookViewId="0">
      <selection activeCell="G12" sqref="G12"/>
    </sheetView>
  </sheetViews>
  <sheetFormatPr defaultRowHeight="21.75" customHeight="1" x14ac:dyDescent="0.45"/>
  <cols>
    <col min="1" max="1" width="5.9296875" bestFit="1" customWidth="1"/>
    <col min="2" max="2" width="7.6640625" bestFit="1" customWidth="1"/>
    <col min="3" max="3" width="33.9296875" bestFit="1" customWidth="1"/>
    <col min="4" max="4" width="39.265625" bestFit="1" customWidth="1"/>
    <col min="5" max="5" width="13.86328125" style="31" bestFit="1" customWidth="1"/>
    <col min="6" max="6" width="72.33203125" style="31" bestFit="1" customWidth="1"/>
    <col min="7" max="7" width="20.46484375" style="31" bestFit="1" customWidth="1"/>
    <col min="8" max="8" width="28.06640625" style="31" bestFit="1" customWidth="1"/>
    <col min="9" max="9" width="15.3984375" style="31" bestFit="1" customWidth="1"/>
    <col min="10" max="10" width="9.86328125" style="31" bestFit="1" customWidth="1"/>
    <col min="11" max="11" width="23" style="31" bestFit="1" customWidth="1"/>
    <col min="12" max="12" width="35.73046875" bestFit="1" customWidth="1"/>
    <col min="13" max="13" width="34.9296875" style="31" bestFit="1" customWidth="1"/>
    <col min="14" max="14" width="35" style="31" bestFit="1" customWidth="1"/>
    <col min="15" max="15" width="23.73046875" style="31" customWidth="1"/>
    <col min="16" max="16" width="22.86328125" style="31" bestFit="1" customWidth="1"/>
    <col min="17" max="17" width="22.265625" style="31" bestFit="1" customWidth="1"/>
    <col min="18" max="18" width="23.73046875" bestFit="1" customWidth="1"/>
    <col min="19" max="19" width="22.86328125" bestFit="1" customWidth="1"/>
    <col min="20" max="20" width="22.265625" bestFit="1" customWidth="1"/>
    <col min="21" max="21" width="28.73046875" style="31" bestFit="1" customWidth="1"/>
    <col min="22" max="22" width="27.796875" style="31" bestFit="1" customWidth="1"/>
    <col min="23" max="23" width="27.1328125" style="31" bestFit="1" customWidth="1"/>
    <col min="24" max="24" width="37.1328125" customWidth="1"/>
    <col min="25" max="26" width="34.06640625" customWidth="1"/>
    <col min="27" max="27" width="9.86328125" style="36" bestFit="1" customWidth="1"/>
    <col min="28" max="28" width="33.46484375" style="31" bestFit="1" customWidth="1"/>
    <col min="29" max="29" width="21.19921875" style="31" bestFit="1" customWidth="1"/>
    <col min="30" max="30" width="22.86328125" style="31" bestFit="1" customWidth="1"/>
    <col min="31" max="31" width="22.59765625" style="31" bestFit="1" customWidth="1"/>
    <col min="32" max="32" width="25" style="31" bestFit="1" customWidth="1"/>
    <col min="33" max="33" width="15" style="31" bestFit="1" customWidth="1"/>
    <col min="34" max="34" width="17.33203125" style="31" bestFit="1" customWidth="1"/>
    <col min="35" max="35" width="23.1328125" style="31" bestFit="1" customWidth="1"/>
    <col min="36" max="36" width="20.46484375" style="31" bestFit="1" customWidth="1"/>
    <col min="37" max="37" width="11.3984375" style="31" bestFit="1" customWidth="1"/>
    <col min="38" max="38" width="13.19921875" style="31" bestFit="1" customWidth="1"/>
    <col min="39" max="39" width="33.46484375" style="31" bestFit="1" customWidth="1"/>
    <col min="40" max="40" width="16.33203125" style="31" customWidth="1"/>
    <col min="41" max="41" width="19.1328125" style="31" bestFit="1" customWidth="1"/>
  </cols>
  <sheetData>
    <row r="1" spans="1:41" ht="21.75" customHeight="1" x14ac:dyDescent="0.5">
      <c r="A1" s="63" t="s">
        <v>29</v>
      </c>
      <c r="B1" s="64"/>
      <c r="C1" s="64"/>
      <c r="D1" s="64"/>
      <c r="E1" s="65" t="s">
        <v>32</v>
      </c>
      <c r="F1" s="66"/>
      <c r="G1" s="33" t="s">
        <v>34</v>
      </c>
      <c r="H1" s="67" t="s">
        <v>38</v>
      </c>
      <c r="I1" s="66"/>
      <c r="J1" s="68" t="s">
        <v>41</v>
      </c>
      <c r="K1" s="66"/>
      <c r="L1" s="69" t="s">
        <v>38</v>
      </c>
      <c r="M1" s="66"/>
      <c r="N1" s="66"/>
      <c r="O1" s="63" t="s">
        <v>51</v>
      </c>
      <c r="P1" s="66"/>
      <c r="Q1" s="66"/>
      <c r="R1" s="66"/>
      <c r="S1" s="66"/>
      <c r="T1" s="66"/>
      <c r="U1" s="70" t="s">
        <v>41</v>
      </c>
      <c r="V1" s="66"/>
      <c r="W1" s="66"/>
      <c r="X1" s="66"/>
      <c r="Y1" s="66"/>
      <c r="Z1" s="66"/>
      <c r="AA1" s="71" t="s">
        <v>38</v>
      </c>
      <c r="AB1" s="66"/>
      <c r="AC1" s="66"/>
      <c r="AD1" s="66"/>
      <c r="AE1" s="66"/>
      <c r="AF1" s="66"/>
      <c r="AG1" s="72" t="s">
        <v>69</v>
      </c>
      <c r="AH1" s="66"/>
      <c r="AI1" s="66"/>
      <c r="AJ1" s="66"/>
      <c r="AK1" s="66"/>
      <c r="AL1" s="73" t="s">
        <v>41</v>
      </c>
      <c r="AM1" s="66"/>
      <c r="AN1" s="66"/>
      <c r="AO1" s="66"/>
    </row>
    <row r="2" spans="1:41" ht="14.25" x14ac:dyDescent="0.45">
      <c r="A2" s="29" t="s">
        <v>26</v>
      </c>
      <c r="B2" s="30" t="s">
        <v>15</v>
      </c>
      <c r="C2" s="29" t="s">
        <v>27</v>
      </c>
      <c r="D2" s="29" t="s">
        <v>28</v>
      </c>
      <c r="E2" s="30" t="s">
        <v>30</v>
      </c>
      <c r="F2" s="30" t="s">
        <v>31</v>
      </c>
      <c r="G2" s="32" t="s">
        <v>33</v>
      </c>
      <c r="H2" s="34" t="s">
        <v>35</v>
      </c>
      <c r="I2" s="34" t="s">
        <v>36</v>
      </c>
      <c r="J2" s="35" t="s">
        <v>37</v>
      </c>
      <c r="K2" s="35" t="s">
        <v>39</v>
      </c>
      <c r="L2" s="34" t="s">
        <v>40</v>
      </c>
      <c r="M2" s="34" t="s">
        <v>42</v>
      </c>
      <c r="N2" s="34" t="s">
        <v>43</v>
      </c>
      <c r="O2" s="34" t="s">
        <v>44</v>
      </c>
      <c r="P2" s="34" t="s">
        <v>45</v>
      </c>
      <c r="Q2" s="34" t="s">
        <v>46</v>
      </c>
      <c r="R2" s="32" t="s">
        <v>47</v>
      </c>
      <c r="S2" s="32" t="s">
        <v>48</v>
      </c>
      <c r="T2" s="32" t="s">
        <v>49</v>
      </c>
      <c r="U2" s="32" t="s">
        <v>50</v>
      </c>
      <c r="V2" s="32" t="s">
        <v>52</v>
      </c>
      <c r="W2" s="32" t="s">
        <v>53</v>
      </c>
      <c r="X2" s="34" t="s">
        <v>54</v>
      </c>
      <c r="Y2" s="34" t="s">
        <v>55</v>
      </c>
      <c r="Z2" s="34" t="s">
        <v>56</v>
      </c>
      <c r="AA2" s="34" t="s">
        <v>57</v>
      </c>
      <c r="AB2" s="34" t="s">
        <v>58</v>
      </c>
      <c r="AC2" s="34" t="s">
        <v>59</v>
      </c>
      <c r="AD2" s="34" t="s">
        <v>60</v>
      </c>
      <c r="AE2" s="34" t="s">
        <v>61</v>
      </c>
      <c r="AF2" s="32" t="s">
        <v>62</v>
      </c>
      <c r="AG2" s="34" t="s">
        <v>63</v>
      </c>
      <c r="AH2" s="32" t="s">
        <v>64</v>
      </c>
      <c r="AI2" s="34" t="s">
        <v>65</v>
      </c>
      <c r="AJ2" s="32" t="s">
        <v>66</v>
      </c>
      <c r="AK2" s="32" t="s">
        <v>67</v>
      </c>
      <c r="AL2" s="32" t="s">
        <v>68</v>
      </c>
      <c r="AM2" s="35" t="s">
        <v>70</v>
      </c>
      <c r="AN2" s="62" t="s">
        <v>1905</v>
      </c>
      <c r="AO2" s="34" t="s">
        <v>71</v>
      </c>
    </row>
    <row r="3" spans="1:41" ht="14.25" x14ac:dyDescent="0.45">
      <c r="B3" t="s">
        <v>99</v>
      </c>
      <c r="C3" t="s">
        <v>220</v>
      </c>
      <c r="D3" t="s">
        <v>221</v>
      </c>
      <c r="E3" s="31" t="s">
        <v>87</v>
      </c>
      <c r="F3" s="31" t="s">
        <v>75</v>
      </c>
      <c r="G3" s="31" t="s">
        <v>222</v>
      </c>
      <c r="H3" s="31" t="s">
        <v>109</v>
      </c>
      <c r="I3" s="31" t="s">
        <v>121</v>
      </c>
      <c r="J3" s="31" t="s">
        <v>223</v>
      </c>
      <c r="L3" t="s">
        <v>224</v>
      </c>
      <c r="M3" t="s">
        <v>224</v>
      </c>
      <c r="N3" t="s">
        <v>224</v>
      </c>
      <c r="O3" s="31" t="s">
        <v>225</v>
      </c>
      <c r="P3" s="31" t="s">
        <v>225</v>
      </c>
      <c r="Q3" s="31" t="s">
        <v>225</v>
      </c>
      <c r="R3" s="31" t="s">
        <v>226</v>
      </c>
      <c r="S3" s="31" t="s">
        <v>226</v>
      </c>
      <c r="T3" s="31" t="s">
        <v>226</v>
      </c>
      <c r="U3" s="31" t="s">
        <v>227</v>
      </c>
      <c r="X3" s="31" t="s">
        <v>228</v>
      </c>
      <c r="Y3" s="31"/>
      <c r="Z3" s="31"/>
      <c r="AA3" s="42">
        <v>0.25</v>
      </c>
      <c r="AB3" s="31" t="s">
        <v>134</v>
      </c>
      <c r="AC3" s="31" t="s">
        <v>165</v>
      </c>
      <c r="AD3" s="31" t="s">
        <v>169</v>
      </c>
      <c r="AE3" s="31" t="s">
        <v>179</v>
      </c>
      <c r="AF3" s="31" t="s">
        <v>192</v>
      </c>
      <c r="AG3" s="31" t="s">
        <v>229</v>
      </c>
      <c r="AH3" s="31" t="s">
        <v>229</v>
      </c>
      <c r="AI3" s="31" t="s">
        <v>229</v>
      </c>
      <c r="AJ3" s="31" t="s">
        <v>229</v>
      </c>
      <c r="AL3" s="31" t="s">
        <v>229</v>
      </c>
      <c r="AM3" s="31" t="s">
        <v>230</v>
      </c>
      <c r="AN3" s="31" t="s">
        <v>219</v>
      </c>
      <c r="AO3" s="31" t="s">
        <v>217</v>
      </c>
    </row>
    <row r="4" spans="1:41" ht="21.75" customHeight="1" x14ac:dyDescent="0.45">
      <c r="B4" t="s">
        <v>99</v>
      </c>
      <c r="E4" s="31" t="s">
        <v>87</v>
      </c>
      <c r="F4" t="str">
        <f>"Warengruppe&gt;&gt;"&amp;Migrationsartikel!V2&amp;"&gt;&gt;"&amp;Migrationsartikel!W2&amp;"&gt;&gt;"&amp;Migrationsartikel!X2</f>
        <v>Warengruppe&gt;&gt;Backwaren &amp; Convenience&gt;&gt;Brot und Backwaren&gt;&gt;Backwaren andere</v>
      </c>
      <c r="H4" s="31" t="s">
        <v>109</v>
      </c>
      <c r="I4" s="31" t="s">
        <v>121</v>
      </c>
      <c r="J4" s="43">
        <f>Migrationsartikel!B2</f>
        <v>700</v>
      </c>
      <c r="L4" t="str">
        <f>Migrationsartikel!F2&amp;" "&amp;Migrationsartikel!G2&amp;" "&amp;Migrationsartikel!H2</f>
        <v>Baguette aus der Region 250g</v>
      </c>
      <c r="M4" t="str">
        <f>Migrationsartikel!J2&amp;" "&amp;Migrationsartikel!K2&amp;" "&amp;Migrationsartikel!L2</f>
        <v>Baguette  de la région 250g</v>
      </c>
      <c r="N4" t="str">
        <f>Migrationsartikel!N2&amp;" "&amp;Migrationsartikel!O2&amp;" "&amp;Migrationsartikel!P2</f>
        <v>Baguette della regione 250g</v>
      </c>
      <c r="O4" t="str">
        <f>Migrationsartikel!F2</f>
        <v>Baguette</v>
      </c>
      <c r="P4" t="str">
        <f>Migrationsartikel!J2</f>
        <v xml:space="preserve">Baguette </v>
      </c>
      <c r="Q4" t="str">
        <f>Migrationsartikel!N2</f>
        <v>Baguette</v>
      </c>
      <c r="R4" t="str">
        <f>Migrationsartikel!G2</f>
        <v>aus der Region</v>
      </c>
      <c r="S4" t="str">
        <f>Migrationsartikel!K2</f>
        <v>de la région</v>
      </c>
      <c r="T4" t="str">
        <f>Migrationsartikel!O2</f>
        <v>della regione</v>
      </c>
      <c r="U4" s="31" t="str">
        <f>Migrationsartikel!H2</f>
        <v>250g</v>
      </c>
      <c r="V4" t="str">
        <f>Migrationsartikel!L2</f>
        <v>250g</v>
      </c>
      <c r="W4" t="str">
        <f>Migrationsartikel!P2</f>
        <v>250g</v>
      </c>
      <c r="X4" t="str">
        <f>Migrationsartikel!I2</f>
        <v>Baguette 250g</v>
      </c>
      <c r="Y4" t="str">
        <f>Migrationsartikel!M2</f>
        <v>Baguette 250g</v>
      </c>
      <c r="Z4" t="str">
        <f>Migrationsartikel!Q2</f>
        <v>Baguette 250g</v>
      </c>
      <c r="AA4" s="45">
        <f>Migrationsartikel!R2</f>
        <v>0.25</v>
      </c>
      <c r="AB4" s="46" t="str">
        <f>Migrationsartikel!T2</f>
        <v>Gramm</v>
      </c>
      <c r="AC4">
        <f>Migrationsartikel!S2</f>
        <v>100</v>
      </c>
      <c r="AD4" t="str">
        <f>Migrationsartikel!U2</f>
        <v>(PCE) Stück</v>
      </c>
      <c r="AE4" s="31" t="s">
        <v>179</v>
      </c>
      <c r="AF4" s="31" t="s">
        <v>192</v>
      </c>
      <c r="AG4" t="str">
        <f>IF(Migrationsartikel!AB2="ja","true",FALSE)</f>
        <v>true</v>
      </c>
      <c r="AH4" t="str">
        <f>IF(Migrationsartikel!AC2="ja","true",FALSE)</f>
        <v>true</v>
      </c>
      <c r="AI4" t="str">
        <f>IF(Migrationsartikel!AD2="ja","true",FALSE)</f>
        <v>true</v>
      </c>
      <c r="AJ4" t="str">
        <f>IF(Migrationsartikel!AE2="ja","true",FALSE)</f>
        <v>true</v>
      </c>
      <c r="AK4" t="str">
        <f>IF(Migrationsartikel!AF2="ja","Denner Partner","")</f>
        <v/>
      </c>
      <c r="AL4" t="str">
        <f>IF(Migrationsartikel!AG2="ja","true","false")</f>
        <v>false</v>
      </c>
      <c r="AM4" t="str">
        <f t="shared" ref="AM4:AM67" si="0">IF(J4&lt;&gt;"","PLU","Kassentastenbelegung (ohne GTIN/PLU)")</f>
        <v>PLU</v>
      </c>
      <c r="AN4" s="31" t="s">
        <v>219</v>
      </c>
      <c r="AO4" s="31" t="s">
        <v>217</v>
      </c>
    </row>
    <row r="5" spans="1:41" ht="21.75" customHeight="1" x14ac:dyDescent="0.45">
      <c r="B5" t="s">
        <v>99</v>
      </c>
      <c r="E5" s="31" t="s">
        <v>1415</v>
      </c>
      <c r="F5" t="str">
        <f>"Warengruppe&gt;&gt;"&amp;Migrationsartikel!V3&amp;"&gt;&gt;"&amp;Migrationsartikel!W3&amp;"&gt;&gt;"&amp;Migrationsartikel!X3</f>
        <v>Warengruppe&gt;&gt;Backwaren &amp; Convenience&gt;&gt;Brot und Backwaren&gt;&gt;Backwaren andere</v>
      </c>
      <c r="H5" s="31" t="s">
        <v>109</v>
      </c>
      <c r="I5" s="31" t="s">
        <v>121</v>
      </c>
      <c r="J5" s="43">
        <f>Migrationsartikel!B3</f>
        <v>701</v>
      </c>
      <c r="L5" t="str">
        <f>Migrationsartikel!F3&amp;" "&amp;Migrationsartikel!G3&amp;" "&amp;Migrationsartikel!H3</f>
        <v>Baslerbrot aus der Region 250g</v>
      </c>
      <c r="M5" t="str">
        <f>Migrationsartikel!J3&amp;" "&amp;Migrationsartikel!K3&amp;" "&amp;Migrationsartikel!L3</f>
        <v>Pain bâlois  de la région 250g</v>
      </c>
      <c r="N5" t="str">
        <f>Migrationsartikel!N3&amp;" "&amp;Migrationsartikel!O3&amp;" "&amp;Migrationsartikel!P3</f>
        <v>Pane di Basilea  della regione 250g</v>
      </c>
      <c r="O5" t="str">
        <f>Migrationsartikel!F3</f>
        <v>Baslerbrot</v>
      </c>
      <c r="P5" t="str">
        <f>Migrationsartikel!J3</f>
        <v xml:space="preserve">Pain bâlois </v>
      </c>
      <c r="Q5" t="str">
        <f>Migrationsartikel!N3</f>
        <v xml:space="preserve">Pane di Basilea </v>
      </c>
      <c r="R5" t="str">
        <f>Migrationsartikel!G3</f>
        <v>aus der Region</v>
      </c>
      <c r="S5" t="str">
        <f>Migrationsartikel!K3</f>
        <v>de la région</v>
      </c>
      <c r="T5" t="str">
        <f>Migrationsartikel!O3</f>
        <v>della regione</v>
      </c>
      <c r="U5" s="31" t="str">
        <f>Migrationsartikel!H3</f>
        <v>250g</v>
      </c>
      <c r="V5" s="31" t="str">
        <f>Migrationsartikel!L3</f>
        <v>250g</v>
      </c>
      <c r="W5" s="31" t="str">
        <f>Migrationsartikel!P3</f>
        <v>250g</v>
      </c>
      <c r="X5" t="str">
        <f>Migrationsartikel!I3</f>
        <v>Baslerbrot 250g</v>
      </c>
      <c r="Y5" t="str">
        <f>Migrationsartikel!M3</f>
        <v>Pain bâlois 250g</v>
      </c>
      <c r="Z5" t="str">
        <f>Migrationsartikel!Q3</f>
        <v>Pane di Basilea 250g</v>
      </c>
      <c r="AA5" s="45">
        <f>Migrationsartikel!R3</f>
        <v>0.25</v>
      </c>
      <c r="AB5" s="46" t="str">
        <f>Migrationsartikel!T3</f>
        <v>Gramm</v>
      </c>
      <c r="AC5">
        <f>Migrationsartikel!S3</f>
        <v>100</v>
      </c>
      <c r="AD5" t="str">
        <f>Migrationsartikel!U3</f>
        <v>(PCE) Stück</v>
      </c>
      <c r="AE5" s="31" t="s">
        <v>179</v>
      </c>
      <c r="AF5" s="31" t="s">
        <v>192</v>
      </c>
      <c r="AG5" t="str">
        <f>IF(Migrationsartikel!AB3="ja","true",FALSE)</f>
        <v>true</v>
      </c>
      <c r="AH5" t="str">
        <f>IF(Migrationsartikel!AC3="ja","true",FALSE)</f>
        <v>true</v>
      </c>
      <c r="AI5" t="str">
        <f>IF(Migrationsartikel!AD3="ja","true",FALSE)</f>
        <v>true</v>
      </c>
      <c r="AJ5" t="str">
        <f>IF(Migrationsartikel!AE3="ja","true",FALSE)</f>
        <v>true</v>
      </c>
      <c r="AK5" t="str">
        <f>IF(Migrationsartikel!AF3="ja","Denner Partner","")</f>
        <v/>
      </c>
      <c r="AL5" t="str">
        <f>IF(Migrationsartikel!AG3="ja","true","false")</f>
        <v>false</v>
      </c>
      <c r="AM5" t="str">
        <f t="shared" si="0"/>
        <v>PLU</v>
      </c>
      <c r="AN5" s="31" t="s">
        <v>219</v>
      </c>
      <c r="AO5" s="31" t="s">
        <v>217</v>
      </c>
    </row>
    <row r="6" spans="1:41" ht="21.75" customHeight="1" x14ac:dyDescent="0.45">
      <c r="B6" t="s">
        <v>99</v>
      </c>
      <c r="E6" s="31" t="s">
        <v>1416</v>
      </c>
      <c r="F6" t="str">
        <f>"Warengruppe&gt;&gt;"&amp;Migrationsartikel!V4&amp;"&gt;&gt;"&amp;Migrationsartikel!W4&amp;"&gt;&gt;"&amp;Migrationsartikel!X4</f>
        <v>Warengruppe&gt;&gt;Backwaren &amp; Convenience&gt;&gt;Brot und Backwaren&gt;&gt;Backwaren andere</v>
      </c>
      <c r="H6" s="31" t="s">
        <v>109</v>
      </c>
      <c r="I6" s="31" t="s">
        <v>121</v>
      </c>
      <c r="J6" s="43">
        <f>Migrationsartikel!B4</f>
        <v>702</v>
      </c>
      <c r="L6" t="str">
        <f>Migrationsartikel!F4&amp;" "&amp;Migrationsartikel!G4&amp;" "&amp;Migrationsartikel!H4</f>
        <v>Baslerbrot aus der Region 500g</v>
      </c>
      <c r="M6" t="str">
        <f>Migrationsartikel!J4&amp;" "&amp;Migrationsartikel!K4&amp;" "&amp;Migrationsartikel!L4</f>
        <v>Pain bâlois  de la région 500g</v>
      </c>
      <c r="N6" t="str">
        <f>Migrationsartikel!N4&amp;" "&amp;Migrationsartikel!O4&amp;" "&amp;Migrationsartikel!P4</f>
        <v>Pane di Basilea  della regione 500g</v>
      </c>
      <c r="O6" t="str">
        <f>Migrationsartikel!F4</f>
        <v>Baslerbrot</v>
      </c>
      <c r="P6" t="str">
        <f>Migrationsartikel!J4</f>
        <v xml:space="preserve">Pain bâlois </v>
      </c>
      <c r="Q6" t="str">
        <f>Migrationsartikel!N4</f>
        <v xml:space="preserve">Pane di Basilea </v>
      </c>
      <c r="R6" t="str">
        <f>Migrationsartikel!G4</f>
        <v>aus der Region</v>
      </c>
      <c r="S6" t="str">
        <f>Migrationsartikel!K4</f>
        <v>de la région</v>
      </c>
      <c r="T6" t="str">
        <f>Migrationsartikel!O4</f>
        <v>della regione</v>
      </c>
      <c r="U6" s="31" t="str">
        <f>Migrationsartikel!H4</f>
        <v>500g</v>
      </c>
      <c r="V6" s="31" t="str">
        <f>Migrationsartikel!L4</f>
        <v>500g</v>
      </c>
      <c r="W6" s="31" t="str">
        <f>Migrationsartikel!P4</f>
        <v>500g</v>
      </c>
      <c r="X6" t="str">
        <f>Migrationsartikel!I4</f>
        <v>Baslerbrot 500g</v>
      </c>
      <c r="Y6" t="str">
        <f>Migrationsartikel!M4</f>
        <v>Pain bâlois 500g</v>
      </c>
      <c r="Z6" t="str">
        <f>Migrationsartikel!Q4</f>
        <v>Pane di Basilea 500g</v>
      </c>
      <c r="AA6" s="45">
        <f>Migrationsartikel!R4</f>
        <v>0.5</v>
      </c>
      <c r="AB6" s="46" t="str">
        <f>Migrationsartikel!T4</f>
        <v>Gramm</v>
      </c>
      <c r="AC6">
        <f>Migrationsartikel!S4</f>
        <v>100</v>
      </c>
      <c r="AD6" t="str">
        <f>Migrationsartikel!U4</f>
        <v>(PCE) Stück</v>
      </c>
      <c r="AE6" s="31" t="s">
        <v>179</v>
      </c>
      <c r="AF6" s="31" t="s">
        <v>192</v>
      </c>
      <c r="AG6" t="str">
        <f>IF(Migrationsartikel!AB4="ja","true",FALSE)</f>
        <v>true</v>
      </c>
      <c r="AH6" t="str">
        <f>IF(Migrationsartikel!AC4="ja","true",FALSE)</f>
        <v>true</v>
      </c>
      <c r="AI6" t="str">
        <f>IF(Migrationsartikel!AD4="ja","true",FALSE)</f>
        <v>true</v>
      </c>
      <c r="AJ6" t="str">
        <f>IF(Migrationsartikel!AE4="ja","true",FALSE)</f>
        <v>true</v>
      </c>
      <c r="AK6" t="str">
        <f>IF(Migrationsartikel!AF4="ja","Denner Partner","")</f>
        <v/>
      </c>
      <c r="AL6" t="str">
        <f>IF(Migrationsartikel!AG4="ja","true","false")</f>
        <v>false</v>
      </c>
      <c r="AM6" t="str">
        <f t="shared" si="0"/>
        <v>PLU</v>
      </c>
      <c r="AN6" s="31" t="s">
        <v>219</v>
      </c>
      <c r="AO6" s="31" t="s">
        <v>217</v>
      </c>
    </row>
    <row r="7" spans="1:41" ht="21.75" customHeight="1" x14ac:dyDescent="0.45">
      <c r="B7" t="s">
        <v>99</v>
      </c>
      <c r="E7" s="31" t="s">
        <v>1417</v>
      </c>
      <c r="F7" t="str">
        <f>"Warengruppe&gt;&gt;"&amp;Migrationsartikel!V5&amp;"&gt;&gt;"&amp;Migrationsartikel!W5&amp;"&gt;&gt;"&amp;Migrationsartikel!X5</f>
        <v>Warengruppe&gt;&gt;Backwaren &amp; Convenience&gt;&gt;Brot und Backwaren&gt;&gt;Backwaren andere</v>
      </c>
      <c r="H7" s="31" t="s">
        <v>109</v>
      </c>
      <c r="I7" s="31" t="s">
        <v>121</v>
      </c>
      <c r="J7" s="43">
        <f>Migrationsartikel!B5</f>
        <v>703</v>
      </c>
      <c r="L7" t="str">
        <f>Migrationsartikel!F5&amp;" "&amp;Migrationsartikel!G5&amp;" "&amp;Migrationsartikel!H5</f>
        <v>Berliner aus der Region 1Stk</v>
      </c>
      <c r="M7" t="str">
        <f>Migrationsartikel!J5&amp;" "&amp;Migrationsartikel!K5&amp;" "&amp;Migrationsartikel!L5</f>
        <v>Boule de Berlin  de la région 1pce</v>
      </c>
      <c r="N7" t="str">
        <f>Migrationsartikel!N5&amp;" "&amp;Migrationsartikel!O5&amp;" "&amp;Migrationsartikel!P5</f>
        <v>Berliner della regione 1pz</v>
      </c>
      <c r="O7" t="str">
        <f>Migrationsartikel!F5</f>
        <v>Berliner</v>
      </c>
      <c r="P7" t="str">
        <f>Migrationsartikel!J5</f>
        <v xml:space="preserve">Boule de Berlin </v>
      </c>
      <c r="Q7" t="str">
        <f>Migrationsartikel!N5</f>
        <v>Berliner</v>
      </c>
      <c r="R7" t="str">
        <f>Migrationsartikel!G5</f>
        <v>aus der Region</v>
      </c>
      <c r="S7" t="str">
        <f>Migrationsartikel!K5</f>
        <v>de la région</v>
      </c>
      <c r="T7" t="str">
        <f>Migrationsartikel!O5</f>
        <v>della regione</v>
      </c>
      <c r="U7" s="31" t="str">
        <f>Migrationsartikel!H5</f>
        <v>1Stk</v>
      </c>
      <c r="V7" s="31" t="str">
        <f>Migrationsartikel!L5</f>
        <v>1pce</v>
      </c>
      <c r="W7" s="31" t="str">
        <f>Migrationsartikel!P5</f>
        <v>1pz</v>
      </c>
      <c r="X7" t="str">
        <f>Migrationsartikel!I5</f>
        <v>Berliner</v>
      </c>
      <c r="Y7" t="str">
        <f>Migrationsartikel!M5</f>
        <v xml:space="preserve">Boule de Berlin </v>
      </c>
      <c r="Z7" t="str">
        <f>Migrationsartikel!Q5</f>
        <v>Berliner</v>
      </c>
      <c r="AA7" s="45">
        <f>Migrationsartikel!R5</f>
        <v>1</v>
      </c>
      <c r="AB7" s="46" t="str">
        <f>Migrationsartikel!T5</f>
        <v>Stück</v>
      </c>
      <c r="AC7">
        <f>Migrationsartikel!S5</f>
        <v>1</v>
      </c>
      <c r="AD7" t="str">
        <f>Migrationsartikel!U5</f>
        <v>(PCE) Stück</v>
      </c>
      <c r="AE7" s="31" t="s">
        <v>179</v>
      </c>
      <c r="AF7" s="31" t="s">
        <v>192</v>
      </c>
      <c r="AG7" t="str">
        <f>IF(Migrationsartikel!AB5="ja","true",FALSE)</f>
        <v>true</v>
      </c>
      <c r="AH7" t="str">
        <f>IF(Migrationsartikel!AC5="ja","true",FALSE)</f>
        <v>true</v>
      </c>
      <c r="AI7" t="str">
        <f>IF(Migrationsartikel!AD5="ja","true",FALSE)</f>
        <v>true</v>
      </c>
      <c r="AJ7" t="str">
        <f>IF(Migrationsartikel!AE5="ja","true",FALSE)</f>
        <v>true</v>
      </c>
      <c r="AK7" t="str">
        <f>IF(Migrationsartikel!AF5="ja","Denner Partner","")</f>
        <v/>
      </c>
      <c r="AL7" t="str">
        <f>IF(Migrationsartikel!AG5="ja","true","false")</f>
        <v>false</v>
      </c>
      <c r="AM7" t="str">
        <f t="shared" si="0"/>
        <v>PLU</v>
      </c>
      <c r="AN7" s="31" t="s">
        <v>219</v>
      </c>
      <c r="AO7" s="31" t="s">
        <v>217</v>
      </c>
    </row>
    <row r="8" spans="1:41" ht="21.75" customHeight="1" x14ac:dyDescent="0.45">
      <c r="B8" t="s">
        <v>99</v>
      </c>
      <c r="E8" s="31" t="s">
        <v>1418</v>
      </c>
      <c r="F8" t="str">
        <f>"Warengruppe&gt;&gt;"&amp;Migrationsartikel!V6&amp;"&gt;&gt;"&amp;Migrationsartikel!W6&amp;"&gt;&gt;"&amp;Migrationsartikel!X6</f>
        <v>Warengruppe&gt;&gt;Backwaren &amp; Convenience&gt;&gt;Brot und Backwaren&gt;&gt;Backwaren andere</v>
      </c>
      <c r="H8" s="31" t="s">
        <v>109</v>
      </c>
      <c r="I8" s="31" t="s">
        <v>121</v>
      </c>
      <c r="J8" s="43">
        <f>Migrationsartikel!B6</f>
        <v>704</v>
      </c>
      <c r="L8" t="str">
        <f>Migrationsartikel!F6&amp;" "&amp;Migrationsartikel!G6&amp;" "&amp;Migrationsartikel!H6</f>
        <v>Birewegge aus der Region 1Stk</v>
      </c>
      <c r="M8" t="str">
        <f>Migrationsartikel!J6&amp;" "&amp;Migrationsartikel!K6&amp;" "&amp;Migrationsartikel!L6</f>
        <v>Birewegge de la région 1pce</v>
      </c>
      <c r="N8" t="str">
        <f>Migrationsartikel!N6&amp;" "&amp;Migrationsartikel!O6&amp;" "&amp;Migrationsartikel!P6</f>
        <v>Birewegge della regione 1pz</v>
      </c>
      <c r="O8" t="str">
        <f>Migrationsartikel!F6</f>
        <v>Birewegge</v>
      </c>
      <c r="P8" t="str">
        <f>Migrationsartikel!J6</f>
        <v>Birewegge</v>
      </c>
      <c r="Q8" t="str">
        <f>Migrationsartikel!N6</f>
        <v>Birewegge</v>
      </c>
      <c r="R8" t="str">
        <f>Migrationsartikel!G6</f>
        <v>aus der Region</v>
      </c>
      <c r="S8" t="str">
        <f>Migrationsartikel!K6</f>
        <v>de la région</v>
      </c>
      <c r="T8" t="str">
        <f>Migrationsartikel!O6</f>
        <v>della regione</v>
      </c>
      <c r="U8" s="31" t="str">
        <f>Migrationsartikel!H6</f>
        <v>1Stk</v>
      </c>
      <c r="V8" s="31" t="str">
        <f>Migrationsartikel!L6</f>
        <v>1pce</v>
      </c>
      <c r="W8" s="31" t="str">
        <f>Migrationsartikel!P6</f>
        <v>1pz</v>
      </c>
      <c r="X8" t="str">
        <f>Migrationsartikel!I6</f>
        <v>Birewegge</v>
      </c>
      <c r="Y8" t="str">
        <f>Migrationsartikel!M6</f>
        <v>Birewegge</v>
      </c>
      <c r="Z8" t="str">
        <f>Migrationsartikel!Q6</f>
        <v>Birewegge</v>
      </c>
      <c r="AA8" s="45">
        <f>Migrationsartikel!R6</f>
        <v>1</v>
      </c>
      <c r="AB8" s="46" t="str">
        <f>Migrationsartikel!T6</f>
        <v>Stück</v>
      </c>
      <c r="AC8">
        <f>Migrationsartikel!S6</f>
        <v>1</v>
      </c>
      <c r="AD8" t="str">
        <f>Migrationsartikel!U6</f>
        <v>(PCE) Stück</v>
      </c>
      <c r="AE8" s="31" t="s">
        <v>179</v>
      </c>
      <c r="AF8" s="31" t="s">
        <v>192</v>
      </c>
      <c r="AG8" t="str">
        <f>IF(Migrationsartikel!AB6="ja","true",FALSE)</f>
        <v>true</v>
      </c>
      <c r="AH8" t="str">
        <f>IF(Migrationsartikel!AC6="ja","true",FALSE)</f>
        <v>true</v>
      </c>
      <c r="AI8" t="str">
        <f>IF(Migrationsartikel!AD6="ja","true",FALSE)</f>
        <v>true</v>
      </c>
      <c r="AJ8" t="str">
        <f>IF(Migrationsartikel!AE6="ja","true",FALSE)</f>
        <v>true</v>
      </c>
      <c r="AK8" t="str">
        <f>IF(Migrationsartikel!AF6="ja","Denner Partner","")</f>
        <v/>
      </c>
      <c r="AL8" t="str">
        <f>IF(Migrationsartikel!AG6="ja","true","false")</f>
        <v>false</v>
      </c>
      <c r="AM8" t="str">
        <f t="shared" si="0"/>
        <v>PLU</v>
      </c>
      <c r="AN8" s="31" t="s">
        <v>219</v>
      </c>
      <c r="AO8" s="31" t="s">
        <v>217</v>
      </c>
    </row>
    <row r="9" spans="1:41" ht="21.75" customHeight="1" x14ac:dyDescent="0.45">
      <c r="B9" t="s">
        <v>99</v>
      </c>
      <c r="E9" s="31" t="s">
        <v>1419</v>
      </c>
      <c r="F9" t="str">
        <f>"Warengruppe&gt;&gt;"&amp;Migrationsartikel!V7&amp;"&gt;&gt;"&amp;Migrationsartikel!W7&amp;"&gt;&gt;"&amp;Migrationsartikel!X7</f>
        <v>Warengruppe&gt;&gt;Backwaren &amp; Convenience&gt;&gt;Brot und Backwaren&gt;&gt;Backwaren andere</v>
      </c>
      <c r="H9" s="31" t="s">
        <v>109</v>
      </c>
      <c r="I9" s="31" t="s">
        <v>121</v>
      </c>
      <c r="J9" s="43">
        <f>Migrationsartikel!B7</f>
        <v>705</v>
      </c>
      <c r="L9" t="str">
        <f>Migrationsartikel!F7&amp;" "&amp;Migrationsartikel!G7&amp;" "&amp;Migrationsartikel!H7</f>
        <v>Bricelets aus der Region 1Stk</v>
      </c>
      <c r="M9" t="str">
        <f>Migrationsartikel!J7&amp;" "&amp;Migrationsartikel!K7&amp;" "&amp;Migrationsartikel!L7</f>
        <v>Bricelets  de la région 1pce</v>
      </c>
      <c r="N9" t="str">
        <f>Migrationsartikel!N7&amp;" "&amp;Migrationsartikel!O7&amp;" "&amp;Migrationsartikel!P7</f>
        <v>Bricelets  della regione 1pz</v>
      </c>
      <c r="O9" t="str">
        <f>Migrationsartikel!F7</f>
        <v>Bricelets</v>
      </c>
      <c r="P9" t="str">
        <f>Migrationsartikel!J7</f>
        <v xml:space="preserve">Bricelets </v>
      </c>
      <c r="Q9" t="str">
        <f>Migrationsartikel!N7</f>
        <v xml:space="preserve">Bricelets </v>
      </c>
      <c r="R9" t="str">
        <f>Migrationsartikel!G7</f>
        <v>aus der Region</v>
      </c>
      <c r="S9" t="str">
        <f>Migrationsartikel!K7</f>
        <v>de la région</v>
      </c>
      <c r="T9" t="str">
        <f>Migrationsartikel!O7</f>
        <v>della regione</v>
      </c>
      <c r="U9" s="31" t="str">
        <f>Migrationsartikel!H7</f>
        <v>1Stk</v>
      </c>
      <c r="V9" s="31" t="str">
        <f>Migrationsartikel!L7</f>
        <v>1pce</v>
      </c>
      <c r="W9" s="31" t="str">
        <f>Migrationsartikel!P7</f>
        <v>1pz</v>
      </c>
      <c r="X9" t="str">
        <f>Migrationsartikel!I7</f>
        <v>Bricelets</v>
      </c>
      <c r="Y9" t="str">
        <f>Migrationsartikel!M7</f>
        <v xml:space="preserve">Bricelets </v>
      </c>
      <c r="Z9" t="str">
        <f>Migrationsartikel!Q7</f>
        <v xml:space="preserve">Bricelets </v>
      </c>
      <c r="AA9" s="45">
        <f>Migrationsartikel!R7</f>
        <v>1</v>
      </c>
      <c r="AB9" s="46" t="str">
        <f>Migrationsartikel!T7</f>
        <v>Stück</v>
      </c>
      <c r="AC9">
        <f>Migrationsartikel!S7</f>
        <v>1</v>
      </c>
      <c r="AD9" t="str">
        <f>Migrationsartikel!U7</f>
        <v>(PCE) Stück</v>
      </c>
      <c r="AE9" s="31" t="s">
        <v>179</v>
      </c>
      <c r="AF9" s="31" t="s">
        <v>192</v>
      </c>
      <c r="AG9" t="str">
        <f>IF(Migrationsartikel!AB7="ja","true",FALSE)</f>
        <v>true</v>
      </c>
      <c r="AH9" t="str">
        <f>IF(Migrationsartikel!AC7="ja","true",FALSE)</f>
        <v>true</v>
      </c>
      <c r="AI9" t="str">
        <f>IF(Migrationsartikel!AD7="ja","true",FALSE)</f>
        <v>true</v>
      </c>
      <c r="AJ9" t="str">
        <f>IF(Migrationsartikel!AE7="ja","true",FALSE)</f>
        <v>true</v>
      </c>
      <c r="AK9" t="str">
        <f>IF(Migrationsartikel!AF7="ja","Denner Partner","")</f>
        <v/>
      </c>
      <c r="AL9" t="str">
        <f>IF(Migrationsartikel!AG7="ja","true","false")</f>
        <v>false</v>
      </c>
      <c r="AM9" t="str">
        <f t="shared" si="0"/>
        <v>PLU</v>
      </c>
      <c r="AN9" s="31" t="s">
        <v>219</v>
      </c>
      <c r="AO9" s="31" t="s">
        <v>217</v>
      </c>
    </row>
    <row r="10" spans="1:41" ht="21.75" customHeight="1" x14ac:dyDescent="0.45">
      <c r="B10" t="s">
        <v>99</v>
      </c>
      <c r="E10" s="31" t="s">
        <v>1420</v>
      </c>
      <c r="F10" t="str">
        <f>"Warengruppe&gt;&gt;"&amp;Migrationsartikel!V8&amp;"&gt;&gt;"&amp;Migrationsartikel!W8&amp;"&gt;&gt;"&amp;Migrationsartikel!X8</f>
        <v>Warengruppe&gt;&gt;Backwaren &amp; Convenience&gt;&gt;Brot und Backwaren&gt;&gt;Backwaren andere</v>
      </c>
      <c r="H10" s="31" t="s">
        <v>109</v>
      </c>
      <c r="I10" s="31" t="s">
        <v>121</v>
      </c>
      <c r="J10" s="43">
        <f>Migrationsartikel!B8</f>
        <v>706</v>
      </c>
      <c r="L10" t="str">
        <f>Migrationsartikel!F8&amp;" "&amp;Migrationsartikel!G8&amp;" "&amp;Migrationsartikel!H8</f>
        <v>Brioche mit Füllung aus der Region 1Stk</v>
      </c>
      <c r="M10" t="str">
        <f>Migrationsartikel!J8&amp;" "&amp;Migrationsartikel!K8&amp;" "&amp;Migrationsartikel!L8</f>
        <v>Brioche fourée  de la région 1pce</v>
      </c>
      <c r="N10" t="str">
        <f>Migrationsartikel!N8&amp;" "&amp;Migrationsartikel!O8&amp;" "&amp;Migrationsartikel!P8</f>
        <v>Brioche ripiena della regione 1pz</v>
      </c>
      <c r="O10" t="str">
        <f>Migrationsartikel!F8</f>
        <v>Brioche mit Füllung</v>
      </c>
      <c r="P10" t="str">
        <f>Migrationsartikel!J8</f>
        <v xml:space="preserve">Brioche fourée </v>
      </c>
      <c r="Q10" t="str">
        <f>Migrationsartikel!N8</f>
        <v>Brioche ripiena</v>
      </c>
      <c r="R10" t="str">
        <f>Migrationsartikel!G8</f>
        <v>aus der Region</v>
      </c>
      <c r="S10" t="str">
        <f>Migrationsartikel!K8</f>
        <v>de la région</v>
      </c>
      <c r="T10" t="str">
        <f>Migrationsartikel!O8</f>
        <v>della regione</v>
      </c>
      <c r="U10" s="31" t="str">
        <f>Migrationsartikel!H8</f>
        <v>1Stk</v>
      </c>
      <c r="V10" s="31" t="str">
        <f>Migrationsartikel!L8</f>
        <v>1pce</v>
      </c>
      <c r="W10" s="31" t="str">
        <f>Migrationsartikel!P8</f>
        <v>1pz</v>
      </c>
      <c r="X10" t="str">
        <f>Migrationsartikel!I8</f>
        <v>Brioche mit Füllung</v>
      </c>
      <c r="Y10" t="str">
        <f>Migrationsartikel!M8</f>
        <v xml:space="preserve">Brioche fourée </v>
      </c>
      <c r="Z10" t="str">
        <f>Migrationsartikel!Q8</f>
        <v>Brioche ripiena</v>
      </c>
      <c r="AA10" s="45">
        <f>Migrationsartikel!R8</f>
        <v>1</v>
      </c>
      <c r="AB10" s="46" t="str">
        <f>Migrationsartikel!T8</f>
        <v>Stück</v>
      </c>
      <c r="AC10">
        <f>Migrationsartikel!S8</f>
        <v>1</v>
      </c>
      <c r="AD10" t="str">
        <f>Migrationsartikel!U8</f>
        <v>(PCE) Stück</v>
      </c>
      <c r="AE10" s="31" t="s">
        <v>179</v>
      </c>
      <c r="AF10" s="31" t="s">
        <v>192</v>
      </c>
      <c r="AG10" t="str">
        <f>IF(Migrationsartikel!AB8="ja","true",FALSE)</f>
        <v>true</v>
      </c>
      <c r="AH10" t="str">
        <f>IF(Migrationsartikel!AC8="ja","true",FALSE)</f>
        <v>true</v>
      </c>
      <c r="AI10" t="str">
        <f>IF(Migrationsartikel!AD8="ja","true",FALSE)</f>
        <v>true</v>
      </c>
      <c r="AJ10" t="str">
        <f>IF(Migrationsartikel!AE8="ja","true",FALSE)</f>
        <v>true</v>
      </c>
      <c r="AK10" t="str">
        <f>IF(Migrationsartikel!AF8="ja","Denner Partner","")</f>
        <v/>
      </c>
      <c r="AL10" t="str">
        <f>IF(Migrationsartikel!AG8="ja","true","false")</f>
        <v>false</v>
      </c>
      <c r="AM10" t="str">
        <f t="shared" si="0"/>
        <v>PLU</v>
      </c>
      <c r="AN10" s="31" t="s">
        <v>219</v>
      </c>
      <c r="AO10" s="31" t="s">
        <v>217</v>
      </c>
    </row>
    <row r="11" spans="1:41" ht="21.75" customHeight="1" x14ac:dyDescent="0.45">
      <c r="B11" t="s">
        <v>99</v>
      </c>
      <c r="E11" s="31" t="s">
        <v>1421</v>
      </c>
      <c r="F11" t="str">
        <f>"Warengruppe&gt;&gt;"&amp;Migrationsartikel!V9&amp;"&gt;&gt;"&amp;Migrationsartikel!W9&amp;"&gt;&gt;"&amp;Migrationsartikel!X9</f>
        <v>Warengruppe&gt;&gt;Backwaren &amp; Convenience&gt;&gt;Brot und Backwaren&gt;&gt;Backwaren andere</v>
      </c>
      <c r="H11" s="31" t="s">
        <v>109</v>
      </c>
      <c r="I11" s="31" t="s">
        <v>121</v>
      </c>
      <c r="J11" s="43">
        <f>Migrationsartikel!B9</f>
        <v>707</v>
      </c>
      <c r="L11" t="str">
        <f>Migrationsartikel!F9&amp;" "&amp;Migrationsartikel!G9&amp;" "&amp;Migrationsartikel!H9</f>
        <v>Brot vom Beck aus der Region 1Stk</v>
      </c>
      <c r="M11" t="str">
        <f>Migrationsartikel!J9&amp;" "&amp;Migrationsartikel!K9&amp;" "&amp;Migrationsartikel!L9</f>
        <v>Pain du boulanger de la région 1pce</v>
      </c>
      <c r="N11" t="str">
        <f>Migrationsartikel!N9&amp;" "&amp;Migrationsartikel!O9&amp;" "&amp;Migrationsartikel!P9</f>
        <v>Pane del panettiere della regione 1pz</v>
      </c>
      <c r="O11" t="str">
        <f>Migrationsartikel!F9</f>
        <v>Brot vom Beck</v>
      </c>
      <c r="P11" t="str">
        <f>Migrationsartikel!J9</f>
        <v>Pain du boulanger</v>
      </c>
      <c r="Q11" t="str">
        <f>Migrationsartikel!N9</f>
        <v>Pane del panettiere</v>
      </c>
      <c r="R11" t="str">
        <f>Migrationsartikel!G9</f>
        <v>aus der Region</v>
      </c>
      <c r="S11" t="str">
        <f>Migrationsartikel!K9</f>
        <v>de la région</v>
      </c>
      <c r="T11" t="str">
        <f>Migrationsartikel!O9</f>
        <v>della regione</v>
      </c>
      <c r="U11" s="31" t="str">
        <f>Migrationsartikel!H9</f>
        <v>1Stk</v>
      </c>
      <c r="V11" s="31" t="str">
        <f>Migrationsartikel!L9</f>
        <v>1pce</v>
      </c>
      <c r="W11" s="31" t="str">
        <f>Migrationsartikel!P9</f>
        <v>1pz</v>
      </c>
      <c r="X11" t="str">
        <f>Migrationsartikel!I9</f>
        <v>Brot vom Beck</v>
      </c>
      <c r="Y11" t="str">
        <f>Migrationsartikel!M9</f>
        <v>Pain du boulanger</v>
      </c>
      <c r="Z11" t="str">
        <f>Migrationsartikel!Q9</f>
        <v>Pane del panettiere</v>
      </c>
      <c r="AA11" s="45">
        <f>Migrationsartikel!R9</f>
        <v>1</v>
      </c>
      <c r="AB11" s="46" t="str">
        <f>Migrationsartikel!T9</f>
        <v>Stück</v>
      </c>
      <c r="AC11">
        <f>Migrationsartikel!S9</f>
        <v>1</v>
      </c>
      <c r="AD11" t="str">
        <f>Migrationsartikel!U9</f>
        <v>(PCE) Stück</v>
      </c>
      <c r="AE11" s="31" t="s">
        <v>179</v>
      </c>
      <c r="AF11" s="31" t="s">
        <v>192</v>
      </c>
      <c r="AG11" t="str">
        <f>IF(Migrationsartikel!AB9="ja","true",FALSE)</f>
        <v>true</v>
      </c>
      <c r="AH11" t="str">
        <f>IF(Migrationsartikel!AC9="ja","true",FALSE)</f>
        <v>true</v>
      </c>
      <c r="AI11" t="str">
        <f>IF(Migrationsartikel!AD9="ja","true",FALSE)</f>
        <v>true</v>
      </c>
      <c r="AJ11" t="str">
        <f>IF(Migrationsartikel!AE9="ja","true",FALSE)</f>
        <v>true</v>
      </c>
      <c r="AK11" t="str">
        <f>IF(Migrationsartikel!AF9="ja","Denner Partner","")</f>
        <v/>
      </c>
      <c r="AL11" t="str">
        <f>IF(Migrationsartikel!AG9="ja","true","false")</f>
        <v>false</v>
      </c>
      <c r="AM11" t="str">
        <f t="shared" si="0"/>
        <v>PLU</v>
      </c>
      <c r="AN11" s="31" t="s">
        <v>219</v>
      </c>
      <c r="AO11" s="31" t="s">
        <v>217</v>
      </c>
    </row>
    <row r="12" spans="1:41" ht="21.75" customHeight="1" x14ac:dyDescent="0.45">
      <c r="B12" t="s">
        <v>99</v>
      </c>
      <c r="E12" s="31" t="s">
        <v>1422</v>
      </c>
      <c r="F12" t="str">
        <f>"Warengruppe&gt;&gt;"&amp;Migrationsartikel!V10&amp;"&gt;&gt;"&amp;Migrationsartikel!W10&amp;"&gt;&gt;"&amp;Migrationsartikel!X10</f>
        <v>Warengruppe&gt;&gt;Backwaren &amp; Convenience&gt;&gt;Brot und Backwaren&gt;&gt;Backwaren andere</v>
      </c>
      <c r="H12" s="31" t="s">
        <v>109</v>
      </c>
      <c r="I12" s="31" t="s">
        <v>121</v>
      </c>
      <c r="J12" s="31">
        <f>Migrationsartikel!B10</f>
        <v>708</v>
      </c>
      <c r="L12" t="str">
        <f>Migrationsartikel!F10&amp;" "&amp;Migrationsartikel!G10&amp;" "&amp;Migrationsartikel!H10</f>
        <v>Brottheke aus der Region 1Stk</v>
      </c>
      <c r="M12" t="str">
        <f>Migrationsartikel!J10&amp;" "&amp;Migrationsartikel!K10&amp;" "&amp;Migrationsartikel!L10</f>
        <v>Comptoir à pain de la région 1pce</v>
      </c>
      <c r="N12" t="str">
        <f>Migrationsartikel!N10&amp;" "&amp;Migrationsartikel!O10&amp;" "&amp;Migrationsartikel!P10</f>
        <v>Banco pane della regione 1pz</v>
      </c>
      <c r="O12" t="str">
        <f>Migrationsartikel!F10</f>
        <v>Brottheke</v>
      </c>
      <c r="P12" t="str">
        <f>Migrationsartikel!J10</f>
        <v>Comptoir à pain</v>
      </c>
      <c r="Q12" t="str">
        <f>Migrationsartikel!N10</f>
        <v>Banco pane</v>
      </c>
      <c r="R12" t="str">
        <f>Migrationsartikel!G10</f>
        <v>aus der Region</v>
      </c>
      <c r="S12" t="str">
        <f>Migrationsartikel!K10</f>
        <v>de la région</v>
      </c>
      <c r="T12" t="str">
        <f>Migrationsartikel!O10</f>
        <v>della regione</v>
      </c>
      <c r="U12" s="31" t="str">
        <f>Migrationsartikel!H10</f>
        <v>1Stk</v>
      </c>
      <c r="V12" s="31" t="str">
        <f>Migrationsartikel!L10</f>
        <v>1pce</v>
      </c>
      <c r="W12" s="31" t="str">
        <f>Migrationsartikel!P10</f>
        <v>1pz</v>
      </c>
      <c r="X12" t="str">
        <f>Migrationsartikel!I10</f>
        <v>Brottheke</v>
      </c>
      <c r="Y12" s="31" t="str">
        <f>Migrationsartikel!M10</f>
        <v>Comptoir à pain</v>
      </c>
      <c r="Z12" t="str">
        <f>Migrationsartikel!Q10</f>
        <v>Banco pane</v>
      </c>
      <c r="AA12" s="45">
        <f>Migrationsartikel!R10</f>
        <v>1</v>
      </c>
      <c r="AB12" s="46" t="str">
        <f>Migrationsartikel!T10</f>
        <v>Stück</v>
      </c>
      <c r="AC12">
        <f>Migrationsartikel!S10</f>
        <v>1</v>
      </c>
      <c r="AD12" t="str">
        <f>Migrationsartikel!U10</f>
        <v>(PCE) Stück</v>
      </c>
      <c r="AE12" s="31" t="s">
        <v>179</v>
      </c>
      <c r="AF12" s="31" t="s">
        <v>192</v>
      </c>
      <c r="AG12" t="str">
        <f>IF(Migrationsartikel!AB10="ja","true",FALSE)</f>
        <v>true</v>
      </c>
      <c r="AH12" t="str">
        <f>IF(Migrationsartikel!AC10="ja","true",FALSE)</f>
        <v>true</v>
      </c>
      <c r="AI12" t="str">
        <f>IF(Migrationsartikel!AD10="ja","true",FALSE)</f>
        <v>true</v>
      </c>
      <c r="AJ12" t="str">
        <f>IF(Migrationsartikel!AE10="ja","true",FALSE)</f>
        <v>true</v>
      </c>
      <c r="AK12" t="str">
        <f>IF(Migrationsartikel!AF10="ja","Denner Partner","")</f>
        <v/>
      </c>
      <c r="AL12" t="str">
        <f>IF(Migrationsartikel!AG10="ja","true","false")</f>
        <v>false</v>
      </c>
      <c r="AM12" t="str">
        <f t="shared" si="0"/>
        <v>PLU</v>
      </c>
      <c r="AN12" s="31" t="s">
        <v>219</v>
      </c>
      <c r="AO12" s="31" t="s">
        <v>217</v>
      </c>
    </row>
    <row r="13" spans="1:41" ht="21.75" customHeight="1" x14ac:dyDescent="0.45">
      <c r="B13" t="s">
        <v>99</v>
      </c>
      <c r="E13" s="31" t="s">
        <v>1423</v>
      </c>
      <c r="F13" t="str">
        <f>"Warengruppe&gt;&gt;"&amp;Migrationsartikel!V11&amp;"&gt;&gt;"&amp;Migrationsartikel!W11&amp;"&gt;&gt;"&amp;Migrationsartikel!X11</f>
        <v>Warengruppe&gt;&gt;Backwaren &amp; Convenience&gt;&gt;Brot und Backwaren&gt;&gt;Backwaren andere</v>
      </c>
      <c r="H13" s="31" t="s">
        <v>109</v>
      </c>
      <c r="I13" s="31" t="s">
        <v>121</v>
      </c>
      <c r="J13" s="31">
        <f>Migrationsartikel!B11</f>
        <v>709</v>
      </c>
      <c r="L13" t="str">
        <f>Migrationsartikel!F11&amp;" "&amp;Migrationsartikel!G11&amp;" "&amp;Migrationsartikel!H11</f>
        <v>Bürli  aus der Region 1Stk</v>
      </c>
      <c r="M13" t="str">
        <f>Migrationsartikel!J11&amp;" "&amp;Migrationsartikel!K11&amp;" "&amp;Migrationsartikel!L11</f>
        <v>Bürli  de la région 1pce</v>
      </c>
      <c r="N13" t="str">
        <f>Migrationsartikel!N11&amp;" "&amp;Migrationsartikel!O11&amp;" "&amp;Migrationsartikel!P11</f>
        <v>Bürli  della regione 1pz</v>
      </c>
      <c r="O13" t="str">
        <f>Migrationsartikel!F11</f>
        <v xml:space="preserve">Bürli </v>
      </c>
      <c r="P13" t="str">
        <f>Migrationsartikel!J11</f>
        <v xml:space="preserve">Bürli </v>
      </c>
      <c r="Q13" t="str">
        <f>Migrationsartikel!N11</f>
        <v xml:space="preserve">Bürli </v>
      </c>
      <c r="R13" t="str">
        <f>Migrationsartikel!G11</f>
        <v>aus der Region</v>
      </c>
      <c r="S13" t="str">
        <f>Migrationsartikel!K11</f>
        <v>de la région</v>
      </c>
      <c r="T13" t="str">
        <f>Migrationsartikel!O11</f>
        <v>della regione</v>
      </c>
      <c r="U13" s="31" t="str">
        <f>Migrationsartikel!H11</f>
        <v>1Stk</v>
      </c>
      <c r="V13" s="31" t="str">
        <f>Migrationsartikel!L11</f>
        <v>1pce</v>
      </c>
      <c r="W13" s="31" t="str">
        <f>Migrationsartikel!P11</f>
        <v>1pz</v>
      </c>
      <c r="X13" t="str">
        <f>Migrationsartikel!I11</f>
        <v xml:space="preserve">Bürli </v>
      </c>
      <c r="Y13" t="str">
        <f>Migrationsartikel!M11</f>
        <v xml:space="preserve">Bürli </v>
      </c>
      <c r="Z13" t="str">
        <f>Migrationsartikel!Q11</f>
        <v xml:space="preserve">Bürli </v>
      </c>
      <c r="AA13" s="45">
        <f>Migrationsartikel!R11</f>
        <v>1</v>
      </c>
      <c r="AB13" s="46" t="str">
        <f>Migrationsartikel!T11</f>
        <v>Stück</v>
      </c>
      <c r="AC13">
        <f>Migrationsartikel!S11</f>
        <v>1</v>
      </c>
      <c r="AD13" t="str">
        <f>Migrationsartikel!U11</f>
        <v>(PCE) Stück</v>
      </c>
      <c r="AE13" s="31" t="s">
        <v>179</v>
      </c>
      <c r="AF13" s="31" t="s">
        <v>192</v>
      </c>
      <c r="AG13" t="str">
        <f>IF(Migrationsartikel!AB11="ja","true",FALSE)</f>
        <v>true</v>
      </c>
      <c r="AH13" t="str">
        <f>IF(Migrationsartikel!AC11="ja","true",FALSE)</f>
        <v>true</v>
      </c>
      <c r="AI13" t="str">
        <f>IF(Migrationsartikel!AD11="ja","true",FALSE)</f>
        <v>true</v>
      </c>
      <c r="AJ13" t="str">
        <f>IF(Migrationsartikel!AE11="ja","true",FALSE)</f>
        <v>true</v>
      </c>
      <c r="AK13" t="str">
        <f>IF(Migrationsartikel!AF11="ja","Denner Partner","")</f>
        <v/>
      </c>
      <c r="AL13" t="str">
        <f>IF(Migrationsartikel!AG11="ja","true","false")</f>
        <v>false</v>
      </c>
      <c r="AM13" t="str">
        <f t="shared" si="0"/>
        <v>PLU</v>
      </c>
      <c r="AN13" s="31" t="s">
        <v>219</v>
      </c>
      <c r="AO13" s="31" t="s">
        <v>217</v>
      </c>
    </row>
    <row r="14" spans="1:41" ht="21.75" customHeight="1" x14ac:dyDescent="0.45">
      <c r="B14" t="s">
        <v>99</v>
      </c>
      <c r="E14" s="31" t="s">
        <v>1424</v>
      </c>
      <c r="F14" t="str">
        <f>"Warengruppe&gt;&gt;"&amp;Migrationsartikel!V12&amp;"&gt;&gt;"&amp;Migrationsartikel!W12&amp;"&gt;&gt;"&amp;Migrationsartikel!X12</f>
        <v>Warengruppe&gt;&gt;Backwaren &amp; Convenience&gt;&gt;Brot und Backwaren&gt;&gt;Backwaren andere</v>
      </c>
      <c r="H14" s="31" t="s">
        <v>109</v>
      </c>
      <c r="I14" s="31" t="s">
        <v>121</v>
      </c>
      <c r="J14" s="31">
        <f>Migrationsartikel!B12</f>
        <v>710</v>
      </c>
      <c r="L14" t="str">
        <f>Migrationsartikel!F12&amp;" "&amp;Migrationsartikel!G12&amp;" "&amp;Migrationsartikel!H12</f>
        <v>Buttergipfel  aus der Region 1Stk</v>
      </c>
      <c r="M14" t="str">
        <f>Migrationsartikel!J12&amp;" "&amp;Migrationsartikel!K12&amp;" "&amp;Migrationsartikel!L12</f>
        <v>Croissant au beurre  de la région 1pce</v>
      </c>
      <c r="N14" t="str">
        <f>Migrationsartikel!N12&amp;" "&amp;Migrationsartikel!O12&amp;" "&amp;Migrationsartikel!P12</f>
        <v>Cornetto al burro della regione 1pz</v>
      </c>
      <c r="O14" t="str">
        <f>Migrationsartikel!F12</f>
        <v xml:space="preserve">Buttergipfel </v>
      </c>
      <c r="P14" t="str">
        <f>Migrationsartikel!J12</f>
        <v xml:space="preserve">Croissant au beurre </v>
      </c>
      <c r="Q14" t="str">
        <f>Migrationsartikel!N12</f>
        <v>Cornetto al burro</v>
      </c>
      <c r="R14" t="str">
        <f>Migrationsartikel!G12</f>
        <v>aus der Region</v>
      </c>
      <c r="S14" t="str">
        <f>Migrationsartikel!K12</f>
        <v>de la région</v>
      </c>
      <c r="T14" t="str">
        <f>Migrationsartikel!O12</f>
        <v>della regione</v>
      </c>
      <c r="U14" s="31" t="str">
        <f>Migrationsartikel!H12</f>
        <v>1Stk</v>
      </c>
      <c r="V14" s="31" t="str">
        <f>Migrationsartikel!L12</f>
        <v>1pce</v>
      </c>
      <c r="W14" s="31" t="str">
        <f>Migrationsartikel!P12</f>
        <v>1pz</v>
      </c>
      <c r="X14" t="str">
        <f>Migrationsartikel!I12</f>
        <v xml:space="preserve">Buttergipfel </v>
      </c>
      <c r="Y14" t="str">
        <f>Migrationsartikel!M12</f>
        <v xml:space="preserve">Croissant au beurre </v>
      </c>
      <c r="Z14" t="str">
        <f>Migrationsartikel!Q12</f>
        <v>Cornetto al burro</v>
      </c>
      <c r="AA14" s="45">
        <f>Migrationsartikel!R12</f>
        <v>1</v>
      </c>
      <c r="AB14" s="46" t="str">
        <f>Migrationsartikel!T12</f>
        <v>Stück</v>
      </c>
      <c r="AC14">
        <f>Migrationsartikel!S12</f>
        <v>1</v>
      </c>
      <c r="AD14" t="str">
        <f>Migrationsartikel!U12</f>
        <v>(PCE) Stück</v>
      </c>
      <c r="AE14" s="31" t="s">
        <v>179</v>
      </c>
      <c r="AF14" s="31" t="s">
        <v>192</v>
      </c>
      <c r="AG14" t="str">
        <f>IF(Migrationsartikel!AB12="ja","true",FALSE)</f>
        <v>true</v>
      </c>
      <c r="AH14" t="str">
        <f>IF(Migrationsartikel!AC12="ja","true",FALSE)</f>
        <v>true</v>
      </c>
      <c r="AI14" t="str">
        <f>IF(Migrationsartikel!AD12="ja","true",FALSE)</f>
        <v>true</v>
      </c>
      <c r="AJ14" t="str">
        <f>IF(Migrationsartikel!AE12="ja","true",FALSE)</f>
        <v>true</v>
      </c>
      <c r="AK14" t="str">
        <f>IF(Migrationsartikel!AF12="ja","Denner Partner","")</f>
        <v/>
      </c>
      <c r="AL14" t="str">
        <f>IF(Migrationsartikel!AG12="ja","true","false")</f>
        <v>false</v>
      </c>
      <c r="AM14" t="str">
        <f t="shared" si="0"/>
        <v>PLU</v>
      </c>
      <c r="AN14" s="31" t="s">
        <v>219</v>
      </c>
      <c r="AO14" s="31" t="s">
        <v>217</v>
      </c>
    </row>
    <row r="15" spans="1:41" ht="21.75" customHeight="1" x14ac:dyDescent="0.45">
      <c r="B15" t="s">
        <v>99</v>
      </c>
      <c r="E15" s="31" t="s">
        <v>1425</v>
      </c>
      <c r="F15" t="str">
        <f>"Warengruppe&gt;&gt;"&amp;Migrationsartikel!V13&amp;"&gt;&gt;"&amp;Migrationsartikel!W13&amp;"&gt;&gt;"&amp;Migrationsartikel!X13</f>
        <v>Warengruppe&gt;&gt;Backwaren &amp; Convenience&gt;&gt;Brot und Backwaren&gt;&gt;Backwaren andere</v>
      </c>
      <c r="H15" s="31" t="s">
        <v>109</v>
      </c>
      <c r="I15" s="31" t="s">
        <v>121</v>
      </c>
      <c r="J15" s="31">
        <f>Migrationsartikel!B13</f>
        <v>711</v>
      </c>
      <c r="L15" t="str">
        <f>Migrationsartikel!F13&amp;" "&amp;Migrationsartikel!G13&amp;" "&amp;Migrationsartikel!H13</f>
        <v>Butterzopf  aus der Region 300g</v>
      </c>
      <c r="M15" t="str">
        <f>Migrationsartikel!J13&amp;" "&amp;Migrationsartikel!K13&amp;" "&amp;Migrationsartikel!L13</f>
        <v>Tresse  de la région 300g</v>
      </c>
      <c r="N15" t="str">
        <f>Migrationsartikel!N13&amp;" "&amp;Migrationsartikel!O13&amp;" "&amp;Migrationsartikel!P13</f>
        <v>Treccia  della regione 300g</v>
      </c>
      <c r="O15" t="str">
        <f>Migrationsartikel!F13</f>
        <v xml:space="preserve">Butterzopf </v>
      </c>
      <c r="P15" t="str">
        <f>Migrationsartikel!J13</f>
        <v xml:space="preserve">Tresse </v>
      </c>
      <c r="Q15" t="str">
        <f>Migrationsartikel!N13</f>
        <v xml:space="preserve">Treccia </v>
      </c>
      <c r="R15" t="str">
        <f>Migrationsartikel!G13</f>
        <v>aus der Region</v>
      </c>
      <c r="S15" t="str">
        <f>Migrationsartikel!K13</f>
        <v>de la région</v>
      </c>
      <c r="T15" t="str">
        <f>Migrationsartikel!O13</f>
        <v>della regione</v>
      </c>
      <c r="U15" s="31" t="str">
        <f>Migrationsartikel!H13</f>
        <v>300g</v>
      </c>
      <c r="V15" s="31" t="str">
        <f>Migrationsartikel!L13</f>
        <v>300g</v>
      </c>
      <c r="W15" s="31" t="str">
        <f>Migrationsartikel!P13</f>
        <v>300g</v>
      </c>
      <c r="X15" t="str">
        <f>Migrationsartikel!I13</f>
        <v>Butterzopf 300g</v>
      </c>
      <c r="Y15" t="str">
        <f>Migrationsartikel!M13</f>
        <v>Tresse 300g</v>
      </c>
      <c r="Z15" t="str">
        <f>Migrationsartikel!Q13</f>
        <v>Treccia 300g</v>
      </c>
      <c r="AA15" s="45">
        <f>Migrationsartikel!R13</f>
        <v>0.3</v>
      </c>
      <c r="AB15" s="46" t="str">
        <f>Migrationsartikel!T13</f>
        <v>Gramm</v>
      </c>
      <c r="AC15">
        <f>Migrationsartikel!S13</f>
        <v>100</v>
      </c>
      <c r="AD15" t="str">
        <f>Migrationsartikel!U13</f>
        <v>(PCE) Stück</v>
      </c>
      <c r="AE15" s="31" t="s">
        <v>179</v>
      </c>
      <c r="AF15" s="31" t="s">
        <v>192</v>
      </c>
      <c r="AG15" t="str">
        <f>IF(Migrationsartikel!AB13="ja","true",FALSE)</f>
        <v>true</v>
      </c>
      <c r="AH15" t="str">
        <f>IF(Migrationsartikel!AC13="ja","true",FALSE)</f>
        <v>true</v>
      </c>
      <c r="AI15" t="str">
        <f>IF(Migrationsartikel!AD13="ja","true",FALSE)</f>
        <v>true</v>
      </c>
      <c r="AJ15" t="str">
        <f>IF(Migrationsartikel!AE13="ja","true",FALSE)</f>
        <v>true</v>
      </c>
      <c r="AK15" t="str">
        <f>IF(Migrationsartikel!AF13="ja","Denner Partner","")</f>
        <v/>
      </c>
      <c r="AL15" t="str">
        <f>IF(Migrationsartikel!AG13="ja","true","false")</f>
        <v>false</v>
      </c>
      <c r="AM15" t="str">
        <f t="shared" si="0"/>
        <v>PLU</v>
      </c>
      <c r="AN15" s="31" t="s">
        <v>219</v>
      </c>
      <c r="AO15" s="31" t="s">
        <v>217</v>
      </c>
    </row>
    <row r="16" spans="1:41" ht="21.75" customHeight="1" x14ac:dyDescent="0.45">
      <c r="B16" t="s">
        <v>99</v>
      </c>
      <c r="E16" s="31" t="s">
        <v>1426</v>
      </c>
      <c r="F16" t="str">
        <f>"Warengruppe&gt;&gt;"&amp;Migrationsartikel!V14&amp;"&gt;&gt;"&amp;Migrationsartikel!W14&amp;"&gt;&gt;"&amp;Migrationsartikel!X14</f>
        <v>Warengruppe&gt;&gt;Backwaren &amp; Convenience&gt;&gt;Brot und Backwaren&gt;&gt;Backwaren andere</v>
      </c>
      <c r="H16" s="31" t="s">
        <v>109</v>
      </c>
      <c r="I16" s="31" t="s">
        <v>121</v>
      </c>
      <c r="J16" s="31">
        <f>Migrationsartikel!B14</f>
        <v>712</v>
      </c>
      <c r="L16" t="str">
        <f>Migrationsartikel!F14&amp;" "&amp;Migrationsartikel!G14&amp;" "&amp;Migrationsartikel!H14</f>
        <v>Butterzopf  aus der Region 500g</v>
      </c>
      <c r="M16" t="str">
        <f>Migrationsartikel!J14&amp;" "&amp;Migrationsartikel!K14&amp;" "&amp;Migrationsartikel!L14</f>
        <v>Tresse  de la région 500g</v>
      </c>
      <c r="N16" t="str">
        <f>Migrationsartikel!N14&amp;" "&amp;Migrationsartikel!O14&amp;" "&amp;Migrationsartikel!P14</f>
        <v>Treccia  della regione 500g</v>
      </c>
      <c r="O16" t="str">
        <f>Migrationsartikel!F14</f>
        <v xml:space="preserve">Butterzopf </v>
      </c>
      <c r="P16" t="str">
        <f>Migrationsartikel!J14</f>
        <v xml:space="preserve">Tresse </v>
      </c>
      <c r="Q16" t="str">
        <f>Migrationsartikel!N14</f>
        <v xml:space="preserve">Treccia </v>
      </c>
      <c r="R16" t="str">
        <f>Migrationsartikel!G14</f>
        <v>aus der Region</v>
      </c>
      <c r="S16" t="str">
        <f>Migrationsartikel!K14</f>
        <v>de la région</v>
      </c>
      <c r="T16" t="str">
        <f>Migrationsartikel!O14</f>
        <v>della regione</v>
      </c>
      <c r="U16" s="31" t="str">
        <f>Migrationsartikel!H14</f>
        <v>500g</v>
      </c>
      <c r="V16" s="31" t="str">
        <f>Migrationsartikel!L14</f>
        <v>500g</v>
      </c>
      <c r="W16" s="31" t="str">
        <f>Migrationsartikel!P14</f>
        <v>500g</v>
      </c>
      <c r="X16" t="str">
        <f>Migrationsartikel!I14</f>
        <v>Butterzopf 500g</v>
      </c>
      <c r="Y16" t="str">
        <f>Migrationsartikel!M14</f>
        <v>Tresse 500g</v>
      </c>
      <c r="Z16" t="str">
        <f>Migrationsartikel!Q14</f>
        <v>Treccia 500g</v>
      </c>
      <c r="AA16" s="45">
        <f>Migrationsartikel!R14</f>
        <v>0.5</v>
      </c>
      <c r="AB16" s="46" t="str">
        <f>Migrationsartikel!T14</f>
        <v>Gramm</v>
      </c>
      <c r="AC16">
        <f>Migrationsartikel!S14</f>
        <v>100</v>
      </c>
      <c r="AD16" t="str">
        <f>Migrationsartikel!U14</f>
        <v>(PCE) Stück</v>
      </c>
      <c r="AE16" s="31" t="s">
        <v>179</v>
      </c>
      <c r="AF16" s="31" t="s">
        <v>192</v>
      </c>
      <c r="AG16" t="str">
        <f>IF(Migrationsartikel!AB14="ja","true",FALSE)</f>
        <v>true</v>
      </c>
      <c r="AH16" t="str">
        <f>IF(Migrationsartikel!AC14="ja","true",FALSE)</f>
        <v>true</v>
      </c>
      <c r="AI16" t="str">
        <f>IF(Migrationsartikel!AD14="ja","true",FALSE)</f>
        <v>true</v>
      </c>
      <c r="AJ16" t="str">
        <f>IF(Migrationsartikel!AE14="ja","true",FALSE)</f>
        <v>true</v>
      </c>
      <c r="AK16" t="str">
        <f>IF(Migrationsartikel!AF14="ja","Denner Partner","")</f>
        <v/>
      </c>
      <c r="AL16" t="str">
        <f>IF(Migrationsartikel!AG14="ja","true","false")</f>
        <v>false</v>
      </c>
      <c r="AM16" t="str">
        <f t="shared" si="0"/>
        <v>PLU</v>
      </c>
      <c r="AN16" s="31" t="s">
        <v>219</v>
      </c>
      <c r="AO16" s="31" t="s">
        <v>217</v>
      </c>
    </row>
    <row r="17" spans="2:41" ht="21.75" customHeight="1" x14ac:dyDescent="0.45">
      <c r="B17" t="s">
        <v>99</v>
      </c>
      <c r="E17" s="31" t="s">
        <v>1427</v>
      </c>
      <c r="F17" t="str">
        <f>"Warengruppe&gt;&gt;"&amp;Migrationsartikel!V15&amp;"&gt;&gt;"&amp;Migrationsartikel!W15&amp;"&gt;&gt;"&amp;Migrationsartikel!X15</f>
        <v>Warengruppe&gt;&gt;Backwaren &amp; Convenience&gt;&gt;Brot und Backwaren&gt;&gt;Backwaren andere</v>
      </c>
      <c r="H17" s="31" t="s">
        <v>109</v>
      </c>
      <c r="I17" s="31" t="s">
        <v>121</v>
      </c>
      <c r="J17" s="31">
        <f>Migrationsartikel!B15</f>
        <v>713</v>
      </c>
      <c r="L17" t="str">
        <f>Migrationsartikel!F15&amp;" "&amp;Migrationsartikel!G15&amp;" "&amp;Migrationsartikel!H15</f>
        <v>Butterzopf  aus der Region 700g</v>
      </c>
      <c r="M17" t="str">
        <f>Migrationsartikel!J15&amp;" "&amp;Migrationsartikel!K15&amp;" "&amp;Migrationsartikel!L15</f>
        <v>Tresse  de la région 700g</v>
      </c>
      <c r="N17" t="str">
        <f>Migrationsartikel!N15&amp;" "&amp;Migrationsartikel!O15&amp;" "&amp;Migrationsartikel!P15</f>
        <v>Treccia  della regione 700g</v>
      </c>
      <c r="O17" t="str">
        <f>Migrationsartikel!F15</f>
        <v xml:space="preserve">Butterzopf </v>
      </c>
      <c r="P17" t="str">
        <f>Migrationsartikel!J15</f>
        <v xml:space="preserve">Tresse </v>
      </c>
      <c r="Q17" t="str">
        <f>Migrationsartikel!N15</f>
        <v xml:space="preserve">Treccia </v>
      </c>
      <c r="R17" t="str">
        <f>Migrationsartikel!G15</f>
        <v>aus der Region</v>
      </c>
      <c r="S17" t="str">
        <f>Migrationsartikel!K15</f>
        <v>de la région</v>
      </c>
      <c r="T17" t="str">
        <f>Migrationsartikel!O15</f>
        <v>della regione</v>
      </c>
      <c r="U17" s="31" t="str">
        <f>Migrationsartikel!H15</f>
        <v>700g</v>
      </c>
      <c r="V17" s="31" t="str">
        <f>Migrationsartikel!L15</f>
        <v>700g</v>
      </c>
      <c r="W17" s="31" t="str">
        <f>Migrationsartikel!P15</f>
        <v>700g</v>
      </c>
      <c r="X17" t="str">
        <f>Migrationsartikel!I15</f>
        <v>Butterzopf 700g</v>
      </c>
      <c r="Y17" t="str">
        <f>Migrationsartikel!M15</f>
        <v>Tresse 700g</v>
      </c>
      <c r="Z17" t="str">
        <f>Migrationsartikel!Q15</f>
        <v>Treccia 700g</v>
      </c>
      <c r="AA17" s="45">
        <f>Migrationsartikel!R15</f>
        <v>0.7</v>
      </c>
      <c r="AB17" s="46" t="str">
        <f>Migrationsartikel!T15</f>
        <v>Gramm</v>
      </c>
      <c r="AC17">
        <f>Migrationsartikel!S15</f>
        <v>100</v>
      </c>
      <c r="AD17" t="str">
        <f>Migrationsartikel!U15</f>
        <v>(PCE) Stück</v>
      </c>
      <c r="AE17" s="31" t="s">
        <v>179</v>
      </c>
      <c r="AF17" s="31" t="s">
        <v>192</v>
      </c>
      <c r="AG17" t="str">
        <f>IF(Migrationsartikel!AB15="ja","true",FALSE)</f>
        <v>true</v>
      </c>
      <c r="AH17" t="str">
        <f>IF(Migrationsartikel!AC15="ja","true",FALSE)</f>
        <v>true</v>
      </c>
      <c r="AI17" t="str">
        <f>IF(Migrationsartikel!AD15="ja","true",FALSE)</f>
        <v>true</v>
      </c>
      <c r="AJ17" t="str">
        <f>IF(Migrationsartikel!AE15="ja","true",FALSE)</f>
        <v>true</v>
      </c>
      <c r="AK17" t="str">
        <f>IF(Migrationsartikel!AF15="ja","Denner Partner","")</f>
        <v/>
      </c>
      <c r="AL17" t="str">
        <f>IF(Migrationsartikel!AG15="ja","true","false")</f>
        <v>false</v>
      </c>
      <c r="AM17" t="str">
        <f t="shared" si="0"/>
        <v>PLU</v>
      </c>
      <c r="AN17" s="31" t="s">
        <v>219</v>
      </c>
      <c r="AO17" s="31" t="s">
        <v>217</v>
      </c>
    </row>
    <row r="18" spans="2:41" ht="21.75" customHeight="1" x14ac:dyDescent="0.45">
      <c r="B18" t="s">
        <v>99</v>
      </c>
      <c r="E18" s="31" t="s">
        <v>1428</v>
      </c>
      <c r="F18" t="str">
        <f>"Warengruppe&gt;&gt;"&amp;Migrationsartikel!V16&amp;"&gt;&gt;"&amp;Migrationsartikel!W16&amp;"&gt;&gt;"&amp;Migrationsartikel!X16</f>
        <v>Warengruppe&gt;&gt;Backwaren &amp; Convenience&gt;&gt;Brot und Backwaren&gt;&gt;Backwaren andere</v>
      </c>
      <c r="H18" s="31" t="s">
        <v>109</v>
      </c>
      <c r="I18" s="31" t="s">
        <v>121</v>
      </c>
      <c r="J18" s="31">
        <f>Migrationsartikel!B16</f>
        <v>714</v>
      </c>
      <c r="L18" t="str">
        <f>Migrationsartikel!F16&amp;" "&amp;Migrationsartikel!G16&amp;" "&amp;Migrationsartikel!H16</f>
        <v>Ciabattina aus der Region 1Stk</v>
      </c>
      <c r="M18" t="str">
        <f>Migrationsartikel!J16&amp;" "&amp;Migrationsartikel!K16&amp;" "&amp;Migrationsartikel!L16</f>
        <v>Ciabattina de la région 1pce</v>
      </c>
      <c r="N18" t="str">
        <f>Migrationsartikel!N16&amp;" "&amp;Migrationsartikel!O16&amp;" "&amp;Migrationsartikel!P16</f>
        <v>Ciabattina della regione 1pz</v>
      </c>
      <c r="O18" t="str">
        <f>Migrationsartikel!F16</f>
        <v>Ciabattina</v>
      </c>
      <c r="P18" t="str">
        <f>Migrationsartikel!J16</f>
        <v>Ciabattina</v>
      </c>
      <c r="Q18" t="str">
        <f>Migrationsartikel!N16</f>
        <v>Ciabattina</v>
      </c>
      <c r="R18" t="str">
        <f>Migrationsartikel!G16</f>
        <v>aus der Region</v>
      </c>
      <c r="S18" t="str">
        <f>Migrationsartikel!K16</f>
        <v>de la région</v>
      </c>
      <c r="T18" t="str">
        <f>Migrationsartikel!O16</f>
        <v>della regione</v>
      </c>
      <c r="U18" s="31" t="str">
        <f>Migrationsartikel!H16</f>
        <v>1Stk</v>
      </c>
      <c r="V18" s="31" t="str">
        <f>Migrationsartikel!L16</f>
        <v>1pce</v>
      </c>
      <c r="W18" s="31" t="str">
        <f>Migrationsartikel!P16</f>
        <v>1pz</v>
      </c>
      <c r="X18" t="str">
        <f>Migrationsartikel!I16</f>
        <v>Ciabattina</v>
      </c>
      <c r="Y18" t="str">
        <f>Migrationsartikel!M16</f>
        <v>Ciabattina</v>
      </c>
      <c r="Z18" t="str">
        <f>Migrationsartikel!Q16</f>
        <v>Ciabattina</v>
      </c>
      <c r="AA18" s="45">
        <f>Migrationsartikel!R16</f>
        <v>1</v>
      </c>
      <c r="AB18" s="46" t="str">
        <f>Migrationsartikel!T16</f>
        <v>Stück</v>
      </c>
      <c r="AC18">
        <f>Migrationsartikel!S16</f>
        <v>1</v>
      </c>
      <c r="AD18" t="str">
        <f>Migrationsartikel!U16</f>
        <v>(PCE) Stück</v>
      </c>
      <c r="AE18" s="31" t="s">
        <v>179</v>
      </c>
      <c r="AF18" s="31" t="s">
        <v>192</v>
      </c>
      <c r="AG18" t="str">
        <f>IF(Migrationsartikel!AB16="ja","true",FALSE)</f>
        <v>true</v>
      </c>
      <c r="AH18" t="str">
        <f>IF(Migrationsartikel!AC16="ja","true",FALSE)</f>
        <v>true</v>
      </c>
      <c r="AI18" t="str">
        <f>IF(Migrationsartikel!AD16="ja","true",FALSE)</f>
        <v>true</v>
      </c>
      <c r="AJ18" t="str">
        <f>IF(Migrationsartikel!AE16="ja","true",FALSE)</f>
        <v>true</v>
      </c>
      <c r="AK18" t="str">
        <f>IF(Migrationsartikel!AF16="ja","Denner Partner","")</f>
        <v/>
      </c>
      <c r="AL18" t="str">
        <f>IF(Migrationsartikel!AG16="ja","true","false")</f>
        <v>false</v>
      </c>
      <c r="AM18" t="str">
        <f t="shared" si="0"/>
        <v>PLU</v>
      </c>
      <c r="AN18" s="31" t="s">
        <v>219</v>
      </c>
      <c r="AO18" s="31" t="s">
        <v>217</v>
      </c>
    </row>
    <row r="19" spans="2:41" ht="21.75" customHeight="1" x14ac:dyDescent="0.45">
      <c r="B19" t="s">
        <v>99</v>
      </c>
      <c r="E19" s="31" t="s">
        <v>1429</v>
      </c>
      <c r="F19" t="str">
        <f>"Warengruppe&gt;&gt;"&amp;Migrationsartikel!V17&amp;"&gt;&gt;"&amp;Migrationsartikel!W17&amp;"&gt;&gt;"&amp;Migrationsartikel!X17</f>
        <v>Warengruppe&gt;&gt;Backwaren &amp; Convenience&gt;&gt;Brot und Backwaren&gt;&gt;Backwaren andere</v>
      </c>
      <c r="H19" s="31" t="s">
        <v>109</v>
      </c>
      <c r="I19" s="31" t="s">
        <v>121</v>
      </c>
      <c r="J19" s="31">
        <f>Migrationsartikel!B17</f>
        <v>715</v>
      </c>
      <c r="L19" t="str">
        <f>Migrationsartikel!F17&amp;" "&amp;Migrationsartikel!G17&amp;" "&amp;Migrationsartikel!H17</f>
        <v>Flûtes aus der Region 1Stk</v>
      </c>
      <c r="M19" t="str">
        <f>Migrationsartikel!J17&amp;" "&amp;Migrationsartikel!K17&amp;" "&amp;Migrationsartikel!L17</f>
        <v>Flûtes  de la région 1pce</v>
      </c>
      <c r="N19" t="str">
        <f>Migrationsartikel!N17&amp;" "&amp;Migrationsartikel!O17&amp;" "&amp;Migrationsartikel!P17</f>
        <v>Flûtes della regione 1pz</v>
      </c>
      <c r="O19" t="str">
        <f>Migrationsartikel!F17</f>
        <v>Flûtes</v>
      </c>
      <c r="P19" t="str">
        <f>Migrationsartikel!J17</f>
        <v xml:space="preserve">Flûtes </v>
      </c>
      <c r="Q19" t="str">
        <f>Migrationsartikel!N17</f>
        <v>Flûtes</v>
      </c>
      <c r="R19" t="str">
        <f>Migrationsartikel!G17</f>
        <v>aus der Region</v>
      </c>
      <c r="S19" t="str">
        <f>Migrationsartikel!K17</f>
        <v>de la région</v>
      </c>
      <c r="T19" t="str">
        <f>Migrationsartikel!O17</f>
        <v>della regione</v>
      </c>
      <c r="U19" s="31" t="str">
        <f>Migrationsartikel!H17</f>
        <v>1Stk</v>
      </c>
      <c r="V19" s="31" t="str">
        <f>Migrationsartikel!L17</f>
        <v>1pce</v>
      </c>
      <c r="W19" s="31" t="str">
        <f>Migrationsartikel!P17</f>
        <v>1pz</v>
      </c>
      <c r="X19" t="str">
        <f>Migrationsartikel!I17</f>
        <v>Flûtes</v>
      </c>
      <c r="Y19" t="str">
        <f>Migrationsartikel!M17</f>
        <v xml:space="preserve">Flûtes </v>
      </c>
      <c r="Z19" t="str">
        <f>Migrationsartikel!Q17</f>
        <v>Flûtes</v>
      </c>
      <c r="AA19" s="45">
        <f>Migrationsartikel!R17</f>
        <v>1</v>
      </c>
      <c r="AB19" s="46" t="str">
        <f>Migrationsartikel!T17</f>
        <v>Stück</v>
      </c>
      <c r="AC19">
        <f>Migrationsartikel!S17</f>
        <v>1</v>
      </c>
      <c r="AD19" t="str">
        <f>Migrationsartikel!U17</f>
        <v>(PCE) Stück</v>
      </c>
      <c r="AE19" s="31" t="s">
        <v>179</v>
      </c>
      <c r="AF19" s="31" t="s">
        <v>192</v>
      </c>
      <c r="AG19" t="str">
        <f>IF(Migrationsartikel!AB17="ja","true",FALSE)</f>
        <v>true</v>
      </c>
      <c r="AH19" t="str">
        <f>IF(Migrationsartikel!AC17="ja","true",FALSE)</f>
        <v>true</v>
      </c>
      <c r="AI19" t="str">
        <f>IF(Migrationsartikel!AD17="ja","true",FALSE)</f>
        <v>true</v>
      </c>
      <c r="AJ19" t="str">
        <f>IF(Migrationsartikel!AE17="ja","true",FALSE)</f>
        <v>true</v>
      </c>
      <c r="AK19" t="str">
        <f>IF(Migrationsartikel!AF17="ja","Denner Partner","")</f>
        <v/>
      </c>
      <c r="AL19" t="str">
        <f>IF(Migrationsartikel!AG17="ja","true","false")</f>
        <v>false</v>
      </c>
      <c r="AM19" t="str">
        <f t="shared" si="0"/>
        <v>PLU</v>
      </c>
      <c r="AN19" s="31" t="s">
        <v>219</v>
      </c>
      <c r="AO19" s="31" t="s">
        <v>217</v>
      </c>
    </row>
    <row r="20" spans="2:41" ht="21.75" customHeight="1" x14ac:dyDescent="0.45">
      <c r="B20" t="s">
        <v>99</v>
      </c>
      <c r="E20" s="31" t="s">
        <v>1430</v>
      </c>
      <c r="F20" t="str">
        <f>"Warengruppe&gt;&gt;"&amp;Migrationsartikel!V18&amp;"&gt;&gt;"&amp;Migrationsartikel!W18&amp;"&gt;&gt;"&amp;Migrationsartikel!X18</f>
        <v>Warengruppe&gt;&gt;Backwaren &amp; Convenience&gt;&gt;Brot und Backwaren&gt;&gt;Backwaren andere</v>
      </c>
      <c r="H20" s="31" t="s">
        <v>109</v>
      </c>
      <c r="I20" s="31" t="s">
        <v>121</v>
      </c>
      <c r="J20" s="31">
        <f>Migrationsartikel!B18</f>
        <v>716</v>
      </c>
      <c r="L20" t="str">
        <f>Migrationsartikel!F18&amp;" "&amp;Migrationsartikel!G18&amp;" "&amp;Migrationsartikel!H18</f>
        <v>Focaccia aus der Region 1Stk</v>
      </c>
      <c r="M20" t="str">
        <f>Migrationsartikel!J18&amp;" "&amp;Migrationsartikel!K18&amp;" "&amp;Migrationsartikel!L18</f>
        <v>Focaccia de la région 1pce</v>
      </c>
      <c r="N20" t="str">
        <f>Migrationsartikel!N18&amp;" "&amp;Migrationsartikel!O18&amp;" "&amp;Migrationsartikel!P18</f>
        <v>Focaccia della regione 1pz</v>
      </c>
      <c r="O20" t="str">
        <f>Migrationsartikel!F18</f>
        <v>Focaccia</v>
      </c>
      <c r="P20" t="str">
        <f>Migrationsartikel!J18</f>
        <v>Focaccia</v>
      </c>
      <c r="Q20" t="str">
        <f>Migrationsartikel!N18</f>
        <v>Focaccia</v>
      </c>
      <c r="R20" t="str">
        <f>Migrationsartikel!G18</f>
        <v>aus der Region</v>
      </c>
      <c r="S20" t="str">
        <f>Migrationsartikel!K18</f>
        <v>de la région</v>
      </c>
      <c r="T20" t="str">
        <f>Migrationsartikel!O18</f>
        <v>della regione</v>
      </c>
      <c r="U20" s="31" t="str">
        <f>Migrationsartikel!H18</f>
        <v>1Stk</v>
      </c>
      <c r="V20" s="31" t="str">
        <f>Migrationsartikel!L18</f>
        <v>1pce</v>
      </c>
      <c r="W20" s="31" t="str">
        <f>Migrationsartikel!P18</f>
        <v>1pz</v>
      </c>
      <c r="X20" t="str">
        <f>Migrationsartikel!I18</f>
        <v>Focaccia</v>
      </c>
      <c r="Y20" t="str">
        <f>Migrationsartikel!M18</f>
        <v>Focaccia</v>
      </c>
      <c r="Z20" t="str">
        <f>Migrationsartikel!Q18</f>
        <v>Focaccia</v>
      </c>
      <c r="AA20" s="45">
        <f>Migrationsartikel!R18</f>
        <v>1</v>
      </c>
      <c r="AB20" s="46" t="str">
        <f>Migrationsartikel!T18</f>
        <v>Stück</v>
      </c>
      <c r="AC20">
        <f>Migrationsartikel!S18</f>
        <v>1</v>
      </c>
      <c r="AD20" t="str">
        <f>Migrationsartikel!U18</f>
        <v>(PCE) Stück</v>
      </c>
      <c r="AE20" s="31" t="s">
        <v>179</v>
      </c>
      <c r="AF20" s="31" t="s">
        <v>192</v>
      </c>
      <c r="AG20" t="str">
        <f>IF(Migrationsartikel!AB18="ja","true",FALSE)</f>
        <v>true</v>
      </c>
      <c r="AH20" t="str">
        <f>IF(Migrationsartikel!AC18="ja","true",FALSE)</f>
        <v>true</v>
      </c>
      <c r="AI20" t="str">
        <f>IF(Migrationsartikel!AD18="ja","true",FALSE)</f>
        <v>true</v>
      </c>
      <c r="AJ20" t="str">
        <f>IF(Migrationsartikel!AE18="ja","true",FALSE)</f>
        <v>true</v>
      </c>
      <c r="AK20" t="str">
        <f>IF(Migrationsartikel!AF18="ja","Denner Partner","")</f>
        <v/>
      </c>
      <c r="AL20" t="str">
        <f>IF(Migrationsartikel!AG18="ja","true","false")</f>
        <v>false</v>
      </c>
      <c r="AM20" t="str">
        <f t="shared" si="0"/>
        <v>PLU</v>
      </c>
      <c r="AN20" s="31" t="s">
        <v>219</v>
      </c>
      <c r="AO20" s="31" t="s">
        <v>217</v>
      </c>
    </row>
    <row r="21" spans="2:41" ht="21.75" customHeight="1" x14ac:dyDescent="0.45">
      <c r="B21" t="s">
        <v>99</v>
      </c>
      <c r="E21" s="31" t="s">
        <v>1431</v>
      </c>
      <c r="F21" t="str">
        <f>"Warengruppe&gt;&gt;"&amp;Migrationsartikel!V19&amp;"&gt;&gt;"&amp;Migrationsartikel!W19&amp;"&gt;&gt;"&amp;Migrationsartikel!X19</f>
        <v>Warengruppe&gt;&gt;Backwaren &amp; Convenience&gt;&gt;Brot und Backwaren&gt;&gt;Backwaren andere</v>
      </c>
      <c r="H21" s="31" t="s">
        <v>109</v>
      </c>
      <c r="I21" s="31" t="s">
        <v>121</v>
      </c>
      <c r="J21" s="31">
        <f>Migrationsartikel!B19</f>
        <v>717</v>
      </c>
      <c r="L21" t="str">
        <f>Migrationsartikel!F19&amp;" "&amp;Migrationsartikel!G19&amp;" "&amp;Migrationsartikel!H19</f>
        <v>Halbweissbrot aus der Region 500g</v>
      </c>
      <c r="M21" t="str">
        <f>Migrationsartikel!J19&amp;" "&amp;Migrationsartikel!K19&amp;" "&amp;Migrationsartikel!L19</f>
        <v>Pain mi-blanc de la région 500g</v>
      </c>
      <c r="N21" t="str">
        <f>Migrationsartikel!N19&amp;" "&amp;Migrationsartikel!O19&amp;" "&amp;Migrationsartikel!P19</f>
        <v>Pane semibianco della regione 500g</v>
      </c>
      <c r="O21" t="str">
        <f>Migrationsartikel!F19</f>
        <v>Halbweissbrot</v>
      </c>
      <c r="P21" t="str">
        <f>Migrationsartikel!J19</f>
        <v>Pain mi-blanc</v>
      </c>
      <c r="Q21" t="str">
        <f>Migrationsartikel!N19</f>
        <v>Pane semibianco</v>
      </c>
      <c r="R21" t="str">
        <f>Migrationsartikel!G19</f>
        <v>aus der Region</v>
      </c>
      <c r="S21" t="str">
        <f>Migrationsartikel!K19</f>
        <v>de la région</v>
      </c>
      <c r="T21" t="str">
        <f>Migrationsartikel!O19</f>
        <v>della regione</v>
      </c>
      <c r="U21" s="31" t="str">
        <f>Migrationsartikel!H19</f>
        <v>500g</v>
      </c>
      <c r="V21" s="31" t="str">
        <f>Migrationsartikel!L19</f>
        <v>500g</v>
      </c>
      <c r="W21" s="31" t="str">
        <f>Migrationsartikel!P19</f>
        <v>500g</v>
      </c>
      <c r="X21" t="str">
        <f>Migrationsartikel!I19</f>
        <v>Halbweissbrot 500g</v>
      </c>
      <c r="Y21" t="str">
        <f>Migrationsartikel!M19</f>
        <v>Pain mi-blanc 500g</v>
      </c>
      <c r="Z21" t="str">
        <f>Migrationsartikel!Q19</f>
        <v>Pane semibianco 500g</v>
      </c>
      <c r="AA21" s="45">
        <f>Migrationsartikel!R19</f>
        <v>0.5</v>
      </c>
      <c r="AB21" s="46" t="str">
        <f>Migrationsartikel!T19</f>
        <v>Gramm</v>
      </c>
      <c r="AC21">
        <f>Migrationsartikel!S19</f>
        <v>100</v>
      </c>
      <c r="AD21" t="str">
        <f>Migrationsartikel!U19</f>
        <v>(PCE) Stück</v>
      </c>
      <c r="AE21" s="31" t="s">
        <v>179</v>
      </c>
      <c r="AF21" s="31" t="s">
        <v>192</v>
      </c>
      <c r="AG21" t="str">
        <f>IF(Migrationsartikel!AB19="ja","true",FALSE)</f>
        <v>true</v>
      </c>
      <c r="AH21" t="str">
        <f>IF(Migrationsartikel!AC19="ja","true",FALSE)</f>
        <v>true</v>
      </c>
      <c r="AI21" t="str">
        <f>IF(Migrationsartikel!AD19="ja","true",FALSE)</f>
        <v>true</v>
      </c>
      <c r="AJ21" t="str">
        <f>IF(Migrationsartikel!AE19="ja","true",FALSE)</f>
        <v>true</v>
      </c>
      <c r="AK21" t="str">
        <f>IF(Migrationsartikel!AF19="ja","Denner Partner","")</f>
        <v/>
      </c>
      <c r="AL21" t="str">
        <f>IF(Migrationsartikel!AG19="ja","true","false")</f>
        <v>false</v>
      </c>
      <c r="AM21" t="str">
        <f t="shared" si="0"/>
        <v>PLU</v>
      </c>
      <c r="AN21" s="31" t="s">
        <v>219</v>
      </c>
      <c r="AO21" s="31" t="s">
        <v>217</v>
      </c>
    </row>
    <row r="22" spans="2:41" ht="21.75" customHeight="1" x14ac:dyDescent="0.45">
      <c r="B22" t="s">
        <v>99</v>
      </c>
      <c r="E22" s="31" t="s">
        <v>1432</v>
      </c>
      <c r="F22" t="str">
        <f>"Warengruppe&gt;&gt;"&amp;Migrationsartikel!V20&amp;"&gt;&gt;"&amp;Migrationsartikel!W20&amp;"&gt;&gt;"&amp;Migrationsartikel!X20</f>
        <v>Warengruppe&gt;&gt;Backwaren &amp; Convenience&gt;&gt;Brot und Backwaren&gt;&gt;Backwaren andere</v>
      </c>
      <c r="H22" s="31" t="s">
        <v>109</v>
      </c>
      <c r="I22" s="31" t="s">
        <v>121</v>
      </c>
      <c r="J22" s="31">
        <f>Migrationsartikel!B20</f>
        <v>718</v>
      </c>
      <c r="L22" t="str">
        <f>Migrationsartikel!F20&amp;" "&amp;Migrationsartikel!G20&amp;" "&amp;Migrationsartikel!H20</f>
        <v>Halbweissbrot  aus der Region 1kg</v>
      </c>
      <c r="M22" t="str">
        <f>Migrationsartikel!J20&amp;" "&amp;Migrationsartikel!K20&amp;" "&amp;Migrationsartikel!L20</f>
        <v>Pain mi-blanc de la région 1kg</v>
      </c>
      <c r="N22" t="str">
        <f>Migrationsartikel!N20&amp;" "&amp;Migrationsartikel!O20&amp;" "&amp;Migrationsartikel!P20</f>
        <v>Pane semibianco della regione 1kg</v>
      </c>
      <c r="O22" t="str">
        <f>Migrationsartikel!F20</f>
        <v xml:space="preserve">Halbweissbrot </v>
      </c>
      <c r="P22" t="str">
        <f>Migrationsartikel!J20</f>
        <v>Pain mi-blanc</v>
      </c>
      <c r="Q22" t="str">
        <f>Migrationsartikel!N20</f>
        <v>Pane semibianco</v>
      </c>
      <c r="R22" t="str">
        <f>Migrationsartikel!G20</f>
        <v>aus der Region</v>
      </c>
      <c r="S22" t="str">
        <f>Migrationsartikel!K20</f>
        <v>de la région</v>
      </c>
      <c r="T22" t="str">
        <f>Migrationsartikel!O20</f>
        <v>della regione</v>
      </c>
      <c r="U22" s="31" t="str">
        <f>Migrationsartikel!H20</f>
        <v>1kg</v>
      </c>
      <c r="V22" s="31" t="str">
        <f>Migrationsartikel!L20</f>
        <v>1kg</v>
      </c>
      <c r="W22" s="31" t="str">
        <f>Migrationsartikel!P20</f>
        <v>1kg</v>
      </c>
      <c r="X22" t="str">
        <f>Migrationsartikel!I20</f>
        <v>Halbweissbrot 1kg</v>
      </c>
      <c r="Y22" t="str">
        <f>Migrationsartikel!M20</f>
        <v>Pain mi-blanc 1kg</v>
      </c>
      <c r="Z22" t="str">
        <f>Migrationsartikel!Q20</f>
        <v>Pane semibianco 1kg</v>
      </c>
      <c r="AA22" s="45">
        <f>Migrationsartikel!R20</f>
        <v>1</v>
      </c>
      <c r="AB22" s="46" t="str">
        <f>Migrationsartikel!T20</f>
        <v>Gramm</v>
      </c>
      <c r="AC22">
        <f>Migrationsartikel!S20</f>
        <v>100</v>
      </c>
      <c r="AD22" t="str">
        <f>Migrationsartikel!U20</f>
        <v>(PCE) Stück</v>
      </c>
      <c r="AE22" s="31" t="s">
        <v>179</v>
      </c>
      <c r="AF22" s="31" t="s">
        <v>192</v>
      </c>
      <c r="AG22" t="str">
        <f>IF(Migrationsartikel!AB20="ja","true",FALSE)</f>
        <v>true</v>
      </c>
      <c r="AH22" t="str">
        <f>IF(Migrationsartikel!AC20="ja","true",FALSE)</f>
        <v>true</v>
      </c>
      <c r="AI22" t="str">
        <f>IF(Migrationsartikel!AD20="ja","true",FALSE)</f>
        <v>true</v>
      </c>
      <c r="AJ22" t="str">
        <f>IF(Migrationsartikel!AE20="ja","true",FALSE)</f>
        <v>true</v>
      </c>
      <c r="AK22" t="str">
        <f>IF(Migrationsartikel!AF20="ja","Denner Partner","")</f>
        <v/>
      </c>
      <c r="AL22" t="str">
        <f>IF(Migrationsartikel!AG20="ja","true","false")</f>
        <v>false</v>
      </c>
      <c r="AM22" t="str">
        <f t="shared" si="0"/>
        <v>PLU</v>
      </c>
      <c r="AN22" s="31" t="s">
        <v>219</v>
      </c>
      <c r="AO22" s="31" t="s">
        <v>217</v>
      </c>
    </row>
    <row r="23" spans="2:41" ht="21.75" customHeight="1" x14ac:dyDescent="0.45">
      <c r="B23" t="s">
        <v>99</v>
      </c>
      <c r="E23" s="31" t="s">
        <v>1433</v>
      </c>
      <c r="F23" t="str">
        <f>"Warengruppe&gt;&gt;"&amp;Migrationsartikel!V21&amp;"&gt;&gt;"&amp;Migrationsartikel!W21&amp;"&gt;&gt;"&amp;Migrationsartikel!X21</f>
        <v>Warengruppe&gt;&gt;Backwaren &amp; Convenience&gt;&gt;Brot und Backwaren&gt;&gt;Backwaren andere</v>
      </c>
      <c r="H23" s="31" t="s">
        <v>109</v>
      </c>
      <c r="I23" s="31" t="s">
        <v>121</v>
      </c>
      <c r="J23" s="31">
        <f>Migrationsartikel!B21</f>
        <v>719</v>
      </c>
      <c r="L23" t="str">
        <f>Migrationsartikel!F21&amp;" "&amp;Migrationsartikel!G21&amp;" "&amp;Migrationsartikel!H21</f>
        <v>Halbweissbrot  aus der Region 250g</v>
      </c>
      <c r="M23" t="str">
        <f>Migrationsartikel!J21&amp;" "&amp;Migrationsartikel!K21&amp;" "&amp;Migrationsartikel!L21</f>
        <v>Pain mi-blanc de la région 250g</v>
      </c>
      <c r="N23" t="str">
        <f>Migrationsartikel!N21&amp;" "&amp;Migrationsartikel!O21&amp;" "&amp;Migrationsartikel!P21</f>
        <v>Pane semibianco della regione 250g</v>
      </c>
      <c r="O23" t="str">
        <f>Migrationsartikel!F21</f>
        <v xml:space="preserve">Halbweissbrot </v>
      </c>
      <c r="P23" t="str">
        <f>Migrationsartikel!J21</f>
        <v>Pain mi-blanc</v>
      </c>
      <c r="Q23" t="str">
        <f>Migrationsartikel!N21</f>
        <v>Pane semibianco</v>
      </c>
      <c r="R23" t="str">
        <f>Migrationsartikel!G21</f>
        <v>aus der Region</v>
      </c>
      <c r="S23" t="str">
        <f>Migrationsartikel!K21</f>
        <v>de la région</v>
      </c>
      <c r="T23" t="str">
        <f>Migrationsartikel!O21</f>
        <v>della regione</v>
      </c>
      <c r="U23" s="31" t="str">
        <f>Migrationsartikel!H21</f>
        <v>250g</v>
      </c>
      <c r="V23" s="31" t="str">
        <f>Migrationsartikel!L21</f>
        <v>250g</v>
      </c>
      <c r="W23" s="31" t="str">
        <f>Migrationsartikel!P21</f>
        <v>250g</v>
      </c>
      <c r="X23" t="str">
        <f>Migrationsartikel!I21</f>
        <v>Halbweissbrot 250g</v>
      </c>
      <c r="Y23" t="str">
        <f>Migrationsartikel!M21</f>
        <v>Pain mi-blanc 250g</v>
      </c>
      <c r="Z23" t="str">
        <f>Migrationsartikel!Q21</f>
        <v>Pane semibianco 250g</v>
      </c>
      <c r="AA23" s="45">
        <f>Migrationsartikel!R21</f>
        <v>0.25</v>
      </c>
      <c r="AB23" s="46" t="str">
        <f>Migrationsartikel!T21</f>
        <v>Gramm</v>
      </c>
      <c r="AC23">
        <f>Migrationsartikel!S21</f>
        <v>100</v>
      </c>
      <c r="AD23" t="str">
        <f>Migrationsartikel!U21</f>
        <v>(PCE) Stück</v>
      </c>
      <c r="AE23" s="31" t="s">
        <v>179</v>
      </c>
      <c r="AF23" s="31" t="s">
        <v>192</v>
      </c>
      <c r="AG23" t="str">
        <f>IF(Migrationsartikel!AB21="ja","true",FALSE)</f>
        <v>true</v>
      </c>
      <c r="AH23" t="str">
        <f>IF(Migrationsartikel!AC21="ja","true",FALSE)</f>
        <v>true</v>
      </c>
      <c r="AI23" t="str">
        <f>IF(Migrationsartikel!AD21="ja","true",FALSE)</f>
        <v>true</v>
      </c>
      <c r="AJ23" t="str">
        <f>IF(Migrationsartikel!AE21="ja","true",FALSE)</f>
        <v>true</v>
      </c>
      <c r="AK23" t="str">
        <f>IF(Migrationsartikel!AF21="ja","Denner Partner","")</f>
        <v/>
      </c>
      <c r="AL23" t="str">
        <f>IF(Migrationsartikel!AG21="ja","true","false")</f>
        <v>false</v>
      </c>
      <c r="AM23" t="str">
        <f t="shared" si="0"/>
        <v>PLU</v>
      </c>
      <c r="AN23" s="31" t="s">
        <v>219</v>
      </c>
      <c r="AO23" s="31" t="s">
        <v>217</v>
      </c>
    </row>
    <row r="24" spans="2:41" ht="21.75" customHeight="1" x14ac:dyDescent="0.45">
      <c r="B24" t="s">
        <v>99</v>
      </c>
      <c r="E24" s="31" t="s">
        <v>1434</v>
      </c>
      <c r="F24" t="str">
        <f>"Warengruppe&gt;&gt;"&amp;Migrationsartikel!V22&amp;"&gt;&gt;"&amp;Migrationsartikel!W22&amp;"&gt;&gt;"&amp;Migrationsartikel!X22</f>
        <v>Warengruppe&gt;&gt;Backwaren &amp; Convenience&gt;&gt;Brot und Backwaren&gt;&gt;Backwaren andere</v>
      </c>
      <c r="H24" s="31" t="s">
        <v>109</v>
      </c>
      <c r="I24" s="31" t="s">
        <v>121</v>
      </c>
      <c r="J24" s="31">
        <f>Migrationsartikel!B22</f>
        <v>720</v>
      </c>
      <c r="L24" t="str">
        <f>Migrationsartikel!F22&amp;" "&amp;Migrationsartikel!G22&amp;" "&amp;Migrationsartikel!H22</f>
        <v>Laugenbrötli  aus der Region 1Stk</v>
      </c>
      <c r="M24" t="str">
        <f>Migrationsartikel!J22&amp;" "&amp;Migrationsartikel!K22&amp;" "&amp;Migrationsartikel!L22</f>
        <v>Petits pains sils  de la région 1pce</v>
      </c>
      <c r="N24" t="str">
        <f>Migrationsartikel!N22&amp;" "&amp;Migrationsartikel!O22&amp;" "&amp;Migrationsartikel!P22</f>
        <v>Panino di sils  della regione 1pz</v>
      </c>
      <c r="O24" t="str">
        <f>Migrationsartikel!F22</f>
        <v xml:space="preserve">Laugenbrötli </v>
      </c>
      <c r="P24" t="str">
        <f>Migrationsartikel!J22</f>
        <v xml:space="preserve">Petits pains sils </v>
      </c>
      <c r="Q24" t="str">
        <f>Migrationsartikel!N22</f>
        <v xml:space="preserve">Panino di sils </v>
      </c>
      <c r="R24" t="str">
        <f>Migrationsartikel!G22</f>
        <v>aus der Region</v>
      </c>
      <c r="S24" t="str">
        <f>Migrationsartikel!K22</f>
        <v>de la région</v>
      </c>
      <c r="T24" t="str">
        <f>Migrationsartikel!O22</f>
        <v>della regione</v>
      </c>
      <c r="U24" s="31" t="str">
        <f>Migrationsartikel!H22</f>
        <v>1Stk</v>
      </c>
      <c r="V24" s="31" t="str">
        <f>Migrationsartikel!L22</f>
        <v>1pce</v>
      </c>
      <c r="W24" s="31" t="str">
        <f>Migrationsartikel!P22</f>
        <v>1pz</v>
      </c>
      <c r="X24" t="str">
        <f>Migrationsartikel!I22</f>
        <v xml:space="preserve">Laugenbrötli </v>
      </c>
      <c r="Y24" t="str">
        <f>Migrationsartikel!M22</f>
        <v xml:space="preserve">Petits pains sils </v>
      </c>
      <c r="Z24" t="str">
        <f>Migrationsartikel!Q22</f>
        <v xml:space="preserve">Panino di sils </v>
      </c>
      <c r="AA24" s="45">
        <f>Migrationsartikel!R22</f>
        <v>1</v>
      </c>
      <c r="AB24" s="46" t="str">
        <f>Migrationsartikel!T22</f>
        <v>Stück</v>
      </c>
      <c r="AC24">
        <f>Migrationsartikel!S22</f>
        <v>1</v>
      </c>
      <c r="AD24" t="str">
        <f>Migrationsartikel!U22</f>
        <v>(PCE) Stück</v>
      </c>
      <c r="AE24" s="31" t="s">
        <v>179</v>
      </c>
      <c r="AF24" s="31" t="s">
        <v>192</v>
      </c>
      <c r="AG24" t="str">
        <f>IF(Migrationsartikel!AB22="ja","true",FALSE)</f>
        <v>true</v>
      </c>
      <c r="AH24" t="str">
        <f>IF(Migrationsartikel!AC22="ja","true",FALSE)</f>
        <v>true</v>
      </c>
      <c r="AI24" t="str">
        <f>IF(Migrationsartikel!AD22="ja","true",FALSE)</f>
        <v>true</v>
      </c>
      <c r="AJ24" t="str">
        <f>IF(Migrationsartikel!AE22="ja","true",FALSE)</f>
        <v>true</v>
      </c>
      <c r="AK24" t="str">
        <f>IF(Migrationsartikel!AF22="ja","Denner Partner","")</f>
        <v/>
      </c>
      <c r="AL24" t="str">
        <f>IF(Migrationsartikel!AG22="ja","true","false")</f>
        <v>false</v>
      </c>
      <c r="AM24" t="str">
        <f t="shared" si="0"/>
        <v>PLU</v>
      </c>
      <c r="AN24" s="31" t="s">
        <v>219</v>
      </c>
      <c r="AO24" s="31" t="s">
        <v>217</v>
      </c>
    </row>
    <row r="25" spans="2:41" ht="21.75" customHeight="1" x14ac:dyDescent="0.45">
      <c r="B25" t="s">
        <v>99</v>
      </c>
      <c r="E25" s="31" t="s">
        <v>1435</v>
      </c>
      <c r="F25" t="str">
        <f>"Warengruppe&gt;&gt;"&amp;Migrationsartikel!V23&amp;"&gt;&gt;"&amp;Migrationsartikel!W23&amp;"&gt;&gt;"&amp;Migrationsartikel!X23</f>
        <v>Warengruppe&gt;&gt;Backwaren &amp; Convenience&gt;&gt;Brot und Backwaren&gt;&gt;Backwaren andere</v>
      </c>
      <c r="H25" s="31" t="s">
        <v>109</v>
      </c>
      <c r="I25" s="31" t="s">
        <v>121</v>
      </c>
      <c r="J25" s="31">
        <f>Migrationsartikel!B23</f>
        <v>721</v>
      </c>
      <c r="L25" t="str">
        <f>Migrationsartikel!F23&amp;" "&amp;Migrationsartikel!G23&amp;" "&amp;Migrationsartikel!H23</f>
        <v>Laugengipfel  aus der Region 1Stk</v>
      </c>
      <c r="M25" t="str">
        <f>Migrationsartikel!J23&amp;" "&amp;Migrationsartikel!K23&amp;" "&amp;Migrationsartikel!L23</f>
        <v>Croissant sils  de la région 1pce</v>
      </c>
      <c r="N25" t="str">
        <f>Migrationsartikel!N23&amp;" "&amp;Migrationsartikel!O23&amp;" "&amp;Migrationsartikel!P23</f>
        <v>Cornetto di sils della regione 1pz</v>
      </c>
      <c r="O25" t="str">
        <f>Migrationsartikel!F23</f>
        <v xml:space="preserve">Laugengipfel </v>
      </c>
      <c r="P25" t="str">
        <f>Migrationsartikel!J23</f>
        <v xml:space="preserve">Croissant sils </v>
      </c>
      <c r="Q25" t="str">
        <f>Migrationsartikel!N23</f>
        <v>Cornetto di sils</v>
      </c>
      <c r="R25" t="str">
        <f>Migrationsartikel!G23</f>
        <v>aus der Region</v>
      </c>
      <c r="S25" t="str">
        <f>Migrationsartikel!K23</f>
        <v>de la région</v>
      </c>
      <c r="T25" t="str">
        <f>Migrationsartikel!O23</f>
        <v>della regione</v>
      </c>
      <c r="U25" s="31" t="str">
        <f>Migrationsartikel!H23</f>
        <v>1Stk</v>
      </c>
      <c r="V25" s="31" t="str">
        <f>Migrationsartikel!L23</f>
        <v>1pce</v>
      </c>
      <c r="W25" s="31" t="str">
        <f>Migrationsartikel!P23</f>
        <v>1pz</v>
      </c>
      <c r="X25" t="str">
        <f>Migrationsartikel!I23</f>
        <v xml:space="preserve">Laugengipfel </v>
      </c>
      <c r="Y25" t="str">
        <f>Migrationsartikel!M23</f>
        <v xml:space="preserve">Croissant sils </v>
      </c>
      <c r="Z25" t="str">
        <f>Migrationsartikel!Q23</f>
        <v>Cornetto di sils</v>
      </c>
      <c r="AA25" s="45">
        <f>Migrationsartikel!R23</f>
        <v>1</v>
      </c>
      <c r="AB25" s="46" t="str">
        <f>Migrationsartikel!T23</f>
        <v>Stück</v>
      </c>
      <c r="AC25">
        <f>Migrationsartikel!S23</f>
        <v>1</v>
      </c>
      <c r="AD25" t="str">
        <f>Migrationsartikel!U23</f>
        <v>(PCE) Stück</v>
      </c>
      <c r="AE25" s="31" t="s">
        <v>179</v>
      </c>
      <c r="AF25" s="31" t="s">
        <v>192</v>
      </c>
      <c r="AG25" t="str">
        <f>IF(Migrationsartikel!AB23="ja","true",FALSE)</f>
        <v>true</v>
      </c>
      <c r="AH25" t="str">
        <f>IF(Migrationsartikel!AC23="ja","true",FALSE)</f>
        <v>true</v>
      </c>
      <c r="AI25" t="str">
        <f>IF(Migrationsartikel!AD23="ja","true",FALSE)</f>
        <v>true</v>
      </c>
      <c r="AJ25" t="str">
        <f>IF(Migrationsartikel!AE23="ja","true",FALSE)</f>
        <v>true</v>
      </c>
      <c r="AK25" t="str">
        <f>IF(Migrationsartikel!AF23="ja","Denner Partner","")</f>
        <v/>
      </c>
      <c r="AL25" t="str">
        <f>IF(Migrationsartikel!AG23="ja","true","false")</f>
        <v>false</v>
      </c>
      <c r="AM25" t="str">
        <f t="shared" si="0"/>
        <v>PLU</v>
      </c>
      <c r="AN25" s="31" t="s">
        <v>219</v>
      </c>
      <c r="AO25" s="31" t="s">
        <v>217</v>
      </c>
    </row>
    <row r="26" spans="2:41" ht="21.75" customHeight="1" x14ac:dyDescent="0.45">
      <c r="B26" t="s">
        <v>99</v>
      </c>
      <c r="E26" s="31" t="s">
        <v>1436</v>
      </c>
      <c r="F26" t="str">
        <f>"Warengruppe&gt;&gt;"&amp;Migrationsartikel!V24&amp;"&gt;&gt;"&amp;Migrationsartikel!W24&amp;"&gt;&gt;"&amp;Migrationsartikel!X24</f>
        <v>Warengruppe&gt;&gt;Backwaren &amp; Convenience&gt;&gt;Brot und Backwaren&gt;&gt;Backwaren andere</v>
      </c>
      <c r="H26" s="31" t="s">
        <v>109</v>
      </c>
      <c r="I26" s="31" t="s">
        <v>121</v>
      </c>
      <c r="J26" s="31">
        <f>Migrationsartikel!B24</f>
        <v>722</v>
      </c>
      <c r="L26" t="str">
        <f>Migrationsartikel!F24&amp;" "&amp;Migrationsartikel!G24&amp;" "&amp;Migrationsartikel!H24</f>
        <v>Mandelgipfel  aus der Region 1Stk</v>
      </c>
      <c r="M26" t="str">
        <f>Migrationsartikel!J24&amp;" "&amp;Migrationsartikel!K24&amp;" "&amp;Migrationsartikel!L24</f>
        <v>Croissant aux amandes  de la région 1pce</v>
      </c>
      <c r="N26" t="str">
        <f>Migrationsartikel!N24&amp;" "&amp;Migrationsartikel!O24&amp;" "&amp;Migrationsartikel!P24</f>
        <v>Cornetto alle mandorle della regione 1pz</v>
      </c>
      <c r="O26" t="str">
        <f>Migrationsartikel!F24</f>
        <v xml:space="preserve">Mandelgipfel </v>
      </c>
      <c r="P26" t="str">
        <f>Migrationsartikel!J24</f>
        <v xml:space="preserve">Croissant aux amandes </v>
      </c>
      <c r="Q26" t="str">
        <f>Migrationsartikel!N24</f>
        <v>Cornetto alle mandorle</v>
      </c>
      <c r="R26" t="str">
        <f>Migrationsartikel!G24</f>
        <v>aus der Region</v>
      </c>
      <c r="S26" t="str">
        <f>Migrationsartikel!K24</f>
        <v>de la région</v>
      </c>
      <c r="T26" t="str">
        <f>Migrationsartikel!O24</f>
        <v>della regione</v>
      </c>
      <c r="U26" s="31" t="str">
        <f>Migrationsartikel!H24</f>
        <v>1Stk</v>
      </c>
      <c r="V26" s="31" t="str">
        <f>Migrationsartikel!L24</f>
        <v>1pce</v>
      </c>
      <c r="W26" s="31" t="str">
        <f>Migrationsartikel!P24</f>
        <v>1pz</v>
      </c>
      <c r="X26" t="str">
        <f>Migrationsartikel!I24</f>
        <v xml:space="preserve">Mandelgipfel </v>
      </c>
      <c r="Y26" t="str">
        <f>Migrationsartikel!M24</f>
        <v xml:space="preserve">Croissant aux amandes </v>
      </c>
      <c r="Z26" t="str">
        <f>Migrationsartikel!Q24</f>
        <v>Cornetto alle mandorle</v>
      </c>
      <c r="AA26" s="45">
        <f>Migrationsartikel!R24</f>
        <v>1</v>
      </c>
      <c r="AB26" s="46" t="str">
        <f>Migrationsartikel!T24</f>
        <v>Stück</v>
      </c>
      <c r="AC26">
        <f>Migrationsartikel!S24</f>
        <v>1</v>
      </c>
      <c r="AD26" t="str">
        <f>Migrationsartikel!U24</f>
        <v>(PCE) Stück</v>
      </c>
      <c r="AE26" s="31" t="s">
        <v>179</v>
      </c>
      <c r="AF26" s="31" t="s">
        <v>192</v>
      </c>
      <c r="AG26" t="str">
        <f>IF(Migrationsartikel!AB24="ja","true",FALSE)</f>
        <v>true</v>
      </c>
      <c r="AH26" t="str">
        <f>IF(Migrationsartikel!AC24="ja","true",FALSE)</f>
        <v>true</v>
      </c>
      <c r="AI26" t="str">
        <f>IF(Migrationsartikel!AD24="ja","true",FALSE)</f>
        <v>true</v>
      </c>
      <c r="AJ26" t="str">
        <f>IF(Migrationsartikel!AE24="ja","true",FALSE)</f>
        <v>true</v>
      </c>
      <c r="AK26" t="str">
        <f>IF(Migrationsartikel!AF24="ja","Denner Partner","")</f>
        <v/>
      </c>
      <c r="AL26" t="str">
        <f>IF(Migrationsartikel!AG24="ja","true","false")</f>
        <v>false</v>
      </c>
      <c r="AM26" t="str">
        <f t="shared" si="0"/>
        <v>PLU</v>
      </c>
      <c r="AN26" s="31" t="s">
        <v>219</v>
      </c>
      <c r="AO26" s="31" t="s">
        <v>217</v>
      </c>
    </row>
    <row r="27" spans="2:41" ht="21.75" customHeight="1" x14ac:dyDescent="0.45">
      <c r="B27" t="s">
        <v>99</v>
      </c>
      <c r="E27" s="31" t="s">
        <v>1437</v>
      </c>
      <c r="F27" t="str">
        <f>"Warengruppe&gt;&gt;"&amp;Migrationsartikel!V25&amp;"&gt;&gt;"&amp;Migrationsartikel!W25&amp;"&gt;&gt;"&amp;Migrationsartikel!X25</f>
        <v>Warengruppe&gt;&gt;Backwaren &amp; Convenience&gt;&gt;Brot und Backwaren&gt;&gt;Backwaren andere</v>
      </c>
      <c r="H27" s="31" t="s">
        <v>109</v>
      </c>
      <c r="I27" s="31" t="s">
        <v>121</v>
      </c>
      <c r="J27" s="31">
        <f>Migrationsartikel!B25</f>
        <v>723</v>
      </c>
      <c r="L27" t="str">
        <f>Migrationsartikel!F25&amp;" "&amp;Migrationsartikel!G25&amp;" "&amp;Migrationsartikel!H25</f>
        <v>Mehrkorngipfel  aus der Region 1Stk</v>
      </c>
      <c r="M27" t="str">
        <f>Migrationsartikel!J25&amp;" "&amp;Migrationsartikel!K25&amp;" "&amp;Migrationsartikel!L25</f>
        <v>Croissant multicér. de la région 1pce</v>
      </c>
      <c r="N27" t="str">
        <f>Migrationsartikel!N25&amp;" "&amp;Migrationsartikel!O25&amp;" "&amp;Migrationsartikel!P25</f>
        <v>Cornetto ai cereali della regione 1pz</v>
      </c>
      <c r="O27" t="str">
        <f>Migrationsartikel!F25</f>
        <v xml:space="preserve">Mehrkorngipfel </v>
      </c>
      <c r="P27" t="str">
        <f>Migrationsartikel!J25</f>
        <v>Croissant multicér.</v>
      </c>
      <c r="Q27" t="str">
        <f>Migrationsartikel!N25</f>
        <v>Cornetto ai cereali</v>
      </c>
      <c r="R27" t="str">
        <f>Migrationsartikel!G25</f>
        <v>aus der Region</v>
      </c>
      <c r="S27" t="str">
        <f>Migrationsartikel!K25</f>
        <v>de la région</v>
      </c>
      <c r="T27" t="str">
        <f>Migrationsartikel!O25</f>
        <v>della regione</v>
      </c>
      <c r="U27" s="31" t="str">
        <f>Migrationsartikel!H25</f>
        <v>1Stk</v>
      </c>
      <c r="V27" s="31" t="str">
        <f>Migrationsartikel!L25</f>
        <v>1pce</v>
      </c>
      <c r="W27" s="31" t="str">
        <f>Migrationsartikel!P25</f>
        <v>1pz</v>
      </c>
      <c r="X27" t="str">
        <f>Migrationsartikel!I25</f>
        <v xml:space="preserve">Mehrkorngipfel </v>
      </c>
      <c r="Y27" t="str">
        <f>Migrationsartikel!M25</f>
        <v>Croissant multicér.</v>
      </c>
      <c r="Z27" t="str">
        <f>Migrationsartikel!Q25</f>
        <v>Cornetto ai cereali</v>
      </c>
      <c r="AA27" s="45">
        <f>Migrationsartikel!R25</f>
        <v>1</v>
      </c>
      <c r="AB27" s="46" t="str">
        <f>Migrationsartikel!T25</f>
        <v>Stück</v>
      </c>
      <c r="AC27">
        <f>Migrationsartikel!S25</f>
        <v>1</v>
      </c>
      <c r="AD27" t="str">
        <f>Migrationsartikel!U25</f>
        <v>(PCE) Stück</v>
      </c>
      <c r="AE27" s="31" t="s">
        <v>179</v>
      </c>
      <c r="AF27" s="31" t="s">
        <v>192</v>
      </c>
      <c r="AG27" t="str">
        <f>IF(Migrationsartikel!AB25="ja","true",FALSE)</f>
        <v>true</v>
      </c>
      <c r="AH27" t="str">
        <f>IF(Migrationsartikel!AC25="ja","true",FALSE)</f>
        <v>true</v>
      </c>
      <c r="AI27" t="str">
        <f>IF(Migrationsartikel!AD25="ja","true",FALSE)</f>
        <v>true</v>
      </c>
      <c r="AJ27" t="str">
        <f>IF(Migrationsartikel!AE25="ja","true",FALSE)</f>
        <v>true</v>
      </c>
      <c r="AK27" t="str">
        <f>IF(Migrationsartikel!AF25="ja","Denner Partner","")</f>
        <v/>
      </c>
      <c r="AL27" t="str">
        <f>IF(Migrationsartikel!AG25="ja","true","false")</f>
        <v>false</v>
      </c>
      <c r="AM27" t="str">
        <f t="shared" si="0"/>
        <v>PLU</v>
      </c>
      <c r="AN27" s="31" t="s">
        <v>219</v>
      </c>
      <c r="AO27" s="31" t="s">
        <v>217</v>
      </c>
    </row>
    <row r="28" spans="2:41" ht="21.75" customHeight="1" x14ac:dyDescent="0.45">
      <c r="B28" t="s">
        <v>99</v>
      </c>
      <c r="E28" s="31" t="s">
        <v>1438</v>
      </c>
      <c r="F28" t="str">
        <f>"Warengruppe&gt;&gt;"&amp;Migrationsartikel!V26&amp;"&gt;&gt;"&amp;Migrationsartikel!W26&amp;"&gt;&gt;"&amp;Migrationsartikel!X26</f>
        <v>Warengruppe&gt;&gt;Backwaren &amp; Convenience&gt;&gt;Brot und Backwaren&gt;&gt;Backwaren andere</v>
      </c>
      <c r="H28" s="31" t="s">
        <v>109</v>
      </c>
      <c r="I28" s="31" t="s">
        <v>121</v>
      </c>
      <c r="J28" s="31">
        <f>Migrationsartikel!B26</f>
        <v>724</v>
      </c>
      <c r="L28" t="str">
        <f>Migrationsartikel!F26&amp;" "&amp;Migrationsartikel!G26&amp;" "&amp;Migrationsartikel!H26</f>
        <v>Meringues  aus der Region 1Stk</v>
      </c>
      <c r="M28" t="str">
        <f>Migrationsartikel!J26&amp;" "&amp;Migrationsartikel!K26&amp;" "&amp;Migrationsartikel!L26</f>
        <v>Meringues régional de la région 1pce</v>
      </c>
      <c r="N28" s="31" t="str">
        <f>Migrationsartikel!N26&amp;" "&amp;Migrationsartikel!O26&amp;" "&amp;Migrationsartikel!P26</f>
        <v>Meringhe  della regione 1pz</v>
      </c>
      <c r="O28" t="str">
        <f>Migrationsartikel!F26</f>
        <v xml:space="preserve">Meringues </v>
      </c>
      <c r="P28" t="str">
        <f>Migrationsartikel!J26</f>
        <v>Meringues régional</v>
      </c>
      <c r="Q28" t="str">
        <f>Migrationsartikel!N26</f>
        <v xml:space="preserve">Meringhe </v>
      </c>
      <c r="R28" t="str">
        <f>Migrationsartikel!G26</f>
        <v>aus der Region</v>
      </c>
      <c r="S28" t="str">
        <f>Migrationsartikel!K26</f>
        <v>de la région</v>
      </c>
      <c r="T28" t="str">
        <f>Migrationsartikel!O26</f>
        <v>della regione</v>
      </c>
      <c r="U28" s="31" t="str">
        <f>Migrationsartikel!H26</f>
        <v>1Stk</v>
      </c>
      <c r="V28" s="31" t="str">
        <f>Migrationsartikel!L26</f>
        <v>1pce</v>
      </c>
      <c r="W28" s="31" t="str">
        <f>Migrationsartikel!P26</f>
        <v>1pz</v>
      </c>
      <c r="X28" t="str">
        <f>Migrationsartikel!I26</f>
        <v xml:space="preserve">Meringues </v>
      </c>
      <c r="Y28" t="str">
        <f>Migrationsartikel!M26</f>
        <v>Meringues</v>
      </c>
      <c r="Z28" t="str">
        <f>Migrationsartikel!Q26</f>
        <v xml:space="preserve">Meringhe </v>
      </c>
      <c r="AA28" s="45">
        <f>Migrationsartikel!R26</f>
        <v>1</v>
      </c>
      <c r="AB28" s="46" t="str">
        <f>Migrationsartikel!T26</f>
        <v>Stück</v>
      </c>
      <c r="AC28">
        <f>Migrationsartikel!S26</f>
        <v>1</v>
      </c>
      <c r="AD28" t="str">
        <f>Migrationsartikel!U26</f>
        <v>(PCE) Stück</v>
      </c>
      <c r="AE28" s="31" t="s">
        <v>179</v>
      </c>
      <c r="AF28" s="31" t="s">
        <v>192</v>
      </c>
      <c r="AG28" t="str">
        <f>IF(Migrationsartikel!AB26="ja","true",FALSE)</f>
        <v>true</v>
      </c>
      <c r="AH28" t="str">
        <f>IF(Migrationsartikel!AC26="ja","true",FALSE)</f>
        <v>true</v>
      </c>
      <c r="AI28" t="str">
        <f>IF(Migrationsartikel!AD26="ja","true",FALSE)</f>
        <v>true</v>
      </c>
      <c r="AJ28" t="str">
        <f>IF(Migrationsartikel!AE26="ja","true",FALSE)</f>
        <v>true</v>
      </c>
      <c r="AK28" t="str">
        <f>IF(Migrationsartikel!AF26="ja","Denner Partner","")</f>
        <v/>
      </c>
      <c r="AL28" t="str">
        <f>IF(Migrationsartikel!AG26="ja","true","false")</f>
        <v>false</v>
      </c>
      <c r="AM28" t="str">
        <f t="shared" si="0"/>
        <v>PLU</v>
      </c>
      <c r="AN28" s="31" t="s">
        <v>219</v>
      </c>
      <c r="AO28" s="31" t="s">
        <v>217</v>
      </c>
    </row>
    <row r="29" spans="2:41" ht="21.75" customHeight="1" x14ac:dyDescent="0.45">
      <c r="B29" t="s">
        <v>99</v>
      </c>
      <c r="E29" s="31" t="s">
        <v>1439</v>
      </c>
      <c r="F29" t="str">
        <f>"Warengruppe&gt;&gt;"&amp;Migrationsartikel!V27&amp;"&gt;&gt;"&amp;Migrationsartikel!W27&amp;"&gt;&gt;"&amp;Migrationsartikel!X27</f>
        <v>Warengruppe&gt;&gt;Backwaren &amp; Convenience&gt;&gt;Brot und Backwaren&gt;&gt;Backwaren andere</v>
      </c>
      <c r="H29" s="31" t="s">
        <v>109</v>
      </c>
      <c r="I29" s="31" t="s">
        <v>121</v>
      </c>
      <c r="J29" s="31">
        <f>Migrationsartikel!B27</f>
        <v>725</v>
      </c>
      <c r="L29" t="str">
        <f>Migrationsartikel!F27&amp;" "&amp;Migrationsartikel!G27&amp;" "&amp;Migrationsartikel!H27</f>
        <v>Nussgipfel  aus der Region 1Stk</v>
      </c>
      <c r="M29" t="str">
        <f>Migrationsartikel!J27&amp;" "&amp;Migrationsartikel!K27&amp;" "&amp;Migrationsartikel!L27</f>
        <v>Croissant aux noix de la région 1pce</v>
      </c>
      <c r="N29" t="str">
        <f>Migrationsartikel!N27&amp;" "&amp;Migrationsartikel!O27&amp;" "&amp;Migrationsartikel!P27</f>
        <v>Cornetto alle noci della regione 1pz</v>
      </c>
      <c r="O29" t="str">
        <f>Migrationsartikel!F27</f>
        <v xml:space="preserve">Nussgipfel </v>
      </c>
      <c r="P29" t="str">
        <f>Migrationsartikel!J27</f>
        <v>Croissant aux noix</v>
      </c>
      <c r="Q29" t="str">
        <f>Migrationsartikel!N27</f>
        <v>Cornetto alle noci</v>
      </c>
      <c r="R29" t="str">
        <f>Migrationsartikel!G27</f>
        <v>aus der Region</v>
      </c>
      <c r="S29" t="str">
        <f>Migrationsartikel!K27</f>
        <v>de la région</v>
      </c>
      <c r="T29" t="str">
        <f>Migrationsartikel!O27</f>
        <v>della regione</v>
      </c>
      <c r="U29" s="31" t="str">
        <f>Migrationsartikel!H27</f>
        <v>1Stk</v>
      </c>
      <c r="V29" s="31" t="str">
        <f>Migrationsartikel!L27</f>
        <v>1pce</v>
      </c>
      <c r="W29" s="31" t="str">
        <f>Migrationsartikel!P27</f>
        <v>1pz</v>
      </c>
      <c r="X29" t="str">
        <f>Migrationsartikel!I27</f>
        <v xml:space="preserve">Nussgipfel </v>
      </c>
      <c r="Y29" t="str">
        <f>Migrationsartikel!M27</f>
        <v>Croissant aux noix</v>
      </c>
      <c r="Z29" t="str">
        <f>Migrationsartikel!Q27</f>
        <v>Cornetto alle noci</v>
      </c>
      <c r="AA29" s="45">
        <f>Migrationsartikel!R27</f>
        <v>1</v>
      </c>
      <c r="AB29" s="46" t="str">
        <f>Migrationsartikel!T27</f>
        <v>Stück</v>
      </c>
      <c r="AC29">
        <f>Migrationsartikel!S27</f>
        <v>1</v>
      </c>
      <c r="AD29" t="str">
        <f>Migrationsartikel!U27</f>
        <v>(PCE) Stück</v>
      </c>
      <c r="AE29" s="31" t="s">
        <v>179</v>
      </c>
      <c r="AF29" s="31" t="s">
        <v>192</v>
      </c>
      <c r="AG29" t="str">
        <f>IF(Migrationsartikel!AB27="ja","true",FALSE)</f>
        <v>true</v>
      </c>
      <c r="AH29" t="str">
        <f>IF(Migrationsartikel!AC27="ja","true",FALSE)</f>
        <v>true</v>
      </c>
      <c r="AI29" t="str">
        <f>IF(Migrationsartikel!AD27="ja","true",FALSE)</f>
        <v>true</v>
      </c>
      <c r="AJ29" t="str">
        <f>IF(Migrationsartikel!AE27="ja","true",FALSE)</f>
        <v>true</v>
      </c>
      <c r="AK29" t="str">
        <f>IF(Migrationsartikel!AF27="ja","Denner Partner","")</f>
        <v/>
      </c>
      <c r="AL29" t="str">
        <f>IF(Migrationsartikel!AG27="ja","true","false")</f>
        <v>false</v>
      </c>
      <c r="AM29" t="str">
        <f t="shared" si="0"/>
        <v>PLU</v>
      </c>
      <c r="AN29" s="31" t="s">
        <v>219</v>
      </c>
      <c r="AO29" s="31" t="s">
        <v>217</v>
      </c>
    </row>
    <row r="30" spans="2:41" ht="21.75" customHeight="1" x14ac:dyDescent="0.45">
      <c r="B30" t="s">
        <v>99</v>
      </c>
      <c r="E30" s="31" t="s">
        <v>1440</v>
      </c>
      <c r="F30" t="str">
        <f>"Warengruppe&gt;&gt;"&amp;Migrationsartikel!V28&amp;"&gt;&gt;"&amp;Migrationsartikel!W28&amp;"&gt;&gt;"&amp;Migrationsartikel!X28</f>
        <v>Warengruppe&gt;&gt;Backwaren &amp; Convenience&gt;&gt;Brot und Backwaren&gt;&gt;Backwaren andere</v>
      </c>
      <c r="H30" s="31" t="s">
        <v>109</v>
      </c>
      <c r="I30" s="31" t="s">
        <v>121</v>
      </c>
      <c r="J30" s="31">
        <f>Migrationsartikel!B28</f>
        <v>726</v>
      </c>
      <c r="L30" t="str">
        <f>Migrationsartikel!F28&amp;" "&amp;Migrationsartikel!G28&amp;" "&amp;Migrationsartikel!H28</f>
        <v>Nuss-Stange  aus der Region 1Stk</v>
      </c>
      <c r="M30" t="str">
        <f>Migrationsartikel!J28&amp;" "&amp;Migrationsartikel!K28&amp;" "&amp;Migrationsartikel!L28</f>
        <v>Bâton aux noix de la région 1pce</v>
      </c>
      <c r="N30" t="str">
        <f>Migrationsartikel!N28&amp;" "&amp;Migrationsartikel!O28&amp;" "&amp;Migrationsartikel!P28</f>
        <v>Bastoncino alle noci della regione 1pz</v>
      </c>
      <c r="O30" t="str">
        <f>Migrationsartikel!F28</f>
        <v xml:space="preserve">Nuss-Stange </v>
      </c>
      <c r="P30" t="str">
        <f>Migrationsartikel!J28</f>
        <v>Bâton aux noix</v>
      </c>
      <c r="Q30" t="str">
        <f>Migrationsartikel!N28</f>
        <v>Bastoncino alle noci</v>
      </c>
      <c r="R30" t="str">
        <f>Migrationsartikel!G28</f>
        <v>aus der Region</v>
      </c>
      <c r="S30" t="str">
        <f>Migrationsartikel!K28</f>
        <v>de la région</v>
      </c>
      <c r="T30" t="str">
        <f>Migrationsartikel!O28</f>
        <v>della regione</v>
      </c>
      <c r="U30" s="31" t="str">
        <f>Migrationsartikel!H28</f>
        <v>1Stk</v>
      </c>
      <c r="V30" s="31" t="str">
        <f>Migrationsartikel!L28</f>
        <v>1pce</v>
      </c>
      <c r="W30" s="31" t="str">
        <f>Migrationsartikel!P28</f>
        <v>1pz</v>
      </c>
      <c r="X30" t="str">
        <f>Migrationsartikel!I28</f>
        <v xml:space="preserve">Nuss-Stange </v>
      </c>
      <c r="Y30" t="str">
        <f>Migrationsartikel!M28</f>
        <v>Bâton aux noix</v>
      </c>
      <c r="Z30" t="str">
        <f>Migrationsartikel!Q28</f>
        <v>Bastoncino alle noci</v>
      </c>
      <c r="AA30" s="45">
        <f>Migrationsartikel!R28</f>
        <v>1</v>
      </c>
      <c r="AB30" s="46" t="str">
        <f>Migrationsartikel!T28</f>
        <v>Stück</v>
      </c>
      <c r="AC30">
        <f>Migrationsartikel!S28</f>
        <v>1</v>
      </c>
      <c r="AD30" t="str">
        <f>Migrationsartikel!U28</f>
        <v>(PCE) Stück</v>
      </c>
      <c r="AE30" s="31" t="s">
        <v>179</v>
      </c>
      <c r="AF30" s="31" t="s">
        <v>192</v>
      </c>
      <c r="AG30" t="str">
        <f>IF(Migrationsartikel!AB28="ja","true",FALSE)</f>
        <v>true</v>
      </c>
      <c r="AH30" t="str">
        <f>IF(Migrationsartikel!AC28="ja","true",FALSE)</f>
        <v>true</v>
      </c>
      <c r="AI30" t="str">
        <f>IF(Migrationsartikel!AD28="ja","true",FALSE)</f>
        <v>true</v>
      </c>
      <c r="AJ30" t="str">
        <f>IF(Migrationsartikel!AE28="ja","true",FALSE)</f>
        <v>true</v>
      </c>
      <c r="AK30" t="str">
        <f>IF(Migrationsartikel!AF28="ja","Denner Partner","")</f>
        <v/>
      </c>
      <c r="AL30" t="str">
        <f>IF(Migrationsartikel!AG28="ja","true","false")</f>
        <v>false</v>
      </c>
      <c r="AM30" t="str">
        <f t="shared" si="0"/>
        <v>PLU</v>
      </c>
      <c r="AN30" s="31" t="s">
        <v>219</v>
      </c>
      <c r="AO30" s="31" t="s">
        <v>217</v>
      </c>
    </row>
    <row r="31" spans="2:41" ht="21.75" customHeight="1" x14ac:dyDescent="0.45">
      <c r="B31" t="s">
        <v>99</v>
      </c>
      <c r="E31" s="31" t="s">
        <v>1441</v>
      </c>
      <c r="F31" t="str">
        <f>"Warengruppe&gt;&gt;"&amp;Migrationsartikel!V29&amp;"&gt;&gt;"&amp;Migrationsartikel!W29&amp;"&gt;&gt;"&amp;Migrationsartikel!X29</f>
        <v>Warengruppe&gt;&gt;Backwaren &amp; Convenience&gt;&gt;Brot und Backwaren&gt;&gt;Backwaren andere</v>
      </c>
      <c r="H31" s="31" t="s">
        <v>109</v>
      </c>
      <c r="I31" s="31" t="s">
        <v>121</v>
      </c>
      <c r="J31" s="31">
        <f>Migrationsartikel!B29</f>
        <v>727</v>
      </c>
      <c r="L31" t="str">
        <f>Migrationsartikel!F29&amp;" "&amp;Migrationsartikel!G29&amp;" "&amp;Migrationsartikel!H29</f>
        <v>Pizza aus der Region 1Stk</v>
      </c>
      <c r="M31" t="str">
        <f>Migrationsartikel!J29&amp;" "&amp;Migrationsartikel!K29&amp;" "&amp;Migrationsartikel!L29</f>
        <v>Pizza  de la région 1pce</v>
      </c>
      <c r="N31" t="str">
        <f>Migrationsartikel!N29&amp;" "&amp;Migrationsartikel!O29&amp;" "&amp;Migrationsartikel!P29</f>
        <v>Pizza  della regione 1pz</v>
      </c>
      <c r="O31" t="str">
        <f>Migrationsartikel!F29</f>
        <v>Pizza</v>
      </c>
      <c r="P31" t="str">
        <f>Migrationsartikel!J29</f>
        <v xml:space="preserve">Pizza </v>
      </c>
      <c r="Q31" t="str">
        <f>Migrationsartikel!N29</f>
        <v xml:space="preserve">Pizza </v>
      </c>
      <c r="R31" t="str">
        <f>Migrationsartikel!G29</f>
        <v>aus der Region</v>
      </c>
      <c r="S31" t="str">
        <f>Migrationsartikel!K29</f>
        <v>de la région</v>
      </c>
      <c r="T31" t="str">
        <f>Migrationsartikel!O29</f>
        <v>della regione</v>
      </c>
      <c r="U31" s="31" t="str">
        <f>Migrationsartikel!H29</f>
        <v>1Stk</v>
      </c>
      <c r="V31" s="31" t="str">
        <f>Migrationsartikel!L29</f>
        <v>1pce</v>
      </c>
      <c r="W31" s="31" t="str">
        <f>Migrationsartikel!P29</f>
        <v>1pz</v>
      </c>
      <c r="X31" t="str">
        <f>Migrationsartikel!I29</f>
        <v>Pizza</v>
      </c>
      <c r="Y31" t="str">
        <f>Migrationsartikel!M29</f>
        <v xml:space="preserve">Pizza </v>
      </c>
      <c r="Z31" t="str">
        <f>Migrationsartikel!Q29</f>
        <v xml:space="preserve">Pizza </v>
      </c>
      <c r="AA31" s="45">
        <f>Migrationsartikel!R29</f>
        <v>1</v>
      </c>
      <c r="AB31" s="46" t="str">
        <f>Migrationsartikel!T29</f>
        <v>Stück</v>
      </c>
      <c r="AC31">
        <f>Migrationsartikel!S29</f>
        <v>1</v>
      </c>
      <c r="AD31" t="str">
        <f>Migrationsartikel!U29</f>
        <v>(PCE) Stück</v>
      </c>
      <c r="AE31" s="31" t="s">
        <v>179</v>
      </c>
      <c r="AF31" s="31" t="s">
        <v>192</v>
      </c>
      <c r="AG31" t="str">
        <f>IF(Migrationsartikel!AB29="ja","true",FALSE)</f>
        <v>true</v>
      </c>
      <c r="AH31" t="str">
        <f>IF(Migrationsartikel!AC29="ja","true",FALSE)</f>
        <v>true</v>
      </c>
      <c r="AI31" t="str">
        <f>IF(Migrationsartikel!AD29="ja","true",FALSE)</f>
        <v>true</v>
      </c>
      <c r="AJ31" t="str">
        <f>IF(Migrationsartikel!AE29="ja","true",FALSE)</f>
        <v>true</v>
      </c>
      <c r="AK31" t="str">
        <f>IF(Migrationsartikel!AF29="ja","Denner Partner","")</f>
        <v/>
      </c>
      <c r="AL31" t="str">
        <f>IF(Migrationsartikel!AG29="ja","true","false")</f>
        <v>false</v>
      </c>
      <c r="AM31" t="str">
        <f t="shared" si="0"/>
        <v>PLU</v>
      </c>
      <c r="AN31" s="31" t="s">
        <v>219</v>
      </c>
      <c r="AO31" s="31" t="s">
        <v>217</v>
      </c>
    </row>
    <row r="32" spans="2:41" ht="21.75" customHeight="1" x14ac:dyDescent="0.45">
      <c r="B32" t="s">
        <v>99</v>
      </c>
      <c r="E32" s="31" t="s">
        <v>1442</v>
      </c>
      <c r="F32" t="str">
        <f>"Warengruppe&gt;&gt;"&amp;Migrationsartikel!V30&amp;"&gt;&gt;"&amp;Migrationsartikel!W30&amp;"&gt;&gt;"&amp;Migrationsartikel!X30</f>
        <v>Warengruppe&gt;&gt;Backwaren &amp; Convenience&gt;&gt;Brot und Backwaren&gt;&gt;Backwaren andere</v>
      </c>
      <c r="H32" s="31" t="s">
        <v>109</v>
      </c>
      <c r="I32" s="31" t="s">
        <v>121</v>
      </c>
      <c r="J32" s="31">
        <f>Migrationsartikel!B30</f>
        <v>728</v>
      </c>
      <c r="L32" t="str">
        <f>Migrationsartikel!F30&amp;" "&amp;Migrationsartikel!G30&amp;" "&amp;Migrationsartikel!H30</f>
        <v>Ruchbrot aus der Region 1kg</v>
      </c>
      <c r="M32" t="str">
        <f>Migrationsartikel!J30&amp;" "&amp;Migrationsartikel!K30&amp;" "&amp;Migrationsartikel!L30</f>
        <v>Pain bis  de la région 1kg</v>
      </c>
      <c r="N32" t="str">
        <f>Migrationsartikel!N30&amp;" "&amp;Migrationsartikel!O30&amp;" "&amp;Migrationsartikel!P30</f>
        <v>Pane bigio  della regione 1kg</v>
      </c>
      <c r="O32" t="str">
        <f>Migrationsartikel!F30</f>
        <v>Ruchbrot</v>
      </c>
      <c r="P32" t="str">
        <f>Migrationsartikel!J30</f>
        <v xml:space="preserve">Pain bis </v>
      </c>
      <c r="Q32" t="str">
        <f>Migrationsartikel!N30</f>
        <v xml:space="preserve">Pane bigio </v>
      </c>
      <c r="R32" t="str">
        <f>Migrationsartikel!G30</f>
        <v>aus der Region</v>
      </c>
      <c r="S32" t="str">
        <f>Migrationsartikel!K30</f>
        <v>de la région</v>
      </c>
      <c r="T32" t="str">
        <f>Migrationsartikel!O30</f>
        <v>della regione</v>
      </c>
      <c r="U32" s="31" t="str">
        <f>Migrationsartikel!H30</f>
        <v>1kg</v>
      </c>
      <c r="V32" s="31" t="str">
        <f>Migrationsartikel!L30</f>
        <v>1kg</v>
      </c>
      <c r="W32" s="31" t="str">
        <f>Migrationsartikel!P30</f>
        <v>1kg</v>
      </c>
      <c r="X32" t="str">
        <f>Migrationsartikel!I30</f>
        <v>Ruchbrot 1kg</v>
      </c>
      <c r="Y32" t="str">
        <f>Migrationsartikel!M30</f>
        <v>Pain bis 1kg</v>
      </c>
      <c r="Z32" t="str">
        <f>Migrationsartikel!Q30</f>
        <v>Pane bigio 1kg</v>
      </c>
      <c r="AA32" s="45">
        <f>Migrationsartikel!R30</f>
        <v>1</v>
      </c>
      <c r="AB32" s="46" t="str">
        <f>Migrationsartikel!T30</f>
        <v>Gramm</v>
      </c>
      <c r="AC32">
        <f>Migrationsartikel!S30</f>
        <v>100</v>
      </c>
      <c r="AD32" t="str">
        <f>Migrationsartikel!U30</f>
        <v>(PCE) Stück</v>
      </c>
      <c r="AE32" s="31" t="s">
        <v>179</v>
      </c>
      <c r="AF32" s="31" t="s">
        <v>192</v>
      </c>
      <c r="AG32" t="str">
        <f>IF(Migrationsartikel!AB30="ja","true",FALSE)</f>
        <v>true</v>
      </c>
      <c r="AH32" t="str">
        <f>IF(Migrationsartikel!AC30="ja","true",FALSE)</f>
        <v>true</v>
      </c>
      <c r="AI32" t="str">
        <f>IF(Migrationsartikel!AD30="ja","true",FALSE)</f>
        <v>true</v>
      </c>
      <c r="AJ32" t="str">
        <f>IF(Migrationsartikel!AE30="ja","true",FALSE)</f>
        <v>true</v>
      </c>
      <c r="AK32" t="str">
        <f>IF(Migrationsartikel!AF30="ja","Denner Partner","")</f>
        <v/>
      </c>
      <c r="AL32" t="str">
        <f>IF(Migrationsartikel!AG30="ja","true","false")</f>
        <v>false</v>
      </c>
      <c r="AM32" t="str">
        <f t="shared" si="0"/>
        <v>PLU</v>
      </c>
      <c r="AN32" s="31" t="s">
        <v>219</v>
      </c>
      <c r="AO32" s="31" t="s">
        <v>217</v>
      </c>
    </row>
    <row r="33" spans="2:41" ht="21.75" customHeight="1" x14ac:dyDescent="0.45">
      <c r="B33" t="s">
        <v>99</v>
      </c>
      <c r="E33" s="31" t="s">
        <v>1443</v>
      </c>
      <c r="F33" t="str">
        <f>"Warengruppe&gt;&gt;"&amp;Migrationsartikel!V31&amp;"&gt;&gt;"&amp;Migrationsartikel!W31&amp;"&gt;&gt;"&amp;Migrationsartikel!X31</f>
        <v>Warengruppe&gt;&gt;Backwaren &amp; Convenience&gt;&gt;Brot und Backwaren&gt;&gt;Backwaren andere</v>
      </c>
      <c r="H33" s="31" t="s">
        <v>109</v>
      </c>
      <c r="I33" s="31" t="s">
        <v>121</v>
      </c>
      <c r="J33" s="31">
        <f>Migrationsartikel!B31</f>
        <v>729</v>
      </c>
      <c r="L33" t="str">
        <f>Migrationsartikel!F31&amp;" "&amp;Migrationsartikel!G31&amp;" "&amp;Migrationsartikel!H31</f>
        <v>Ruchbrot aus der Region 500g</v>
      </c>
      <c r="M33" t="str">
        <f>Migrationsartikel!J31&amp;" "&amp;Migrationsartikel!K31&amp;" "&amp;Migrationsartikel!L31</f>
        <v>Pain bis  de la région 500g</v>
      </c>
      <c r="N33" t="str">
        <f>Migrationsartikel!N31&amp;" "&amp;Migrationsartikel!O31&amp;" "&amp;Migrationsartikel!P31</f>
        <v>Pane bigio della regione 500g</v>
      </c>
      <c r="O33" t="str">
        <f>Migrationsartikel!F31</f>
        <v>Ruchbrot</v>
      </c>
      <c r="P33" t="str">
        <f>Migrationsartikel!J31</f>
        <v xml:space="preserve">Pain bis </v>
      </c>
      <c r="Q33" t="str">
        <f>Migrationsartikel!N31</f>
        <v>Pane bigio</v>
      </c>
      <c r="R33" t="str">
        <f>Migrationsartikel!G31</f>
        <v>aus der Region</v>
      </c>
      <c r="S33" t="str">
        <f>Migrationsartikel!K31</f>
        <v>de la région</v>
      </c>
      <c r="T33" t="str">
        <f>Migrationsartikel!O31</f>
        <v>della regione</v>
      </c>
      <c r="U33" s="31" t="str">
        <f>Migrationsartikel!H31</f>
        <v>500g</v>
      </c>
      <c r="V33" s="31" t="str">
        <f>Migrationsartikel!L31</f>
        <v>500g</v>
      </c>
      <c r="W33" s="31" t="str">
        <f>Migrationsartikel!P31</f>
        <v>500g</v>
      </c>
      <c r="X33" t="str">
        <f>Migrationsartikel!I31</f>
        <v>Ruchbrot 500g</v>
      </c>
      <c r="Y33" t="str">
        <f>Migrationsartikel!M31</f>
        <v>Pain bis 500g</v>
      </c>
      <c r="Z33" t="str">
        <f>Migrationsartikel!Q31</f>
        <v>Pane bigio 500g</v>
      </c>
      <c r="AA33" s="45">
        <f>Migrationsartikel!R31</f>
        <v>0.5</v>
      </c>
      <c r="AB33" s="46" t="str">
        <f>Migrationsartikel!T31</f>
        <v>Gramm</v>
      </c>
      <c r="AC33">
        <f>Migrationsartikel!S31</f>
        <v>100</v>
      </c>
      <c r="AD33" t="str">
        <f>Migrationsartikel!U31</f>
        <v>(PCE) Stück</v>
      </c>
      <c r="AE33" s="31" t="s">
        <v>179</v>
      </c>
      <c r="AF33" s="31" t="s">
        <v>192</v>
      </c>
      <c r="AG33" t="str">
        <f>IF(Migrationsartikel!AB31="ja","true",FALSE)</f>
        <v>true</v>
      </c>
      <c r="AH33" t="str">
        <f>IF(Migrationsartikel!AC31="ja","true",FALSE)</f>
        <v>true</v>
      </c>
      <c r="AI33" t="str">
        <f>IF(Migrationsartikel!AD31="ja","true",FALSE)</f>
        <v>true</v>
      </c>
      <c r="AJ33" t="str">
        <f>IF(Migrationsartikel!AE31="ja","true",FALSE)</f>
        <v>true</v>
      </c>
      <c r="AK33" t="str">
        <f>IF(Migrationsartikel!AF31="ja","Denner Partner","")</f>
        <v/>
      </c>
      <c r="AL33" t="str">
        <f>IF(Migrationsartikel!AG31="ja","true","false")</f>
        <v>false</v>
      </c>
      <c r="AM33" t="str">
        <f t="shared" si="0"/>
        <v>PLU</v>
      </c>
      <c r="AN33" s="31" t="s">
        <v>219</v>
      </c>
      <c r="AO33" s="31" t="s">
        <v>217</v>
      </c>
    </row>
    <row r="34" spans="2:41" ht="21.75" customHeight="1" x14ac:dyDescent="0.45">
      <c r="B34" t="s">
        <v>99</v>
      </c>
      <c r="E34" s="31" t="s">
        <v>1444</v>
      </c>
      <c r="F34" t="str">
        <f>"Warengruppe&gt;&gt;"&amp;Migrationsartikel!V32&amp;"&gt;&gt;"&amp;Migrationsartikel!W32&amp;"&gt;&gt;"&amp;Migrationsartikel!X32</f>
        <v>Warengruppe&gt;&gt;Backwaren &amp; Convenience&gt;&gt;Brot und Backwaren&gt;&gt;Backwaren andere</v>
      </c>
      <c r="H34" s="31" t="s">
        <v>109</v>
      </c>
      <c r="I34" s="31" t="s">
        <v>121</v>
      </c>
      <c r="J34" s="31">
        <f>Migrationsartikel!B32</f>
        <v>730</v>
      </c>
      <c r="L34" t="str">
        <f>Migrationsartikel!F32&amp;" "&amp;Migrationsartikel!G32&amp;" "&amp;Migrationsartikel!H32</f>
        <v>Ruchbrot  aus der Region 250g</v>
      </c>
      <c r="M34" t="str">
        <f>Migrationsartikel!J32&amp;" "&amp;Migrationsartikel!K32&amp;" "&amp;Migrationsartikel!L32</f>
        <v>Pain bis  de la région 250g</v>
      </c>
      <c r="N34" t="str">
        <f>Migrationsartikel!N32&amp;" "&amp;Migrationsartikel!O32&amp;" "&amp;Migrationsartikel!P32</f>
        <v>Pane bigio della regione 250g</v>
      </c>
      <c r="O34" t="str">
        <f>Migrationsartikel!F32</f>
        <v xml:space="preserve">Ruchbrot </v>
      </c>
      <c r="P34" t="str">
        <f>Migrationsartikel!J32</f>
        <v xml:space="preserve">Pain bis </v>
      </c>
      <c r="Q34" t="str">
        <f>Migrationsartikel!N32</f>
        <v>Pane bigio</v>
      </c>
      <c r="R34" t="str">
        <f>Migrationsartikel!G32</f>
        <v>aus der Region</v>
      </c>
      <c r="S34" t="str">
        <f>Migrationsartikel!K32</f>
        <v>de la région</v>
      </c>
      <c r="T34" t="str">
        <f>Migrationsartikel!O32</f>
        <v>della regione</v>
      </c>
      <c r="U34" s="31" t="str">
        <f>Migrationsartikel!H32</f>
        <v>250g</v>
      </c>
      <c r="V34" s="31" t="str">
        <f>Migrationsartikel!L32</f>
        <v>250g</v>
      </c>
      <c r="W34" s="31" t="str">
        <f>Migrationsartikel!P32</f>
        <v>250g</v>
      </c>
      <c r="X34" t="str">
        <f>Migrationsartikel!I32</f>
        <v>Ruchbrot 250g</v>
      </c>
      <c r="Y34" t="str">
        <f>Migrationsartikel!M32</f>
        <v>Pain bis 250g</v>
      </c>
      <c r="Z34" t="str">
        <f>Migrationsartikel!Q32</f>
        <v>Pane bigio 250g</v>
      </c>
      <c r="AA34" s="45">
        <f>Migrationsartikel!R32</f>
        <v>0.25</v>
      </c>
      <c r="AB34" s="46" t="str">
        <f>Migrationsartikel!T32</f>
        <v>Gramm</v>
      </c>
      <c r="AC34">
        <f>Migrationsartikel!S32</f>
        <v>100</v>
      </c>
      <c r="AD34" t="str">
        <f>Migrationsartikel!U32</f>
        <v>(PCE) Stück</v>
      </c>
      <c r="AE34" s="31" t="s">
        <v>179</v>
      </c>
      <c r="AF34" s="31" t="s">
        <v>192</v>
      </c>
      <c r="AG34" t="str">
        <f>IF(Migrationsartikel!AB32="ja","true",FALSE)</f>
        <v>true</v>
      </c>
      <c r="AH34" t="str">
        <f>IF(Migrationsartikel!AC32="ja","true",FALSE)</f>
        <v>true</v>
      </c>
      <c r="AI34" t="str">
        <f>IF(Migrationsartikel!AD32="ja","true",FALSE)</f>
        <v>true</v>
      </c>
      <c r="AJ34" t="str">
        <f>IF(Migrationsartikel!AE32="ja","true",FALSE)</f>
        <v>true</v>
      </c>
      <c r="AK34" t="str">
        <f>IF(Migrationsartikel!AF32="ja","Denner Partner","")</f>
        <v/>
      </c>
      <c r="AL34" t="str">
        <f>IF(Migrationsartikel!AG32="ja","true","false")</f>
        <v>false</v>
      </c>
      <c r="AM34" t="str">
        <f t="shared" si="0"/>
        <v>PLU</v>
      </c>
      <c r="AN34" s="31" t="s">
        <v>219</v>
      </c>
      <c r="AO34" s="31" t="s">
        <v>217</v>
      </c>
    </row>
    <row r="35" spans="2:41" ht="21.75" customHeight="1" x14ac:dyDescent="0.45">
      <c r="B35" t="s">
        <v>99</v>
      </c>
      <c r="E35" s="31" t="s">
        <v>1445</v>
      </c>
      <c r="F35" t="str">
        <f>"Warengruppe&gt;&gt;"&amp;Migrationsartikel!V33&amp;"&gt;&gt;"&amp;Migrationsartikel!W33&amp;"&gt;&gt;"&amp;Migrationsartikel!X33</f>
        <v>Warengruppe&gt;&gt;Backwaren &amp; Convenience&gt;&gt;Brot und Backwaren&gt;&gt;Backwaren andere</v>
      </c>
      <c r="H35" s="31" t="s">
        <v>109</v>
      </c>
      <c r="I35" s="31" t="s">
        <v>121</v>
      </c>
      <c r="J35" s="31">
        <f>Migrationsartikel!B33</f>
        <v>731</v>
      </c>
      <c r="L35" t="str">
        <f>Migrationsartikel!F33&amp;" "&amp;Migrationsartikel!G33&amp;" "&amp;Migrationsartikel!H33</f>
        <v>Sandwich aus der Region 1Stk</v>
      </c>
      <c r="M35" t="str">
        <f>Migrationsartikel!J33&amp;" "&amp;Migrationsartikel!K33&amp;" "&amp;Migrationsartikel!L33</f>
        <v>Sandwich de la région 1pce</v>
      </c>
      <c r="N35" t="str">
        <f>Migrationsartikel!N33&amp;" "&amp;Migrationsartikel!O33&amp;" "&amp;Migrationsartikel!P33</f>
        <v>Panino della regione 1pz</v>
      </c>
      <c r="O35" t="str">
        <f>Migrationsartikel!F33</f>
        <v>Sandwich</v>
      </c>
      <c r="P35" t="str">
        <f>Migrationsartikel!J33</f>
        <v>Sandwich</v>
      </c>
      <c r="Q35" t="str">
        <f>Migrationsartikel!N33</f>
        <v>Panino</v>
      </c>
      <c r="R35" t="str">
        <f>Migrationsartikel!G33</f>
        <v>aus der Region</v>
      </c>
      <c r="S35" t="str">
        <f>Migrationsartikel!K33</f>
        <v>de la région</v>
      </c>
      <c r="T35" t="str">
        <f>Migrationsartikel!O33</f>
        <v>della regione</v>
      </c>
      <c r="U35" s="31" t="str">
        <f>Migrationsartikel!H33</f>
        <v>1Stk</v>
      </c>
      <c r="V35" s="31" t="str">
        <f>Migrationsartikel!L33</f>
        <v>1pce</v>
      </c>
      <c r="W35" s="31" t="str">
        <f>Migrationsartikel!P33</f>
        <v>1pz</v>
      </c>
      <c r="X35" t="str">
        <f>Migrationsartikel!I33</f>
        <v>Sandwich</v>
      </c>
      <c r="Y35" t="str">
        <f>Migrationsartikel!M33</f>
        <v>Sandwich</v>
      </c>
      <c r="Z35" t="str">
        <f>Migrationsartikel!Q33</f>
        <v>Panino</v>
      </c>
      <c r="AA35" s="45">
        <f>Migrationsartikel!R33</f>
        <v>1</v>
      </c>
      <c r="AB35" s="46" t="str">
        <f>Migrationsartikel!T33</f>
        <v>Stück</v>
      </c>
      <c r="AC35">
        <f>Migrationsartikel!S33</f>
        <v>1</v>
      </c>
      <c r="AD35" t="str">
        <f>Migrationsartikel!U33</f>
        <v>(PCE) Stück</v>
      </c>
      <c r="AE35" s="31" t="s">
        <v>179</v>
      </c>
      <c r="AF35" s="31" t="s">
        <v>192</v>
      </c>
      <c r="AG35" t="str">
        <f>IF(Migrationsartikel!AB33="ja","true",FALSE)</f>
        <v>true</v>
      </c>
      <c r="AH35" t="str">
        <f>IF(Migrationsartikel!AC33="ja","true",FALSE)</f>
        <v>true</v>
      </c>
      <c r="AI35" t="str">
        <f>IF(Migrationsartikel!AD33="ja","true",FALSE)</f>
        <v>true</v>
      </c>
      <c r="AJ35" t="str">
        <f>IF(Migrationsartikel!AE33="ja","true",FALSE)</f>
        <v>true</v>
      </c>
      <c r="AK35" t="str">
        <f>IF(Migrationsartikel!AF33="ja","Denner Partner","")</f>
        <v/>
      </c>
      <c r="AL35" t="str">
        <f>IF(Migrationsartikel!AG33="ja","true","false")</f>
        <v>false</v>
      </c>
      <c r="AM35" t="str">
        <f t="shared" si="0"/>
        <v>PLU</v>
      </c>
      <c r="AN35" s="31" t="s">
        <v>219</v>
      </c>
      <c r="AO35" s="31" t="s">
        <v>217</v>
      </c>
    </row>
    <row r="36" spans="2:41" ht="21.75" customHeight="1" x14ac:dyDescent="0.45">
      <c r="B36" t="s">
        <v>99</v>
      </c>
      <c r="E36" s="31" t="s">
        <v>1446</v>
      </c>
      <c r="F36" t="str">
        <f>"Warengruppe&gt;&gt;"&amp;Migrationsartikel!V34&amp;"&gt;&gt;"&amp;Migrationsartikel!W34&amp;"&gt;&gt;"&amp;Migrationsartikel!X34</f>
        <v>Warengruppe&gt;&gt;Backwaren &amp; Convenience&gt;&gt;Brot und Backwaren&gt;&gt;Backwaren andere</v>
      </c>
      <c r="H36" s="31" t="s">
        <v>109</v>
      </c>
      <c r="I36" s="31" t="s">
        <v>121</v>
      </c>
      <c r="J36" s="31">
        <f>Migrationsartikel!B34</f>
        <v>732</v>
      </c>
      <c r="L36" t="str">
        <f>Migrationsartikel!F34&amp;" "&amp;Migrationsartikel!G34&amp;" "&amp;Migrationsartikel!H34</f>
        <v>Sandwichbrötli gross aus der Region 1Stk</v>
      </c>
      <c r="M36" t="str">
        <f>Migrationsartikel!J34&amp;" "&amp;Migrationsartikel!K34&amp;" "&amp;Migrationsartikel!L34</f>
        <v>Pain sandwich grand de la région 1pce</v>
      </c>
      <c r="N36" t="str">
        <f>Migrationsartikel!N34&amp;" "&amp;Migrationsartikel!O34&amp;" "&amp;Migrationsartikel!P34</f>
        <v>Pane per panino grande della regione 1pz</v>
      </c>
      <c r="O36" t="str">
        <f>Migrationsartikel!F34</f>
        <v>Sandwichbrötli gross</v>
      </c>
      <c r="P36" t="str">
        <f>Migrationsartikel!J34</f>
        <v>Pain sandwich grand</v>
      </c>
      <c r="Q36" t="str">
        <f>Migrationsartikel!N34</f>
        <v>Pane per panino grande</v>
      </c>
      <c r="R36" t="str">
        <f>Migrationsartikel!G34</f>
        <v>aus der Region</v>
      </c>
      <c r="S36" t="str">
        <f>Migrationsartikel!K34</f>
        <v>de la région</v>
      </c>
      <c r="T36" t="str">
        <f>Migrationsartikel!O34</f>
        <v>della regione</v>
      </c>
      <c r="U36" s="31" t="str">
        <f>Migrationsartikel!H34</f>
        <v>1Stk</v>
      </c>
      <c r="V36" s="31" t="str">
        <f>Migrationsartikel!L34</f>
        <v>1pce</v>
      </c>
      <c r="W36" s="31" t="str">
        <f>Migrationsartikel!P34</f>
        <v>1pz</v>
      </c>
      <c r="X36" t="str">
        <f>Migrationsartikel!I34</f>
        <v>Sandwichbrötli gross</v>
      </c>
      <c r="Y36" t="str">
        <f>Migrationsartikel!M34</f>
        <v>Pain sandwich grand</v>
      </c>
      <c r="Z36" t="str">
        <f>Migrationsartikel!Q34</f>
        <v>Pane per panino grande</v>
      </c>
      <c r="AA36" s="45">
        <f>Migrationsartikel!R34</f>
        <v>1</v>
      </c>
      <c r="AB36" s="46" t="str">
        <f>Migrationsartikel!T34</f>
        <v>Stück</v>
      </c>
      <c r="AC36">
        <f>Migrationsartikel!S34</f>
        <v>1</v>
      </c>
      <c r="AD36" t="str">
        <f>Migrationsartikel!U34</f>
        <v>(PCE) Stück</v>
      </c>
      <c r="AE36" s="31" t="s">
        <v>179</v>
      </c>
      <c r="AF36" s="31" t="s">
        <v>192</v>
      </c>
      <c r="AG36" t="str">
        <f>IF(Migrationsartikel!AB34="ja","true",FALSE)</f>
        <v>true</v>
      </c>
      <c r="AH36" t="str">
        <f>IF(Migrationsartikel!AC34="ja","true",FALSE)</f>
        <v>true</v>
      </c>
      <c r="AI36" t="str">
        <f>IF(Migrationsartikel!AD34="ja","true",FALSE)</f>
        <v>true</v>
      </c>
      <c r="AJ36" t="str">
        <f>IF(Migrationsartikel!AE34="ja","true",FALSE)</f>
        <v>true</v>
      </c>
      <c r="AK36" t="str">
        <f>IF(Migrationsartikel!AF34="ja","Denner Partner","")</f>
        <v/>
      </c>
      <c r="AL36" t="str">
        <f>IF(Migrationsartikel!AG34="ja","true","false")</f>
        <v>false</v>
      </c>
      <c r="AM36" t="str">
        <f t="shared" si="0"/>
        <v>PLU</v>
      </c>
      <c r="AN36" s="31" t="s">
        <v>219</v>
      </c>
      <c r="AO36" s="31" t="s">
        <v>217</v>
      </c>
    </row>
    <row r="37" spans="2:41" ht="21.75" customHeight="1" x14ac:dyDescent="0.45">
      <c r="B37" t="s">
        <v>99</v>
      </c>
      <c r="E37" s="31" t="s">
        <v>1447</v>
      </c>
      <c r="F37" t="str">
        <f>"Warengruppe&gt;&gt;"&amp;Migrationsartikel!V35&amp;"&gt;&gt;"&amp;Migrationsartikel!W35&amp;"&gt;&gt;"&amp;Migrationsartikel!X35</f>
        <v>Warengruppe&gt;&gt;Backwaren &amp; Convenience&gt;&gt;Brot und Backwaren&gt;&gt;Backwaren andere</v>
      </c>
      <c r="H37" s="31" t="s">
        <v>109</v>
      </c>
      <c r="I37" s="31" t="s">
        <v>121</v>
      </c>
      <c r="J37" s="31">
        <f>Migrationsartikel!B35</f>
        <v>733</v>
      </c>
      <c r="L37" t="str">
        <f>Migrationsartikel!F35&amp;" "&amp;Migrationsartikel!G35&amp;" "&amp;Migrationsartikel!H35</f>
        <v>Sandwichbrötli klein aus der Region 1Stk</v>
      </c>
      <c r="M37" t="str">
        <f>Migrationsartikel!J35&amp;" "&amp;Migrationsartikel!K35&amp;" "&amp;Migrationsartikel!L35</f>
        <v>Pain sandwich petit de la région 1pce</v>
      </c>
      <c r="N37" t="str">
        <f>Migrationsartikel!N35&amp;" "&amp;Migrationsartikel!O35&amp;" "&amp;Migrationsartikel!P35</f>
        <v>Pane per panino picc. della regione 1pz</v>
      </c>
      <c r="O37" t="str">
        <f>Migrationsartikel!F35</f>
        <v>Sandwichbrötli klein</v>
      </c>
      <c r="P37" t="str">
        <f>Migrationsartikel!J35</f>
        <v>Pain sandwich petit</v>
      </c>
      <c r="Q37" t="str">
        <f>Migrationsartikel!N35</f>
        <v>Pane per panino picc.</v>
      </c>
      <c r="R37" t="str">
        <f>Migrationsartikel!G35</f>
        <v>aus der Region</v>
      </c>
      <c r="S37" t="str">
        <f>Migrationsartikel!K35</f>
        <v>de la région</v>
      </c>
      <c r="T37" t="str">
        <f>Migrationsartikel!O35</f>
        <v>della regione</v>
      </c>
      <c r="U37" s="31" t="str">
        <f>Migrationsartikel!H35</f>
        <v>1Stk</v>
      </c>
      <c r="V37" s="31" t="str">
        <f>Migrationsartikel!L35</f>
        <v>1pce</v>
      </c>
      <c r="W37" s="31" t="str">
        <f>Migrationsartikel!P35</f>
        <v>1pz</v>
      </c>
      <c r="X37" t="str">
        <f>Migrationsartikel!I35</f>
        <v>Sandwichbrötli klein</v>
      </c>
      <c r="Y37" t="str">
        <f>Migrationsartikel!M35</f>
        <v>Pain sandwich petit</v>
      </c>
      <c r="Z37" t="str">
        <f>Migrationsartikel!Q35</f>
        <v>Pane per panino picc.</v>
      </c>
      <c r="AA37" s="45">
        <f>Migrationsartikel!R35</f>
        <v>1</v>
      </c>
      <c r="AB37" s="46" t="str">
        <f>Migrationsartikel!T35</f>
        <v>Stück</v>
      </c>
      <c r="AC37">
        <f>Migrationsartikel!S35</f>
        <v>1</v>
      </c>
      <c r="AD37" t="str">
        <f>Migrationsartikel!U35</f>
        <v>(PCE) Stück</v>
      </c>
      <c r="AE37" s="31" t="s">
        <v>179</v>
      </c>
      <c r="AF37" s="31" t="s">
        <v>192</v>
      </c>
      <c r="AG37" t="str">
        <f>IF(Migrationsartikel!AB35="ja","true",FALSE)</f>
        <v>true</v>
      </c>
      <c r="AH37" t="str">
        <f>IF(Migrationsartikel!AC35="ja","true",FALSE)</f>
        <v>true</v>
      </c>
      <c r="AI37" t="str">
        <f>IF(Migrationsartikel!AD35="ja","true",FALSE)</f>
        <v>true</v>
      </c>
      <c r="AJ37" t="str">
        <f>IF(Migrationsartikel!AE35="ja","true",FALSE)</f>
        <v>true</v>
      </c>
      <c r="AK37" t="str">
        <f>IF(Migrationsartikel!AF35="ja","Denner Partner","")</f>
        <v/>
      </c>
      <c r="AL37" t="str">
        <f>IF(Migrationsartikel!AG35="ja","true","false")</f>
        <v>false</v>
      </c>
      <c r="AM37" t="str">
        <f t="shared" si="0"/>
        <v>PLU</v>
      </c>
      <c r="AN37" s="31" t="s">
        <v>219</v>
      </c>
      <c r="AO37" s="31" t="s">
        <v>217</v>
      </c>
    </row>
    <row r="38" spans="2:41" ht="21.75" customHeight="1" x14ac:dyDescent="0.45">
      <c r="B38" t="s">
        <v>99</v>
      </c>
      <c r="E38" s="31" t="s">
        <v>1448</v>
      </c>
      <c r="F38" t="str">
        <f>"Warengruppe&gt;&gt;"&amp;Migrationsartikel!V36&amp;"&gt;&gt;"&amp;Migrationsartikel!W36&amp;"&gt;&gt;"&amp;Migrationsartikel!X36</f>
        <v>Warengruppe&gt;&gt;Backwaren &amp; Convenience&gt;&gt;Brot und Backwaren&gt;&gt;Backwaren andere</v>
      </c>
      <c r="H38" s="31" t="s">
        <v>109</v>
      </c>
      <c r="I38" s="31" t="s">
        <v>121</v>
      </c>
      <c r="J38" s="31">
        <f>Migrationsartikel!B36</f>
        <v>734</v>
      </c>
      <c r="L38" t="str">
        <f>Migrationsartikel!F36&amp;" "&amp;Migrationsartikel!G36&amp;" "&amp;Migrationsartikel!H36</f>
        <v>Schinkengipfel aus der Region 1Stk</v>
      </c>
      <c r="M38" t="str">
        <f>Migrationsartikel!J36&amp;" "&amp;Migrationsartikel!K36&amp;" "&amp;Migrationsartikel!L36</f>
        <v>Croissant au jambon  de la région 1pce</v>
      </c>
      <c r="N38" t="str">
        <f>Migrationsartikel!N36&amp;" "&amp;Migrationsartikel!O36&amp;" "&amp;Migrationsartikel!P36</f>
        <v>Cornetto al prosciutto della regione 1pz</v>
      </c>
      <c r="O38" t="str">
        <f>Migrationsartikel!F36</f>
        <v>Schinkengipfel</v>
      </c>
      <c r="P38" t="str">
        <f>Migrationsartikel!J36</f>
        <v xml:space="preserve">Croissant au jambon </v>
      </c>
      <c r="Q38" t="str">
        <f>Migrationsartikel!N36</f>
        <v>Cornetto al prosciutto</v>
      </c>
      <c r="R38" t="str">
        <f>Migrationsartikel!G36</f>
        <v>aus der Region</v>
      </c>
      <c r="S38" t="str">
        <f>Migrationsartikel!K36</f>
        <v>de la région</v>
      </c>
      <c r="T38" t="str">
        <f>Migrationsartikel!O36</f>
        <v>della regione</v>
      </c>
      <c r="U38" s="31" t="str">
        <f>Migrationsartikel!H36</f>
        <v>1Stk</v>
      </c>
      <c r="V38" s="31" t="str">
        <f>Migrationsartikel!L36</f>
        <v>1pce</v>
      </c>
      <c r="W38" s="31" t="str">
        <f>Migrationsartikel!P36</f>
        <v>1pz</v>
      </c>
      <c r="X38" t="str">
        <f>Migrationsartikel!I36</f>
        <v>Schinkengipfel</v>
      </c>
      <c r="Y38" t="str">
        <f>Migrationsartikel!M36</f>
        <v xml:space="preserve">Croissant au jambon </v>
      </c>
      <c r="Z38" t="str">
        <f>Migrationsartikel!Q36</f>
        <v>Cornetto al prosciutto</v>
      </c>
      <c r="AA38" s="45">
        <f>Migrationsartikel!R36</f>
        <v>1</v>
      </c>
      <c r="AB38" s="46" t="str">
        <f>Migrationsartikel!T36</f>
        <v>Stück</v>
      </c>
      <c r="AC38">
        <f>Migrationsartikel!S36</f>
        <v>1</v>
      </c>
      <c r="AD38" t="str">
        <f>Migrationsartikel!U36</f>
        <v>(PCE) Stück</v>
      </c>
      <c r="AE38" s="31" t="s">
        <v>179</v>
      </c>
      <c r="AF38" s="31" t="s">
        <v>192</v>
      </c>
      <c r="AG38" t="str">
        <f>IF(Migrationsartikel!AB36="ja","true",FALSE)</f>
        <v>true</v>
      </c>
      <c r="AH38" t="str">
        <f>IF(Migrationsartikel!AC36="ja","true",FALSE)</f>
        <v>true</v>
      </c>
      <c r="AI38" t="str">
        <f>IF(Migrationsartikel!AD36="ja","true",FALSE)</f>
        <v>true</v>
      </c>
      <c r="AJ38" t="str">
        <f>IF(Migrationsartikel!AE36="ja","true",FALSE)</f>
        <v>true</v>
      </c>
      <c r="AK38" t="str">
        <f>IF(Migrationsartikel!AF36="ja","Denner Partner","")</f>
        <v/>
      </c>
      <c r="AL38" t="str">
        <f>IF(Migrationsartikel!AG36="ja","true","false")</f>
        <v>false</v>
      </c>
      <c r="AM38" t="str">
        <f t="shared" si="0"/>
        <v>PLU</v>
      </c>
      <c r="AN38" s="31" t="s">
        <v>219</v>
      </c>
      <c r="AO38" s="31" t="s">
        <v>217</v>
      </c>
    </row>
    <row r="39" spans="2:41" ht="21.75" customHeight="1" x14ac:dyDescent="0.45">
      <c r="B39" t="s">
        <v>99</v>
      </c>
      <c r="E39" s="31" t="s">
        <v>1449</v>
      </c>
      <c r="F39" t="str">
        <f>"Warengruppe&gt;&gt;"&amp;Migrationsartikel!V37&amp;"&gt;&gt;"&amp;Migrationsartikel!W37&amp;"&gt;&gt;"&amp;Migrationsartikel!X37</f>
        <v>Warengruppe&gt;&gt;Backwaren &amp; Convenience&gt;&gt;Brot und Backwaren&gt;&gt;Backwaren andere</v>
      </c>
      <c r="H39" s="31" t="s">
        <v>109</v>
      </c>
      <c r="I39" s="31" t="s">
        <v>121</v>
      </c>
      <c r="J39" s="31">
        <f>Migrationsartikel!B37</f>
        <v>735</v>
      </c>
      <c r="L39" t="str">
        <f>Migrationsartikel!F37&amp;" "&amp;Migrationsartikel!G37&amp;" "&amp;Migrationsartikel!H37</f>
        <v>Schoggibrötli  aus der Region 1Stk</v>
      </c>
      <c r="M39" t="str">
        <f>Migrationsartikel!J37&amp;" "&amp;Migrationsartikel!K37&amp;" "&amp;Migrationsartikel!L37</f>
        <v>Pain au chocolat  de la région 1pce</v>
      </c>
      <c r="N39" t="str">
        <f>Migrationsartikel!N37&amp;" "&amp;Migrationsartikel!O37&amp;" "&amp;Migrationsartikel!P37</f>
        <v>Panino al cioccolato  della regione 1pz</v>
      </c>
      <c r="O39" t="str">
        <f>Migrationsartikel!F37</f>
        <v xml:space="preserve">Schoggibrötli </v>
      </c>
      <c r="P39" t="str">
        <f>Migrationsartikel!J37</f>
        <v xml:space="preserve">Pain au chocolat </v>
      </c>
      <c r="Q39" t="str">
        <f>Migrationsartikel!N37</f>
        <v xml:space="preserve">Panino al cioccolato </v>
      </c>
      <c r="R39" t="str">
        <f>Migrationsartikel!G37</f>
        <v>aus der Region</v>
      </c>
      <c r="S39" t="str">
        <f>Migrationsartikel!K37</f>
        <v>de la région</v>
      </c>
      <c r="T39" t="str">
        <f>Migrationsartikel!O37</f>
        <v>della regione</v>
      </c>
      <c r="U39" s="31" t="str">
        <f>Migrationsartikel!H37</f>
        <v>1Stk</v>
      </c>
      <c r="V39" s="31" t="str">
        <f>Migrationsartikel!L37</f>
        <v>1pce</v>
      </c>
      <c r="W39" s="31" t="str">
        <f>Migrationsartikel!P37</f>
        <v>1pz</v>
      </c>
      <c r="X39" t="str">
        <f>Migrationsartikel!I37</f>
        <v xml:space="preserve">Schoggibrötli </v>
      </c>
      <c r="Y39" t="str">
        <f>Migrationsartikel!M37</f>
        <v xml:space="preserve">Pain au chocolat </v>
      </c>
      <c r="Z39" t="str">
        <f>Migrationsartikel!Q37</f>
        <v xml:space="preserve">Panino al cioccolato </v>
      </c>
      <c r="AA39" s="45">
        <f>Migrationsartikel!R37</f>
        <v>1</v>
      </c>
      <c r="AB39" s="46" t="str">
        <f>Migrationsartikel!T37</f>
        <v>Stück</v>
      </c>
      <c r="AC39">
        <f>Migrationsartikel!S37</f>
        <v>1</v>
      </c>
      <c r="AD39" t="str">
        <f>Migrationsartikel!U37</f>
        <v>(PCE) Stück</v>
      </c>
      <c r="AE39" s="31" t="s">
        <v>179</v>
      </c>
      <c r="AF39" s="31" t="s">
        <v>192</v>
      </c>
      <c r="AG39" t="str">
        <f>IF(Migrationsartikel!AB37="ja","true",FALSE)</f>
        <v>true</v>
      </c>
      <c r="AH39" t="str">
        <f>IF(Migrationsartikel!AC37="ja","true",FALSE)</f>
        <v>true</v>
      </c>
      <c r="AI39" t="str">
        <f>IF(Migrationsartikel!AD37="ja","true",FALSE)</f>
        <v>true</v>
      </c>
      <c r="AJ39" t="str">
        <f>IF(Migrationsartikel!AE37="ja","true",FALSE)</f>
        <v>true</v>
      </c>
      <c r="AK39" t="str">
        <f>IF(Migrationsartikel!AF37="ja","Denner Partner","")</f>
        <v/>
      </c>
      <c r="AL39" t="str">
        <f>IF(Migrationsartikel!AG37="ja","true","false")</f>
        <v>false</v>
      </c>
      <c r="AM39" t="str">
        <f t="shared" si="0"/>
        <v>PLU</v>
      </c>
      <c r="AN39" s="31" t="s">
        <v>219</v>
      </c>
      <c r="AO39" s="31" t="s">
        <v>217</v>
      </c>
    </row>
    <row r="40" spans="2:41" ht="21.75" customHeight="1" x14ac:dyDescent="0.45">
      <c r="B40" t="s">
        <v>99</v>
      </c>
      <c r="E40" s="31" t="s">
        <v>1450</v>
      </c>
      <c r="F40" t="str">
        <f>"Warengruppe&gt;&gt;"&amp;Migrationsartikel!V38&amp;"&gt;&gt;"&amp;Migrationsartikel!W38&amp;"&gt;&gt;"&amp;Migrationsartikel!X38</f>
        <v>Warengruppe&gt;&gt;Backwaren &amp; Convenience&gt;&gt;Brot und Backwaren&gt;&gt;Backwaren andere</v>
      </c>
      <c r="H40" s="31" t="s">
        <v>109</v>
      </c>
      <c r="I40" s="31" t="s">
        <v>121</v>
      </c>
      <c r="J40" s="31">
        <f>Migrationsartikel!B38</f>
        <v>736</v>
      </c>
      <c r="L40" t="str">
        <f>Migrationsartikel!F38&amp;" "&amp;Migrationsartikel!G38&amp;" "&amp;Migrationsartikel!H38</f>
        <v>Schoggigipfel  aus der Region 1Stk</v>
      </c>
      <c r="M40" t="str">
        <f>Migrationsartikel!J38&amp;" "&amp;Migrationsartikel!K38&amp;" "&amp;Migrationsartikel!L38</f>
        <v>Croissant au chocolat  de la région 1pce</v>
      </c>
      <c r="N40" t="str">
        <f>Migrationsartikel!N38&amp;" "&amp;Migrationsartikel!O38&amp;" "&amp;Migrationsartikel!P38</f>
        <v>Cornetto al cioccolato della regione 1pz</v>
      </c>
      <c r="O40" t="str">
        <f>Migrationsartikel!F38</f>
        <v xml:space="preserve">Schoggigipfel </v>
      </c>
      <c r="P40" t="str">
        <f>Migrationsartikel!J38</f>
        <v xml:space="preserve">Croissant au chocolat </v>
      </c>
      <c r="Q40" t="str">
        <f>Migrationsartikel!N38</f>
        <v>Cornetto al cioccolato</v>
      </c>
      <c r="R40" t="str">
        <f>Migrationsartikel!G38</f>
        <v>aus der Region</v>
      </c>
      <c r="S40" t="str">
        <f>Migrationsartikel!K38</f>
        <v>de la région</v>
      </c>
      <c r="T40" t="str">
        <f>Migrationsartikel!O38</f>
        <v>della regione</v>
      </c>
      <c r="U40" s="31" t="str">
        <f>Migrationsartikel!H38</f>
        <v>1Stk</v>
      </c>
      <c r="V40" s="31" t="str">
        <f>Migrationsartikel!L38</f>
        <v>1pce</v>
      </c>
      <c r="W40" s="31" t="str">
        <f>Migrationsartikel!P38</f>
        <v>1pz</v>
      </c>
      <c r="X40" t="str">
        <f>Migrationsartikel!I38</f>
        <v xml:space="preserve">Schoggigipfel </v>
      </c>
      <c r="Y40" t="str">
        <f>Migrationsartikel!M38</f>
        <v xml:space="preserve">Croissant au chocolat </v>
      </c>
      <c r="Z40" t="str">
        <f>Migrationsartikel!Q38</f>
        <v>Cornetto al cioccolato</v>
      </c>
      <c r="AA40" s="45">
        <f>Migrationsartikel!R38</f>
        <v>1</v>
      </c>
      <c r="AB40" s="46" t="str">
        <f>Migrationsartikel!T38</f>
        <v>Stück</v>
      </c>
      <c r="AC40">
        <f>Migrationsartikel!S38</f>
        <v>1</v>
      </c>
      <c r="AD40" t="str">
        <f>Migrationsartikel!U38</f>
        <v>(PCE) Stück</v>
      </c>
      <c r="AE40" s="31" t="s">
        <v>179</v>
      </c>
      <c r="AF40" s="31" t="s">
        <v>192</v>
      </c>
      <c r="AG40" t="str">
        <f>IF(Migrationsartikel!AB38="ja","true",FALSE)</f>
        <v>true</v>
      </c>
      <c r="AH40" t="str">
        <f>IF(Migrationsartikel!AC38="ja","true",FALSE)</f>
        <v>true</v>
      </c>
      <c r="AI40" t="str">
        <f>IF(Migrationsartikel!AD38="ja","true",FALSE)</f>
        <v>true</v>
      </c>
      <c r="AJ40" t="str">
        <f>IF(Migrationsartikel!AE38="ja","true",FALSE)</f>
        <v>true</v>
      </c>
      <c r="AK40" t="str">
        <f>IF(Migrationsartikel!AF38="ja","Denner Partner","")</f>
        <v/>
      </c>
      <c r="AL40" t="str">
        <f>IF(Migrationsartikel!AG38="ja","true","false")</f>
        <v>false</v>
      </c>
      <c r="AM40" t="str">
        <f t="shared" si="0"/>
        <v>PLU</v>
      </c>
      <c r="AN40" s="31" t="s">
        <v>219</v>
      </c>
      <c r="AO40" s="31" t="s">
        <v>217</v>
      </c>
    </row>
    <row r="41" spans="2:41" ht="21.75" customHeight="1" x14ac:dyDescent="0.45">
      <c r="B41" t="s">
        <v>99</v>
      </c>
      <c r="E41" s="31" t="s">
        <v>1451</v>
      </c>
      <c r="F41" t="str">
        <f>"Warengruppe&gt;&gt;"&amp;Migrationsartikel!V39&amp;"&gt;&gt;"&amp;Migrationsartikel!W39&amp;"&gt;&gt;"&amp;Migrationsartikel!X39</f>
        <v>Warengruppe&gt;&gt;Backwaren &amp; Convenience&gt;&gt;Brot und Backwaren&gt;&gt;Backwaren andere</v>
      </c>
      <c r="H41" s="31" t="s">
        <v>109</v>
      </c>
      <c r="I41" s="31" t="s">
        <v>121</v>
      </c>
      <c r="J41" s="31">
        <f>Migrationsartikel!B39</f>
        <v>737</v>
      </c>
      <c r="L41" t="str">
        <f>Migrationsartikel!F39&amp;" "&amp;Migrationsartikel!G39&amp;" "&amp;Migrationsartikel!H39</f>
        <v>Schraubenbrötli  aus der Region 1Stk</v>
      </c>
      <c r="M41" t="str">
        <f>Migrationsartikel!J39&amp;" "&amp;Migrationsartikel!K39&amp;" "&amp;Migrationsartikel!L39</f>
        <v>Petit pain torsadé de la région 1pce</v>
      </c>
      <c r="N41" t="str">
        <f>Migrationsartikel!N39&amp;" "&amp;Migrationsartikel!O39&amp;" "&amp;Migrationsartikel!P39</f>
        <v>Panino torciglione della regione 1pz</v>
      </c>
      <c r="O41" t="str">
        <f>Migrationsartikel!F39</f>
        <v xml:space="preserve">Schraubenbrötli </v>
      </c>
      <c r="P41" t="str">
        <f>Migrationsartikel!J39</f>
        <v>Petit pain torsadé</v>
      </c>
      <c r="Q41" t="str">
        <f>Migrationsartikel!N39</f>
        <v>Panino torciglione</v>
      </c>
      <c r="R41" t="str">
        <f>Migrationsartikel!G39</f>
        <v>aus der Region</v>
      </c>
      <c r="S41" t="str">
        <f>Migrationsartikel!K39</f>
        <v>de la région</v>
      </c>
      <c r="T41" t="str">
        <f>Migrationsartikel!O39</f>
        <v>della regione</v>
      </c>
      <c r="U41" s="31" t="str">
        <f>Migrationsartikel!H39</f>
        <v>1Stk</v>
      </c>
      <c r="V41" s="31" t="str">
        <f>Migrationsartikel!L39</f>
        <v>1pce</v>
      </c>
      <c r="W41" s="31" t="str">
        <f>Migrationsartikel!P39</f>
        <v>1pz</v>
      </c>
      <c r="X41" t="str">
        <f>Migrationsartikel!I39</f>
        <v xml:space="preserve">Schraubenbrötli </v>
      </c>
      <c r="Y41" t="str">
        <f>Migrationsartikel!M39</f>
        <v>Petit pain torsadé</v>
      </c>
      <c r="Z41" t="str">
        <f>Migrationsartikel!Q39</f>
        <v>Panino torciglione</v>
      </c>
      <c r="AA41" s="45">
        <f>Migrationsartikel!R39</f>
        <v>1</v>
      </c>
      <c r="AB41" s="46" t="str">
        <f>Migrationsartikel!T39</f>
        <v>Stück</v>
      </c>
      <c r="AC41">
        <f>Migrationsartikel!S39</f>
        <v>1</v>
      </c>
      <c r="AD41" t="str">
        <f>Migrationsartikel!U39</f>
        <v>(PCE) Stück</v>
      </c>
      <c r="AE41" s="31" t="s">
        <v>179</v>
      </c>
      <c r="AF41" s="31" t="s">
        <v>192</v>
      </c>
      <c r="AG41" t="str">
        <f>IF(Migrationsartikel!AB39="ja","true",FALSE)</f>
        <v>true</v>
      </c>
      <c r="AH41" t="str">
        <f>IF(Migrationsartikel!AC39="ja","true",FALSE)</f>
        <v>true</v>
      </c>
      <c r="AI41" t="str">
        <f>IF(Migrationsartikel!AD39="ja","true",FALSE)</f>
        <v>true</v>
      </c>
      <c r="AJ41" t="str">
        <f>IF(Migrationsartikel!AE39="ja","true",FALSE)</f>
        <v>true</v>
      </c>
      <c r="AK41" t="str">
        <f>IF(Migrationsartikel!AF39="ja","Denner Partner","")</f>
        <v/>
      </c>
      <c r="AL41" t="str">
        <f>IF(Migrationsartikel!AG39="ja","true","false")</f>
        <v>false</v>
      </c>
      <c r="AM41" t="str">
        <f t="shared" si="0"/>
        <v>PLU</v>
      </c>
      <c r="AN41" s="31" t="s">
        <v>219</v>
      </c>
      <c r="AO41" s="31" t="s">
        <v>217</v>
      </c>
    </row>
    <row r="42" spans="2:41" ht="21.75" customHeight="1" x14ac:dyDescent="0.45">
      <c r="B42" t="s">
        <v>99</v>
      </c>
      <c r="E42" s="31" t="s">
        <v>1452</v>
      </c>
      <c r="F42" t="str">
        <f>"Warengruppe&gt;&gt;"&amp;Migrationsartikel!V40&amp;"&gt;&gt;"&amp;Migrationsartikel!W40&amp;"&gt;&gt;"&amp;Migrationsartikel!X40</f>
        <v>Warengruppe&gt;&gt;Backwaren &amp; Convenience&gt;&gt;Brot und Backwaren&gt;&gt;Backwaren andere</v>
      </c>
      <c r="H42" s="31" t="s">
        <v>109</v>
      </c>
      <c r="I42" s="31" t="s">
        <v>121</v>
      </c>
      <c r="J42" s="31">
        <f>Migrationsartikel!B40</f>
        <v>738</v>
      </c>
      <c r="L42" t="str">
        <f>Migrationsartikel!F40&amp;" "&amp;Migrationsartikel!G40&amp;" "&amp;Migrationsartikel!H40</f>
        <v>Semmeli  aus der Region 1Stk</v>
      </c>
      <c r="M42" t="str">
        <f>Migrationsartikel!J40&amp;" "&amp;Migrationsartikel!K40&amp;" "&amp;Migrationsartikel!L40</f>
        <v>Ballon régional de la région 1pce</v>
      </c>
      <c r="N42" t="str">
        <f>Migrationsartikel!N40&amp;" "&amp;Migrationsartikel!O40&amp;" "&amp;Migrationsartikel!P40</f>
        <v>Michetta della regione 1pz</v>
      </c>
      <c r="O42" t="str">
        <f>Migrationsartikel!F40</f>
        <v xml:space="preserve">Semmeli </v>
      </c>
      <c r="P42" t="str">
        <f>Migrationsartikel!J40</f>
        <v>Ballon régional</v>
      </c>
      <c r="Q42" t="str">
        <f>Migrationsartikel!N40</f>
        <v>Michetta</v>
      </c>
      <c r="R42" t="str">
        <f>Migrationsartikel!G40</f>
        <v>aus der Region</v>
      </c>
      <c r="S42" t="str">
        <f>Migrationsartikel!K40</f>
        <v>de la région</v>
      </c>
      <c r="T42" t="str">
        <f>Migrationsartikel!O40</f>
        <v>della regione</v>
      </c>
      <c r="U42" s="31" t="str">
        <f>Migrationsartikel!H40</f>
        <v>1Stk</v>
      </c>
      <c r="V42" s="31" t="str">
        <f>Migrationsartikel!L40</f>
        <v>1pce</v>
      </c>
      <c r="W42" s="31" t="str">
        <f>Migrationsartikel!P40</f>
        <v>1pz</v>
      </c>
      <c r="X42" t="str">
        <f>Migrationsartikel!I40</f>
        <v xml:space="preserve">Semmeli </v>
      </c>
      <c r="Y42" t="str">
        <f>Migrationsartikel!M40</f>
        <v>Ballon régional</v>
      </c>
      <c r="Z42" t="str">
        <f>Migrationsartikel!Q40</f>
        <v>Michetta</v>
      </c>
      <c r="AA42" s="45">
        <f>Migrationsartikel!R40</f>
        <v>1</v>
      </c>
      <c r="AB42" s="46" t="str">
        <f>Migrationsartikel!T40</f>
        <v>Stück</v>
      </c>
      <c r="AC42">
        <f>Migrationsartikel!S40</f>
        <v>1</v>
      </c>
      <c r="AD42" t="str">
        <f>Migrationsartikel!U40</f>
        <v>(PCE) Stück</v>
      </c>
      <c r="AE42" s="31" t="s">
        <v>179</v>
      </c>
      <c r="AF42" s="31" t="s">
        <v>192</v>
      </c>
      <c r="AG42" t="str">
        <f>IF(Migrationsartikel!AB40="ja","true",FALSE)</f>
        <v>true</v>
      </c>
      <c r="AH42" t="str">
        <f>IF(Migrationsartikel!AC40="ja","true",FALSE)</f>
        <v>true</v>
      </c>
      <c r="AI42" t="str">
        <f>IF(Migrationsartikel!AD40="ja","true",FALSE)</f>
        <v>true</v>
      </c>
      <c r="AJ42" t="str">
        <f>IF(Migrationsartikel!AE40="ja","true",FALSE)</f>
        <v>true</v>
      </c>
      <c r="AK42" t="str">
        <f>IF(Migrationsartikel!AF40="ja","Denner Partner","")</f>
        <v/>
      </c>
      <c r="AL42" t="str">
        <f>IF(Migrationsartikel!AG40="ja","true","false")</f>
        <v>false</v>
      </c>
      <c r="AM42" t="str">
        <f t="shared" si="0"/>
        <v>PLU</v>
      </c>
      <c r="AN42" s="31" t="s">
        <v>219</v>
      </c>
      <c r="AO42" s="31" t="s">
        <v>217</v>
      </c>
    </row>
    <row r="43" spans="2:41" ht="21.75" customHeight="1" x14ac:dyDescent="0.45">
      <c r="B43" t="s">
        <v>99</v>
      </c>
      <c r="E43" s="31" t="s">
        <v>1453</v>
      </c>
      <c r="F43" t="str">
        <f>"Warengruppe&gt;&gt;"&amp;Migrationsartikel!V41&amp;"&gt;&gt;"&amp;Migrationsartikel!W41&amp;"&gt;&gt;"&amp;Migrationsartikel!X41</f>
        <v>Warengruppe&gt;&gt;Backwaren &amp; Convenience&gt;&gt;Brot und Backwaren&gt;&gt;Backwaren andere</v>
      </c>
      <c r="H43" s="31" t="s">
        <v>109</v>
      </c>
      <c r="I43" s="31" t="s">
        <v>121</v>
      </c>
      <c r="J43" s="31">
        <f>Migrationsartikel!B41</f>
        <v>739</v>
      </c>
      <c r="L43" t="str">
        <f>Migrationsartikel!F41&amp;" "&amp;Migrationsartikel!G41&amp;" "&amp;Migrationsartikel!H41</f>
        <v>St. Gallerbrot  aus der Region 250g</v>
      </c>
      <c r="M43" t="str">
        <f>Migrationsartikel!J41&amp;" "&amp;Migrationsartikel!K41&amp;" "&amp;Migrationsartikel!L41</f>
        <v>Pain St-Gall de la région 250g</v>
      </c>
      <c r="N43" t="str">
        <f>Migrationsartikel!N41&amp;" "&amp;Migrationsartikel!O41&amp;" "&amp;Migrationsartikel!P41</f>
        <v>Pane di San Gallo della regione 250g</v>
      </c>
      <c r="O43" t="str">
        <f>Migrationsartikel!F41</f>
        <v xml:space="preserve">St. Gallerbrot </v>
      </c>
      <c r="P43" t="str">
        <f>Migrationsartikel!J41</f>
        <v>Pain St-Gall</v>
      </c>
      <c r="Q43" t="str">
        <f>Migrationsartikel!N41</f>
        <v>Pane di San Gallo</v>
      </c>
      <c r="R43" t="str">
        <f>Migrationsartikel!G41</f>
        <v>aus der Region</v>
      </c>
      <c r="S43" t="str">
        <f>Migrationsartikel!K41</f>
        <v>de la région</v>
      </c>
      <c r="T43" t="str">
        <f>Migrationsartikel!O41</f>
        <v>della regione</v>
      </c>
      <c r="U43" s="31" t="str">
        <f>Migrationsartikel!H41</f>
        <v>250g</v>
      </c>
      <c r="V43" s="31" t="str">
        <f>Migrationsartikel!L41</f>
        <v>250g</v>
      </c>
      <c r="W43" s="31" t="str">
        <f>Migrationsartikel!P41</f>
        <v>250g</v>
      </c>
      <c r="X43" t="str">
        <f>Migrationsartikel!I41</f>
        <v>St. Gallerbrot 250g</v>
      </c>
      <c r="Y43" t="str">
        <f>Migrationsartikel!M41</f>
        <v>Pain St-Gall 250g</v>
      </c>
      <c r="Z43" t="str">
        <f>Migrationsartikel!Q41</f>
        <v>Pane di San Gallo 250g</v>
      </c>
      <c r="AA43" s="45">
        <f>Migrationsartikel!R41</f>
        <v>0.25</v>
      </c>
      <c r="AB43" s="46" t="str">
        <f>Migrationsartikel!T41</f>
        <v>Gramm</v>
      </c>
      <c r="AC43">
        <f>Migrationsartikel!S41</f>
        <v>1</v>
      </c>
      <c r="AD43" t="str">
        <f>Migrationsartikel!U41</f>
        <v>(PCE) Stück</v>
      </c>
      <c r="AE43" s="31" t="s">
        <v>179</v>
      </c>
      <c r="AF43" s="31" t="s">
        <v>192</v>
      </c>
      <c r="AG43" t="str">
        <f>IF(Migrationsartikel!AB41="ja","true",FALSE)</f>
        <v>true</v>
      </c>
      <c r="AH43" t="str">
        <f>IF(Migrationsartikel!AC41="ja","true",FALSE)</f>
        <v>true</v>
      </c>
      <c r="AI43" t="str">
        <f>IF(Migrationsartikel!AD41="ja","true",FALSE)</f>
        <v>true</v>
      </c>
      <c r="AJ43" t="str">
        <f>IF(Migrationsartikel!AE41="ja","true",FALSE)</f>
        <v>true</v>
      </c>
      <c r="AK43" t="str">
        <f>IF(Migrationsartikel!AF41="ja","Denner Partner","")</f>
        <v/>
      </c>
      <c r="AL43" t="str">
        <f>IF(Migrationsartikel!AG41="ja","true","false")</f>
        <v>false</v>
      </c>
      <c r="AM43" t="str">
        <f t="shared" si="0"/>
        <v>PLU</v>
      </c>
      <c r="AN43" s="31" t="s">
        <v>219</v>
      </c>
      <c r="AO43" s="31" t="s">
        <v>217</v>
      </c>
    </row>
    <row r="44" spans="2:41" ht="21.75" customHeight="1" x14ac:dyDescent="0.45">
      <c r="B44" t="s">
        <v>99</v>
      </c>
      <c r="E44" s="31" t="s">
        <v>1454</v>
      </c>
      <c r="F44" t="str">
        <f>"Warengruppe&gt;&gt;"&amp;Migrationsartikel!V42&amp;"&gt;&gt;"&amp;Migrationsartikel!W42&amp;"&gt;&gt;"&amp;Migrationsartikel!X42</f>
        <v>Warengruppe&gt;&gt;Backwaren &amp; Convenience&gt;&gt;Brot und Backwaren&gt;&gt;Backwaren andere</v>
      </c>
      <c r="H44" s="31" t="s">
        <v>109</v>
      </c>
      <c r="I44" s="31" t="s">
        <v>121</v>
      </c>
      <c r="J44" s="31">
        <f>Migrationsartikel!B42</f>
        <v>740</v>
      </c>
      <c r="L44" t="str">
        <f>Migrationsartikel!F42&amp;" "&amp;Migrationsartikel!G42&amp;" "&amp;Migrationsartikel!H42</f>
        <v>St. Gallerbrot  aus der Region 500g</v>
      </c>
      <c r="M44" t="str">
        <f>Migrationsartikel!J42&amp;" "&amp;Migrationsartikel!K42&amp;" "&amp;Migrationsartikel!L42</f>
        <v>Pain St-Gall de la région 500g</v>
      </c>
      <c r="N44" t="str">
        <f>Migrationsartikel!N42&amp;" "&amp;Migrationsartikel!O42&amp;" "&amp;Migrationsartikel!P42</f>
        <v>Pane di San Gallo della regione 500g</v>
      </c>
      <c r="O44" t="str">
        <f>Migrationsartikel!F42</f>
        <v xml:space="preserve">St. Gallerbrot </v>
      </c>
      <c r="P44" t="str">
        <f>Migrationsartikel!J42</f>
        <v>Pain St-Gall</v>
      </c>
      <c r="Q44" t="str">
        <f>Migrationsartikel!N42</f>
        <v>Pane di San Gallo</v>
      </c>
      <c r="R44" t="str">
        <f>Migrationsartikel!G42</f>
        <v>aus der Region</v>
      </c>
      <c r="S44" t="str">
        <f>Migrationsartikel!K42</f>
        <v>de la région</v>
      </c>
      <c r="T44" t="str">
        <f>Migrationsartikel!O42</f>
        <v>della regione</v>
      </c>
      <c r="U44" s="31" t="str">
        <f>Migrationsartikel!H42</f>
        <v>500g</v>
      </c>
      <c r="V44" s="31" t="str">
        <f>Migrationsartikel!L42</f>
        <v>500g</v>
      </c>
      <c r="W44" s="31" t="str">
        <f>Migrationsartikel!P42</f>
        <v>500g</v>
      </c>
      <c r="X44" t="str">
        <f>Migrationsartikel!I42</f>
        <v>St. Gallerbrot 500g</v>
      </c>
      <c r="Y44" t="str">
        <f>Migrationsartikel!M42</f>
        <v>Pain St-Gall 500g</v>
      </c>
      <c r="Z44" t="str">
        <f>Migrationsartikel!Q42</f>
        <v>Pane di San Gallo 500g</v>
      </c>
      <c r="AA44" s="45">
        <f>Migrationsartikel!R42</f>
        <v>0.5</v>
      </c>
      <c r="AB44" s="46" t="str">
        <f>Migrationsartikel!T42</f>
        <v>Gramm</v>
      </c>
      <c r="AC44">
        <f>Migrationsartikel!S42</f>
        <v>1</v>
      </c>
      <c r="AD44" t="str">
        <f>Migrationsartikel!U42</f>
        <v>(PCE) Stück</v>
      </c>
      <c r="AE44" s="31" t="s">
        <v>179</v>
      </c>
      <c r="AF44" s="31" t="s">
        <v>192</v>
      </c>
      <c r="AG44" t="str">
        <f>IF(Migrationsartikel!AB42="ja","true",FALSE)</f>
        <v>true</v>
      </c>
      <c r="AH44" t="str">
        <f>IF(Migrationsartikel!AC42="ja","true",FALSE)</f>
        <v>true</v>
      </c>
      <c r="AI44" t="str">
        <f>IF(Migrationsartikel!AD42="ja","true",FALSE)</f>
        <v>true</v>
      </c>
      <c r="AJ44" t="str">
        <f>IF(Migrationsartikel!AE42="ja","true",FALSE)</f>
        <v>true</v>
      </c>
      <c r="AK44" t="str">
        <f>IF(Migrationsartikel!AF42="ja","Denner Partner","")</f>
        <v/>
      </c>
      <c r="AL44" t="str">
        <f>IF(Migrationsartikel!AG42="ja","true","false")</f>
        <v>false</v>
      </c>
      <c r="AM44" t="str">
        <f t="shared" si="0"/>
        <v>PLU</v>
      </c>
      <c r="AN44" s="31" t="s">
        <v>219</v>
      </c>
      <c r="AO44" s="31" t="s">
        <v>217</v>
      </c>
    </row>
    <row r="45" spans="2:41" ht="21.75" customHeight="1" x14ac:dyDescent="0.45">
      <c r="B45" t="s">
        <v>99</v>
      </c>
      <c r="E45" s="31" t="s">
        <v>1455</v>
      </c>
      <c r="F45" t="str">
        <f>"Warengruppe&gt;&gt;"&amp;Migrationsartikel!V43&amp;"&gt;&gt;"&amp;Migrationsartikel!W43&amp;"&gt;&gt;"&amp;Migrationsartikel!X43</f>
        <v>Warengruppe&gt;&gt;Backwaren &amp; Convenience&gt;&gt;Brot und Backwaren&gt;&gt;Backwaren andere</v>
      </c>
      <c r="H45" s="31" t="s">
        <v>109</v>
      </c>
      <c r="I45" s="31" t="s">
        <v>121</v>
      </c>
      <c r="J45" s="31">
        <f>Migrationsartikel!B43</f>
        <v>741</v>
      </c>
      <c r="L45" t="str">
        <f>Migrationsartikel!F43&amp;" "&amp;Migrationsartikel!G43&amp;" "&amp;Migrationsartikel!H43</f>
        <v>Tessinerbrot  aus der Region 400g</v>
      </c>
      <c r="M45" t="str">
        <f>Migrationsartikel!J43&amp;" "&amp;Migrationsartikel!K43&amp;" "&amp;Migrationsartikel!L43</f>
        <v>Pain tessinois  de la région 400g</v>
      </c>
      <c r="N45" t="str">
        <f>Migrationsartikel!N43&amp;" "&amp;Migrationsartikel!O43&amp;" "&amp;Migrationsartikel!P43</f>
        <v>Pane ticinese della regione 400g</v>
      </c>
      <c r="O45" t="str">
        <f>Migrationsartikel!F43</f>
        <v xml:space="preserve">Tessinerbrot </v>
      </c>
      <c r="P45" t="str">
        <f>Migrationsartikel!J43</f>
        <v xml:space="preserve">Pain tessinois </v>
      </c>
      <c r="Q45" t="str">
        <f>Migrationsartikel!N43</f>
        <v>Pane ticinese</v>
      </c>
      <c r="R45" t="str">
        <f>Migrationsartikel!G43</f>
        <v>aus der Region</v>
      </c>
      <c r="S45" t="str">
        <f>Migrationsartikel!K43</f>
        <v>de la région</v>
      </c>
      <c r="T45" t="str">
        <f>Migrationsartikel!O43</f>
        <v>della regione</v>
      </c>
      <c r="U45" s="31" t="str">
        <f>Migrationsartikel!H43</f>
        <v>400g</v>
      </c>
      <c r="V45" s="31" t="str">
        <f>Migrationsartikel!L43</f>
        <v>400g</v>
      </c>
      <c r="W45" s="31" t="str">
        <f>Migrationsartikel!P43</f>
        <v>400g</v>
      </c>
      <c r="X45" t="str">
        <f>Migrationsartikel!I43</f>
        <v>Tessinerbrot 400g</v>
      </c>
      <c r="Y45" t="str">
        <f>Migrationsartikel!M43</f>
        <v>Pain tessinois 400g</v>
      </c>
      <c r="Z45" t="str">
        <f>Migrationsartikel!Q43</f>
        <v>Pane ticinese 400g</v>
      </c>
      <c r="AA45" s="45">
        <f>Migrationsartikel!R43</f>
        <v>0.4</v>
      </c>
      <c r="AB45" s="46" t="str">
        <f>Migrationsartikel!T43</f>
        <v>Gramm</v>
      </c>
      <c r="AC45">
        <f>Migrationsartikel!S43</f>
        <v>1</v>
      </c>
      <c r="AD45" t="str">
        <f>Migrationsartikel!U43</f>
        <v>(PCE) Stück</v>
      </c>
      <c r="AE45" s="31" t="s">
        <v>179</v>
      </c>
      <c r="AF45" s="31" t="s">
        <v>192</v>
      </c>
      <c r="AG45" t="str">
        <f>IF(Migrationsartikel!AB43="ja","true",FALSE)</f>
        <v>true</v>
      </c>
      <c r="AH45" t="str">
        <f>IF(Migrationsartikel!AC43="ja","true",FALSE)</f>
        <v>true</v>
      </c>
      <c r="AI45" t="str">
        <f>IF(Migrationsartikel!AD43="ja","true",FALSE)</f>
        <v>true</v>
      </c>
      <c r="AJ45" t="str">
        <f>IF(Migrationsartikel!AE43="ja","true",FALSE)</f>
        <v>true</v>
      </c>
      <c r="AK45" t="str">
        <f>IF(Migrationsartikel!AF43="ja","Denner Partner","")</f>
        <v/>
      </c>
      <c r="AL45" t="str">
        <f>IF(Migrationsartikel!AG43="ja","true","false")</f>
        <v>false</v>
      </c>
      <c r="AM45" t="str">
        <f t="shared" si="0"/>
        <v>PLU</v>
      </c>
      <c r="AN45" s="31" t="s">
        <v>219</v>
      </c>
      <c r="AO45" s="31" t="s">
        <v>217</v>
      </c>
    </row>
    <row r="46" spans="2:41" ht="21.75" customHeight="1" x14ac:dyDescent="0.45">
      <c r="B46" t="s">
        <v>99</v>
      </c>
      <c r="E46" s="31" t="s">
        <v>1456</v>
      </c>
      <c r="F46" t="str">
        <f>"Warengruppe&gt;&gt;"&amp;Migrationsartikel!V44&amp;"&gt;&gt;"&amp;Migrationsartikel!W44&amp;"&gt;&gt;"&amp;Migrationsartikel!X44</f>
        <v>Warengruppe&gt;&gt;Backwaren &amp; Convenience&gt;&gt;Brot und Backwaren&gt;&gt;Backwaren andere</v>
      </c>
      <c r="H46" s="31" t="s">
        <v>109</v>
      </c>
      <c r="I46" s="31" t="s">
        <v>121</v>
      </c>
      <c r="J46" s="31">
        <f>Migrationsartikel!B44</f>
        <v>742</v>
      </c>
      <c r="L46" t="str">
        <f>Migrationsartikel!F44&amp;" "&amp;Migrationsartikel!G44&amp;" "&amp;Migrationsartikel!H44</f>
        <v>Vanillebrötli  aus der Region 1Stk</v>
      </c>
      <c r="M46" t="str">
        <f>Migrationsartikel!J44&amp;" "&amp;Migrationsartikel!K44&amp;" "&amp;Migrationsartikel!L44</f>
        <v>Petit pain vanille  de la région 1pce</v>
      </c>
      <c r="N46" t="str">
        <f>Migrationsartikel!N44&amp;" "&amp;Migrationsartikel!O44&amp;" "&amp;Migrationsartikel!P44</f>
        <v>Panino alla vaniglia  della regione 1pz</v>
      </c>
      <c r="O46" t="str">
        <f>Migrationsartikel!F44</f>
        <v xml:space="preserve">Vanillebrötli </v>
      </c>
      <c r="P46" t="str">
        <f>Migrationsartikel!J44</f>
        <v xml:space="preserve">Petit pain vanille </v>
      </c>
      <c r="Q46" t="str">
        <f>Migrationsartikel!N44</f>
        <v xml:space="preserve">Panino alla vaniglia </v>
      </c>
      <c r="R46" t="str">
        <f>Migrationsartikel!G44</f>
        <v>aus der Region</v>
      </c>
      <c r="S46" t="str">
        <f>Migrationsartikel!K44</f>
        <v>de la région</v>
      </c>
      <c r="T46" t="str">
        <f>Migrationsartikel!O44</f>
        <v>della regione</v>
      </c>
      <c r="U46" s="31" t="str">
        <f>Migrationsartikel!H44</f>
        <v>1Stk</v>
      </c>
      <c r="V46" s="31" t="str">
        <f>Migrationsartikel!L44</f>
        <v>1pce</v>
      </c>
      <c r="W46" s="31" t="str">
        <f>Migrationsartikel!P44</f>
        <v>1pz</v>
      </c>
      <c r="X46" t="str">
        <f>Migrationsartikel!I44</f>
        <v xml:space="preserve">Vanillebrötli </v>
      </c>
      <c r="Y46" t="str">
        <f>Migrationsartikel!M44</f>
        <v xml:space="preserve">Petit pain vanille </v>
      </c>
      <c r="Z46" t="str">
        <f>Migrationsartikel!Q44</f>
        <v xml:space="preserve">Panino alla vaniglia </v>
      </c>
      <c r="AA46" s="45">
        <f>Migrationsartikel!R44</f>
        <v>1</v>
      </c>
      <c r="AB46" s="46" t="str">
        <f>Migrationsartikel!T44</f>
        <v>Stück</v>
      </c>
      <c r="AC46">
        <f>Migrationsartikel!S44</f>
        <v>1</v>
      </c>
      <c r="AD46" t="str">
        <f>Migrationsartikel!U44</f>
        <v>(PCE) Stück</v>
      </c>
      <c r="AE46" s="31" t="s">
        <v>179</v>
      </c>
      <c r="AF46" s="31" t="s">
        <v>192</v>
      </c>
      <c r="AG46" t="str">
        <f>IF(Migrationsartikel!AB44="ja","true",FALSE)</f>
        <v>true</v>
      </c>
      <c r="AH46" t="str">
        <f>IF(Migrationsartikel!AC44="ja","true",FALSE)</f>
        <v>true</v>
      </c>
      <c r="AI46" t="str">
        <f>IF(Migrationsartikel!AD44="ja","true",FALSE)</f>
        <v>true</v>
      </c>
      <c r="AJ46" t="str">
        <f>IF(Migrationsartikel!AE44="ja","true",FALSE)</f>
        <v>true</v>
      </c>
      <c r="AK46" t="str">
        <f>IF(Migrationsartikel!AF44="ja","Denner Partner","")</f>
        <v/>
      </c>
      <c r="AL46" t="str">
        <f>IF(Migrationsartikel!AG44="ja","true","false")</f>
        <v>false</v>
      </c>
      <c r="AM46" t="str">
        <f t="shared" si="0"/>
        <v>PLU</v>
      </c>
      <c r="AN46" s="31" t="s">
        <v>219</v>
      </c>
      <c r="AO46" s="31" t="s">
        <v>217</v>
      </c>
    </row>
    <row r="47" spans="2:41" ht="21.75" customHeight="1" x14ac:dyDescent="0.45">
      <c r="B47" t="s">
        <v>99</v>
      </c>
      <c r="E47" s="31" t="s">
        <v>1457</v>
      </c>
      <c r="F47" t="str">
        <f>"Warengruppe&gt;&gt;"&amp;Migrationsartikel!V45&amp;"&gt;&gt;"&amp;Migrationsartikel!W45&amp;"&gt;&gt;"&amp;Migrationsartikel!X45</f>
        <v>Warengruppe&gt;&gt;Backwaren &amp; Convenience&gt;&gt;Brot und Backwaren&gt;&gt;Backwaren andere</v>
      </c>
      <c r="H47" s="31" t="s">
        <v>109</v>
      </c>
      <c r="I47" s="31" t="s">
        <v>121</v>
      </c>
      <c r="J47" s="31">
        <f>Migrationsartikel!B45</f>
        <v>743</v>
      </c>
      <c r="L47" t="str">
        <f>Migrationsartikel!F45&amp;" "&amp;Migrationsartikel!G45&amp;" "&amp;Migrationsartikel!H45</f>
        <v>Vanillegipfel  aus der Region 1Stk</v>
      </c>
      <c r="M47" t="str">
        <f>Migrationsartikel!J45&amp;" "&amp;Migrationsartikel!K45&amp;" "&amp;Migrationsartikel!L45</f>
        <v>Croissant vanille  de la région 1pce</v>
      </c>
      <c r="N47" t="str">
        <f>Migrationsartikel!N45&amp;" "&amp;Migrationsartikel!O45&amp;" "&amp;Migrationsartikel!P45</f>
        <v>Cornetto alla vaniglia della regione 1pz</v>
      </c>
      <c r="O47" t="str">
        <f>Migrationsartikel!F45</f>
        <v xml:space="preserve">Vanillegipfel </v>
      </c>
      <c r="P47" t="str">
        <f>Migrationsartikel!J45</f>
        <v xml:space="preserve">Croissant vanille </v>
      </c>
      <c r="Q47" t="str">
        <f>Migrationsartikel!N45</f>
        <v>Cornetto alla vaniglia</v>
      </c>
      <c r="R47" t="str">
        <f>Migrationsartikel!G45</f>
        <v>aus der Region</v>
      </c>
      <c r="S47" t="str">
        <f>Migrationsartikel!K45</f>
        <v>de la région</v>
      </c>
      <c r="T47" t="str">
        <f>Migrationsartikel!O45</f>
        <v>della regione</v>
      </c>
      <c r="U47" s="31" t="str">
        <f>Migrationsartikel!H45</f>
        <v>1Stk</v>
      </c>
      <c r="V47" s="31" t="str">
        <f>Migrationsartikel!L45</f>
        <v>1pce</v>
      </c>
      <c r="W47" s="31" t="str">
        <f>Migrationsartikel!P45</f>
        <v>1pz</v>
      </c>
      <c r="X47" t="str">
        <f>Migrationsartikel!I45</f>
        <v xml:space="preserve">Vanillegipfel </v>
      </c>
      <c r="Y47" t="str">
        <f>Migrationsartikel!M45</f>
        <v xml:space="preserve">Croissant vanille </v>
      </c>
      <c r="Z47" t="str">
        <f>Migrationsartikel!Q45</f>
        <v>Cornetto alla vaniglia</v>
      </c>
      <c r="AA47" s="45">
        <f>Migrationsartikel!R45</f>
        <v>1</v>
      </c>
      <c r="AB47" s="46" t="str">
        <f>Migrationsartikel!T45</f>
        <v>Stück</v>
      </c>
      <c r="AC47">
        <f>Migrationsartikel!S45</f>
        <v>1</v>
      </c>
      <c r="AD47" t="str">
        <f>Migrationsartikel!U45</f>
        <v>(PCE) Stück</v>
      </c>
      <c r="AE47" s="31" t="s">
        <v>179</v>
      </c>
      <c r="AF47" s="31" t="s">
        <v>192</v>
      </c>
      <c r="AG47" t="str">
        <f>IF(Migrationsartikel!AB45="ja","true",FALSE)</f>
        <v>true</v>
      </c>
      <c r="AH47" t="str">
        <f>IF(Migrationsartikel!AC45="ja","true",FALSE)</f>
        <v>true</v>
      </c>
      <c r="AI47" t="str">
        <f>IF(Migrationsartikel!AD45="ja","true",FALSE)</f>
        <v>true</v>
      </c>
      <c r="AJ47" t="str">
        <f>IF(Migrationsartikel!AE45="ja","true",FALSE)</f>
        <v>true</v>
      </c>
      <c r="AK47" t="str">
        <f>IF(Migrationsartikel!AF45="ja","Denner Partner","")</f>
        <v/>
      </c>
      <c r="AL47" t="str">
        <f>IF(Migrationsartikel!AG45="ja","true","false")</f>
        <v>false</v>
      </c>
      <c r="AM47" t="str">
        <f t="shared" si="0"/>
        <v>PLU</v>
      </c>
      <c r="AN47" s="31" t="s">
        <v>219</v>
      </c>
      <c r="AO47" s="31" t="s">
        <v>217</v>
      </c>
    </row>
    <row r="48" spans="2:41" ht="21.75" customHeight="1" x14ac:dyDescent="0.45">
      <c r="B48" t="s">
        <v>99</v>
      </c>
      <c r="E48" s="31" t="s">
        <v>1458</v>
      </c>
      <c r="F48" t="str">
        <f>"Warengruppe&gt;&gt;"&amp;Migrationsartikel!V46&amp;"&gt;&gt;"&amp;Migrationsartikel!W46&amp;"&gt;&gt;"&amp;Migrationsartikel!X46</f>
        <v>Warengruppe&gt;&gt;Backwaren &amp; Convenience&gt;&gt;Brot und Backwaren&gt;&gt;Backwaren andere</v>
      </c>
      <c r="H48" s="31" t="s">
        <v>109</v>
      </c>
      <c r="I48" s="31" t="s">
        <v>121</v>
      </c>
      <c r="J48" s="31">
        <f>Migrationsartikel!B46</f>
        <v>744</v>
      </c>
      <c r="L48" t="str">
        <f>Migrationsartikel!F46&amp;" "&amp;Migrationsartikel!G46&amp;" "&amp;Migrationsartikel!H46</f>
        <v>Vanille-Himb. Plunder  aus der Region 1Stk</v>
      </c>
      <c r="M48" t="str">
        <f>Migrationsartikel!J46&amp;" "&amp;Migrationsartikel!K46&amp;" "&amp;Migrationsartikel!L46</f>
        <v>Friv. vanille-framb. de la région 1pce</v>
      </c>
      <c r="N48" t="str">
        <f>Migrationsartikel!N46&amp;" "&amp;Migrationsartikel!O46&amp;" "&amp;Migrationsartikel!P46</f>
        <v>Sfoglia vanigl.-lamp. della regione 1pz</v>
      </c>
      <c r="O48" t="str">
        <f>Migrationsartikel!F46</f>
        <v xml:space="preserve">Vanille-Himb. Plunder </v>
      </c>
      <c r="P48" t="str">
        <f>Migrationsartikel!J46</f>
        <v>Friv. vanille-framb.</v>
      </c>
      <c r="Q48" t="str">
        <f>Migrationsartikel!N46</f>
        <v>Sfoglia vanigl.-lamp.</v>
      </c>
      <c r="R48" t="str">
        <f>Migrationsartikel!G46</f>
        <v>aus der Region</v>
      </c>
      <c r="S48" t="str">
        <f>Migrationsartikel!K46</f>
        <v>de la région</v>
      </c>
      <c r="T48" t="str">
        <f>Migrationsartikel!O46</f>
        <v>della regione</v>
      </c>
      <c r="U48" s="31" t="str">
        <f>Migrationsartikel!H46</f>
        <v>1Stk</v>
      </c>
      <c r="V48" s="31" t="str">
        <f>Migrationsartikel!L46</f>
        <v>1pce</v>
      </c>
      <c r="W48" s="31" t="str">
        <f>Migrationsartikel!P46</f>
        <v>1pz</v>
      </c>
      <c r="X48" t="str">
        <f>Migrationsartikel!I46</f>
        <v xml:space="preserve">Vanille-Himb. Plunder </v>
      </c>
      <c r="Y48" t="str">
        <f>Migrationsartikel!M46</f>
        <v>Friv. vanille-framb.</v>
      </c>
      <c r="Z48" t="str">
        <f>Migrationsartikel!Q46</f>
        <v>Sfoglia vanigl.-lamp.</v>
      </c>
      <c r="AA48" s="45">
        <f>Migrationsartikel!R46</f>
        <v>1</v>
      </c>
      <c r="AB48" s="46" t="str">
        <f>Migrationsartikel!T46</f>
        <v>Stück</v>
      </c>
      <c r="AC48">
        <f>Migrationsartikel!S46</f>
        <v>1</v>
      </c>
      <c r="AD48" t="str">
        <f>Migrationsartikel!U46</f>
        <v>(PCE) Stück</v>
      </c>
      <c r="AE48" s="31" t="s">
        <v>179</v>
      </c>
      <c r="AF48" s="31" t="s">
        <v>192</v>
      </c>
      <c r="AG48" t="str">
        <f>IF(Migrationsartikel!AB46="ja","true",FALSE)</f>
        <v>true</v>
      </c>
      <c r="AH48" t="str">
        <f>IF(Migrationsartikel!AC46="ja","true",FALSE)</f>
        <v>true</v>
      </c>
      <c r="AI48" t="str">
        <f>IF(Migrationsartikel!AD46="ja","true",FALSE)</f>
        <v>true</v>
      </c>
      <c r="AJ48" t="str">
        <f>IF(Migrationsartikel!AE46="ja","true",FALSE)</f>
        <v>true</v>
      </c>
      <c r="AK48" t="str">
        <f>IF(Migrationsartikel!AF46="ja","Denner Partner","")</f>
        <v/>
      </c>
      <c r="AL48" t="str">
        <f>IF(Migrationsartikel!AG46="ja","true","false")</f>
        <v>false</v>
      </c>
      <c r="AM48" t="str">
        <f t="shared" si="0"/>
        <v>PLU</v>
      </c>
      <c r="AN48" s="31" t="s">
        <v>219</v>
      </c>
      <c r="AO48" s="31" t="s">
        <v>217</v>
      </c>
    </row>
    <row r="49" spans="2:41" ht="21.75" customHeight="1" x14ac:dyDescent="0.45">
      <c r="B49" t="s">
        <v>99</v>
      </c>
      <c r="E49" s="31" t="s">
        <v>1459</v>
      </c>
      <c r="F49" t="str">
        <f>"Warengruppe&gt;&gt;"&amp;Migrationsartikel!V47&amp;"&gt;&gt;"&amp;Migrationsartikel!W47&amp;"&gt;&gt;"&amp;Migrationsartikel!X47</f>
        <v>Warengruppe&gt;&gt;Backwaren &amp; Convenience&gt;&gt;Brot und Backwaren&gt;&gt;Backwaren andere</v>
      </c>
      <c r="H49" s="31" t="s">
        <v>109</v>
      </c>
      <c r="I49" s="31" t="s">
        <v>121</v>
      </c>
      <c r="J49" s="31">
        <f>Migrationsartikel!B47</f>
        <v>745</v>
      </c>
      <c r="L49" t="str">
        <f>Migrationsartikel!F47&amp;" "&amp;Migrationsartikel!G47&amp;" "&amp;Migrationsartikel!H47</f>
        <v>Vanille-Stange  aus der Region 1Stk</v>
      </c>
      <c r="M49" t="str">
        <f>Migrationsartikel!J47&amp;" "&amp;Migrationsartikel!K47&amp;" "&amp;Migrationsartikel!L47</f>
        <v>Bâton à la vanille de la région 1pce</v>
      </c>
      <c r="N49" t="str">
        <f>Migrationsartikel!N47&amp;" "&amp;Migrationsartikel!O47&amp;" "&amp;Migrationsartikel!P47</f>
        <v>Bastoncino vaniglia della regione 1pz</v>
      </c>
      <c r="O49" t="str">
        <f>Migrationsartikel!F47</f>
        <v xml:space="preserve">Vanille-Stange </v>
      </c>
      <c r="P49" t="str">
        <f>Migrationsartikel!J47</f>
        <v>Bâton à la vanille</v>
      </c>
      <c r="Q49" t="str">
        <f>Migrationsartikel!N47</f>
        <v>Bastoncino vaniglia</v>
      </c>
      <c r="R49" t="str">
        <f>Migrationsartikel!G47</f>
        <v>aus der Region</v>
      </c>
      <c r="S49" t="str">
        <f>Migrationsartikel!K47</f>
        <v>de la région</v>
      </c>
      <c r="T49" t="str">
        <f>Migrationsartikel!O47</f>
        <v>della regione</v>
      </c>
      <c r="U49" s="31" t="str">
        <f>Migrationsartikel!H47</f>
        <v>1Stk</v>
      </c>
      <c r="V49" s="31" t="str">
        <f>Migrationsartikel!L47</f>
        <v>1pce</v>
      </c>
      <c r="W49" s="31" t="str">
        <f>Migrationsartikel!P47</f>
        <v>1pz</v>
      </c>
      <c r="X49" t="str">
        <f>Migrationsartikel!I47</f>
        <v xml:space="preserve">Vanille-Stange </v>
      </c>
      <c r="Y49" t="str">
        <f>Migrationsartikel!M47</f>
        <v>Bâton à la vanille</v>
      </c>
      <c r="Z49" t="str">
        <f>Migrationsartikel!Q47</f>
        <v>Bastoncino vaniglia</v>
      </c>
      <c r="AA49" s="45">
        <f>Migrationsartikel!R47</f>
        <v>1</v>
      </c>
      <c r="AB49" s="46" t="str">
        <f>Migrationsartikel!T47</f>
        <v>Stück</v>
      </c>
      <c r="AC49">
        <f>Migrationsartikel!S47</f>
        <v>1</v>
      </c>
      <c r="AD49" t="str">
        <f>Migrationsartikel!U47</f>
        <v>(PCE) Stück</v>
      </c>
      <c r="AE49" s="31" t="s">
        <v>179</v>
      </c>
      <c r="AF49" s="31" t="s">
        <v>192</v>
      </c>
      <c r="AG49" t="str">
        <f>IF(Migrationsartikel!AB47="ja","true",FALSE)</f>
        <v>true</v>
      </c>
      <c r="AH49" t="str">
        <f>IF(Migrationsartikel!AC47="ja","true",FALSE)</f>
        <v>true</v>
      </c>
      <c r="AI49" t="str">
        <f>IF(Migrationsartikel!AD47="ja","true",FALSE)</f>
        <v>true</v>
      </c>
      <c r="AJ49" t="str">
        <f>IF(Migrationsartikel!AE47="ja","true",FALSE)</f>
        <v>true</v>
      </c>
      <c r="AK49" t="str">
        <f>IF(Migrationsartikel!AF47="ja","Denner Partner","")</f>
        <v/>
      </c>
      <c r="AL49" t="str">
        <f>IF(Migrationsartikel!AG47="ja","true","false")</f>
        <v>false</v>
      </c>
      <c r="AM49" t="str">
        <f t="shared" si="0"/>
        <v>PLU</v>
      </c>
      <c r="AN49" s="31" t="s">
        <v>219</v>
      </c>
      <c r="AO49" s="31" t="s">
        <v>217</v>
      </c>
    </row>
    <row r="50" spans="2:41" ht="21.75" customHeight="1" x14ac:dyDescent="0.45">
      <c r="B50" t="s">
        <v>99</v>
      </c>
      <c r="E50" s="31" t="s">
        <v>1460</v>
      </c>
      <c r="F50" t="str">
        <f>"Warengruppe&gt;&gt;"&amp;Migrationsartikel!V48&amp;"&gt;&gt;"&amp;Migrationsartikel!W48&amp;"&gt;&gt;"&amp;Migrationsartikel!X48</f>
        <v>Warengruppe&gt;&gt;Backwaren &amp; Convenience&gt;&gt;Brot und Backwaren&gt;&gt;Backwaren andere</v>
      </c>
      <c r="H50" s="31" t="s">
        <v>109</v>
      </c>
      <c r="I50" s="31" t="s">
        <v>121</v>
      </c>
      <c r="J50" s="31">
        <f>Migrationsartikel!B48</f>
        <v>746</v>
      </c>
      <c r="L50" t="str">
        <f>Migrationsartikel!F48&amp;" "&amp;Migrationsartikel!G48&amp;" "&amp;Migrationsartikel!H48</f>
        <v>Vollkorngipfel  aus der Region 1Stk</v>
      </c>
      <c r="M50" t="str">
        <f>Migrationsartikel!J48&amp;" "&amp;Migrationsartikel!K48&amp;" "&amp;Migrationsartikel!L48</f>
        <v>Croissant complet de la région 1pce</v>
      </c>
      <c r="N50" t="str">
        <f>Migrationsartikel!N48&amp;" "&amp;Migrationsartikel!O48&amp;" "&amp;Migrationsartikel!P48</f>
        <v>Cornetto integrale della regione 1pz</v>
      </c>
      <c r="O50" t="str">
        <f>Migrationsartikel!F48</f>
        <v xml:space="preserve">Vollkorngipfel </v>
      </c>
      <c r="P50" t="str">
        <f>Migrationsartikel!J48</f>
        <v>Croissant complet</v>
      </c>
      <c r="Q50" t="str">
        <f>Migrationsartikel!N48</f>
        <v>Cornetto integrale</v>
      </c>
      <c r="R50" t="str">
        <f>Migrationsartikel!G48</f>
        <v>aus der Region</v>
      </c>
      <c r="S50" t="str">
        <f>Migrationsartikel!K48</f>
        <v>de la région</v>
      </c>
      <c r="T50" t="str">
        <f>Migrationsartikel!O48</f>
        <v>della regione</v>
      </c>
      <c r="U50" s="31" t="str">
        <f>Migrationsartikel!H48</f>
        <v>1Stk</v>
      </c>
      <c r="V50" s="31" t="str">
        <f>Migrationsartikel!L48</f>
        <v>1pce</v>
      </c>
      <c r="W50" s="31" t="str">
        <f>Migrationsartikel!P48</f>
        <v>1pz</v>
      </c>
      <c r="X50" t="str">
        <f>Migrationsartikel!I48</f>
        <v xml:space="preserve">Vollkorngipfel </v>
      </c>
      <c r="Y50" t="str">
        <f>Migrationsartikel!M48</f>
        <v>Croissant complet</v>
      </c>
      <c r="Z50" t="str">
        <f>Migrationsartikel!Q48</f>
        <v>Cornetto integrale</v>
      </c>
      <c r="AA50" s="45">
        <f>Migrationsartikel!R48</f>
        <v>1</v>
      </c>
      <c r="AB50" s="46" t="str">
        <f>Migrationsartikel!T48</f>
        <v>Stück</v>
      </c>
      <c r="AC50">
        <f>Migrationsartikel!S48</f>
        <v>1</v>
      </c>
      <c r="AD50" t="str">
        <f>Migrationsartikel!U48</f>
        <v>(PCE) Stück</v>
      </c>
      <c r="AE50" s="31" t="s">
        <v>179</v>
      </c>
      <c r="AF50" s="31" t="s">
        <v>192</v>
      </c>
      <c r="AG50" t="str">
        <f>IF(Migrationsartikel!AB48="ja","true",FALSE)</f>
        <v>true</v>
      </c>
      <c r="AH50" t="str">
        <f>IF(Migrationsartikel!AC48="ja","true",FALSE)</f>
        <v>true</v>
      </c>
      <c r="AI50" t="str">
        <f>IF(Migrationsartikel!AD48="ja","true",FALSE)</f>
        <v>true</v>
      </c>
      <c r="AJ50" t="str">
        <f>IF(Migrationsartikel!AE48="ja","true",FALSE)</f>
        <v>true</v>
      </c>
      <c r="AK50" t="str">
        <f>IF(Migrationsartikel!AF48="ja","Denner Partner","")</f>
        <v/>
      </c>
      <c r="AL50" t="str">
        <f>IF(Migrationsartikel!AG48="ja","true","false")</f>
        <v>false</v>
      </c>
      <c r="AM50" t="str">
        <f t="shared" si="0"/>
        <v>PLU</v>
      </c>
      <c r="AN50" s="31" t="s">
        <v>219</v>
      </c>
      <c r="AO50" s="31" t="s">
        <v>217</v>
      </c>
    </row>
    <row r="51" spans="2:41" ht="21.75" customHeight="1" x14ac:dyDescent="0.45">
      <c r="B51" t="s">
        <v>99</v>
      </c>
      <c r="E51" s="31" t="s">
        <v>1461</v>
      </c>
      <c r="F51" t="str">
        <f>"Warengruppe&gt;&gt;"&amp;Migrationsartikel!V49&amp;"&gt;&gt;"&amp;Migrationsartikel!W49&amp;"&gt;&gt;"&amp;Migrationsartikel!X49</f>
        <v>Warengruppe&gt;&gt;Backwaren &amp; Convenience&gt;&gt;Brot und Backwaren&gt;&gt;Backwaren andere</v>
      </c>
      <c r="H51" s="31" t="s">
        <v>109</v>
      </c>
      <c r="I51" s="31" t="s">
        <v>121</v>
      </c>
      <c r="J51" s="31">
        <f>Migrationsartikel!B49</f>
        <v>747</v>
      </c>
      <c r="L51" t="str">
        <f>Migrationsartikel!F49&amp;" "&amp;Migrationsartikel!G49&amp;" "&amp;Migrationsartikel!H49</f>
        <v>Weggli  aus der Region 1Stk</v>
      </c>
      <c r="M51" t="str">
        <f>Migrationsartikel!J49&amp;" "&amp;Migrationsartikel!K49&amp;" "&amp;Migrationsartikel!L49</f>
        <v>Pain au lait  de la région 1pce</v>
      </c>
      <c r="N51" t="str">
        <f>Migrationsartikel!N49&amp;" "&amp;Migrationsartikel!O49&amp;" "&amp;Migrationsartikel!P49</f>
        <v>Michetta al latte della regione 1pz</v>
      </c>
      <c r="O51" t="str">
        <f>Migrationsartikel!F49</f>
        <v xml:space="preserve">Weggli </v>
      </c>
      <c r="P51" t="str">
        <f>Migrationsartikel!J49</f>
        <v xml:space="preserve">Pain au lait </v>
      </c>
      <c r="Q51" t="str">
        <f>Migrationsartikel!N49</f>
        <v>Michetta al latte</v>
      </c>
      <c r="R51" t="str">
        <f>Migrationsartikel!G49</f>
        <v>aus der Region</v>
      </c>
      <c r="S51" t="str">
        <f>Migrationsartikel!K49</f>
        <v>de la région</v>
      </c>
      <c r="T51" t="str">
        <f>Migrationsartikel!O49</f>
        <v>della regione</v>
      </c>
      <c r="U51" s="31" t="str">
        <f>Migrationsartikel!H49</f>
        <v>1Stk</v>
      </c>
      <c r="V51" s="31" t="str">
        <f>Migrationsartikel!L49</f>
        <v>1pce</v>
      </c>
      <c r="W51" s="31" t="str">
        <f>Migrationsartikel!P49</f>
        <v>1pz</v>
      </c>
      <c r="X51" t="str">
        <f>Migrationsartikel!I49</f>
        <v xml:space="preserve">Weggli </v>
      </c>
      <c r="Y51" t="str">
        <f>Migrationsartikel!M49</f>
        <v xml:space="preserve">Pain au lait </v>
      </c>
      <c r="Z51" t="str">
        <f>Migrationsartikel!Q49</f>
        <v>Michetta al latte</v>
      </c>
      <c r="AA51" s="45">
        <f>Migrationsartikel!R49</f>
        <v>1</v>
      </c>
      <c r="AB51" s="46" t="str">
        <f>Migrationsartikel!T49</f>
        <v>Stück</v>
      </c>
      <c r="AC51">
        <f>Migrationsartikel!S49</f>
        <v>1</v>
      </c>
      <c r="AD51" t="str">
        <f>Migrationsartikel!U49</f>
        <v>(PCE) Stück</v>
      </c>
      <c r="AE51" s="31" t="s">
        <v>179</v>
      </c>
      <c r="AF51" s="31" t="s">
        <v>192</v>
      </c>
      <c r="AG51" t="str">
        <f>IF(Migrationsartikel!AB49="ja","true",FALSE)</f>
        <v>true</v>
      </c>
      <c r="AH51" t="str">
        <f>IF(Migrationsartikel!AC49="ja","true",FALSE)</f>
        <v>true</v>
      </c>
      <c r="AI51" t="str">
        <f>IF(Migrationsartikel!AD49="ja","true",FALSE)</f>
        <v>true</v>
      </c>
      <c r="AJ51" t="str">
        <f>IF(Migrationsartikel!AE49="ja","true",FALSE)</f>
        <v>true</v>
      </c>
      <c r="AK51" t="str">
        <f>IF(Migrationsartikel!AF49="ja","Denner Partner","")</f>
        <v/>
      </c>
      <c r="AL51" t="str">
        <f>IF(Migrationsartikel!AG49="ja","true","false")</f>
        <v>false</v>
      </c>
      <c r="AM51" t="str">
        <f t="shared" si="0"/>
        <v>PLU</v>
      </c>
      <c r="AN51" s="31" t="s">
        <v>219</v>
      </c>
      <c r="AO51" s="31" t="s">
        <v>217</v>
      </c>
    </row>
    <row r="52" spans="2:41" ht="21.75" customHeight="1" x14ac:dyDescent="0.45">
      <c r="B52" t="s">
        <v>99</v>
      </c>
      <c r="E52" s="31" t="s">
        <v>1462</v>
      </c>
      <c r="F52" t="str">
        <f>"Warengruppe&gt;&gt;"&amp;Migrationsartikel!V50&amp;"&gt;&gt;"&amp;Migrationsartikel!W50&amp;"&gt;&gt;"&amp;Migrationsartikel!X50</f>
        <v>Warengruppe&gt;&gt;Backwaren &amp; Convenience&gt;&gt;Convenience-Produkte&gt;&gt;Ready to cook</v>
      </c>
      <c r="H52" s="31" t="s">
        <v>109</v>
      </c>
      <c r="I52" s="31" t="s">
        <v>121</v>
      </c>
      <c r="J52" s="31">
        <f>Migrationsartikel!B50</f>
        <v>800</v>
      </c>
      <c r="L52" t="str">
        <f>Migrationsartikel!F50&amp;" "&amp;Migrationsartikel!G50&amp;" "&amp;Migrationsartikel!H50</f>
        <v>Frische Pasta aus der Region 1Stk</v>
      </c>
      <c r="M52" t="str">
        <f>Migrationsartikel!J50&amp;" "&amp;Migrationsartikel!K50&amp;" "&amp;Migrationsartikel!L50</f>
        <v>Pâtes fraîches de la région 1pce</v>
      </c>
      <c r="N52" t="str">
        <f>Migrationsartikel!N50&amp;" "&amp;Migrationsartikel!O50&amp;" "&amp;Migrationsartikel!P50</f>
        <v>Pasta fresca della regione 1pz</v>
      </c>
      <c r="O52" t="str">
        <f>Migrationsartikel!F50</f>
        <v>Frische Pasta</v>
      </c>
      <c r="P52" t="str">
        <f>Migrationsartikel!J50</f>
        <v>Pâtes fraîches</v>
      </c>
      <c r="Q52" t="str">
        <f>Migrationsartikel!N50</f>
        <v>Pasta fresca</v>
      </c>
      <c r="R52" t="str">
        <f>Migrationsartikel!G50</f>
        <v>aus der Region</v>
      </c>
      <c r="S52" t="str">
        <f>Migrationsartikel!K50</f>
        <v>de la région</v>
      </c>
      <c r="T52" t="str">
        <f>Migrationsartikel!O50</f>
        <v>della regione</v>
      </c>
      <c r="U52" s="31" t="str">
        <f>Migrationsartikel!H50</f>
        <v>1Stk</v>
      </c>
      <c r="V52" s="31" t="str">
        <f>Migrationsartikel!L50</f>
        <v>1pce</v>
      </c>
      <c r="W52" s="31" t="str">
        <f>Migrationsartikel!P50</f>
        <v>1pz</v>
      </c>
      <c r="X52" t="str">
        <f>Migrationsartikel!I50</f>
        <v>Frische Pasta</v>
      </c>
      <c r="Y52" t="str">
        <f>Migrationsartikel!M50</f>
        <v>Pâtes fraîches</v>
      </c>
      <c r="Z52" t="str">
        <f>Migrationsartikel!Q50</f>
        <v>Pasta fresca</v>
      </c>
      <c r="AA52" s="45">
        <f>Migrationsartikel!R50</f>
        <v>1</v>
      </c>
      <c r="AB52" s="46" t="str">
        <f>Migrationsartikel!T50</f>
        <v>Stück</v>
      </c>
      <c r="AC52">
        <f>Migrationsartikel!S50</f>
        <v>1</v>
      </c>
      <c r="AD52" t="str">
        <f>Migrationsartikel!U50</f>
        <v>(PCE) Stück</v>
      </c>
      <c r="AE52" s="31" t="s">
        <v>179</v>
      </c>
      <c r="AF52" s="31" t="s">
        <v>192</v>
      </c>
      <c r="AG52" t="str">
        <f>IF(Migrationsartikel!AB50="ja","true",FALSE)</f>
        <v>true</v>
      </c>
      <c r="AH52" t="str">
        <f>IF(Migrationsartikel!AC50="ja","true",FALSE)</f>
        <v>true</v>
      </c>
      <c r="AI52" t="str">
        <f>IF(Migrationsartikel!AD50="ja","true",FALSE)</f>
        <v>true</v>
      </c>
      <c r="AJ52" t="str">
        <f>IF(Migrationsartikel!AE50="ja","true",FALSE)</f>
        <v>true</v>
      </c>
      <c r="AK52" t="str">
        <f>IF(Migrationsartikel!AF50="ja","Denner Partner","")</f>
        <v/>
      </c>
      <c r="AL52" t="str">
        <f>IF(Migrationsartikel!AG50="ja","true","false")</f>
        <v>false</v>
      </c>
      <c r="AM52" t="str">
        <f t="shared" si="0"/>
        <v>PLU</v>
      </c>
      <c r="AN52" s="31" t="s">
        <v>219</v>
      </c>
      <c r="AO52" s="31" t="s">
        <v>217</v>
      </c>
    </row>
    <row r="53" spans="2:41" ht="21.75" customHeight="1" x14ac:dyDescent="0.45">
      <c r="B53" t="s">
        <v>99</v>
      </c>
      <c r="E53" s="31" t="s">
        <v>1463</v>
      </c>
      <c r="F53" t="str">
        <f>"Warengruppe&gt;&gt;"&amp;Migrationsartikel!V51&amp;"&gt;&gt;"&amp;Migrationsartikel!W51&amp;"&gt;&gt;"&amp;Migrationsartikel!X51</f>
        <v>Warengruppe&gt;&gt;Backwaren &amp; Convenience&gt;&gt;Convenience-Produkte&gt;&gt;Ready to cook</v>
      </c>
      <c r="H53" s="31" t="s">
        <v>109</v>
      </c>
      <c r="I53" s="31" t="s">
        <v>121</v>
      </c>
      <c r="J53" s="31">
        <f>Migrationsartikel!B51</f>
        <v>801</v>
      </c>
      <c r="L53" t="str">
        <f>Migrationsartikel!F51&amp;" "&amp;Migrationsartikel!G51&amp;" "&amp;Migrationsartikel!H51</f>
        <v>Ravioli aus der Region 1Stk</v>
      </c>
      <c r="M53" t="str">
        <f>Migrationsartikel!J51&amp;" "&amp;Migrationsartikel!K51&amp;" "&amp;Migrationsartikel!L51</f>
        <v>Ravioli de la région 1pce</v>
      </c>
      <c r="N53" t="str">
        <f>Migrationsartikel!N51&amp;" "&amp;Migrationsartikel!O51&amp;" "&amp;Migrationsartikel!P51</f>
        <v>Ravioli  della regione 1pz</v>
      </c>
      <c r="O53" t="str">
        <f>Migrationsartikel!F51</f>
        <v>Ravioli</v>
      </c>
      <c r="P53" t="str">
        <f>Migrationsartikel!J51</f>
        <v>Ravioli</v>
      </c>
      <c r="Q53" t="str">
        <f>Migrationsartikel!N51</f>
        <v xml:space="preserve">Ravioli </v>
      </c>
      <c r="R53" t="str">
        <f>Migrationsartikel!G51</f>
        <v>aus der Region</v>
      </c>
      <c r="S53" t="str">
        <f>Migrationsartikel!K51</f>
        <v>de la région</v>
      </c>
      <c r="T53" t="str">
        <f>Migrationsartikel!O51</f>
        <v>della regione</v>
      </c>
      <c r="U53" s="31" t="str">
        <f>Migrationsartikel!H51</f>
        <v>1Stk</v>
      </c>
      <c r="V53" s="31" t="str">
        <f>Migrationsartikel!L51</f>
        <v>1pce</v>
      </c>
      <c r="W53" s="31" t="str">
        <f>Migrationsartikel!P51</f>
        <v>1pz</v>
      </c>
      <c r="X53" t="str">
        <f>Migrationsartikel!I51</f>
        <v>Ravioli</v>
      </c>
      <c r="Y53" t="str">
        <f>Migrationsartikel!M51</f>
        <v>Ravioli</v>
      </c>
      <c r="Z53" t="str">
        <f>Migrationsartikel!Q51</f>
        <v xml:space="preserve">Ravioli </v>
      </c>
      <c r="AA53" s="45">
        <f>Migrationsartikel!R51</f>
        <v>1</v>
      </c>
      <c r="AB53" s="46" t="str">
        <f>Migrationsartikel!T51</f>
        <v>Stück</v>
      </c>
      <c r="AC53">
        <f>Migrationsartikel!S51</f>
        <v>1</v>
      </c>
      <c r="AD53" t="str">
        <f>Migrationsartikel!U51</f>
        <v>(PCE) Stück</v>
      </c>
      <c r="AE53" s="31" t="s">
        <v>179</v>
      </c>
      <c r="AF53" s="31" t="s">
        <v>192</v>
      </c>
      <c r="AG53" t="str">
        <f>IF(Migrationsartikel!AB51="ja","true",FALSE)</f>
        <v>true</v>
      </c>
      <c r="AH53" t="str">
        <f>IF(Migrationsartikel!AC51="ja","true",FALSE)</f>
        <v>true</v>
      </c>
      <c r="AI53" t="str">
        <f>IF(Migrationsartikel!AD51="ja","true",FALSE)</f>
        <v>true</v>
      </c>
      <c r="AJ53" t="str">
        <f>IF(Migrationsartikel!AE51="ja","true",FALSE)</f>
        <v>true</v>
      </c>
      <c r="AK53" t="str">
        <f>IF(Migrationsartikel!AF51="ja","Denner Partner","")</f>
        <v/>
      </c>
      <c r="AL53" t="str">
        <f>IF(Migrationsartikel!AG51="ja","true","false")</f>
        <v>false</v>
      </c>
      <c r="AM53" t="str">
        <f t="shared" si="0"/>
        <v>PLU</v>
      </c>
      <c r="AN53" s="31" t="s">
        <v>219</v>
      </c>
      <c r="AO53" s="31" t="s">
        <v>217</v>
      </c>
    </row>
    <row r="54" spans="2:41" ht="21.75" customHeight="1" x14ac:dyDescent="0.45">
      <c r="B54" t="s">
        <v>99</v>
      </c>
      <c r="E54" s="31" t="s">
        <v>1464</v>
      </c>
      <c r="F54" t="str">
        <f>"Warengruppe&gt;&gt;"&amp;Migrationsartikel!V52&amp;"&gt;&gt;"&amp;Migrationsartikel!W52&amp;"&gt;&gt;"&amp;Migrationsartikel!X52</f>
        <v>Warengruppe&gt;&gt;Backwaren &amp; Convenience&gt;&gt;Convenience-Produkte&gt;&gt;Ready to eat</v>
      </c>
      <c r="H54" s="31" t="s">
        <v>109</v>
      </c>
      <c r="I54" s="31" t="s">
        <v>121</v>
      </c>
      <c r="J54" s="31">
        <f>Migrationsartikel!B52</f>
        <v>802</v>
      </c>
      <c r="L54" t="str">
        <f>Migrationsartikel!F52&amp;" "&amp;Migrationsartikel!G52&amp;" "&amp;Migrationsartikel!H52</f>
        <v>Gastronomietheke aus der Region 1Stk</v>
      </c>
      <c r="M54" t="str">
        <f>Migrationsartikel!J52&amp;" "&amp;Migrationsartikel!K52&amp;" "&amp;Migrationsartikel!L52</f>
        <v>Comptoir gastronomie de la région 1pce</v>
      </c>
      <c r="N54" t="str">
        <f>Migrationsartikel!N52&amp;" "&amp;Migrationsartikel!O52&amp;" "&amp;Migrationsartikel!P52</f>
        <v>Banco gastronomia della regione 1pz</v>
      </c>
      <c r="O54" t="str">
        <f>Migrationsartikel!F52</f>
        <v>Gastronomietheke</v>
      </c>
      <c r="P54" t="str">
        <f>Migrationsartikel!J52</f>
        <v>Comptoir gastronomie</v>
      </c>
      <c r="Q54" t="str">
        <f>Migrationsartikel!N52</f>
        <v>Banco gastronomia</v>
      </c>
      <c r="R54" t="str">
        <f>Migrationsartikel!G52</f>
        <v>aus der Region</v>
      </c>
      <c r="S54" t="str">
        <f>Migrationsartikel!K52</f>
        <v>de la région</v>
      </c>
      <c r="T54" t="str">
        <f>Migrationsartikel!O52</f>
        <v>della regione</v>
      </c>
      <c r="U54" s="31" t="str">
        <f>Migrationsartikel!H52</f>
        <v>1Stk</v>
      </c>
      <c r="V54" s="31" t="str">
        <f>Migrationsartikel!L52</f>
        <v>1pce</v>
      </c>
      <c r="W54" s="31" t="str">
        <f>Migrationsartikel!P52</f>
        <v>1pz</v>
      </c>
      <c r="X54" t="str">
        <f>Migrationsartikel!I52</f>
        <v>Gastronomietheke</v>
      </c>
      <c r="Y54" t="str">
        <f>Migrationsartikel!M52</f>
        <v>Comptoir gastronomie</v>
      </c>
      <c r="Z54" t="str">
        <f>Migrationsartikel!Q52</f>
        <v>Banco gastronomia</v>
      </c>
      <c r="AA54" s="45">
        <f>Migrationsartikel!R52</f>
        <v>1</v>
      </c>
      <c r="AB54" s="46" t="str">
        <f>Migrationsartikel!T52</f>
        <v>Stück</v>
      </c>
      <c r="AC54">
        <f>Migrationsartikel!S52</f>
        <v>1</v>
      </c>
      <c r="AD54" t="str">
        <f>Migrationsartikel!U52</f>
        <v>(PCE) Stück</v>
      </c>
      <c r="AE54" s="31" t="s">
        <v>179</v>
      </c>
      <c r="AF54" s="31" t="s">
        <v>192</v>
      </c>
      <c r="AG54" t="str">
        <f>IF(Migrationsartikel!AB52="ja","true",FALSE)</f>
        <v>true</v>
      </c>
      <c r="AH54" t="str">
        <f>IF(Migrationsartikel!AC52="ja","true",FALSE)</f>
        <v>true</v>
      </c>
      <c r="AI54" t="str">
        <f>IF(Migrationsartikel!AD52="ja","true",FALSE)</f>
        <v>true</v>
      </c>
      <c r="AJ54" t="str">
        <f>IF(Migrationsartikel!AE52="ja","true",FALSE)</f>
        <v>true</v>
      </c>
      <c r="AK54" t="str">
        <f>IF(Migrationsartikel!AF52="ja","Denner Partner","")</f>
        <v/>
      </c>
      <c r="AL54" t="str">
        <f>IF(Migrationsartikel!AG52="ja","true","false")</f>
        <v>false</v>
      </c>
      <c r="AM54" t="str">
        <f t="shared" si="0"/>
        <v>PLU</v>
      </c>
      <c r="AN54" s="31" t="s">
        <v>219</v>
      </c>
      <c r="AO54" s="31" t="s">
        <v>217</v>
      </c>
    </row>
    <row r="55" spans="2:41" ht="21.75" customHeight="1" x14ac:dyDescent="0.45">
      <c r="B55" t="s">
        <v>99</v>
      </c>
      <c r="E55" s="31" t="s">
        <v>1465</v>
      </c>
      <c r="F55" t="str">
        <f>"Warengruppe&gt;&gt;"&amp;Migrationsartikel!V53&amp;"&gt;&gt;"&amp;Migrationsartikel!W53&amp;"&gt;&gt;"&amp;Migrationsartikel!X53</f>
        <v>Warengruppe&gt;&gt;Backwaren &amp; Convenience&gt;&gt;Tiefkühlprodukte&gt;&gt;Tiefkühlprodukte</v>
      </c>
      <c r="H55" s="31" t="s">
        <v>109</v>
      </c>
      <c r="I55" s="31" t="s">
        <v>121</v>
      </c>
      <c r="J55" s="31">
        <f>Migrationsartikel!B53</f>
        <v>803</v>
      </c>
      <c r="L55" t="str">
        <f>Migrationsartikel!F53&amp;" "&amp;Migrationsartikel!G53&amp;" "&amp;Migrationsartikel!H53</f>
        <v>Glace Becher aus der Region 1Stk</v>
      </c>
      <c r="M55" t="str">
        <f>Migrationsartikel!J53&amp;" "&amp;Migrationsartikel!K53&amp;" "&amp;Migrationsartikel!L53</f>
        <v>Glace gobelet de la région 1pce</v>
      </c>
      <c r="N55" t="str">
        <f>Migrationsartikel!N53&amp;" "&amp;Migrationsartikel!O53&amp;" "&amp;Migrationsartikel!P53</f>
        <v>Gelato coppetta della regione 1pz</v>
      </c>
      <c r="O55" t="str">
        <f>Migrationsartikel!F53</f>
        <v>Glace Becher</v>
      </c>
      <c r="P55" t="str">
        <f>Migrationsartikel!J53</f>
        <v>Glace gobelet</v>
      </c>
      <c r="Q55" t="str">
        <f>Migrationsartikel!N53</f>
        <v>Gelato coppetta</v>
      </c>
      <c r="R55" t="str">
        <f>Migrationsartikel!G53</f>
        <v>aus der Region</v>
      </c>
      <c r="S55" t="str">
        <f>Migrationsartikel!K53</f>
        <v>de la région</v>
      </c>
      <c r="T55" t="str">
        <f>Migrationsartikel!O53</f>
        <v>della regione</v>
      </c>
      <c r="U55" s="31" t="str">
        <f>Migrationsartikel!H53</f>
        <v>1Stk</v>
      </c>
      <c r="V55" s="31" t="str">
        <f>Migrationsartikel!L53</f>
        <v>1pce</v>
      </c>
      <c r="W55" s="31" t="str">
        <f>Migrationsartikel!P53</f>
        <v>1pz</v>
      </c>
      <c r="X55" t="str">
        <f>Migrationsartikel!I53</f>
        <v>Glace Becher</v>
      </c>
      <c r="Y55" t="str">
        <f>Migrationsartikel!M53</f>
        <v>Glace gobelet</v>
      </c>
      <c r="Z55" t="str">
        <f>Migrationsartikel!Q53</f>
        <v>Gelato coppetta</v>
      </c>
      <c r="AA55" s="45">
        <f>Migrationsartikel!R53</f>
        <v>1</v>
      </c>
      <c r="AB55" s="46" t="str">
        <f>Migrationsartikel!T53</f>
        <v>Stück</v>
      </c>
      <c r="AC55">
        <f>Migrationsartikel!S53</f>
        <v>1</v>
      </c>
      <c r="AD55" t="str">
        <f>Migrationsartikel!U53</f>
        <v>(PCE) Stück</v>
      </c>
      <c r="AE55" s="31" t="s">
        <v>179</v>
      </c>
      <c r="AF55" s="31" t="s">
        <v>192</v>
      </c>
      <c r="AG55" t="str">
        <f>IF(Migrationsartikel!AB53="ja","true",FALSE)</f>
        <v>true</v>
      </c>
      <c r="AH55" t="str">
        <f>IF(Migrationsartikel!AC53="ja","true",FALSE)</f>
        <v>true</v>
      </c>
      <c r="AI55" t="str">
        <f>IF(Migrationsartikel!AD53="ja","true",FALSE)</f>
        <v>true</v>
      </c>
      <c r="AJ55" t="str">
        <f>IF(Migrationsartikel!AE53="ja","true",FALSE)</f>
        <v>true</v>
      </c>
      <c r="AK55" t="str">
        <f>IF(Migrationsartikel!AF53="ja","Denner Partner","")</f>
        <v/>
      </c>
      <c r="AL55" t="str">
        <f>IF(Migrationsartikel!AG53="ja","true","false")</f>
        <v>false</v>
      </c>
      <c r="AM55" t="str">
        <f t="shared" si="0"/>
        <v>PLU</v>
      </c>
      <c r="AN55" s="31" t="s">
        <v>219</v>
      </c>
      <c r="AO55" s="31" t="s">
        <v>217</v>
      </c>
    </row>
    <row r="56" spans="2:41" ht="21.75" customHeight="1" x14ac:dyDescent="0.45">
      <c r="B56" t="s">
        <v>99</v>
      </c>
      <c r="E56" s="31" t="s">
        <v>1466</v>
      </c>
      <c r="F56" t="str">
        <f>"Warengruppe&gt;&gt;"&amp;Migrationsartikel!V54&amp;"&gt;&gt;"&amp;Migrationsartikel!W54&amp;"&gt;&gt;"&amp;Migrationsartikel!X54</f>
        <v>Warengruppe&gt;&gt;Backwaren &amp; Convenience&gt;&gt;Tiefkühlprodukte&gt;&gt;Tiefkühlprodukte</v>
      </c>
      <c r="H56" s="31" t="s">
        <v>109</v>
      </c>
      <c r="I56" s="31" t="s">
        <v>121</v>
      </c>
      <c r="J56" s="31">
        <f>Migrationsartikel!B54</f>
        <v>804</v>
      </c>
      <c r="L56" t="str">
        <f>Migrationsartikel!F54&amp;" "&amp;Migrationsartikel!G54&amp;" "&amp;Migrationsartikel!H54</f>
        <v>Glace Behälter aus der Region 1l</v>
      </c>
      <c r="M56" t="str">
        <f>Migrationsartikel!J54&amp;" "&amp;Migrationsartikel!K54&amp;" "&amp;Migrationsartikel!L54</f>
        <v>Glace bac de la région 1l</v>
      </c>
      <c r="N56" t="str">
        <f>Migrationsartikel!N54&amp;" "&amp;Migrationsartikel!O54&amp;" "&amp;Migrationsartikel!P54</f>
        <v>Gelato vaschetta della regione 1l</v>
      </c>
      <c r="O56" t="str">
        <f>Migrationsartikel!F54</f>
        <v>Glace Behälter</v>
      </c>
      <c r="P56" t="str">
        <f>Migrationsartikel!J54</f>
        <v>Glace bac</v>
      </c>
      <c r="Q56" t="str">
        <f>Migrationsartikel!N54</f>
        <v>Gelato vaschetta</v>
      </c>
      <c r="R56" t="str">
        <f>Migrationsartikel!G54</f>
        <v>aus der Region</v>
      </c>
      <c r="S56" t="str">
        <f>Migrationsartikel!K54</f>
        <v>de la région</v>
      </c>
      <c r="T56" t="str">
        <f>Migrationsartikel!O54</f>
        <v>della regione</v>
      </c>
      <c r="U56" s="31" t="str">
        <f>Migrationsartikel!H54</f>
        <v>1l</v>
      </c>
      <c r="V56" s="31" t="str">
        <f>Migrationsartikel!L54</f>
        <v>1l</v>
      </c>
      <c r="W56" s="31" t="str">
        <f>Migrationsartikel!P54</f>
        <v>1l</v>
      </c>
      <c r="X56" t="str">
        <f>Migrationsartikel!I54</f>
        <v>Glace Behälter 1l</v>
      </c>
      <c r="Y56" t="str">
        <f>Migrationsartikel!M54</f>
        <v>Glace bac 1l</v>
      </c>
      <c r="Z56" t="str">
        <f>Migrationsartikel!Q54</f>
        <v>Gelato vaschetta 1l</v>
      </c>
      <c r="AA56" s="45">
        <f>Migrationsartikel!R54</f>
        <v>1</v>
      </c>
      <c r="AB56" s="46" t="str">
        <f>Migrationsartikel!T54</f>
        <v>Liter</v>
      </c>
      <c r="AC56">
        <f>Migrationsartikel!S54</f>
        <v>1</v>
      </c>
      <c r="AD56" t="str">
        <f>Migrationsartikel!U54</f>
        <v>(PCE) Stück</v>
      </c>
      <c r="AE56" s="31" t="s">
        <v>179</v>
      </c>
      <c r="AF56" s="31" t="s">
        <v>192</v>
      </c>
      <c r="AG56" t="str">
        <f>IF(Migrationsartikel!AB54="ja","true",FALSE)</f>
        <v>true</v>
      </c>
      <c r="AH56" t="str">
        <f>IF(Migrationsartikel!AC54="ja","true",FALSE)</f>
        <v>true</v>
      </c>
      <c r="AI56" t="str">
        <f>IF(Migrationsartikel!AD54="ja","true",FALSE)</f>
        <v>true</v>
      </c>
      <c r="AJ56" t="str">
        <f>IF(Migrationsartikel!AE54="ja","true",FALSE)</f>
        <v>true</v>
      </c>
      <c r="AK56" t="str">
        <f>IF(Migrationsartikel!AF54="ja","Denner Partner","")</f>
        <v/>
      </c>
      <c r="AL56" t="str">
        <f>IF(Migrationsartikel!AG54="ja","true","false")</f>
        <v>false</v>
      </c>
      <c r="AM56" t="str">
        <f t="shared" si="0"/>
        <v>PLU</v>
      </c>
      <c r="AN56" s="31" t="s">
        <v>219</v>
      </c>
      <c r="AO56" s="31" t="s">
        <v>217</v>
      </c>
    </row>
    <row r="57" spans="2:41" ht="21.75" customHeight="1" x14ac:dyDescent="0.45">
      <c r="B57" t="s">
        <v>99</v>
      </c>
      <c r="E57" s="31" t="s">
        <v>1467</v>
      </c>
      <c r="F57" t="str">
        <f>"Warengruppe&gt;&gt;"&amp;Migrationsartikel!V55&amp;"&gt;&gt;"&amp;Migrationsartikel!W55&amp;"&gt;&gt;"&amp;Migrationsartikel!X55</f>
        <v>Warengruppe&gt;&gt;Food&gt;&gt;Grundnahrungsmittel&gt;&gt;Grundnahrungsmittel</v>
      </c>
      <c r="H57" s="31" t="s">
        <v>109</v>
      </c>
      <c r="I57" s="31" t="s">
        <v>121</v>
      </c>
      <c r="J57" s="31">
        <f>Migrationsartikel!B55</f>
        <v>805</v>
      </c>
      <c r="L57" t="str">
        <f>Migrationsartikel!F55&amp;" "&amp;Migrationsartikel!G55&amp;" "&amp;Migrationsartikel!H55</f>
        <v>Mehl  aus der Region 500g</v>
      </c>
      <c r="M57" t="str">
        <f>Migrationsartikel!J55&amp;" "&amp;Migrationsartikel!K55&amp;" "&amp;Migrationsartikel!L55</f>
        <v>Farine  de la région 500g</v>
      </c>
      <c r="N57" t="str">
        <f>Migrationsartikel!N55&amp;" "&amp;Migrationsartikel!O55&amp;" "&amp;Migrationsartikel!P55</f>
        <v>Farina  della regione 500g</v>
      </c>
      <c r="O57" t="str">
        <f>Migrationsartikel!F55</f>
        <v xml:space="preserve">Mehl </v>
      </c>
      <c r="P57" t="str">
        <f>Migrationsartikel!J55</f>
        <v xml:space="preserve">Farine </v>
      </c>
      <c r="Q57" t="str">
        <f>Migrationsartikel!N55</f>
        <v xml:space="preserve">Farina </v>
      </c>
      <c r="R57" t="str">
        <f>Migrationsartikel!G55</f>
        <v>aus der Region</v>
      </c>
      <c r="S57" t="str">
        <f>Migrationsartikel!K55</f>
        <v>de la région</v>
      </c>
      <c r="T57" t="str">
        <f>Migrationsartikel!O55</f>
        <v>della regione</v>
      </c>
      <c r="U57" s="31" t="str">
        <f>Migrationsartikel!H55</f>
        <v>500g</v>
      </c>
      <c r="V57" s="31" t="str">
        <f>Migrationsartikel!L55</f>
        <v>500g</v>
      </c>
      <c r="W57" s="31" t="str">
        <f>Migrationsartikel!P55</f>
        <v>500g</v>
      </c>
      <c r="X57" t="str">
        <f>Migrationsartikel!I55</f>
        <v>Mehl 500g</v>
      </c>
      <c r="Y57" t="str">
        <f>Migrationsartikel!M55</f>
        <v>Farine 500g</v>
      </c>
      <c r="Z57" t="str">
        <f>Migrationsartikel!Q55</f>
        <v>Farina 500g</v>
      </c>
      <c r="AA57" s="45">
        <f>Migrationsartikel!R55</f>
        <v>0.5</v>
      </c>
      <c r="AB57" s="46" t="str">
        <f>Migrationsartikel!T55</f>
        <v>Kilogramm</v>
      </c>
      <c r="AC57">
        <f>Migrationsartikel!S55</f>
        <v>1</v>
      </c>
      <c r="AD57" t="str">
        <f>Migrationsartikel!U55</f>
        <v>(PCE) Stück</v>
      </c>
      <c r="AE57" s="31" t="s">
        <v>179</v>
      </c>
      <c r="AF57" s="31" t="s">
        <v>192</v>
      </c>
      <c r="AG57" t="str">
        <f>IF(Migrationsartikel!AB55="ja","true",FALSE)</f>
        <v>true</v>
      </c>
      <c r="AH57" t="str">
        <f>IF(Migrationsartikel!AC55="ja","true",FALSE)</f>
        <v>true</v>
      </c>
      <c r="AI57" t="str">
        <f>IF(Migrationsartikel!AD55="ja","true",FALSE)</f>
        <v>true</v>
      </c>
      <c r="AJ57" t="str">
        <f>IF(Migrationsartikel!AE55="ja","true",FALSE)</f>
        <v>true</v>
      </c>
      <c r="AK57" t="str">
        <f>IF(Migrationsartikel!AF55="ja","Denner Partner","")</f>
        <v/>
      </c>
      <c r="AL57" t="str">
        <f>IF(Migrationsartikel!AG55="ja","true","false")</f>
        <v>false</v>
      </c>
      <c r="AM57" t="str">
        <f t="shared" si="0"/>
        <v>PLU</v>
      </c>
      <c r="AN57" s="31" t="s">
        <v>219</v>
      </c>
      <c r="AO57" s="31" t="s">
        <v>217</v>
      </c>
    </row>
    <row r="58" spans="2:41" ht="21.75" customHeight="1" x14ac:dyDescent="0.45">
      <c r="B58" t="s">
        <v>99</v>
      </c>
      <c r="E58" s="31" t="s">
        <v>1468</v>
      </c>
      <c r="F58" t="str">
        <f>"Warengruppe&gt;&gt;"&amp;Migrationsartikel!V56&amp;"&gt;&gt;"&amp;Migrationsartikel!W56&amp;"&gt;&gt;"&amp;Migrationsartikel!X56</f>
        <v>Warengruppe&gt;&gt;Food&gt;&gt;Grundnahrungsmittel&gt;&gt;Grundnahrungsmittel</v>
      </c>
      <c r="H58" s="31" t="s">
        <v>109</v>
      </c>
      <c r="I58" s="31" t="s">
        <v>121</v>
      </c>
      <c r="J58" s="31">
        <f>Migrationsartikel!B56</f>
        <v>806</v>
      </c>
      <c r="L58" t="str">
        <f>Migrationsartikel!F56&amp;" "&amp;Migrationsartikel!G56&amp;" "&amp;Migrationsartikel!H56</f>
        <v>Mehl  aus der Region 1kg</v>
      </c>
      <c r="M58" t="str">
        <f>Migrationsartikel!J56&amp;" "&amp;Migrationsartikel!K56&amp;" "&amp;Migrationsartikel!L56</f>
        <v>Farine  de la région 1kg</v>
      </c>
      <c r="N58" t="str">
        <f>Migrationsartikel!N56&amp;" "&amp;Migrationsartikel!O56&amp;" "&amp;Migrationsartikel!P56</f>
        <v>Farina  della regione 1kg</v>
      </c>
      <c r="O58" t="str">
        <f>Migrationsartikel!F56</f>
        <v xml:space="preserve">Mehl </v>
      </c>
      <c r="P58" t="str">
        <f>Migrationsartikel!J56</f>
        <v xml:space="preserve">Farine </v>
      </c>
      <c r="Q58" t="str">
        <f>Migrationsartikel!N56</f>
        <v xml:space="preserve">Farina </v>
      </c>
      <c r="R58" t="str">
        <f>Migrationsartikel!G56</f>
        <v>aus der Region</v>
      </c>
      <c r="S58" t="str">
        <f>Migrationsartikel!K56</f>
        <v>de la région</v>
      </c>
      <c r="T58" t="str">
        <f>Migrationsartikel!O56</f>
        <v>della regione</v>
      </c>
      <c r="U58" s="31" t="str">
        <f>Migrationsartikel!H56</f>
        <v>1kg</v>
      </c>
      <c r="V58" s="31" t="str">
        <f>Migrationsartikel!L56</f>
        <v>1kg</v>
      </c>
      <c r="W58" s="31" t="str">
        <f>Migrationsartikel!P56</f>
        <v>1kg</v>
      </c>
      <c r="X58" t="str">
        <f>Migrationsartikel!I56</f>
        <v>Mehl 1kg</v>
      </c>
      <c r="Y58" t="str">
        <f>Migrationsartikel!M56</f>
        <v>Farine 1kg</v>
      </c>
      <c r="Z58" t="str">
        <f>Migrationsartikel!Q56</f>
        <v>Farina 1kg</v>
      </c>
      <c r="AA58" s="45">
        <f>Migrationsartikel!R56</f>
        <v>1</v>
      </c>
      <c r="AB58" s="46" t="str">
        <f>Migrationsartikel!T56</f>
        <v>Kilogramm</v>
      </c>
      <c r="AC58">
        <f>Migrationsartikel!S56</f>
        <v>1</v>
      </c>
      <c r="AD58" t="str">
        <f>Migrationsartikel!U56</f>
        <v>(PCE) Stück</v>
      </c>
      <c r="AE58" s="31" t="s">
        <v>179</v>
      </c>
      <c r="AF58" s="31" t="s">
        <v>192</v>
      </c>
      <c r="AG58" t="str">
        <f>IF(Migrationsartikel!AB56="ja","true",FALSE)</f>
        <v>true</v>
      </c>
      <c r="AH58" t="str">
        <f>IF(Migrationsartikel!AC56="ja","true",FALSE)</f>
        <v>true</v>
      </c>
      <c r="AI58" t="str">
        <f>IF(Migrationsartikel!AD56="ja","true",FALSE)</f>
        <v>true</v>
      </c>
      <c r="AJ58" t="str">
        <f>IF(Migrationsartikel!AE56="ja","true",FALSE)</f>
        <v>true</v>
      </c>
      <c r="AK58" t="str">
        <f>IF(Migrationsartikel!AF56="ja","Denner Partner","")</f>
        <v/>
      </c>
      <c r="AL58" t="str">
        <f>IF(Migrationsartikel!AG56="ja","true","false")</f>
        <v>false</v>
      </c>
      <c r="AM58" t="str">
        <f t="shared" si="0"/>
        <v>PLU</v>
      </c>
      <c r="AN58" s="31" t="s">
        <v>219</v>
      </c>
      <c r="AO58" s="31" t="s">
        <v>217</v>
      </c>
    </row>
    <row r="59" spans="2:41" ht="21.75" customHeight="1" x14ac:dyDescent="0.45">
      <c r="B59" t="s">
        <v>99</v>
      </c>
      <c r="E59" s="31" t="s">
        <v>1469</v>
      </c>
      <c r="F59" t="str">
        <f>"Warengruppe&gt;&gt;"&amp;Migrationsartikel!V57&amp;"&gt;&gt;"&amp;Migrationsartikel!W57&amp;"&gt;&gt;"&amp;Migrationsartikel!X57</f>
        <v>Warengruppe&gt;&gt;Food&gt;&gt;Öl/Essig/Salatsaucen&gt;&gt;Öl/Essig/Salatsaucen</v>
      </c>
      <c r="H59" s="31" t="s">
        <v>109</v>
      </c>
      <c r="I59" s="31" t="s">
        <v>121</v>
      </c>
      <c r="J59" s="31">
        <f>Migrationsartikel!B57</f>
        <v>807</v>
      </c>
      <c r="L59" t="str">
        <f>Migrationsartikel!F57&amp;" "&amp;Migrationsartikel!G57&amp;" "&amp;Migrationsartikel!H57</f>
        <v>Salatsauce  aus der Region 500ml</v>
      </c>
      <c r="M59" t="str">
        <f>Migrationsartikel!J57&amp;" "&amp;Migrationsartikel!K57&amp;" "&amp;Migrationsartikel!L57</f>
        <v>Sauce à salade de la région 500ml</v>
      </c>
      <c r="N59" t="str">
        <f>Migrationsartikel!N57&amp;" "&amp;Migrationsartikel!O57&amp;" "&amp;Migrationsartikel!P57</f>
        <v>Salsa per insalata della regione 500ml</v>
      </c>
      <c r="O59" t="str">
        <f>Migrationsartikel!F57</f>
        <v xml:space="preserve">Salatsauce </v>
      </c>
      <c r="P59" t="str">
        <f>Migrationsartikel!J57</f>
        <v>Sauce à salade</v>
      </c>
      <c r="Q59" t="str">
        <f>Migrationsartikel!N57</f>
        <v>Salsa per insalata</v>
      </c>
      <c r="R59" t="str">
        <f>Migrationsartikel!G57</f>
        <v>aus der Region</v>
      </c>
      <c r="S59" t="str">
        <f>Migrationsartikel!K57</f>
        <v>de la région</v>
      </c>
      <c r="T59" t="str">
        <f>Migrationsartikel!O57</f>
        <v>della regione</v>
      </c>
      <c r="U59" s="31" t="str">
        <f>Migrationsartikel!H57</f>
        <v>500ml</v>
      </c>
      <c r="V59" s="31" t="str">
        <f>Migrationsartikel!L57</f>
        <v>500ml</v>
      </c>
      <c r="W59" s="31" t="str">
        <f>Migrationsartikel!P57</f>
        <v>500ml</v>
      </c>
      <c r="X59" t="str">
        <f>Migrationsartikel!I57</f>
        <v>Salatsauce 500ml</v>
      </c>
      <c r="Y59" t="str">
        <f>Migrationsartikel!M57</f>
        <v>Sauce à salade 500ml</v>
      </c>
      <c r="Z59" t="str">
        <f>Migrationsartikel!Q57</f>
        <v>Salsa per insalata 500ml</v>
      </c>
      <c r="AA59" s="45">
        <f>Migrationsartikel!R57</f>
        <v>0.5</v>
      </c>
      <c r="AB59" s="46" t="str">
        <f>Migrationsartikel!T57</f>
        <v>Liter</v>
      </c>
      <c r="AC59">
        <f>Migrationsartikel!S57</f>
        <v>1</v>
      </c>
      <c r="AD59" t="str">
        <f>Migrationsartikel!U57</f>
        <v>(PCE) Stück</v>
      </c>
      <c r="AE59" s="31" t="s">
        <v>179</v>
      </c>
      <c r="AF59" s="31" t="s">
        <v>192</v>
      </c>
      <c r="AG59" t="str">
        <f>IF(Migrationsartikel!AB57="ja","true",FALSE)</f>
        <v>true</v>
      </c>
      <c r="AH59" t="str">
        <f>IF(Migrationsartikel!AC57="ja","true",FALSE)</f>
        <v>true</v>
      </c>
      <c r="AI59" t="str">
        <f>IF(Migrationsartikel!AD57="ja","true",FALSE)</f>
        <v>true</v>
      </c>
      <c r="AJ59" t="str">
        <f>IF(Migrationsartikel!AE57="ja","true",FALSE)</f>
        <v>true</v>
      </c>
      <c r="AK59" t="str">
        <f>IF(Migrationsartikel!AF57="ja","Denner Partner","")</f>
        <v/>
      </c>
      <c r="AL59" t="str">
        <f>IF(Migrationsartikel!AG57="ja","true","false")</f>
        <v>false</v>
      </c>
      <c r="AM59" t="str">
        <f t="shared" si="0"/>
        <v>PLU</v>
      </c>
      <c r="AN59" s="31" t="s">
        <v>219</v>
      </c>
      <c r="AO59" s="31" t="s">
        <v>217</v>
      </c>
    </row>
    <row r="60" spans="2:41" ht="21.75" customHeight="1" x14ac:dyDescent="0.45">
      <c r="B60" t="s">
        <v>99</v>
      </c>
      <c r="E60" s="31" t="s">
        <v>1470</v>
      </c>
      <c r="F60" t="str">
        <f>"Warengruppe&gt;&gt;"&amp;Migrationsartikel!V58&amp;"&gt;&gt;"&amp;Migrationsartikel!W58&amp;"&gt;&gt;"&amp;Migrationsartikel!X58</f>
        <v>Warengruppe&gt;&gt;Food&gt;&gt;Öl/Essig/Salatsaucen&gt;&gt;Öl/Essig/Salatsaucen</v>
      </c>
      <c r="H60" s="31" t="s">
        <v>109</v>
      </c>
      <c r="I60" s="31" t="s">
        <v>121</v>
      </c>
      <c r="J60" s="31">
        <f>Migrationsartikel!B58</f>
        <v>808</v>
      </c>
      <c r="L60" t="str">
        <f>Migrationsartikel!F58&amp;" "&amp;Migrationsartikel!G58&amp;" "&amp;Migrationsartikel!H58</f>
        <v>Salatsauce  aus der Region 1l</v>
      </c>
      <c r="M60" t="str">
        <f>Migrationsartikel!J58&amp;" "&amp;Migrationsartikel!K58&amp;" "&amp;Migrationsartikel!L58</f>
        <v>Sauce à salade de la région 1l</v>
      </c>
      <c r="N60" t="str">
        <f>Migrationsartikel!N58&amp;" "&amp;Migrationsartikel!O58&amp;" "&amp;Migrationsartikel!P58</f>
        <v>Salsa per insalata della regione 1l</v>
      </c>
      <c r="O60" t="str">
        <f>Migrationsartikel!F58</f>
        <v xml:space="preserve">Salatsauce </v>
      </c>
      <c r="P60" t="str">
        <f>Migrationsartikel!J58</f>
        <v>Sauce à salade</v>
      </c>
      <c r="Q60" t="str">
        <f>Migrationsartikel!N58</f>
        <v>Salsa per insalata</v>
      </c>
      <c r="R60" t="str">
        <f>Migrationsartikel!G58</f>
        <v>aus der Region</v>
      </c>
      <c r="S60" t="str">
        <f>Migrationsartikel!K58</f>
        <v>de la région</v>
      </c>
      <c r="T60" t="str">
        <f>Migrationsartikel!O58</f>
        <v>della regione</v>
      </c>
      <c r="U60" s="31" t="str">
        <f>Migrationsartikel!H58</f>
        <v>1l</v>
      </c>
      <c r="V60" s="31" t="str">
        <f>Migrationsartikel!L58</f>
        <v>1l</v>
      </c>
      <c r="W60" s="31" t="str">
        <f>Migrationsartikel!P58</f>
        <v>1l</v>
      </c>
      <c r="X60" t="str">
        <f>Migrationsartikel!I58</f>
        <v>Salatsauce 1l</v>
      </c>
      <c r="Y60" t="str">
        <f>Migrationsartikel!M58</f>
        <v>Sauce à salade 1l</v>
      </c>
      <c r="Z60" t="str">
        <f>Migrationsartikel!Q58</f>
        <v>Salsa per insalata 1l</v>
      </c>
      <c r="AA60" s="45">
        <f>Migrationsartikel!R58</f>
        <v>1</v>
      </c>
      <c r="AB60" s="46" t="str">
        <f>Migrationsartikel!T58</f>
        <v>Liter</v>
      </c>
      <c r="AC60">
        <f>Migrationsartikel!S58</f>
        <v>1</v>
      </c>
      <c r="AD60" t="str">
        <f>Migrationsartikel!U58</f>
        <v>(PCE) Stück</v>
      </c>
      <c r="AE60" s="31" t="s">
        <v>179</v>
      </c>
      <c r="AF60" s="31" t="s">
        <v>192</v>
      </c>
      <c r="AG60" t="str">
        <f>IF(Migrationsartikel!AB58="ja","true",FALSE)</f>
        <v>true</v>
      </c>
      <c r="AH60" t="str">
        <f>IF(Migrationsartikel!AC58="ja","true",FALSE)</f>
        <v>true</v>
      </c>
      <c r="AI60" t="str">
        <f>IF(Migrationsartikel!AD58="ja","true",FALSE)</f>
        <v>true</v>
      </c>
      <c r="AJ60" t="str">
        <f>IF(Migrationsartikel!AE58="ja","true",FALSE)</f>
        <v>true</v>
      </c>
      <c r="AK60" t="str">
        <f>IF(Migrationsartikel!AF58="ja","Denner Partner","")</f>
        <v/>
      </c>
      <c r="AL60" t="str">
        <f>IF(Migrationsartikel!AG58="ja","true","false")</f>
        <v>false</v>
      </c>
      <c r="AM60" t="str">
        <f t="shared" si="0"/>
        <v>PLU</v>
      </c>
      <c r="AN60" s="31" t="s">
        <v>219</v>
      </c>
      <c r="AO60" s="31" t="s">
        <v>217</v>
      </c>
    </row>
    <row r="61" spans="2:41" ht="21.75" customHeight="1" x14ac:dyDescent="0.45">
      <c r="B61" t="s">
        <v>99</v>
      </c>
      <c r="E61" s="31" t="s">
        <v>1471</v>
      </c>
      <c r="F61" t="str">
        <f>"Warengruppe&gt;&gt;"&amp;Migrationsartikel!V59&amp;"&gt;&gt;"&amp;Migrationsartikel!W59&amp;"&gt;&gt;"&amp;Migrationsartikel!X59</f>
        <v>Warengruppe&gt;&gt;Food&gt;&gt;Schokolade&gt;&gt;Schokolade</v>
      </c>
      <c r="H61" s="31" t="s">
        <v>109</v>
      </c>
      <c r="I61" s="31" t="s">
        <v>121</v>
      </c>
      <c r="J61" s="31">
        <f>Migrationsartikel!B59</f>
        <v>809</v>
      </c>
      <c r="L61" t="str">
        <f>Migrationsartikel!F59&amp;" "&amp;Migrationsartikel!G59&amp;" "&amp;Migrationsartikel!H59</f>
        <v>Mohrenkopf aus der Region 1Stk</v>
      </c>
      <c r="M61" t="str">
        <f>Migrationsartikel!J59&amp;" "&amp;Migrationsartikel!K59&amp;" "&amp;Migrationsartikel!L59</f>
        <v>Tête de choco de la région 1pce</v>
      </c>
      <c r="N61" t="str">
        <f>Migrationsartikel!N59&amp;" "&amp;Migrationsartikel!O59&amp;" "&amp;Migrationsartikel!P59</f>
        <v>Moretti della regione 1pz</v>
      </c>
      <c r="O61" t="str">
        <f>Migrationsartikel!F59</f>
        <v>Mohrenkopf</v>
      </c>
      <c r="P61" t="str">
        <f>Migrationsartikel!J59</f>
        <v>Tête de choco</v>
      </c>
      <c r="Q61" t="str">
        <f>Migrationsartikel!N59</f>
        <v>Moretti</v>
      </c>
      <c r="R61" t="str">
        <f>Migrationsartikel!G59</f>
        <v>aus der Region</v>
      </c>
      <c r="S61" t="str">
        <f>Migrationsartikel!K59</f>
        <v>de la région</v>
      </c>
      <c r="T61" t="str">
        <f>Migrationsartikel!O59</f>
        <v>della regione</v>
      </c>
      <c r="U61" s="31" t="str">
        <f>Migrationsartikel!H59</f>
        <v>1Stk</v>
      </c>
      <c r="V61" s="31" t="str">
        <f>Migrationsartikel!L59</f>
        <v>1pce</v>
      </c>
      <c r="W61" s="31" t="str">
        <f>Migrationsartikel!P59</f>
        <v>1pz</v>
      </c>
      <c r="X61" t="str">
        <f>Migrationsartikel!I59</f>
        <v>Mohrenkopf</v>
      </c>
      <c r="Y61" t="str">
        <f>Migrationsartikel!M59</f>
        <v>Tête de choco</v>
      </c>
      <c r="Z61" t="str">
        <f>Migrationsartikel!Q59</f>
        <v>Moretti</v>
      </c>
      <c r="AA61" s="45">
        <f>Migrationsartikel!R59</f>
        <v>1</v>
      </c>
      <c r="AB61" s="46" t="str">
        <f>Migrationsartikel!T59</f>
        <v>Stück</v>
      </c>
      <c r="AC61">
        <f>Migrationsartikel!S59</f>
        <v>1</v>
      </c>
      <c r="AD61" t="str">
        <f>Migrationsartikel!U59</f>
        <v>(PCE) Stück</v>
      </c>
      <c r="AE61" s="31" t="s">
        <v>179</v>
      </c>
      <c r="AF61" s="31" t="s">
        <v>192</v>
      </c>
      <c r="AG61" t="str">
        <f>IF(Migrationsartikel!AB59="ja","true",FALSE)</f>
        <v>true</v>
      </c>
      <c r="AH61" t="str">
        <f>IF(Migrationsartikel!AC59="ja","true",FALSE)</f>
        <v>true</v>
      </c>
      <c r="AI61" t="str">
        <f>IF(Migrationsartikel!AD59="ja","true",FALSE)</f>
        <v>true</v>
      </c>
      <c r="AJ61" t="str">
        <f>IF(Migrationsartikel!AE59="ja","true",FALSE)</f>
        <v>true</v>
      </c>
      <c r="AK61" t="str">
        <f>IF(Migrationsartikel!AF59="ja","Denner Partner","")</f>
        <v/>
      </c>
      <c r="AL61" t="str">
        <f>IF(Migrationsartikel!AG59="ja","true","false")</f>
        <v>false</v>
      </c>
      <c r="AM61" t="str">
        <f t="shared" si="0"/>
        <v>PLU</v>
      </c>
      <c r="AN61" s="31" t="s">
        <v>219</v>
      </c>
      <c r="AO61" s="31" t="s">
        <v>217</v>
      </c>
    </row>
    <row r="62" spans="2:41" ht="21.75" customHeight="1" x14ac:dyDescent="0.45">
      <c r="B62" t="s">
        <v>99</v>
      </c>
      <c r="E62" s="31" t="s">
        <v>1472</v>
      </c>
      <c r="F62" t="str">
        <f>"Warengruppe&gt;&gt;"&amp;Migrationsartikel!V60&amp;"&gt;&gt;"&amp;Migrationsartikel!W60&amp;"&gt;&gt;"&amp;Migrationsartikel!X60</f>
        <v>Warengruppe&gt;&gt;Food&gt;&gt;Sonstige Nahrungsmittel&gt;&gt;Sonstige Nahrungsmittel</v>
      </c>
      <c r="H62" s="31" t="s">
        <v>109</v>
      </c>
      <c r="I62" s="31" t="s">
        <v>121</v>
      </c>
      <c r="J62" s="31">
        <f>Migrationsartikel!B60</f>
        <v>810</v>
      </c>
      <c r="L62" t="str">
        <f>Migrationsartikel!F60&amp;" "&amp;Migrationsartikel!G60&amp;" "&amp;Migrationsartikel!H60</f>
        <v>Bénichon-Senf aus der Region 100g</v>
      </c>
      <c r="M62" t="str">
        <f>Migrationsartikel!J60&amp;" "&amp;Migrationsartikel!K60&amp;" "&amp;Migrationsartikel!L60</f>
        <v>Moutarde de Bénichon de la région 100g</v>
      </c>
      <c r="N62" t="str">
        <f>Migrationsartikel!N60&amp;" "&amp;Migrationsartikel!O60&amp;" "&amp;Migrationsartikel!P60</f>
        <v>Senape di Bénichon della regione 100g</v>
      </c>
      <c r="O62" t="str">
        <f>Migrationsartikel!F60</f>
        <v>Bénichon-Senf</v>
      </c>
      <c r="P62" t="str">
        <f>Migrationsartikel!J60</f>
        <v>Moutarde de Bénichon</v>
      </c>
      <c r="Q62" t="str">
        <f>Migrationsartikel!N60</f>
        <v>Senape di Bénichon</v>
      </c>
      <c r="R62" t="str">
        <f>Migrationsartikel!G60</f>
        <v>aus der Region</v>
      </c>
      <c r="S62" t="str">
        <f>Migrationsartikel!K60</f>
        <v>de la région</v>
      </c>
      <c r="T62" t="str">
        <f>Migrationsartikel!O60</f>
        <v>della regione</v>
      </c>
      <c r="U62" s="31" t="str">
        <f>Migrationsartikel!H60</f>
        <v>100g</v>
      </c>
      <c r="V62" s="31" t="str">
        <f>Migrationsartikel!L60</f>
        <v>100g</v>
      </c>
      <c r="W62" s="31" t="str">
        <f>Migrationsartikel!P60</f>
        <v>100g</v>
      </c>
      <c r="X62" t="str">
        <f>Migrationsartikel!I60</f>
        <v>Bénichon-Senf 100g</v>
      </c>
      <c r="Y62" t="str">
        <f>Migrationsartikel!M60</f>
        <v>Moutarde de Bénichon 100g</v>
      </c>
      <c r="Z62" t="str">
        <f>Migrationsartikel!Q60</f>
        <v>Senape di Bénichon 100g</v>
      </c>
      <c r="AA62" s="45">
        <f>Migrationsartikel!R60</f>
        <v>0.1</v>
      </c>
      <c r="AB62" s="46" t="str">
        <f>Migrationsartikel!T60</f>
        <v>Gramm</v>
      </c>
      <c r="AC62">
        <f>Migrationsartikel!S60</f>
        <v>1</v>
      </c>
      <c r="AD62" t="str">
        <f>Migrationsartikel!U60</f>
        <v>(PCE) Stück</v>
      </c>
      <c r="AE62" s="31" t="s">
        <v>179</v>
      </c>
      <c r="AF62" s="31" t="s">
        <v>192</v>
      </c>
      <c r="AG62" t="str">
        <f>IF(Migrationsartikel!AB60="ja","true",FALSE)</f>
        <v>true</v>
      </c>
      <c r="AH62" t="str">
        <f>IF(Migrationsartikel!AC60="ja","true",FALSE)</f>
        <v>true</v>
      </c>
      <c r="AI62" t="str">
        <f>IF(Migrationsartikel!AD60="ja","true",FALSE)</f>
        <v>true</v>
      </c>
      <c r="AJ62" t="str">
        <f>IF(Migrationsartikel!AE60="ja","true",FALSE)</f>
        <v>true</v>
      </c>
      <c r="AK62" t="str">
        <f>IF(Migrationsartikel!AF60="ja","Denner Partner","")</f>
        <v/>
      </c>
      <c r="AL62" t="str">
        <f>IF(Migrationsartikel!AG60="ja","true","false")</f>
        <v>false</v>
      </c>
      <c r="AM62" t="str">
        <f t="shared" si="0"/>
        <v>PLU</v>
      </c>
      <c r="AN62" s="31" t="s">
        <v>219</v>
      </c>
      <c r="AO62" s="31" t="s">
        <v>217</v>
      </c>
    </row>
    <row r="63" spans="2:41" ht="21.75" customHeight="1" x14ac:dyDescent="0.45">
      <c r="B63" t="s">
        <v>99</v>
      </c>
      <c r="E63" s="31" t="s">
        <v>1473</v>
      </c>
      <c r="F63" t="str">
        <f>"Warengruppe&gt;&gt;"&amp;Migrationsartikel!V61&amp;"&gt;&gt;"&amp;Migrationsartikel!W61&amp;"&gt;&gt;"&amp;Migrationsartikel!X61</f>
        <v>Warengruppe&gt;&gt;Food&gt;&gt;Sonstige Nahrungsmittel&gt;&gt;Sonstige Nahrungsmittel</v>
      </c>
      <c r="H63" s="31" t="s">
        <v>109</v>
      </c>
      <c r="I63" s="31" t="s">
        <v>121</v>
      </c>
      <c r="J63" s="31">
        <f>Migrationsartikel!B61</f>
        <v>811</v>
      </c>
      <c r="L63" t="str">
        <f>Migrationsartikel!F61&amp;" "&amp;Migrationsartikel!G61&amp;" "&amp;Migrationsartikel!H61</f>
        <v>Bénichon-Senf aus der Region 250g</v>
      </c>
      <c r="M63" t="str">
        <f>Migrationsartikel!J61&amp;" "&amp;Migrationsartikel!K61&amp;" "&amp;Migrationsartikel!L61</f>
        <v>Moutarde de Bénichon de la région 250g</v>
      </c>
      <c r="N63" t="str">
        <f>Migrationsartikel!N61&amp;" "&amp;Migrationsartikel!O61&amp;" "&amp;Migrationsartikel!P61</f>
        <v>Senape di Bénichon della regione 250g</v>
      </c>
      <c r="O63" t="str">
        <f>Migrationsartikel!F61</f>
        <v>Bénichon-Senf</v>
      </c>
      <c r="P63" t="str">
        <f>Migrationsartikel!J61</f>
        <v>Moutarde de Bénichon</v>
      </c>
      <c r="Q63" t="str">
        <f>Migrationsartikel!N61</f>
        <v>Senape di Bénichon</v>
      </c>
      <c r="R63" t="str">
        <f>Migrationsartikel!G61</f>
        <v>aus der Region</v>
      </c>
      <c r="S63" t="str">
        <f>Migrationsartikel!K61</f>
        <v>de la région</v>
      </c>
      <c r="T63" t="str">
        <f>Migrationsartikel!O61</f>
        <v>della regione</v>
      </c>
      <c r="U63" s="31" t="str">
        <f>Migrationsartikel!H61</f>
        <v>250g</v>
      </c>
      <c r="V63" s="31" t="str">
        <f>Migrationsartikel!L61</f>
        <v>250g</v>
      </c>
      <c r="W63" s="31" t="str">
        <f>Migrationsartikel!P61</f>
        <v>250g</v>
      </c>
      <c r="X63" t="str">
        <f>Migrationsartikel!I61</f>
        <v>Bénichon-Senf 250g</v>
      </c>
      <c r="Y63" t="str">
        <f>Migrationsartikel!M61</f>
        <v>Moutarde de Bénichon 250</v>
      </c>
      <c r="Z63" t="str">
        <f>Migrationsartikel!Q61</f>
        <v>Senape di Bénichon 250</v>
      </c>
      <c r="AA63" s="45">
        <f>Migrationsartikel!R61</f>
        <v>0.25</v>
      </c>
      <c r="AB63" s="46" t="str">
        <f>Migrationsartikel!T61</f>
        <v>Gramm</v>
      </c>
      <c r="AC63">
        <f>Migrationsartikel!S61</f>
        <v>1</v>
      </c>
      <c r="AD63" t="str">
        <f>Migrationsartikel!U61</f>
        <v>(PCE) Stück</v>
      </c>
      <c r="AE63" s="31" t="s">
        <v>179</v>
      </c>
      <c r="AF63" s="31" t="s">
        <v>192</v>
      </c>
      <c r="AG63" t="str">
        <f>IF(Migrationsartikel!AB61="ja","true",FALSE)</f>
        <v>true</v>
      </c>
      <c r="AH63" t="str">
        <f>IF(Migrationsartikel!AC61="ja","true",FALSE)</f>
        <v>true</v>
      </c>
      <c r="AI63" t="str">
        <f>IF(Migrationsartikel!AD61="ja","true",FALSE)</f>
        <v>true</v>
      </c>
      <c r="AJ63" t="str">
        <f>IF(Migrationsartikel!AE61="ja","true",FALSE)</f>
        <v>true</v>
      </c>
      <c r="AK63" t="str">
        <f>IF(Migrationsartikel!AF61="ja","Denner Partner","")</f>
        <v/>
      </c>
      <c r="AL63" t="str">
        <f>IF(Migrationsartikel!AG61="ja","true","false")</f>
        <v>false</v>
      </c>
      <c r="AM63" t="str">
        <f t="shared" si="0"/>
        <v>PLU</v>
      </c>
      <c r="AN63" s="31" t="s">
        <v>219</v>
      </c>
      <c r="AO63" s="31" t="s">
        <v>217</v>
      </c>
    </row>
    <row r="64" spans="2:41" ht="21.75" customHeight="1" x14ac:dyDescent="0.45">
      <c r="B64" t="s">
        <v>99</v>
      </c>
      <c r="E64" s="31" t="s">
        <v>1474</v>
      </c>
      <c r="F64" t="str">
        <f>"Warengruppe&gt;&gt;"&amp;Migrationsartikel!V62&amp;"&gt;&gt;"&amp;Migrationsartikel!W62&amp;"&gt;&gt;"&amp;Migrationsartikel!X62</f>
        <v>Warengruppe&gt;&gt;Food&gt;&gt;Sonstige Nahrungsmittel&gt;&gt;Sonstige Nahrungsmittel</v>
      </c>
      <c r="H64" s="31" t="s">
        <v>109</v>
      </c>
      <c r="I64" s="31" t="s">
        <v>121</v>
      </c>
      <c r="J64" s="31">
        <f>Migrationsartikel!B62</f>
        <v>812</v>
      </c>
      <c r="L64" t="str">
        <f>Migrationsartikel!F62&amp;" "&amp;Migrationsartikel!G62&amp;" "&amp;Migrationsartikel!H62</f>
        <v>Geschenkkorb aus der Region 1Stk</v>
      </c>
      <c r="M64" t="str">
        <f>Migrationsartikel!J62&amp;" "&amp;Migrationsartikel!K62&amp;" "&amp;Migrationsartikel!L62</f>
        <v>Panier cadeau de la région 1pce</v>
      </c>
      <c r="N64" t="str">
        <f>Migrationsartikel!N62&amp;" "&amp;Migrationsartikel!O62&amp;" "&amp;Migrationsartikel!P62</f>
        <v>Cesto regalo della regione 1pz</v>
      </c>
      <c r="O64" t="str">
        <f>Migrationsartikel!F62</f>
        <v>Geschenkkorb</v>
      </c>
      <c r="P64" t="str">
        <f>Migrationsartikel!J62</f>
        <v>Panier cadeau</v>
      </c>
      <c r="Q64" t="str">
        <f>Migrationsartikel!N62</f>
        <v>Cesto regalo</v>
      </c>
      <c r="R64" t="str">
        <f>Migrationsartikel!G62</f>
        <v>aus der Region</v>
      </c>
      <c r="S64" t="str">
        <f>Migrationsartikel!K62</f>
        <v>de la région</v>
      </c>
      <c r="T64" t="str">
        <f>Migrationsartikel!O62</f>
        <v>della regione</v>
      </c>
      <c r="U64" s="31" t="str">
        <f>Migrationsartikel!H62</f>
        <v>1Stk</v>
      </c>
      <c r="V64" s="31" t="str">
        <f>Migrationsartikel!L62</f>
        <v>1pce</v>
      </c>
      <c r="W64" s="31" t="str">
        <f>Migrationsartikel!P62</f>
        <v>1pz</v>
      </c>
      <c r="X64" t="str">
        <f>Migrationsartikel!I62</f>
        <v>Geschenkkorb</v>
      </c>
      <c r="Y64" t="str">
        <f>Migrationsartikel!M62</f>
        <v>Panier cadeau</v>
      </c>
      <c r="Z64" t="str">
        <f>Migrationsartikel!Q62</f>
        <v>Cesto regalo</v>
      </c>
      <c r="AA64" s="45">
        <f>Migrationsartikel!R62</f>
        <v>1</v>
      </c>
      <c r="AB64" s="46" t="str">
        <f>Migrationsartikel!T62</f>
        <v>Stück</v>
      </c>
      <c r="AC64">
        <f>Migrationsartikel!S62</f>
        <v>1</v>
      </c>
      <c r="AD64" t="str">
        <f>Migrationsartikel!U62</f>
        <v>(PCE) Stück</v>
      </c>
      <c r="AE64" s="31" t="s">
        <v>179</v>
      </c>
      <c r="AF64" s="31" t="s">
        <v>192</v>
      </c>
      <c r="AG64" t="str">
        <f>IF(Migrationsartikel!AB62="ja","true",FALSE)</f>
        <v>true</v>
      </c>
      <c r="AH64" t="str">
        <f>IF(Migrationsartikel!AC62="ja","true",FALSE)</f>
        <v>true</v>
      </c>
      <c r="AI64" t="str">
        <f>IF(Migrationsartikel!AD62="ja","true",FALSE)</f>
        <v>true</v>
      </c>
      <c r="AJ64" t="str">
        <f>IF(Migrationsartikel!AE62="ja","true",FALSE)</f>
        <v>true</v>
      </c>
      <c r="AK64" t="str">
        <f>IF(Migrationsartikel!AF62="ja","Denner Partner","")</f>
        <v/>
      </c>
      <c r="AL64" t="str">
        <f>IF(Migrationsartikel!AG62="ja","true","false")</f>
        <v>false</v>
      </c>
      <c r="AM64" t="str">
        <f t="shared" si="0"/>
        <v>PLU</v>
      </c>
      <c r="AN64" s="31" t="s">
        <v>219</v>
      </c>
      <c r="AO64" s="31" t="s">
        <v>217</v>
      </c>
    </row>
    <row r="65" spans="2:41" ht="21.75" customHeight="1" x14ac:dyDescent="0.45">
      <c r="B65" t="s">
        <v>99</v>
      </c>
      <c r="E65" s="31" t="s">
        <v>1475</v>
      </c>
      <c r="F65" t="str">
        <f>"Warengruppe&gt;&gt;"&amp;Migrationsartikel!V63&amp;"&gt;&gt;"&amp;Migrationsartikel!W63&amp;"&gt;&gt;"&amp;Migrationsartikel!X63</f>
        <v>Warengruppe&gt;&gt;Food&gt;&gt;Sonstige Nahrungsmittel&gt;&gt;Sonstige Nahrungsmittel</v>
      </c>
      <c r="H65" s="31" t="s">
        <v>109</v>
      </c>
      <c r="I65" s="31" t="s">
        <v>121</v>
      </c>
      <c r="J65" s="31">
        <f>Migrationsartikel!B63</f>
        <v>813</v>
      </c>
      <c r="L65" t="str">
        <f>Migrationsartikel!F63&amp;" "&amp;Migrationsartikel!G63&amp;" "&amp;Migrationsartikel!H63</f>
        <v>Honig  aus der Region 250g</v>
      </c>
      <c r="M65" t="str">
        <f>Migrationsartikel!J63&amp;" "&amp;Migrationsartikel!K63&amp;" "&amp;Migrationsartikel!L63</f>
        <v>Miel de la région 250g</v>
      </c>
      <c r="N65" t="str">
        <f>Migrationsartikel!N63&amp;" "&amp;Migrationsartikel!O63&amp;" "&amp;Migrationsartikel!P63</f>
        <v>Miele  della regione 250g</v>
      </c>
      <c r="O65" t="str">
        <f>Migrationsartikel!F63</f>
        <v xml:space="preserve">Honig </v>
      </c>
      <c r="P65" t="str">
        <f>Migrationsartikel!J63</f>
        <v>Miel</v>
      </c>
      <c r="Q65" t="str">
        <f>Migrationsartikel!N63</f>
        <v xml:space="preserve">Miele </v>
      </c>
      <c r="R65" t="str">
        <f>Migrationsartikel!G63</f>
        <v>aus der Region</v>
      </c>
      <c r="S65" t="str">
        <f>Migrationsartikel!K63</f>
        <v>de la région</v>
      </c>
      <c r="T65" t="str">
        <f>Migrationsartikel!O63</f>
        <v>della regione</v>
      </c>
      <c r="U65" s="31" t="str">
        <f>Migrationsartikel!H63</f>
        <v>250g</v>
      </c>
      <c r="V65" s="31" t="str">
        <f>Migrationsartikel!L63</f>
        <v>250g</v>
      </c>
      <c r="W65" s="31" t="str">
        <f>Migrationsartikel!P63</f>
        <v>250g</v>
      </c>
      <c r="X65" t="str">
        <f>Migrationsartikel!I63</f>
        <v>Honig 250g</v>
      </c>
      <c r="Y65" t="str">
        <f>Migrationsartikel!M63</f>
        <v>Miel 250g</v>
      </c>
      <c r="Z65" t="str">
        <f>Migrationsartikel!Q63</f>
        <v>Miele 250g</v>
      </c>
      <c r="AA65" s="45">
        <f>Migrationsartikel!R63</f>
        <v>0.25</v>
      </c>
      <c r="AB65" s="46" t="str">
        <f>Migrationsartikel!T63</f>
        <v>Gramm</v>
      </c>
      <c r="AC65">
        <f>Migrationsartikel!S63</f>
        <v>1</v>
      </c>
      <c r="AD65" t="str">
        <f>Migrationsartikel!U63</f>
        <v>(PCE) Stück</v>
      </c>
      <c r="AE65" s="31" t="s">
        <v>179</v>
      </c>
      <c r="AF65" s="31" t="s">
        <v>192</v>
      </c>
      <c r="AG65" t="str">
        <f>IF(Migrationsartikel!AB63="ja","true",FALSE)</f>
        <v>true</v>
      </c>
      <c r="AH65" t="str">
        <f>IF(Migrationsartikel!AC63="ja","true",FALSE)</f>
        <v>true</v>
      </c>
      <c r="AI65" t="str">
        <f>IF(Migrationsartikel!AD63="ja","true",FALSE)</f>
        <v>true</v>
      </c>
      <c r="AJ65" t="str">
        <f>IF(Migrationsartikel!AE63="ja","true",FALSE)</f>
        <v>true</v>
      </c>
      <c r="AK65" t="str">
        <f>IF(Migrationsartikel!AF63="ja","Denner Partner","")</f>
        <v/>
      </c>
      <c r="AL65" t="str">
        <f>IF(Migrationsartikel!AG63="ja","true","false")</f>
        <v>false</v>
      </c>
      <c r="AM65" t="str">
        <f t="shared" si="0"/>
        <v>PLU</v>
      </c>
      <c r="AN65" s="31" t="s">
        <v>219</v>
      </c>
      <c r="AO65" s="31" t="s">
        <v>217</v>
      </c>
    </row>
    <row r="66" spans="2:41" ht="21.75" customHeight="1" x14ac:dyDescent="0.45">
      <c r="B66" t="s">
        <v>99</v>
      </c>
      <c r="E66" s="31" t="s">
        <v>1476</v>
      </c>
      <c r="F66" t="str">
        <f>"Warengruppe&gt;&gt;"&amp;Migrationsartikel!V64&amp;"&gt;&gt;"&amp;Migrationsartikel!W64&amp;"&gt;&gt;"&amp;Migrationsartikel!X64</f>
        <v>Warengruppe&gt;&gt;Food&gt;&gt;Sonstige Nahrungsmittel&gt;&gt;Sonstige Nahrungsmittel</v>
      </c>
      <c r="H66" s="31" t="s">
        <v>109</v>
      </c>
      <c r="I66" s="31" t="s">
        <v>121</v>
      </c>
      <c r="J66" s="31">
        <f>Migrationsartikel!B64</f>
        <v>814</v>
      </c>
      <c r="L66" t="str">
        <f>Migrationsartikel!F64&amp;" "&amp;Migrationsartikel!G64&amp;" "&amp;Migrationsartikel!H64</f>
        <v>Honig  aus der Region 500g</v>
      </c>
      <c r="M66" t="str">
        <f>Migrationsartikel!J64&amp;" "&amp;Migrationsartikel!K64&amp;" "&amp;Migrationsartikel!L64</f>
        <v>Miel de la région 500g</v>
      </c>
      <c r="N66" t="str">
        <f>Migrationsartikel!N64&amp;" "&amp;Migrationsartikel!O64&amp;" "&amp;Migrationsartikel!P64</f>
        <v>Miele  della regione 500g</v>
      </c>
      <c r="O66" t="str">
        <f>Migrationsartikel!F64</f>
        <v xml:space="preserve">Honig </v>
      </c>
      <c r="P66" t="str">
        <f>Migrationsartikel!J64</f>
        <v>Miel</v>
      </c>
      <c r="Q66" t="str">
        <f>Migrationsartikel!N64</f>
        <v xml:space="preserve">Miele </v>
      </c>
      <c r="R66" t="str">
        <f>Migrationsartikel!G64</f>
        <v>aus der Region</v>
      </c>
      <c r="S66" t="str">
        <f>Migrationsartikel!K64</f>
        <v>de la région</v>
      </c>
      <c r="T66" t="str">
        <f>Migrationsartikel!O64</f>
        <v>della regione</v>
      </c>
      <c r="U66" s="31" t="str">
        <f>Migrationsartikel!H64</f>
        <v>500g</v>
      </c>
      <c r="V66" s="31" t="str">
        <f>Migrationsartikel!L64</f>
        <v>500g</v>
      </c>
      <c r="W66" s="31" t="str">
        <f>Migrationsartikel!P64</f>
        <v>500g</v>
      </c>
      <c r="X66" t="str">
        <f>Migrationsartikel!I64</f>
        <v>Honig 500g</v>
      </c>
      <c r="Y66" t="str">
        <f>Migrationsartikel!M64</f>
        <v>Miel 500g</v>
      </c>
      <c r="Z66" t="str">
        <f>Migrationsartikel!Q64</f>
        <v>Miele 500g</v>
      </c>
      <c r="AA66" s="45">
        <f>Migrationsartikel!R64</f>
        <v>0.5</v>
      </c>
      <c r="AB66" s="46" t="str">
        <f>Migrationsartikel!T64</f>
        <v>Gramm</v>
      </c>
      <c r="AC66">
        <f>Migrationsartikel!S64</f>
        <v>1</v>
      </c>
      <c r="AD66" t="str">
        <f>Migrationsartikel!U64</f>
        <v>(PCE) Stück</v>
      </c>
      <c r="AE66" s="31" t="s">
        <v>179</v>
      </c>
      <c r="AF66" s="31" t="s">
        <v>192</v>
      </c>
      <c r="AG66" t="str">
        <f>IF(Migrationsartikel!AB64="ja","true",FALSE)</f>
        <v>true</v>
      </c>
      <c r="AH66" t="str">
        <f>IF(Migrationsartikel!AC64="ja","true",FALSE)</f>
        <v>true</v>
      </c>
      <c r="AI66" t="str">
        <f>IF(Migrationsartikel!AD64="ja","true",FALSE)</f>
        <v>true</v>
      </c>
      <c r="AJ66" t="str">
        <f>IF(Migrationsartikel!AE64="ja","true",FALSE)</f>
        <v>true</v>
      </c>
      <c r="AK66" t="str">
        <f>IF(Migrationsartikel!AF64="ja","Denner Partner","")</f>
        <v/>
      </c>
      <c r="AL66" t="str">
        <f>IF(Migrationsartikel!AG64="ja","true","false")</f>
        <v>false</v>
      </c>
      <c r="AM66" t="str">
        <f t="shared" si="0"/>
        <v>PLU</v>
      </c>
      <c r="AN66" s="31" t="s">
        <v>219</v>
      </c>
      <c r="AO66" s="31" t="s">
        <v>217</v>
      </c>
    </row>
    <row r="67" spans="2:41" ht="21.75" customHeight="1" x14ac:dyDescent="0.45">
      <c r="B67" t="s">
        <v>99</v>
      </c>
      <c r="E67" s="31" t="s">
        <v>1477</v>
      </c>
      <c r="F67" t="str">
        <f>"Warengruppe&gt;&gt;"&amp;Migrationsartikel!V65&amp;"&gt;&gt;"&amp;Migrationsartikel!W65&amp;"&gt;&gt;"&amp;Migrationsartikel!X65</f>
        <v>Warengruppe&gt;&gt;Food&gt;&gt;Sonstige Nahrungsmittel&gt;&gt;Sonstige Nahrungsmittel</v>
      </c>
      <c r="H67" s="31" t="s">
        <v>109</v>
      </c>
      <c r="I67" s="31" t="s">
        <v>121</v>
      </c>
      <c r="J67" s="31">
        <f>Migrationsartikel!B65</f>
        <v>815</v>
      </c>
      <c r="L67" t="str">
        <f>Migrationsartikel!F65&amp;" "&amp;Migrationsartikel!G65&amp;" "&amp;Migrationsartikel!H65</f>
        <v>Konfitüre aus der Region 150g</v>
      </c>
      <c r="M67" t="str">
        <f>Migrationsartikel!J65&amp;" "&amp;Migrationsartikel!K65&amp;" "&amp;Migrationsartikel!L65</f>
        <v>Confiture  de la région 150g</v>
      </c>
      <c r="N67" t="str">
        <f>Migrationsartikel!N65&amp;" "&amp;Migrationsartikel!O65&amp;" "&amp;Migrationsartikel!P65</f>
        <v>Confettura  della regione 150g</v>
      </c>
      <c r="O67" t="str">
        <f>Migrationsartikel!F65</f>
        <v>Konfitüre</v>
      </c>
      <c r="P67" t="str">
        <f>Migrationsartikel!J65</f>
        <v xml:space="preserve">Confiture </v>
      </c>
      <c r="Q67" t="str">
        <f>Migrationsartikel!N65</f>
        <v xml:space="preserve">Confettura </v>
      </c>
      <c r="R67" t="str">
        <f>Migrationsartikel!G65</f>
        <v>aus der Region</v>
      </c>
      <c r="S67" t="str">
        <f>Migrationsartikel!K65</f>
        <v>de la région</v>
      </c>
      <c r="T67" t="str">
        <f>Migrationsartikel!O65</f>
        <v>della regione</v>
      </c>
      <c r="U67" s="31" t="str">
        <f>Migrationsartikel!H65</f>
        <v>150g</v>
      </c>
      <c r="V67" s="31" t="str">
        <f>Migrationsartikel!L65</f>
        <v>150g</v>
      </c>
      <c r="W67" s="31" t="str">
        <f>Migrationsartikel!P65</f>
        <v>150g</v>
      </c>
      <c r="X67" t="str">
        <f>Migrationsartikel!I65</f>
        <v>Konfitüre 150g</v>
      </c>
      <c r="Y67" t="str">
        <f>Migrationsartikel!M65</f>
        <v>Confiture 150g</v>
      </c>
      <c r="Z67" t="str">
        <f>Migrationsartikel!Q65</f>
        <v>Confettura 150g</v>
      </c>
      <c r="AA67" s="45">
        <f>Migrationsartikel!R65</f>
        <v>0.15</v>
      </c>
      <c r="AB67" s="46" t="str">
        <f>Migrationsartikel!T65</f>
        <v>Gramm</v>
      </c>
      <c r="AC67">
        <f>Migrationsartikel!S65</f>
        <v>1</v>
      </c>
      <c r="AD67" t="str">
        <f>Migrationsartikel!U65</f>
        <v>(PCE) Stück</v>
      </c>
      <c r="AE67" s="31" t="s">
        <v>179</v>
      </c>
      <c r="AF67" s="31" t="s">
        <v>192</v>
      </c>
      <c r="AG67" t="str">
        <f>IF(Migrationsartikel!AB65="ja","true",FALSE)</f>
        <v>true</v>
      </c>
      <c r="AH67" t="str">
        <f>IF(Migrationsartikel!AC65="ja","true",FALSE)</f>
        <v>true</v>
      </c>
      <c r="AI67" t="str">
        <f>IF(Migrationsartikel!AD65="ja","true",FALSE)</f>
        <v>true</v>
      </c>
      <c r="AJ67" t="str">
        <f>IF(Migrationsartikel!AE65="ja","true",FALSE)</f>
        <v>true</v>
      </c>
      <c r="AK67" t="str">
        <f>IF(Migrationsartikel!AF65="ja","Denner Partner","")</f>
        <v/>
      </c>
      <c r="AL67" t="str">
        <f>IF(Migrationsartikel!AG65="ja","true","false")</f>
        <v>false</v>
      </c>
      <c r="AM67" t="str">
        <f t="shared" si="0"/>
        <v>PLU</v>
      </c>
      <c r="AN67" s="31" t="s">
        <v>219</v>
      </c>
      <c r="AO67" s="31" t="s">
        <v>217</v>
      </c>
    </row>
    <row r="68" spans="2:41" ht="21.75" customHeight="1" x14ac:dyDescent="0.45">
      <c r="B68" t="s">
        <v>99</v>
      </c>
      <c r="E68" s="31" t="s">
        <v>1478</v>
      </c>
      <c r="F68" t="str">
        <f>"Warengruppe&gt;&gt;"&amp;Migrationsartikel!V66&amp;"&gt;&gt;"&amp;Migrationsartikel!W66&amp;"&gt;&gt;"&amp;Migrationsartikel!X66</f>
        <v>Warengruppe&gt;&gt;Food&gt;&gt;Sonstige Nahrungsmittel&gt;&gt;Sonstige Nahrungsmittel</v>
      </c>
      <c r="H68" s="31" t="s">
        <v>109</v>
      </c>
      <c r="I68" s="31" t="s">
        <v>121</v>
      </c>
      <c r="J68" s="31">
        <f>Migrationsartikel!B66</f>
        <v>816</v>
      </c>
      <c r="L68" t="str">
        <f>Migrationsartikel!F66&amp;" "&amp;Migrationsartikel!G66&amp;" "&amp;Migrationsartikel!H66</f>
        <v>Konfitüre aus der Region 250g</v>
      </c>
      <c r="M68" t="str">
        <f>Migrationsartikel!J66&amp;" "&amp;Migrationsartikel!K66&amp;" "&amp;Migrationsartikel!L66</f>
        <v>Confiture  de la région 250g</v>
      </c>
      <c r="N68" t="str">
        <f>Migrationsartikel!N66&amp;" "&amp;Migrationsartikel!O66&amp;" "&amp;Migrationsartikel!P66</f>
        <v>Confettura  della regione 250g</v>
      </c>
      <c r="O68" t="str">
        <f>Migrationsartikel!F66</f>
        <v>Konfitüre</v>
      </c>
      <c r="P68" t="str">
        <f>Migrationsartikel!J66</f>
        <v xml:space="preserve">Confiture </v>
      </c>
      <c r="Q68" t="str">
        <f>Migrationsartikel!N66</f>
        <v xml:space="preserve">Confettura </v>
      </c>
      <c r="R68" t="str">
        <f>Migrationsartikel!G66</f>
        <v>aus der Region</v>
      </c>
      <c r="S68" t="str">
        <f>Migrationsartikel!K66</f>
        <v>de la région</v>
      </c>
      <c r="T68" t="str">
        <f>Migrationsartikel!O66</f>
        <v>della regione</v>
      </c>
      <c r="U68" s="31" t="str">
        <f>Migrationsartikel!H66</f>
        <v>250g</v>
      </c>
      <c r="V68" s="31" t="str">
        <f>Migrationsartikel!L66</f>
        <v>250g</v>
      </c>
      <c r="W68" s="31" t="str">
        <f>Migrationsartikel!P66</f>
        <v>250g</v>
      </c>
      <c r="X68" t="str">
        <f>Migrationsartikel!I66</f>
        <v>Konfitüre 250g</v>
      </c>
      <c r="Y68" t="str">
        <f>Migrationsartikel!M66</f>
        <v>Confiture 250g</v>
      </c>
      <c r="Z68" t="str">
        <f>Migrationsartikel!Q66</f>
        <v>Confettura 250g</v>
      </c>
      <c r="AA68" s="45">
        <f>Migrationsartikel!R66</f>
        <v>0.25</v>
      </c>
      <c r="AB68" s="46" t="str">
        <f>Migrationsartikel!T66</f>
        <v>Gramm</v>
      </c>
      <c r="AC68">
        <f>Migrationsartikel!S66</f>
        <v>1</v>
      </c>
      <c r="AD68" t="str">
        <f>Migrationsartikel!U66</f>
        <v>(PCE) Stück</v>
      </c>
      <c r="AE68" s="31" t="s">
        <v>179</v>
      </c>
      <c r="AF68" s="31" t="s">
        <v>192</v>
      </c>
      <c r="AG68" t="str">
        <f>IF(Migrationsartikel!AB66="ja","true",FALSE)</f>
        <v>true</v>
      </c>
      <c r="AH68" t="str">
        <f>IF(Migrationsartikel!AC66="ja","true",FALSE)</f>
        <v>true</v>
      </c>
      <c r="AI68" t="str">
        <f>IF(Migrationsartikel!AD66="ja","true",FALSE)</f>
        <v>true</v>
      </c>
      <c r="AJ68" t="str">
        <f>IF(Migrationsartikel!AE66="ja","true",FALSE)</f>
        <v>true</v>
      </c>
      <c r="AK68" t="str">
        <f>IF(Migrationsartikel!AF66="ja","Denner Partner","")</f>
        <v/>
      </c>
      <c r="AL68" t="str">
        <f>IF(Migrationsartikel!AG66="ja","true","false")</f>
        <v>false</v>
      </c>
      <c r="AM68" t="str">
        <f t="shared" ref="AM68:AM131" si="1">IF(J68&lt;&gt;"","PLU","Kassentastenbelegung (ohne GTIN/PLU)")</f>
        <v>PLU</v>
      </c>
      <c r="AN68" s="31" t="s">
        <v>219</v>
      </c>
      <c r="AO68" s="31" t="s">
        <v>217</v>
      </c>
    </row>
    <row r="69" spans="2:41" ht="21.75" customHeight="1" x14ac:dyDescent="0.45">
      <c r="B69" t="s">
        <v>99</v>
      </c>
      <c r="E69" s="31" t="s">
        <v>1479</v>
      </c>
      <c r="F69" t="str">
        <f>"Warengruppe&gt;&gt;"&amp;Migrationsartikel!V67&amp;"&gt;&gt;"&amp;Migrationsartikel!W67&amp;"&gt;&gt;"&amp;Migrationsartikel!X67</f>
        <v>Warengruppe&gt;&gt;Food&gt;&gt;Sonstige Nahrungsmittel&gt;&gt;Sonstige Nahrungsmittel</v>
      </c>
      <c r="H69" s="31" t="s">
        <v>109</v>
      </c>
      <c r="I69" s="31" t="s">
        <v>121</v>
      </c>
      <c r="J69" s="31">
        <f>Migrationsartikel!B67</f>
        <v>817</v>
      </c>
      <c r="L69" t="str">
        <f>Migrationsartikel!F67&amp;" "&amp;Migrationsartikel!G67&amp;" "&amp;Migrationsartikel!H67</f>
        <v>Konfitüre aus der Region 350g</v>
      </c>
      <c r="M69" t="str">
        <f>Migrationsartikel!J67&amp;" "&amp;Migrationsartikel!K67&amp;" "&amp;Migrationsartikel!L67</f>
        <v>Confiture  de la région 350g</v>
      </c>
      <c r="N69" t="str">
        <f>Migrationsartikel!N67&amp;" "&amp;Migrationsartikel!O67&amp;" "&amp;Migrationsartikel!P67</f>
        <v>Confettura  della regione 350g</v>
      </c>
      <c r="O69" t="str">
        <f>Migrationsartikel!F67</f>
        <v>Konfitüre</v>
      </c>
      <c r="P69" t="str">
        <f>Migrationsartikel!J67</f>
        <v xml:space="preserve">Confiture </v>
      </c>
      <c r="Q69" t="str">
        <f>Migrationsartikel!N67</f>
        <v xml:space="preserve">Confettura </v>
      </c>
      <c r="R69" t="str">
        <f>Migrationsartikel!G67</f>
        <v>aus der Region</v>
      </c>
      <c r="S69" t="str">
        <f>Migrationsartikel!K67</f>
        <v>de la région</v>
      </c>
      <c r="T69" t="str">
        <f>Migrationsartikel!O67</f>
        <v>della regione</v>
      </c>
      <c r="U69" s="31" t="str">
        <f>Migrationsartikel!H67</f>
        <v>350g</v>
      </c>
      <c r="V69" s="31" t="str">
        <f>Migrationsartikel!L67</f>
        <v>350g</v>
      </c>
      <c r="W69" s="31" t="str">
        <f>Migrationsartikel!P67</f>
        <v>350g</v>
      </c>
      <c r="X69" t="str">
        <f>Migrationsartikel!I67</f>
        <v>Konfitüre 350g</v>
      </c>
      <c r="Y69" t="str">
        <f>Migrationsartikel!M67</f>
        <v>Confiture 350g</v>
      </c>
      <c r="Z69" t="str">
        <f>Migrationsartikel!Q67</f>
        <v>Confettura 350g</v>
      </c>
      <c r="AA69" s="45">
        <f>Migrationsartikel!R67</f>
        <v>0.35</v>
      </c>
      <c r="AB69" s="46" t="str">
        <f>Migrationsartikel!T67</f>
        <v>Gramm</v>
      </c>
      <c r="AC69">
        <f>Migrationsartikel!S67</f>
        <v>1</v>
      </c>
      <c r="AD69" t="str">
        <f>Migrationsartikel!U67</f>
        <v>(PCE) Stück</v>
      </c>
      <c r="AE69" s="31" t="s">
        <v>179</v>
      </c>
      <c r="AF69" s="31" t="s">
        <v>192</v>
      </c>
      <c r="AG69" t="str">
        <f>IF(Migrationsartikel!AB67="ja","true",FALSE)</f>
        <v>true</v>
      </c>
      <c r="AH69" t="str">
        <f>IF(Migrationsartikel!AC67="ja","true",FALSE)</f>
        <v>true</v>
      </c>
      <c r="AI69" t="str">
        <f>IF(Migrationsartikel!AD67="ja","true",FALSE)</f>
        <v>true</v>
      </c>
      <c r="AJ69" t="str">
        <f>IF(Migrationsartikel!AE67="ja","true",FALSE)</f>
        <v>true</v>
      </c>
      <c r="AK69" t="str">
        <f>IF(Migrationsartikel!AF67="ja","Denner Partner","")</f>
        <v/>
      </c>
      <c r="AL69" t="str">
        <f>IF(Migrationsartikel!AG67="ja","true","false")</f>
        <v>false</v>
      </c>
      <c r="AM69" t="str">
        <f t="shared" si="1"/>
        <v>PLU</v>
      </c>
      <c r="AN69" s="31" t="s">
        <v>219</v>
      </c>
      <c r="AO69" s="31" t="s">
        <v>217</v>
      </c>
    </row>
    <row r="70" spans="2:41" ht="21.75" customHeight="1" x14ac:dyDescent="0.45">
      <c r="B70" t="s">
        <v>99</v>
      </c>
      <c r="E70" s="31" t="s">
        <v>1480</v>
      </c>
      <c r="F70" t="str">
        <f>"Warengruppe&gt;&gt;"&amp;Migrationsartikel!V68&amp;"&gt;&gt;"&amp;Migrationsartikel!W68&amp;"&gt;&gt;"&amp;Migrationsartikel!X68</f>
        <v>Warengruppe&gt;&gt;Food&gt;&gt;Sonstige Nahrungsmittel&gt;&gt;Sonstige Nahrungsmittel</v>
      </c>
      <c r="H70" s="31" t="s">
        <v>109</v>
      </c>
      <c r="I70" s="31" t="s">
        <v>121</v>
      </c>
      <c r="J70" s="31">
        <f>Migrationsartikel!B68</f>
        <v>818</v>
      </c>
      <c r="L70" t="str">
        <f>Migrationsartikel!F68&amp;" "&amp;Migrationsartikel!G68&amp;" "&amp;Migrationsartikel!H68</f>
        <v>Konfitüre aus der Region 450g</v>
      </c>
      <c r="M70" t="str">
        <f>Migrationsartikel!J68&amp;" "&amp;Migrationsartikel!K68&amp;" "&amp;Migrationsartikel!L68</f>
        <v>Confiture  de la région 450g</v>
      </c>
      <c r="N70" t="str">
        <f>Migrationsartikel!N68&amp;" "&amp;Migrationsartikel!O68&amp;" "&amp;Migrationsartikel!P68</f>
        <v>Confettura  della regione 450g</v>
      </c>
      <c r="O70" t="str">
        <f>Migrationsartikel!F68</f>
        <v>Konfitüre</v>
      </c>
      <c r="P70" t="str">
        <f>Migrationsartikel!J68</f>
        <v xml:space="preserve">Confiture </v>
      </c>
      <c r="Q70" t="str">
        <f>Migrationsartikel!N68</f>
        <v xml:space="preserve">Confettura </v>
      </c>
      <c r="R70" t="str">
        <f>Migrationsartikel!G68</f>
        <v>aus der Region</v>
      </c>
      <c r="S70" t="str">
        <f>Migrationsartikel!K68</f>
        <v>de la région</v>
      </c>
      <c r="T70" t="str">
        <f>Migrationsartikel!O68</f>
        <v>della regione</v>
      </c>
      <c r="U70" s="31" t="str">
        <f>Migrationsartikel!H68</f>
        <v>450g</v>
      </c>
      <c r="V70" s="31" t="str">
        <f>Migrationsartikel!L68</f>
        <v>450g</v>
      </c>
      <c r="W70" s="31" t="str">
        <f>Migrationsartikel!P68</f>
        <v>450g</v>
      </c>
      <c r="X70" t="str">
        <f>Migrationsartikel!I68</f>
        <v>Konfitüre 450g</v>
      </c>
      <c r="Y70" t="str">
        <f>Migrationsartikel!M68</f>
        <v>Confiture 450g</v>
      </c>
      <c r="Z70" t="str">
        <f>Migrationsartikel!Q68</f>
        <v>Confettura 450g</v>
      </c>
      <c r="AA70" s="45">
        <f>Migrationsartikel!R68</f>
        <v>0.45</v>
      </c>
      <c r="AB70" s="46" t="str">
        <f>Migrationsartikel!T68</f>
        <v>Gramm</v>
      </c>
      <c r="AC70">
        <f>Migrationsartikel!S68</f>
        <v>1</v>
      </c>
      <c r="AD70" t="str">
        <f>Migrationsartikel!U68</f>
        <v>(PCE) Stück</v>
      </c>
      <c r="AE70" s="31" t="s">
        <v>179</v>
      </c>
      <c r="AF70" s="31" t="s">
        <v>192</v>
      </c>
      <c r="AG70" t="str">
        <f>IF(Migrationsartikel!AB68="ja","true",FALSE)</f>
        <v>true</v>
      </c>
      <c r="AH70" t="str">
        <f>IF(Migrationsartikel!AC68="ja","true",FALSE)</f>
        <v>true</v>
      </c>
      <c r="AI70" t="str">
        <f>IF(Migrationsartikel!AD68="ja","true",FALSE)</f>
        <v>true</v>
      </c>
      <c r="AJ70" t="str">
        <f>IF(Migrationsartikel!AE68="ja","true",FALSE)</f>
        <v>true</v>
      </c>
      <c r="AK70" t="str">
        <f>IF(Migrationsartikel!AF68="ja","Denner Partner","")</f>
        <v/>
      </c>
      <c r="AL70" t="str">
        <f>IF(Migrationsartikel!AG68="ja","true","false")</f>
        <v>false</v>
      </c>
      <c r="AM70" t="str">
        <f t="shared" si="1"/>
        <v>PLU</v>
      </c>
      <c r="AN70" s="31" t="s">
        <v>219</v>
      </c>
      <c r="AO70" s="31" t="s">
        <v>217</v>
      </c>
    </row>
    <row r="71" spans="2:41" ht="21.75" customHeight="1" x14ac:dyDescent="0.45">
      <c r="B71" t="s">
        <v>99</v>
      </c>
      <c r="E71" s="31" t="s">
        <v>1481</v>
      </c>
      <c r="F71" t="str">
        <f>"Warengruppe&gt;&gt;"&amp;Migrationsartikel!V69&amp;"&gt;&gt;"&amp;Migrationsartikel!W69&amp;"&gt;&gt;"&amp;Migrationsartikel!X69</f>
        <v>Warengruppe&gt;&gt;Food&gt;&gt;Zuckerconfiserie&gt;&gt;Zuckerconfiserie</v>
      </c>
      <c r="H71" s="31" t="s">
        <v>109</v>
      </c>
      <c r="I71" s="31" t="s">
        <v>121</v>
      </c>
      <c r="J71" s="31">
        <f>Migrationsartikel!B69</f>
        <v>819</v>
      </c>
      <c r="L71" t="str">
        <f>Migrationsartikel!F69&amp;" "&amp;Migrationsartikel!G69&amp;" "&amp;Migrationsartikel!H69</f>
        <v>Karamell  aus der Region 1Stk</v>
      </c>
      <c r="M71" t="str">
        <f>Migrationsartikel!J69&amp;" "&amp;Migrationsartikel!K69&amp;" "&amp;Migrationsartikel!L69</f>
        <v>Caramel  de la région 1pce</v>
      </c>
      <c r="N71" t="str">
        <f>Migrationsartikel!N69&amp;" "&amp;Migrationsartikel!O69&amp;" "&amp;Migrationsartikel!P69</f>
        <v>Caramello  della regione 1pz</v>
      </c>
      <c r="O71" t="str">
        <f>Migrationsartikel!F69</f>
        <v xml:space="preserve">Karamell </v>
      </c>
      <c r="P71" t="str">
        <f>Migrationsartikel!J69</f>
        <v xml:space="preserve">Caramel </v>
      </c>
      <c r="Q71" t="str">
        <f>Migrationsartikel!N69</f>
        <v xml:space="preserve">Caramello </v>
      </c>
      <c r="R71" t="str">
        <f>Migrationsartikel!G69</f>
        <v>aus der Region</v>
      </c>
      <c r="S71" t="str">
        <f>Migrationsartikel!K69</f>
        <v>de la région</v>
      </c>
      <c r="T71" t="str">
        <f>Migrationsartikel!O69</f>
        <v>della regione</v>
      </c>
      <c r="U71" s="31" t="str">
        <f>Migrationsartikel!H69</f>
        <v>1Stk</v>
      </c>
      <c r="V71" s="31" t="str">
        <f>Migrationsartikel!L69</f>
        <v>1pce</v>
      </c>
      <c r="W71" s="31" t="str">
        <f>Migrationsartikel!P69</f>
        <v>1pz</v>
      </c>
      <c r="X71" t="str">
        <f>Migrationsartikel!I69</f>
        <v xml:space="preserve">Karamell </v>
      </c>
      <c r="Y71" t="str">
        <f>Migrationsartikel!M69</f>
        <v xml:space="preserve">Caramel </v>
      </c>
      <c r="Z71" t="str">
        <f>Migrationsartikel!Q69</f>
        <v xml:space="preserve">Caramello </v>
      </c>
      <c r="AA71" s="45">
        <f>Migrationsartikel!R69</f>
        <v>1</v>
      </c>
      <c r="AB71" s="46" t="str">
        <f>Migrationsartikel!T69</f>
        <v>Stück</v>
      </c>
      <c r="AC71">
        <f>Migrationsartikel!S69</f>
        <v>1</v>
      </c>
      <c r="AD71" t="str">
        <f>Migrationsartikel!U69</f>
        <v>(PCE) Stück</v>
      </c>
      <c r="AE71" s="31" t="s">
        <v>179</v>
      </c>
      <c r="AF71" s="31" t="s">
        <v>192</v>
      </c>
      <c r="AG71" t="str">
        <f>IF(Migrationsartikel!AB69="ja","true",FALSE)</f>
        <v>true</v>
      </c>
      <c r="AH71" t="str">
        <f>IF(Migrationsartikel!AC69="ja","true",FALSE)</f>
        <v>true</v>
      </c>
      <c r="AI71" t="str">
        <f>IF(Migrationsartikel!AD69="ja","true",FALSE)</f>
        <v>true</v>
      </c>
      <c r="AJ71" t="str">
        <f>IF(Migrationsartikel!AE69="ja","true",FALSE)</f>
        <v>true</v>
      </c>
      <c r="AK71" t="str">
        <f>IF(Migrationsartikel!AF69="ja","Denner Partner","")</f>
        <v/>
      </c>
      <c r="AL71" t="str">
        <f>IF(Migrationsartikel!AG69="ja","true","false")</f>
        <v>false</v>
      </c>
      <c r="AM71" t="str">
        <f t="shared" si="1"/>
        <v>PLU</v>
      </c>
      <c r="AN71" s="31" t="s">
        <v>219</v>
      </c>
      <c r="AO71" s="31" t="s">
        <v>217</v>
      </c>
    </row>
    <row r="72" spans="2:41" ht="21.75" customHeight="1" x14ac:dyDescent="0.45">
      <c r="B72" t="s">
        <v>99</v>
      </c>
      <c r="E72" s="31" t="s">
        <v>1482</v>
      </c>
      <c r="F72" t="str">
        <f>"Warengruppe&gt;&gt;"&amp;Migrationsartikel!V70&amp;"&gt;&gt;"&amp;Migrationsartikel!W70&amp;"&gt;&gt;"&amp;Migrationsartikel!X70</f>
        <v>Warengruppe&gt;&gt;Frische&gt;&gt;Molkereiprodukte &amp; Eier &gt;&gt;Eier</v>
      </c>
      <c r="H72" s="31" t="s">
        <v>109</v>
      </c>
      <c r="I72" s="31" t="s">
        <v>121</v>
      </c>
      <c r="J72" s="31">
        <f>Migrationsartikel!B70</f>
        <v>820</v>
      </c>
      <c r="L72" t="str">
        <f>Migrationsartikel!F70&amp;" "&amp;Migrationsartikel!G70&amp;" "&amp;Migrationsartikel!H70</f>
        <v>Eier aus der Region 4Stk</v>
      </c>
      <c r="M72" t="str">
        <f>Migrationsartikel!J70&amp;" "&amp;Migrationsartikel!K70&amp;" "&amp;Migrationsartikel!L70</f>
        <v>Oeufs de la région 4pces</v>
      </c>
      <c r="N72" t="str">
        <f>Migrationsartikel!N70&amp;" "&amp;Migrationsartikel!O70&amp;" "&amp;Migrationsartikel!P70</f>
        <v>Uova della regione 4pz</v>
      </c>
      <c r="O72" t="str">
        <f>Migrationsartikel!F70</f>
        <v>Eier</v>
      </c>
      <c r="P72" t="str">
        <f>Migrationsartikel!J70</f>
        <v>Oeufs</v>
      </c>
      <c r="Q72" t="str">
        <f>Migrationsartikel!N70</f>
        <v>Uova</v>
      </c>
      <c r="R72" t="str">
        <f>Migrationsartikel!G70</f>
        <v>aus der Region</v>
      </c>
      <c r="S72" t="str">
        <f>Migrationsartikel!K70</f>
        <v>de la région</v>
      </c>
      <c r="T72" t="str">
        <f>Migrationsartikel!O70</f>
        <v>della regione</v>
      </c>
      <c r="U72" s="31" t="str">
        <f>Migrationsartikel!H70</f>
        <v>4Stk</v>
      </c>
      <c r="V72" s="31" t="str">
        <f>Migrationsartikel!L70</f>
        <v>4pces</v>
      </c>
      <c r="W72" s="31" t="str">
        <f>Migrationsartikel!P70</f>
        <v>4pz</v>
      </c>
      <c r="X72" t="str">
        <f>Migrationsartikel!I70</f>
        <v>Eier 4Stk</v>
      </c>
      <c r="Y72" t="str">
        <f>Migrationsartikel!M70</f>
        <v>Oeufs 4pces</v>
      </c>
      <c r="Z72" t="str">
        <f>Migrationsartikel!Q70</f>
        <v>Uova 4pz</v>
      </c>
      <c r="AA72" s="45">
        <f>Migrationsartikel!R70</f>
        <v>4</v>
      </c>
      <c r="AB72" s="46" t="str">
        <f>Migrationsartikel!T70</f>
        <v>Stück</v>
      </c>
      <c r="AC72">
        <f>Migrationsartikel!S70</f>
        <v>1</v>
      </c>
      <c r="AD72" t="str">
        <f>Migrationsartikel!U70</f>
        <v>(PCE) Stück</v>
      </c>
      <c r="AE72" s="31" t="s">
        <v>179</v>
      </c>
      <c r="AF72" s="31" t="s">
        <v>192</v>
      </c>
      <c r="AG72" t="str">
        <f>IF(Migrationsartikel!AB70="ja","true",FALSE)</f>
        <v>true</v>
      </c>
      <c r="AH72" t="str">
        <f>IF(Migrationsartikel!AC70="ja","true",FALSE)</f>
        <v>true</v>
      </c>
      <c r="AI72" t="str">
        <f>IF(Migrationsartikel!AD70="ja","true",FALSE)</f>
        <v>true</v>
      </c>
      <c r="AJ72" t="str">
        <f>IF(Migrationsartikel!AE70="ja","true",FALSE)</f>
        <v>true</v>
      </c>
      <c r="AK72" t="str">
        <f>IF(Migrationsartikel!AF70="ja","Denner Partner","")</f>
        <v/>
      </c>
      <c r="AL72" t="str">
        <f>IF(Migrationsartikel!AG70="ja","true","false")</f>
        <v>false</v>
      </c>
      <c r="AM72" t="str">
        <f t="shared" si="1"/>
        <v>PLU</v>
      </c>
      <c r="AN72" s="31" t="s">
        <v>219</v>
      </c>
      <c r="AO72" s="31" t="s">
        <v>217</v>
      </c>
    </row>
    <row r="73" spans="2:41" ht="21.75" customHeight="1" x14ac:dyDescent="0.45">
      <c r="B73" t="s">
        <v>99</v>
      </c>
      <c r="E73" s="31" t="s">
        <v>1483</v>
      </c>
      <c r="F73" t="str">
        <f>"Warengruppe&gt;&gt;"&amp;Migrationsartikel!V71&amp;"&gt;&gt;"&amp;Migrationsartikel!W71&amp;"&gt;&gt;"&amp;Migrationsartikel!X71</f>
        <v>Warengruppe&gt;&gt;Frische&gt;&gt;Molkereiprodukte &amp; Eier &gt;&gt;Eier</v>
      </c>
      <c r="H73" s="31" t="s">
        <v>109</v>
      </c>
      <c r="I73" s="31" t="s">
        <v>121</v>
      </c>
      <c r="J73" s="31">
        <f>Migrationsartikel!B71</f>
        <v>821</v>
      </c>
      <c r="L73" t="str">
        <f>Migrationsartikel!F71&amp;" "&amp;Migrationsartikel!G71&amp;" "&amp;Migrationsartikel!H71</f>
        <v>Eier  aus der Region 10Stk</v>
      </c>
      <c r="M73" t="str">
        <f>Migrationsartikel!J71&amp;" "&amp;Migrationsartikel!K71&amp;" "&amp;Migrationsartikel!L71</f>
        <v>Oeufs de la région 10pces</v>
      </c>
      <c r="N73" t="str">
        <f>Migrationsartikel!N71&amp;" "&amp;Migrationsartikel!O71&amp;" "&amp;Migrationsartikel!P71</f>
        <v>Uova della regione 10pz</v>
      </c>
      <c r="O73" t="str">
        <f>Migrationsartikel!F71</f>
        <v xml:space="preserve">Eier </v>
      </c>
      <c r="P73" t="str">
        <f>Migrationsartikel!J71</f>
        <v>Oeufs</v>
      </c>
      <c r="Q73" t="str">
        <f>Migrationsartikel!N71</f>
        <v>Uova</v>
      </c>
      <c r="R73" t="str">
        <f>Migrationsartikel!G71</f>
        <v>aus der Region</v>
      </c>
      <c r="S73" t="str">
        <f>Migrationsartikel!K71</f>
        <v>de la région</v>
      </c>
      <c r="T73" t="str">
        <f>Migrationsartikel!O71</f>
        <v>della regione</v>
      </c>
      <c r="U73" s="31" t="str">
        <f>Migrationsartikel!H71</f>
        <v>10Stk</v>
      </c>
      <c r="V73" s="31" t="str">
        <f>Migrationsartikel!L71</f>
        <v>10pces</v>
      </c>
      <c r="W73" s="31" t="str">
        <f>Migrationsartikel!P71</f>
        <v>10pz</v>
      </c>
      <c r="X73" t="str">
        <f>Migrationsartikel!I71</f>
        <v>Eier 10Stk</v>
      </c>
      <c r="Y73" t="str">
        <f>Migrationsartikel!M71</f>
        <v>Oeufs 10pces</v>
      </c>
      <c r="Z73" t="str">
        <f>Migrationsartikel!Q71</f>
        <v>Uova 10pz</v>
      </c>
      <c r="AA73" s="45">
        <f>Migrationsartikel!R71</f>
        <v>10</v>
      </c>
      <c r="AB73" s="46" t="str">
        <f>Migrationsartikel!T71</f>
        <v>Stück</v>
      </c>
      <c r="AC73">
        <f>Migrationsartikel!S71</f>
        <v>1</v>
      </c>
      <c r="AD73" t="str">
        <f>Migrationsartikel!U71</f>
        <v>(PCE) Stück</v>
      </c>
      <c r="AE73" s="31" t="s">
        <v>179</v>
      </c>
      <c r="AF73" s="31" t="s">
        <v>192</v>
      </c>
      <c r="AG73" t="str">
        <f>IF(Migrationsartikel!AB71="ja","true",FALSE)</f>
        <v>true</v>
      </c>
      <c r="AH73" t="str">
        <f>IF(Migrationsartikel!AC71="ja","true",FALSE)</f>
        <v>true</v>
      </c>
      <c r="AI73" t="str">
        <f>IF(Migrationsartikel!AD71="ja","true",FALSE)</f>
        <v>true</v>
      </c>
      <c r="AJ73" t="str">
        <f>IF(Migrationsartikel!AE71="ja","true",FALSE)</f>
        <v>true</v>
      </c>
      <c r="AK73" t="str">
        <f>IF(Migrationsartikel!AF71="ja","Denner Partner","")</f>
        <v/>
      </c>
      <c r="AL73" t="str">
        <f>IF(Migrationsartikel!AG71="ja","true","false")</f>
        <v>false</v>
      </c>
      <c r="AM73" t="str">
        <f t="shared" si="1"/>
        <v>PLU</v>
      </c>
      <c r="AN73" s="31" t="s">
        <v>219</v>
      </c>
      <c r="AO73" s="31" t="s">
        <v>217</v>
      </c>
    </row>
    <row r="74" spans="2:41" ht="21.75" customHeight="1" x14ac:dyDescent="0.45">
      <c r="B74" t="s">
        <v>99</v>
      </c>
      <c r="E74" s="31" t="s">
        <v>1484</v>
      </c>
      <c r="F74" t="str">
        <f>"Warengruppe&gt;&gt;"&amp;Migrationsartikel!V72&amp;"&gt;&gt;"&amp;Migrationsartikel!W72&amp;"&gt;&gt;"&amp;Migrationsartikel!X72</f>
        <v>Warengruppe&gt;&gt;Frische&gt;&gt;Molkereiprodukte &amp; Eier &gt;&gt;Eier</v>
      </c>
      <c r="H74" s="31" t="s">
        <v>109</v>
      </c>
      <c r="I74" s="31" t="s">
        <v>121</v>
      </c>
      <c r="J74" s="31">
        <f>Migrationsartikel!B72</f>
        <v>822</v>
      </c>
      <c r="L74" t="str">
        <f>Migrationsartikel!F72&amp;" "&amp;Migrationsartikel!G72&amp;" "&amp;Migrationsartikel!H72</f>
        <v>Eier  aus der Region 1Stk</v>
      </c>
      <c r="M74" t="str">
        <f>Migrationsartikel!J72&amp;" "&amp;Migrationsartikel!K72&amp;" "&amp;Migrationsartikel!L72</f>
        <v>Oeuf de la région 1pce</v>
      </c>
      <c r="N74" t="str">
        <f>Migrationsartikel!N72&amp;" "&amp;Migrationsartikel!O72&amp;" "&amp;Migrationsartikel!P72</f>
        <v>Uovo della regione 1pz</v>
      </c>
      <c r="O74" t="str">
        <f>Migrationsartikel!F72</f>
        <v xml:space="preserve">Eier </v>
      </c>
      <c r="P74" t="str">
        <f>Migrationsartikel!J72</f>
        <v>Oeuf</v>
      </c>
      <c r="Q74" t="str">
        <f>Migrationsartikel!N72</f>
        <v>Uovo</v>
      </c>
      <c r="R74" t="str">
        <f>Migrationsartikel!G72</f>
        <v>aus der Region</v>
      </c>
      <c r="S74" t="str">
        <f>Migrationsartikel!K72</f>
        <v>de la région</v>
      </c>
      <c r="T74" t="str">
        <f>Migrationsartikel!O72</f>
        <v>della regione</v>
      </c>
      <c r="U74" s="31" t="str">
        <f>Migrationsartikel!H72</f>
        <v>1Stk</v>
      </c>
      <c r="V74" s="31" t="str">
        <f>Migrationsartikel!L72</f>
        <v>1pce</v>
      </c>
      <c r="W74" s="31" t="str">
        <f>Migrationsartikel!P72</f>
        <v>1pz</v>
      </c>
      <c r="X74" t="str">
        <f>Migrationsartikel!I72</f>
        <v>Eier 1Stk</v>
      </c>
      <c r="Y74" t="str">
        <f>Migrationsartikel!M72</f>
        <v>Oeuf 1pce</v>
      </c>
      <c r="Z74" t="str">
        <f>Migrationsartikel!Q72</f>
        <v>Uovo 1pz</v>
      </c>
      <c r="AA74" s="45">
        <f>Migrationsartikel!R72</f>
        <v>1</v>
      </c>
      <c r="AB74" s="46" t="str">
        <f>Migrationsartikel!T72</f>
        <v>Stück</v>
      </c>
      <c r="AC74">
        <f>Migrationsartikel!S72</f>
        <v>1</v>
      </c>
      <c r="AD74" t="str">
        <f>Migrationsartikel!U72</f>
        <v>(PCE) Stück</v>
      </c>
      <c r="AE74" s="31" t="s">
        <v>179</v>
      </c>
      <c r="AF74" s="31" t="s">
        <v>192</v>
      </c>
      <c r="AG74" t="str">
        <f>IF(Migrationsartikel!AB72="ja","true",FALSE)</f>
        <v>true</v>
      </c>
      <c r="AH74" t="str">
        <f>IF(Migrationsartikel!AC72="ja","true",FALSE)</f>
        <v>true</v>
      </c>
      <c r="AI74" t="str">
        <f>IF(Migrationsartikel!AD72="ja","true",FALSE)</f>
        <v>true</v>
      </c>
      <c r="AJ74" t="str">
        <f>IF(Migrationsartikel!AE72="ja","true",FALSE)</f>
        <v>true</v>
      </c>
      <c r="AK74" t="str">
        <f>IF(Migrationsartikel!AF72="ja","Denner Partner","")</f>
        <v/>
      </c>
      <c r="AL74" t="str">
        <f>IF(Migrationsartikel!AG72="ja","true","false")</f>
        <v>false</v>
      </c>
      <c r="AM74" t="str">
        <f t="shared" si="1"/>
        <v>PLU</v>
      </c>
      <c r="AN74" s="31" t="s">
        <v>219</v>
      </c>
      <c r="AO74" s="31" t="s">
        <v>217</v>
      </c>
    </row>
    <row r="75" spans="2:41" ht="21.75" customHeight="1" x14ac:dyDescent="0.45">
      <c r="B75" t="s">
        <v>99</v>
      </c>
      <c r="E75" s="31" t="s">
        <v>1485</v>
      </c>
      <c r="F75" t="str">
        <f>"Warengruppe&gt;&gt;"&amp;Migrationsartikel!V73&amp;"&gt;&gt;"&amp;Migrationsartikel!W73&amp;"&gt;&gt;"&amp;Migrationsartikel!X73</f>
        <v>Warengruppe&gt;&gt;Frische&gt;&gt;Molkereiprodukte &amp; Eier &gt;&gt;Eier</v>
      </c>
      <c r="H75" s="31" t="s">
        <v>109</v>
      </c>
      <c r="I75" s="31" t="s">
        <v>121</v>
      </c>
      <c r="J75" s="31">
        <f>Migrationsartikel!B73</f>
        <v>823</v>
      </c>
      <c r="L75" t="str">
        <f>Migrationsartikel!F73&amp;" "&amp;Migrationsartikel!G73&amp;" "&amp;Migrationsartikel!H73</f>
        <v>Eier  aus der Region 6Stk</v>
      </c>
      <c r="M75" t="str">
        <f>Migrationsartikel!J73&amp;" "&amp;Migrationsartikel!K73&amp;" "&amp;Migrationsartikel!L73</f>
        <v>Oeufs de la région 6pces</v>
      </c>
      <c r="N75" t="str">
        <f>Migrationsartikel!N73&amp;" "&amp;Migrationsartikel!O73&amp;" "&amp;Migrationsartikel!P73</f>
        <v>Uova della regione 6pz</v>
      </c>
      <c r="O75" t="str">
        <f>Migrationsartikel!F73</f>
        <v xml:space="preserve">Eier </v>
      </c>
      <c r="P75" t="str">
        <f>Migrationsartikel!J73</f>
        <v>Oeufs</v>
      </c>
      <c r="Q75" t="str">
        <f>Migrationsartikel!N73</f>
        <v>Uova</v>
      </c>
      <c r="R75" t="str">
        <f>Migrationsartikel!G73</f>
        <v>aus der Region</v>
      </c>
      <c r="S75" t="str">
        <f>Migrationsartikel!K73</f>
        <v>de la région</v>
      </c>
      <c r="T75" t="str">
        <f>Migrationsartikel!O73</f>
        <v>della regione</v>
      </c>
      <c r="U75" s="31" t="str">
        <f>Migrationsartikel!H73</f>
        <v>6Stk</v>
      </c>
      <c r="V75" s="31" t="str">
        <f>Migrationsartikel!L73</f>
        <v>6pces</v>
      </c>
      <c r="W75" s="31" t="str">
        <f>Migrationsartikel!P73</f>
        <v>6pz</v>
      </c>
      <c r="X75" t="str">
        <f>Migrationsartikel!I73</f>
        <v>Eier 6Stk</v>
      </c>
      <c r="Y75" t="str">
        <f>Migrationsartikel!M73</f>
        <v>Oeufs 6pces</v>
      </c>
      <c r="Z75" t="str">
        <f>Migrationsartikel!Q73</f>
        <v>Uova 6pz</v>
      </c>
      <c r="AA75" s="45">
        <f>Migrationsartikel!R73</f>
        <v>6</v>
      </c>
      <c r="AB75" s="46" t="str">
        <f>Migrationsartikel!T73</f>
        <v>Stück</v>
      </c>
      <c r="AC75">
        <f>Migrationsartikel!S73</f>
        <v>1</v>
      </c>
      <c r="AD75" t="str">
        <f>Migrationsartikel!U73</f>
        <v>(PCE) Stück</v>
      </c>
      <c r="AE75" s="31" t="s">
        <v>179</v>
      </c>
      <c r="AF75" s="31" t="s">
        <v>192</v>
      </c>
      <c r="AG75" t="str">
        <f>IF(Migrationsartikel!AB73="ja","true",FALSE)</f>
        <v>true</v>
      </c>
      <c r="AH75" t="str">
        <f>IF(Migrationsartikel!AC73="ja","true",FALSE)</f>
        <v>true</v>
      </c>
      <c r="AI75" t="str">
        <f>IF(Migrationsartikel!AD73="ja","true",FALSE)</f>
        <v>true</v>
      </c>
      <c r="AJ75" t="str">
        <f>IF(Migrationsartikel!AE73="ja","true",FALSE)</f>
        <v>true</v>
      </c>
      <c r="AK75" t="str">
        <f>IF(Migrationsartikel!AF73="ja","Denner Partner","")</f>
        <v/>
      </c>
      <c r="AL75" t="str">
        <f>IF(Migrationsartikel!AG73="ja","true","false")</f>
        <v>false</v>
      </c>
      <c r="AM75" t="str">
        <f t="shared" si="1"/>
        <v>PLU</v>
      </c>
      <c r="AN75" s="31" t="s">
        <v>219</v>
      </c>
      <c r="AO75" s="31" t="s">
        <v>217</v>
      </c>
    </row>
    <row r="76" spans="2:41" ht="21.75" customHeight="1" x14ac:dyDescent="0.45">
      <c r="B76" t="s">
        <v>99</v>
      </c>
      <c r="E76" s="31" t="s">
        <v>1486</v>
      </c>
      <c r="F76" t="str">
        <f>"Warengruppe&gt;&gt;"&amp;Migrationsartikel!V74&amp;"&gt;&gt;"&amp;Migrationsartikel!W74&amp;"&gt;&gt;"&amp;Migrationsartikel!X74</f>
        <v>Warengruppe&gt;&gt;Frische&gt;&gt;Molkereiprodukte &amp; Eier &gt;&gt;Eier</v>
      </c>
      <c r="H76" s="31" t="s">
        <v>109</v>
      </c>
      <c r="I76" s="31" t="s">
        <v>121</v>
      </c>
      <c r="J76" s="31">
        <f>Migrationsartikel!B74</f>
        <v>824</v>
      </c>
      <c r="L76" t="str">
        <f>Migrationsartikel!F74&amp;" "&amp;Migrationsartikel!G74&amp;" "&amp;Migrationsartikel!H74</f>
        <v>Picnic-Eier aus der Region 6Stk</v>
      </c>
      <c r="M76" t="str">
        <f>Migrationsartikel!J74&amp;" "&amp;Migrationsartikel!K74&amp;" "&amp;Migrationsartikel!L74</f>
        <v>Oeufs picnic  de la région 6pces</v>
      </c>
      <c r="N76" t="str">
        <f>Migrationsartikel!N74&amp;" "&amp;Migrationsartikel!O74&amp;" "&amp;Migrationsartikel!P74</f>
        <v>Uova picnic della regione 6pz</v>
      </c>
      <c r="O76" t="str">
        <f>Migrationsartikel!F74</f>
        <v>Picnic-Eier</v>
      </c>
      <c r="P76" t="str">
        <f>Migrationsartikel!J74</f>
        <v xml:space="preserve">Oeufs picnic </v>
      </c>
      <c r="Q76" t="str">
        <f>Migrationsartikel!N74</f>
        <v>Uova picnic</v>
      </c>
      <c r="R76" t="str">
        <f>Migrationsartikel!G74</f>
        <v>aus der Region</v>
      </c>
      <c r="S76" t="str">
        <f>Migrationsartikel!K74</f>
        <v>de la région</v>
      </c>
      <c r="T76" t="str">
        <f>Migrationsartikel!O74</f>
        <v>della regione</v>
      </c>
      <c r="U76" s="31" t="str">
        <f>Migrationsartikel!H74</f>
        <v>6Stk</v>
      </c>
      <c r="V76" s="31" t="str">
        <f>Migrationsartikel!L74</f>
        <v>6pces</v>
      </c>
      <c r="W76" s="31" t="str">
        <f>Migrationsartikel!P74</f>
        <v>6pz</v>
      </c>
      <c r="X76" t="str">
        <f>Migrationsartikel!I74</f>
        <v>Picnic-Eier 6Stk</v>
      </c>
      <c r="Y76" t="str">
        <f>Migrationsartikel!M74</f>
        <v>Oeufs picnic 6pces</v>
      </c>
      <c r="Z76" t="str">
        <f>Migrationsartikel!Q74</f>
        <v>Uova picnic 6pz</v>
      </c>
      <c r="AA76" s="45">
        <f>Migrationsartikel!R74</f>
        <v>6</v>
      </c>
      <c r="AB76" s="46" t="str">
        <f>Migrationsartikel!T74</f>
        <v>Stück</v>
      </c>
      <c r="AC76">
        <f>Migrationsartikel!S74</f>
        <v>1</v>
      </c>
      <c r="AD76" t="str">
        <f>Migrationsartikel!U74</f>
        <v>(PCE) Stück</v>
      </c>
      <c r="AE76" s="31" t="s">
        <v>179</v>
      </c>
      <c r="AF76" s="31" t="s">
        <v>192</v>
      </c>
      <c r="AG76" t="str">
        <f>IF(Migrationsartikel!AB74="ja","true",FALSE)</f>
        <v>true</v>
      </c>
      <c r="AH76" t="str">
        <f>IF(Migrationsartikel!AC74="ja","true",FALSE)</f>
        <v>true</v>
      </c>
      <c r="AI76" t="str">
        <f>IF(Migrationsartikel!AD74="ja","true",FALSE)</f>
        <v>true</v>
      </c>
      <c r="AJ76" t="str">
        <f>IF(Migrationsartikel!AE74="ja","true",FALSE)</f>
        <v>true</v>
      </c>
      <c r="AK76" t="str">
        <f>IF(Migrationsartikel!AF74="ja","Denner Partner","")</f>
        <v/>
      </c>
      <c r="AL76" t="str">
        <f>IF(Migrationsartikel!AG74="ja","true","false")</f>
        <v>false</v>
      </c>
      <c r="AM76" t="str">
        <f t="shared" si="1"/>
        <v>PLU</v>
      </c>
      <c r="AN76" s="31" t="s">
        <v>219</v>
      </c>
      <c r="AO76" s="31" t="s">
        <v>217</v>
      </c>
    </row>
    <row r="77" spans="2:41" ht="21.75" customHeight="1" x14ac:dyDescent="0.45">
      <c r="B77" t="s">
        <v>99</v>
      </c>
      <c r="E77" s="31" t="s">
        <v>1487</v>
      </c>
      <c r="F77" t="str">
        <f>"Warengruppe&gt;&gt;"&amp;Migrationsartikel!V75&amp;"&gt;&gt;"&amp;Migrationsartikel!W75&amp;"&gt;&gt;"&amp;Migrationsartikel!X75</f>
        <v>Warengruppe&gt;&gt;Frische&gt;&gt;Molkereiprodukte &amp; Eier &gt;&gt;Eier</v>
      </c>
      <c r="H77" s="31" t="s">
        <v>109</v>
      </c>
      <c r="I77" s="31" t="s">
        <v>121</v>
      </c>
      <c r="J77" s="31">
        <f>Migrationsartikel!B75</f>
        <v>825</v>
      </c>
      <c r="L77" t="str">
        <f>Migrationsartikel!F75&amp;" "&amp;Migrationsartikel!G75&amp;" "&amp;Migrationsartikel!H75</f>
        <v>Picnic-Eier  aus der Region 1Stk</v>
      </c>
      <c r="M77" t="str">
        <f>Migrationsartikel!J75&amp;" "&amp;Migrationsartikel!K75&amp;" "&amp;Migrationsartikel!L75</f>
        <v>Oeuf picnic de la région 1pce</v>
      </c>
      <c r="N77" t="str">
        <f>Migrationsartikel!N75&amp;" "&amp;Migrationsartikel!O75&amp;" "&amp;Migrationsartikel!P75</f>
        <v>Uovo picnic della regione 1pz</v>
      </c>
      <c r="O77" t="str">
        <f>Migrationsartikel!F75</f>
        <v xml:space="preserve">Picnic-Eier </v>
      </c>
      <c r="P77" t="str">
        <f>Migrationsartikel!J75</f>
        <v>Oeuf picnic</v>
      </c>
      <c r="Q77" t="str">
        <f>Migrationsartikel!N75</f>
        <v>Uovo picnic</v>
      </c>
      <c r="R77" t="str">
        <f>Migrationsartikel!G75</f>
        <v>aus der Region</v>
      </c>
      <c r="S77" t="str">
        <f>Migrationsartikel!K75</f>
        <v>de la région</v>
      </c>
      <c r="T77" t="str">
        <f>Migrationsartikel!O75</f>
        <v>della regione</v>
      </c>
      <c r="U77" s="31" t="str">
        <f>Migrationsartikel!H75</f>
        <v>1Stk</v>
      </c>
      <c r="V77" s="31" t="str">
        <f>Migrationsartikel!L75</f>
        <v>1pce</v>
      </c>
      <c r="W77" s="31" t="str">
        <f>Migrationsartikel!P75</f>
        <v>1pz</v>
      </c>
      <c r="X77" t="str">
        <f>Migrationsartikel!I75</f>
        <v>Picnic-Eier 1Stk</v>
      </c>
      <c r="Y77" t="str">
        <f>Migrationsartikel!M75</f>
        <v>Oeuf picnic 1pce</v>
      </c>
      <c r="Z77" t="str">
        <f>Migrationsartikel!Q75</f>
        <v>Uovo picnic 1pz</v>
      </c>
      <c r="AA77" s="45">
        <f>Migrationsartikel!R75</f>
        <v>1</v>
      </c>
      <c r="AB77" s="46" t="str">
        <f>Migrationsartikel!T75</f>
        <v>Stück</v>
      </c>
      <c r="AC77">
        <f>Migrationsartikel!S75</f>
        <v>1</v>
      </c>
      <c r="AD77" t="str">
        <f>Migrationsartikel!U75</f>
        <v>(PCE) Stück</v>
      </c>
      <c r="AE77" s="31" t="s">
        <v>179</v>
      </c>
      <c r="AF77" s="31" t="s">
        <v>192</v>
      </c>
      <c r="AG77" t="str">
        <f>IF(Migrationsartikel!AB75="ja","true",FALSE)</f>
        <v>true</v>
      </c>
      <c r="AH77" t="str">
        <f>IF(Migrationsartikel!AC75="ja","true",FALSE)</f>
        <v>true</v>
      </c>
      <c r="AI77" t="str">
        <f>IF(Migrationsartikel!AD75="ja","true",FALSE)</f>
        <v>true</v>
      </c>
      <c r="AJ77" t="str">
        <f>IF(Migrationsartikel!AE75="ja","true",FALSE)</f>
        <v>true</v>
      </c>
      <c r="AK77" t="str">
        <f>IF(Migrationsartikel!AF75="ja","Denner Partner","")</f>
        <v/>
      </c>
      <c r="AL77" t="str">
        <f>IF(Migrationsartikel!AG75="ja","true","false")</f>
        <v>false</v>
      </c>
      <c r="AM77" t="str">
        <f t="shared" si="1"/>
        <v>PLU</v>
      </c>
      <c r="AN77" s="31" t="s">
        <v>219</v>
      </c>
      <c r="AO77" s="31" t="s">
        <v>217</v>
      </c>
    </row>
    <row r="78" spans="2:41" ht="21.75" customHeight="1" x14ac:dyDescent="0.45">
      <c r="B78" t="s">
        <v>99</v>
      </c>
      <c r="E78" s="31" t="s">
        <v>1488</v>
      </c>
      <c r="F78" t="str">
        <f>"Warengruppe&gt;&gt;"&amp;Migrationsartikel!V76&amp;"&gt;&gt;"&amp;Migrationsartikel!W76&amp;"&gt;&gt;"&amp;Migrationsartikel!X76</f>
        <v>Warengruppe&gt;&gt;Frische&gt;&gt;Molkereiprodukte &amp; Eier &gt;&gt;Eier</v>
      </c>
      <c r="H78" s="31" t="s">
        <v>109</v>
      </c>
      <c r="I78" s="31" t="s">
        <v>121</v>
      </c>
      <c r="J78" s="31">
        <f>Migrationsartikel!B76</f>
        <v>826</v>
      </c>
      <c r="L78" t="str">
        <f>Migrationsartikel!F76&amp;" "&amp;Migrationsartikel!G76&amp;" "&amp;Migrationsartikel!H76</f>
        <v>Wachteleier aus der Region 8Stk</v>
      </c>
      <c r="M78" t="str">
        <f>Migrationsartikel!J76&amp;" "&amp;Migrationsartikel!K76&amp;" "&amp;Migrationsartikel!L76</f>
        <v>Oeufs de caille de la région 8pces</v>
      </c>
      <c r="N78" t="str">
        <f>Migrationsartikel!N76&amp;" "&amp;Migrationsartikel!O76&amp;" "&amp;Migrationsartikel!P76</f>
        <v>Uova di quaglia della regione 8pz</v>
      </c>
      <c r="O78" t="str">
        <f>Migrationsartikel!F76</f>
        <v>Wachteleier</v>
      </c>
      <c r="P78" t="str">
        <f>Migrationsartikel!J76</f>
        <v>Oeufs de caille</v>
      </c>
      <c r="Q78" t="str">
        <f>Migrationsartikel!N76</f>
        <v>Uova di quaglia</v>
      </c>
      <c r="R78" t="str">
        <f>Migrationsartikel!G76</f>
        <v>aus der Region</v>
      </c>
      <c r="S78" t="str">
        <f>Migrationsartikel!K76</f>
        <v>de la région</v>
      </c>
      <c r="T78" t="str">
        <f>Migrationsartikel!O76</f>
        <v>della regione</v>
      </c>
      <c r="U78" s="31" t="str">
        <f>Migrationsartikel!H76</f>
        <v>8Stk</v>
      </c>
      <c r="V78" s="31" t="str">
        <f>Migrationsartikel!L76</f>
        <v>8pces</v>
      </c>
      <c r="W78" s="31" t="str">
        <f>Migrationsartikel!P76</f>
        <v>8pz</v>
      </c>
      <c r="X78" t="str">
        <f>Migrationsartikel!I76</f>
        <v>Wachteleier 8Stk</v>
      </c>
      <c r="Y78" t="str">
        <f>Migrationsartikel!M76</f>
        <v>Oeufs de caille 8pces</v>
      </c>
      <c r="Z78" t="str">
        <f>Migrationsartikel!Q76</f>
        <v>Uova di quaglia 8pz</v>
      </c>
      <c r="AA78" s="45">
        <f>Migrationsartikel!R76</f>
        <v>8</v>
      </c>
      <c r="AB78" s="46" t="str">
        <f>Migrationsartikel!T76</f>
        <v>Stück</v>
      </c>
      <c r="AC78">
        <f>Migrationsartikel!S76</f>
        <v>1</v>
      </c>
      <c r="AD78" t="str">
        <f>Migrationsartikel!U76</f>
        <v>(PCE) Stück</v>
      </c>
      <c r="AE78" s="31" t="s">
        <v>179</v>
      </c>
      <c r="AF78" s="31" t="s">
        <v>192</v>
      </c>
      <c r="AG78" t="str">
        <f>IF(Migrationsartikel!AB76="ja","true",FALSE)</f>
        <v>true</v>
      </c>
      <c r="AH78" t="str">
        <f>IF(Migrationsartikel!AC76="ja","true",FALSE)</f>
        <v>true</v>
      </c>
      <c r="AI78" t="str">
        <f>IF(Migrationsartikel!AD76="ja","true",FALSE)</f>
        <v>true</v>
      </c>
      <c r="AJ78" t="str">
        <f>IF(Migrationsartikel!AE76="ja","true",FALSE)</f>
        <v>true</v>
      </c>
      <c r="AK78" t="str">
        <f>IF(Migrationsartikel!AF76="ja","Denner Partner","")</f>
        <v/>
      </c>
      <c r="AL78" t="str">
        <f>IF(Migrationsartikel!AG76="ja","true","false")</f>
        <v>false</v>
      </c>
      <c r="AM78" t="str">
        <f t="shared" si="1"/>
        <v>PLU</v>
      </c>
      <c r="AN78" s="31" t="s">
        <v>219</v>
      </c>
      <c r="AO78" s="31" t="s">
        <v>217</v>
      </c>
    </row>
    <row r="79" spans="2:41" ht="21.75" customHeight="1" x14ac:dyDescent="0.45">
      <c r="B79" t="s">
        <v>99</v>
      </c>
      <c r="E79" s="31" t="s">
        <v>1489</v>
      </c>
      <c r="F79" t="str">
        <f>"Warengruppe&gt;&gt;"&amp;Migrationsartikel!V77&amp;"&gt;&gt;"&amp;Migrationsartikel!W77&amp;"&gt;&gt;"&amp;Migrationsartikel!X77</f>
        <v>Warengruppe&gt;&gt;Frische&gt;&gt;Molkereiprodukte &amp; Eier &gt;&gt;Eier</v>
      </c>
      <c r="H79" s="31" t="s">
        <v>109</v>
      </c>
      <c r="I79" s="31" t="s">
        <v>121</v>
      </c>
      <c r="J79" s="31">
        <f>Migrationsartikel!B77</f>
        <v>827</v>
      </c>
      <c r="L79" t="str">
        <f>Migrationsartikel!F77&amp;" "&amp;Migrationsartikel!G77&amp;" "&amp;Migrationsartikel!H77</f>
        <v>Wachteleier aus der Region 6Stk</v>
      </c>
      <c r="M79" t="str">
        <f>Migrationsartikel!J77&amp;" "&amp;Migrationsartikel!K77&amp;" "&amp;Migrationsartikel!L77</f>
        <v>Oeufs de caille de la région 6pces</v>
      </c>
      <c r="N79" t="str">
        <f>Migrationsartikel!N77&amp;" "&amp;Migrationsartikel!O77&amp;" "&amp;Migrationsartikel!P77</f>
        <v>Uova di quaglia della regione 6pz</v>
      </c>
      <c r="O79" t="str">
        <f>Migrationsartikel!F77</f>
        <v>Wachteleier</v>
      </c>
      <c r="P79" t="str">
        <f>Migrationsartikel!J77</f>
        <v>Oeufs de caille</v>
      </c>
      <c r="Q79" t="str">
        <f>Migrationsartikel!N77</f>
        <v>Uova di quaglia</v>
      </c>
      <c r="R79" t="str">
        <f>Migrationsartikel!G77</f>
        <v>aus der Region</v>
      </c>
      <c r="S79" t="str">
        <f>Migrationsartikel!K77</f>
        <v>de la région</v>
      </c>
      <c r="T79" t="str">
        <f>Migrationsartikel!O77</f>
        <v>della regione</v>
      </c>
      <c r="U79" s="31" t="str">
        <f>Migrationsartikel!H77</f>
        <v>6Stk</v>
      </c>
      <c r="V79" s="31" t="str">
        <f>Migrationsartikel!L77</f>
        <v>6pces</v>
      </c>
      <c r="W79" s="31" t="str">
        <f>Migrationsartikel!P77</f>
        <v>6pz</v>
      </c>
      <c r="X79" t="str">
        <f>Migrationsartikel!I77</f>
        <v>Wachteleier 6Stk</v>
      </c>
      <c r="Y79" t="str">
        <f>Migrationsartikel!M77</f>
        <v>Oeufs de caille 6pces</v>
      </c>
      <c r="Z79" t="str">
        <f>Migrationsartikel!Q77</f>
        <v>Uova di quaglia 6pz</v>
      </c>
      <c r="AA79" s="45">
        <f>Migrationsartikel!R77</f>
        <v>6</v>
      </c>
      <c r="AB79" s="46" t="str">
        <f>Migrationsartikel!T77</f>
        <v>Stück</v>
      </c>
      <c r="AC79">
        <f>Migrationsartikel!S77</f>
        <v>1</v>
      </c>
      <c r="AD79" t="str">
        <f>Migrationsartikel!U77</f>
        <v>(PCE) Stück</v>
      </c>
      <c r="AE79" s="31" t="s">
        <v>179</v>
      </c>
      <c r="AF79" s="31" t="s">
        <v>192</v>
      </c>
      <c r="AG79" t="str">
        <f>IF(Migrationsartikel!AB77="ja","true",FALSE)</f>
        <v>true</v>
      </c>
      <c r="AH79" t="str">
        <f>IF(Migrationsartikel!AC77="ja","true",FALSE)</f>
        <v>true</v>
      </c>
      <c r="AI79" t="str">
        <f>IF(Migrationsartikel!AD77="ja","true",FALSE)</f>
        <v>true</v>
      </c>
      <c r="AJ79" t="str">
        <f>IF(Migrationsartikel!AE77="ja","true",FALSE)</f>
        <v>true</v>
      </c>
      <c r="AK79" t="str">
        <f>IF(Migrationsartikel!AF77="ja","Denner Partner","")</f>
        <v/>
      </c>
      <c r="AL79" t="str">
        <f>IF(Migrationsartikel!AG77="ja","true","false")</f>
        <v>false</v>
      </c>
      <c r="AM79" t="str">
        <f t="shared" si="1"/>
        <v>PLU</v>
      </c>
      <c r="AN79" s="31" t="s">
        <v>219</v>
      </c>
      <c r="AO79" s="31" t="s">
        <v>217</v>
      </c>
    </row>
    <row r="80" spans="2:41" ht="21.75" customHeight="1" x14ac:dyDescent="0.45">
      <c r="B80" t="s">
        <v>99</v>
      </c>
      <c r="E80" s="31" t="s">
        <v>1490</v>
      </c>
      <c r="F80" t="str">
        <f>"Warengruppe&gt;&gt;"&amp;Migrationsartikel!V78&amp;"&gt;&gt;"&amp;Migrationsartikel!W78&amp;"&gt;&gt;"&amp;Migrationsartikel!X78</f>
        <v>Warengruppe&gt;&gt;Frische&gt;&gt;Molkereiprodukte &amp; Eier &gt;&gt;Eier</v>
      </c>
      <c r="H80" s="31" t="s">
        <v>109</v>
      </c>
      <c r="I80" s="31" t="s">
        <v>121</v>
      </c>
      <c r="J80" s="31">
        <f>Migrationsartikel!B78</f>
        <v>828</v>
      </c>
      <c r="L80" t="str">
        <f>Migrationsartikel!F78&amp;" "&amp;Migrationsartikel!G78&amp;" "&amp;Migrationsartikel!H78</f>
        <v>Wachteleier aus der Region 1Stk</v>
      </c>
      <c r="M80" t="str">
        <f>Migrationsartikel!J78&amp;" "&amp;Migrationsartikel!K78&amp;" "&amp;Migrationsartikel!L78</f>
        <v>Oeufs de caille de la région 1pce</v>
      </c>
      <c r="N80" t="str">
        <f>Migrationsartikel!N78&amp;" "&amp;Migrationsartikel!O78&amp;" "&amp;Migrationsartikel!P78</f>
        <v>Uova di quaglia della regione 1pz</v>
      </c>
      <c r="O80" t="str">
        <f>Migrationsartikel!F78</f>
        <v>Wachteleier</v>
      </c>
      <c r="P80" t="str">
        <f>Migrationsartikel!J78</f>
        <v>Oeufs de caille</v>
      </c>
      <c r="Q80" t="str">
        <f>Migrationsartikel!N78</f>
        <v>Uova di quaglia</v>
      </c>
      <c r="R80" t="str">
        <f>Migrationsartikel!G78</f>
        <v>aus der Region</v>
      </c>
      <c r="S80" t="str">
        <f>Migrationsartikel!K78</f>
        <v>de la région</v>
      </c>
      <c r="T80" t="str">
        <f>Migrationsartikel!O78</f>
        <v>della regione</v>
      </c>
      <c r="U80" s="31" t="str">
        <f>Migrationsartikel!H78</f>
        <v>1Stk</v>
      </c>
      <c r="V80" s="31" t="str">
        <f>Migrationsartikel!L78</f>
        <v>1pce</v>
      </c>
      <c r="W80" s="31" t="str">
        <f>Migrationsartikel!P78</f>
        <v>1pz</v>
      </c>
      <c r="X80" t="str">
        <f>Migrationsartikel!I78</f>
        <v>Wachteleier 1Stk</v>
      </c>
      <c r="Y80" t="str">
        <f>Migrationsartikel!M78</f>
        <v>Oeufs de caille</v>
      </c>
      <c r="Z80" t="str">
        <f>Migrationsartikel!Q78</f>
        <v>Uova di quaglia</v>
      </c>
      <c r="AA80" s="45">
        <f>Migrationsartikel!R78</f>
        <v>1</v>
      </c>
      <c r="AB80" s="46" t="str">
        <f>Migrationsartikel!T78</f>
        <v>Stück</v>
      </c>
      <c r="AC80">
        <f>Migrationsartikel!S78</f>
        <v>1</v>
      </c>
      <c r="AD80" t="str">
        <f>Migrationsartikel!U78</f>
        <v>(PCE) Stück</v>
      </c>
      <c r="AE80" s="31" t="s">
        <v>179</v>
      </c>
      <c r="AF80" s="31" t="s">
        <v>192</v>
      </c>
      <c r="AG80" t="str">
        <f>IF(Migrationsartikel!AB78="ja","true",FALSE)</f>
        <v>true</v>
      </c>
      <c r="AH80" t="str">
        <f>IF(Migrationsartikel!AC78="ja","true",FALSE)</f>
        <v>true</v>
      </c>
      <c r="AI80" t="str">
        <f>IF(Migrationsartikel!AD78="ja","true",FALSE)</f>
        <v>true</v>
      </c>
      <c r="AJ80" t="str">
        <f>IF(Migrationsartikel!AE78="ja","true",FALSE)</f>
        <v>true</v>
      </c>
      <c r="AK80" t="str">
        <f>IF(Migrationsartikel!AF78="ja","Denner Partner","")</f>
        <v/>
      </c>
      <c r="AL80" t="str">
        <f>IF(Migrationsartikel!AG78="ja","true","false")</f>
        <v>false</v>
      </c>
      <c r="AM80" t="str">
        <f t="shared" si="1"/>
        <v>PLU</v>
      </c>
      <c r="AN80" s="31" t="s">
        <v>219</v>
      </c>
      <c r="AO80" s="31" t="s">
        <v>217</v>
      </c>
    </row>
    <row r="81" spans="2:41" ht="21.75" customHeight="1" x14ac:dyDescent="0.45">
      <c r="B81" t="s">
        <v>99</v>
      </c>
      <c r="E81" s="31" t="s">
        <v>1491</v>
      </c>
      <c r="F81" t="str">
        <f>"Warengruppe&gt;&gt;"&amp;Migrationsartikel!V79&amp;"&gt;&gt;"&amp;Migrationsartikel!W79&amp;"&gt;&gt;"&amp;Migrationsartikel!X79</f>
        <v>Warengruppe&gt;&gt;Frische&gt;&gt;SB - Fleisch&gt;&gt;Fisch</v>
      </c>
      <c r="H81" s="31" t="s">
        <v>109</v>
      </c>
      <c r="I81" s="31" t="s">
        <v>121</v>
      </c>
      <c r="J81" s="31">
        <f>Migrationsartikel!B79</f>
        <v>829</v>
      </c>
      <c r="L81" t="str">
        <f>Migrationsartikel!F79&amp;" "&amp;Migrationsartikel!G79&amp;" "&amp;Migrationsartikel!H79</f>
        <v>Eglifilet  aus der Region 1Stk</v>
      </c>
      <c r="M81" t="str">
        <f>Migrationsartikel!J79&amp;" "&amp;Migrationsartikel!K79&amp;" "&amp;Migrationsartikel!L79</f>
        <v>Filet de perche de la région 1pce</v>
      </c>
      <c r="N81" t="str">
        <f>Migrationsartikel!N79&amp;" "&amp;Migrationsartikel!O79&amp;" "&amp;Migrationsartikel!P79</f>
        <v>Filetto di persico della regione 1pz</v>
      </c>
      <c r="O81" t="str">
        <f>Migrationsartikel!F79</f>
        <v xml:space="preserve">Eglifilet </v>
      </c>
      <c r="P81" t="str">
        <f>Migrationsartikel!J79</f>
        <v>Filet de perche</v>
      </c>
      <c r="Q81" t="str">
        <f>Migrationsartikel!N79</f>
        <v>Filetto di persico</v>
      </c>
      <c r="R81" t="str">
        <f>Migrationsartikel!G79</f>
        <v>aus der Region</v>
      </c>
      <c r="S81" t="str">
        <f>Migrationsartikel!K79</f>
        <v>de la région</v>
      </c>
      <c r="T81" t="str">
        <f>Migrationsartikel!O79</f>
        <v>della regione</v>
      </c>
      <c r="U81" s="31" t="str">
        <f>Migrationsartikel!H79</f>
        <v>1Stk</v>
      </c>
      <c r="V81" s="31" t="str">
        <f>Migrationsartikel!L79</f>
        <v>1pce</v>
      </c>
      <c r="W81" s="31" t="str">
        <f>Migrationsartikel!P79</f>
        <v>1pz</v>
      </c>
      <c r="X81" t="str">
        <f>Migrationsartikel!I79</f>
        <v xml:space="preserve">Eglifilet </v>
      </c>
      <c r="Y81" t="str">
        <f>Migrationsartikel!M79</f>
        <v>Filet de perche</v>
      </c>
      <c r="Z81" t="str">
        <f>Migrationsartikel!Q79</f>
        <v>Filetto di persico</v>
      </c>
      <c r="AA81" s="45">
        <f>Migrationsartikel!R79</f>
        <v>1</v>
      </c>
      <c r="AB81" s="46" t="str">
        <f>Migrationsartikel!T79</f>
        <v>Gramm</v>
      </c>
      <c r="AC81">
        <f>Migrationsartikel!S79</f>
        <v>100</v>
      </c>
      <c r="AD81" t="str">
        <f>Migrationsartikel!U79</f>
        <v>(PCE) Stück</v>
      </c>
      <c r="AE81" s="31" t="s">
        <v>179</v>
      </c>
      <c r="AF81" s="31" t="s">
        <v>192</v>
      </c>
      <c r="AG81" t="str">
        <f>IF(Migrationsartikel!AB79="ja","true",FALSE)</f>
        <v>true</v>
      </c>
      <c r="AH81" t="str">
        <f>IF(Migrationsartikel!AC79="ja","true",FALSE)</f>
        <v>true</v>
      </c>
      <c r="AI81" t="str">
        <f>IF(Migrationsartikel!AD79="ja","true",FALSE)</f>
        <v>true</v>
      </c>
      <c r="AJ81" t="str">
        <f>IF(Migrationsartikel!AE79="ja","true",FALSE)</f>
        <v>true</v>
      </c>
      <c r="AK81" t="str">
        <f>IF(Migrationsartikel!AF79="ja","Denner Partner","")</f>
        <v/>
      </c>
      <c r="AL81" t="str">
        <f>IF(Migrationsartikel!AG79="ja","true","false")</f>
        <v>false</v>
      </c>
      <c r="AM81" t="str">
        <f t="shared" si="1"/>
        <v>PLU</v>
      </c>
      <c r="AN81" s="31" t="s">
        <v>219</v>
      </c>
      <c r="AO81" s="31" t="s">
        <v>217</v>
      </c>
    </row>
    <row r="82" spans="2:41" ht="21.75" customHeight="1" x14ac:dyDescent="0.45">
      <c r="B82" t="s">
        <v>99</v>
      </c>
      <c r="E82" s="31" t="s">
        <v>1492</v>
      </c>
      <c r="F82" t="str">
        <f>"Warengruppe&gt;&gt;"&amp;Migrationsartikel!V80&amp;"&gt;&gt;"&amp;Migrationsartikel!W80&amp;"&gt;&gt;"&amp;Migrationsartikel!X80</f>
        <v>Warengruppe&gt;&gt;Frische&gt;&gt;SB - Fleisch&gt;&gt;Fleisch</v>
      </c>
      <c r="H82" s="31" t="s">
        <v>109</v>
      </c>
      <c r="I82" s="31" t="s">
        <v>121</v>
      </c>
      <c r="J82" s="31">
        <f>Migrationsartikel!B80</f>
        <v>830</v>
      </c>
      <c r="L82" t="str">
        <f>Migrationsartikel!F80&amp;" "&amp;Migrationsartikel!G80&amp;" "&amp;Migrationsartikel!H80</f>
        <v>Rindstartar aus der Region 1Stk</v>
      </c>
      <c r="M82" t="str">
        <f>Migrationsartikel!J80&amp;" "&amp;Migrationsartikel!K80&amp;" "&amp;Migrationsartikel!L80</f>
        <v>Tartare de boeuf de la région 1pce</v>
      </c>
      <c r="N82" t="str">
        <f>Migrationsartikel!N80&amp;" "&amp;Migrationsartikel!O80&amp;" "&amp;Migrationsartikel!P80</f>
        <v>Tartare di manzo della regione 1pz</v>
      </c>
      <c r="O82" t="str">
        <f>Migrationsartikel!F80</f>
        <v>Rindstartar</v>
      </c>
      <c r="P82" t="str">
        <f>Migrationsartikel!J80</f>
        <v>Tartare de boeuf</v>
      </c>
      <c r="Q82" t="str">
        <f>Migrationsartikel!N80</f>
        <v>Tartare di manzo</v>
      </c>
      <c r="R82" t="str">
        <f>Migrationsartikel!G80</f>
        <v>aus der Region</v>
      </c>
      <c r="S82" t="str">
        <f>Migrationsartikel!K80</f>
        <v>de la région</v>
      </c>
      <c r="T82" t="str">
        <f>Migrationsartikel!O80</f>
        <v>della regione</v>
      </c>
      <c r="U82" s="31" t="str">
        <f>Migrationsartikel!H80</f>
        <v>1Stk</v>
      </c>
      <c r="V82" s="31" t="str">
        <f>Migrationsartikel!L80</f>
        <v>1pce</v>
      </c>
      <c r="W82" s="31" t="str">
        <f>Migrationsartikel!P80</f>
        <v>1pz</v>
      </c>
      <c r="X82" t="str">
        <f>Migrationsartikel!I80</f>
        <v>Rindstartar</v>
      </c>
      <c r="Y82" t="str">
        <f>Migrationsartikel!M80</f>
        <v>Tartare de boeuf</v>
      </c>
      <c r="Z82" t="str">
        <f>Migrationsartikel!Q80</f>
        <v>Tartare di manzo</v>
      </c>
      <c r="AA82" s="45">
        <f>Migrationsartikel!R80</f>
        <v>1</v>
      </c>
      <c r="AB82" s="46" t="str">
        <f>Migrationsartikel!T80</f>
        <v>Gramm</v>
      </c>
      <c r="AC82">
        <f>Migrationsartikel!S80</f>
        <v>100</v>
      </c>
      <c r="AD82" t="str">
        <f>Migrationsartikel!U80</f>
        <v>(PCE) Stück</v>
      </c>
      <c r="AE82" s="31" t="s">
        <v>179</v>
      </c>
      <c r="AF82" s="31" t="s">
        <v>192</v>
      </c>
      <c r="AG82" t="str">
        <f>IF(Migrationsartikel!AB80="ja","true",FALSE)</f>
        <v>true</v>
      </c>
      <c r="AH82" t="str">
        <f>IF(Migrationsartikel!AC80="ja","true",FALSE)</f>
        <v>true</v>
      </c>
      <c r="AI82" t="str">
        <f>IF(Migrationsartikel!AD80="ja","true",FALSE)</f>
        <v>true</v>
      </c>
      <c r="AJ82" t="str">
        <f>IF(Migrationsartikel!AE80="ja","true",FALSE)</f>
        <v>true</v>
      </c>
      <c r="AK82" t="str">
        <f>IF(Migrationsartikel!AF80="ja","Denner Partner","")</f>
        <v/>
      </c>
      <c r="AL82" t="str">
        <f>IF(Migrationsartikel!AG80="ja","true","false")</f>
        <v>false</v>
      </c>
      <c r="AM82" t="str">
        <f t="shared" si="1"/>
        <v>PLU</v>
      </c>
      <c r="AN82" s="31" t="s">
        <v>219</v>
      </c>
      <c r="AO82" s="31" t="s">
        <v>217</v>
      </c>
    </row>
    <row r="83" spans="2:41" ht="21.75" customHeight="1" x14ac:dyDescent="0.45">
      <c r="B83" t="s">
        <v>99</v>
      </c>
      <c r="E83" s="31" t="s">
        <v>1493</v>
      </c>
      <c r="F83" t="str">
        <f>"Warengruppe&gt;&gt;"&amp;Migrationsartikel!V81&amp;"&gt;&gt;"&amp;Migrationsartikel!W81&amp;"&gt;&gt;"&amp;Migrationsartikel!X81</f>
        <v>Warengruppe&gt;&gt;Frische&gt;&gt;Fleisch- und Wurstwaren&gt;&gt;Fleisch- und Wurstwaren andere</v>
      </c>
      <c r="H83" s="31" t="s">
        <v>109</v>
      </c>
      <c r="I83" s="31" t="s">
        <v>121</v>
      </c>
      <c r="J83" s="31">
        <f>Migrationsartikel!B81</f>
        <v>831</v>
      </c>
      <c r="L83" t="str">
        <f>Migrationsartikel!F81&amp;" "&amp;Migrationsartikel!G81&amp;" "&amp;Migrationsartikel!H81</f>
        <v>Theke Wurstwaren aus der Region 1Stk</v>
      </c>
      <c r="M83" t="str">
        <f>Migrationsartikel!J81&amp;" "&amp;Migrationsartikel!K81&amp;" "&amp;Migrationsartikel!L81</f>
        <v>Comptoir charcuterie de la région 1pce</v>
      </c>
      <c r="N83" t="str">
        <f>Migrationsartikel!N81&amp;" "&amp;Migrationsartikel!O81&amp;" "&amp;Migrationsartikel!P81</f>
        <v>Banco salumeria della regione 1pz</v>
      </c>
      <c r="O83" t="str">
        <f>Migrationsartikel!F81</f>
        <v>Theke Wurstwaren</v>
      </c>
      <c r="P83" t="str">
        <f>Migrationsartikel!J81</f>
        <v>Comptoir charcuterie</v>
      </c>
      <c r="Q83" t="str">
        <f>Migrationsartikel!N81</f>
        <v>Banco salumeria</v>
      </c>
      <c r="R83" t="str">
        <f>Migrationsartikel!G81</f>
        <v>aus der Region</v>
      </c>
      <c r="S83" t="str">
        <f>Migrationsartikel!K81</f>
        <v>de la région</v>
      </c>
      <c r="T83" t="str">
        <f>Migrationsartikel!O81</f>
        <v>della regione</v>
      </c>
      <c r="U83" s="31" t="str">
        <f>Migrationsartikel!H81</f>
        <v>1Stk</v>
      </c>
      <c r="V83" s="31" t="str">
        <f>Migrationsartikel!L81</f>
        <v>1pce</v>
      </c>
      <c r="W83" s="31" t="str">
        <f>Migrationsartikel!P81</f>
        <v>1pz</v>
      </c>
      <c r="X83" t="str">
        <f>Migrationsartikel!I81</f>
        <v>Theke Wurstwaren</v>
      </c>
      <c r="Y83" t="str">
        <f>Migrationsartikel!M81</f>
        <v>Comptoir charcuterie</v>
      </c>
      <c r="Z83" t="str">
        <f>Migrationsartikel!Q81</f>
        <v>Banco salumeria</v>
      </c>
      <c r="AA83" s="45">
        <f>Migrationsartikel!R81</f>
        <v>1</v>
      </c>
      <c r="AB83" s="46" t="str">
        <f>Migrationsartikel!T81</f>
        <v>Stück</v>
      </c>
      <c r="AC83">
        <f>Migrationsartikel!S81</f>
        <v>1</v>
      </c>
      <c r="AD83" t="str">
        <f>Migrationsartikel!U81</f>
        <v>(PCE) Stück</v>
      </c>
      <c r="AE83" s="31" t="s">
        <v>179</v>
      </c>
      <c r="AF83" s="31" t="s">
        <v>192</v>
      </c>
      <c r="AG83" t="str">
        <f>IF(Migrationsartikel!AB81="ja","true",FALSE)</f>
        <v>true</v>
      </c>
      <c r="AH83" t="str">
        <f>IF(Migrationsartikel!AC81="ja","true",FALSE)</f>
        <v>true</v>
      </c>
      <c r="AI83" t="str">
        <f>IF(Migrationsartikel!AD81="ja","true",FALSE)</f>
        <v>true</v>
      </c>
      <c r="AJ83" t="str">
        <f>IF(Migrationsartikel!AE81="ja","true",FALSE)</f>
        <v>true</v>
      </c>
      <c r="AK83" t="str">
        <f>IF(Migrationsartikel!AF81="ja","Denner Partner","")</f>
        <v/>
      </c>
      <c r="AL83" t="str">
        <f>IF(Migrationsartikel!AG81="ja","true","false")</f>
        <v>false</v>
      </c>
      <c r="AM83" t="str">
        <f t="shared" si="1"/>
        <v>PLU</v>
      </c>
      <c r="AN83" s="31" t="s">
        <v>219</v>
      </c>
      <c r="AO83" s="31" t="s">
        <v>217</v>
      </c>
    </row>
    <row r="84" spans="2:41" ht="21.75" customHeight="1" x14ac:dyDescent="0.45">
      <c r="B84" t="s">
        <v>99</v>
      </c>
      <c r="E84" s="31" t="s">
        <v>1494</v>
      </c>
      <c r="F84" t="str">
        <f>"Warengruppe&gt;&gt;"&amp;Migrationsartikel!V82&amp;"&gt;&gt;"&amp;Migrationsartikel!W82&amp;"&gt;&gt;"&amp;Migrationsartikel!X82</f>
        <v>Warengruppe&gt;&gt;Frische&gt;&gt;Fleisch- und Wurstwaren&gt;&gt;Fleisch- und Wurstwaren andere</v>
      </c>
      <c r="H84" s="31" t="s">
        <v>109</v>
      </c>
      <c r="I84" s="31" t="s">
        <v>121</v>
      </c>
      <c r="J84" s="31">
        <f>Migrationsartikel!B82</f>
        <v>832</v>
      </c>
      <c r="L84" t="str">
        <f>Migrationsartikel!F82&amp;" "&amp;Migrationsartikel!G82&amp;" "&amp;Migrationsartikel!H82</f>
        <v>Wurstwaren  aus der Region 1Stk</v>
      </c>
      <c r="M84" t="str">
        <f>Migrationsartikel!J82&amp;" "&amp;Migrationsartikel!K82&amp;" "&amp;Migrationsartikel!L82</f>
        <v>Charcuterie de la région 1pce</v>
      </c>
      <c r="N84" t="str">
        <f>Migrationsartikel!N82&amp;" "&amp;Migrationsartikel!O82&amp;" "&amp;Migrationsartikel!P82</f>
        <v>Salumi della regione 1pz</v>
      </c>
      <c r="O84" t="str">
        <f>Migrationsartikel!F82</f>
        <v xml:space="preserve">Wurstwaren </v>
      </c>
      <c r="P84" t="str">
        <f>Migrationsartikel!J82</f>
        <v>Charcuterie</v>
      </c>
      <c r="Q84" t="str">
        <f>Migrationsartikel!N82</f>
        <v>Salumi</v>
      </c>
      <c r="R84" t="str">
        <f>Migrationsartikel!G82</f>
        <v>aus der Region</v>
      </c>
      <c r="S84" t="str">
        <f>Migrationsartikel!K82</f>
        <v>de la région</v>
      </c>
      <c r="T84" t="str">
        <f>Migrationsartikel!O82</f>
        <v>della regione</v>
      </c>
      <c r="U84" s="31" t="str">
        <f>Migrationsartikel!H82</f>
        <v>1Stk</v>
      </c>
      <c r="V84" s="31" t="str">
        <f>Migrationsartikel!L82</f>
        <v>1pce</v>
      </c>
      <c r="W84" s="31" t="str">
        <f>Migrationsartikel!P82</f>
        <v>1pz</v>
      </c>
      <c r="X84" t="str">
        <f>Migrationsartikel!I82</f>
        <v xml:space="preserve">Wurstwaren </v>
      </c>
      <c r="Y84" t="str">
        <f>Migrationsartikel!M82</f>
        <v>Charcuterie</v>
      </c>
      <c r="Z84" t="str">
        <f>Migrationsartikel!Q82</f>
        <v>Salumi</v>
      </c>
      <c r="AA84" s="45">
        <f>Migrationsartikel!R82</f>
        <v>1</v>
      </c>
      <c r="AB84" s="46" t="str">
        <f>Migrationsartikel!T82</f>
        <v>Stück</v>
      </c>
      <c r="AC84">
        <f>Migrationsartikel!S82</f>
        <v>1</v>
      </c>
      <c r="AD84" t="str">
        <f>Migrationsartikel!U82</f>
        <v>(PCE) Stück</v>
      </c>
      <c r="AE84" s="31" t="s">
        <v>179</v>
      </c>
      <c r="AF84" s="31" t="s">
        <v>192</v>
      </c>
      <c r="AG84" t="str">
        <f>IF(Migrationsartikel!AB82="ja","true",FALSE)</f>
        <v>true</v>
      </c>
      <c r="AH84" t="str">
        <f>IF(Migrationsartikel!AC82="ja","true",FALSE)</f>
        <v>true</v>
      </c>
      <c r="AI84" t="str">
        <f>IF(Migrationsartikel!AD82="ja","true",FALSE)</f>
        <v>true</v>
      </c>
      <c r="AJ84" t="str">
        <f>IF(Migrationsartikel!AE82="ja","true",FALSE)</f>
        <v>true</v>
      </c>
      <c r="AK84" t="str">
        <f>IF(Migrationsartikel!AF82="ja","Denner Partner","")</f>
        <v/>
      </c>
      <c r="AL84" t="str">
        <f>IF(Migrationsartikel!AG82="ja","true","false")</f>
        <v>false</v>
      </c>
      <c r="AM84" t="str">
        <f t="shared" si="1"/>
        <v>PLU</v>
      </c>
      <c r="AN84" s="31" t="s">
        <v>219</v>
      </c>
      <c r="AO84" s="31" t="s">
        <v>217</v>
      </c>
    </row>
    <row r="85" spans="2:41" ht="21.75" customHeight="1" x14ac:dyDescent="0.45">
      <c r="B85" t="s">
        <v>99</v>
      </c>
      <c r="E85" s="31" t="s">
        <v>1495</v>
      </c>
      <c r="F85" t="str">
        <f>"Warengruppe&gt;&gt;"&amp;Migrationsartikel!V83&amp;"&gt;&gt;"&amp;Migrationsartikel!W83&amp;"&gt;&gt;"&amp;Migrationsartikel!X83</f>
        <v>Warengruppe&gt;&gt;Frische&gt;&gt;Käse&gt;&gt;Käse</v>
      </c>
      <c r="H85" s="31" t="s">
        <v>109</v>
      </c>
      <c r="I85" s="31" t="s">
        <v>121</v>
      </c>
      <c r="J85" s="31">
        <f>Migrationsartikel!B83</f>
        <v>833</v>
      </c>
      <c r="L85" t="str">
        <f>Migrationsartikel!F83&amp;" "&amp;Migrationsartikel!G83&amp;" "&amp;Migrationsartikel!H83</f>
        <v>Büscion aus der Region 2Stk</v>
      </c>
      <c r="M85" t="str">
        <f>Migrationsartikel!J83&amp;" "&amp;Migrationsartikel!K83&amp;" "&amp;Migrationsartikel!L83</f>
        <v>Büscion 2pces de la région 2pces</v>
      </c>
      <c r="N85" t="str">
        <f>Migrationsartikel!N83&amp;" "&amp;Migrationsartikel!O83&amp;" "&amp;Migrationsartikel!P83</f>
        <v>Büscion della regione 2pz</v>
      </c>
      <c r="O85" t="str">
        <f>Migrationsartikel!F83</f>
        <v>Büscion</v>
      </c>
      <c r="P85" t="str">
        <f>Migrationsartikel!J83</f>
        <v>Büscion 2pces</v>
      </c>
      <c r="Q85" t="str">
        <f>Migrationsartikel!N83</f>
        <v>Büscion</v>
      </c>
      <c r="R85" t="str">
        <f>Migrationsartikel!G83</f>
        <v>aus der Region</v>
      </c>
      <c r="S85" t="str">
        <f>Migrationsartikel!K83</f>
        <v>de la région</v>
      </c>
      <c r="T85" t="str">
        <f>Migrationsartikel!O83</f>
        <v>della regione</v>
      </c>
      <c r="U85" s="31" t="str">
        <f>Migrationsartikel!H83</f>
        <v>2Stk</v>
      </c>
      <c r="V85" s="31" t="str">
        <f>Migrationsartikel!L83</f>
        <v>2pces</v>
      </c>
      <c r="W85" s="31" t="str">
        <f>Migrationsartikel!P83</f>
        <v>2pz</v>
      </c>
      <c r="X85" t="str">
        <f>Migrationsartikel!I83</f>
        <v>Büscion 2Stk</v>
      </c>
      <c r="Y85" t="str">
        <f>Migrationsartikel!M83</f>
        <v>Büscion</v>
      </c>
      <c r="Z85" t="str">
        <f>Migrationsartikel!Q83</f>
        <v>Büscion 2pz</v>
      </c>
      <c r="AA85" s="45">
        <f>Migrationsartikel!R83</f>
        <v>2</v>
      </c>
      <c r="AB85" s="46" t="str">
        <f>Migrationsartikel!T83</f>
        <v>Stück</v>
      </c>
      <c r="AC85">
        <f>Migrationsartikel!S83</f>
        <v>1</v>
      </c>
      <c r="AD85" t="str">
        <f>Migrationsartikel!U83</f>
        <v>(PCE) Stück</v>
      </c>
      <c r="AE85" s="31" t="s">
        <v>179</v>
      </c>
      <c r="AF85" s="31" t="s">
        <v>192</v>
      </c>
      <c r="AG85" t="str">
        <f>IF(Migrationsartikel!AB83="ja","true",FALSE)</f>
        <v>true</v>
      </c>
      <c r="AH85" t="str">
        <f>IF(Migrationsartikel!AC83="ja","true",FALSE)</f>
        <v>true</v>
      </c>
      <c r="AI85" t="str">
        <f>IF(Migrationsartikel!AD83="ja","true",FALSE)</f>
        <v>true</v>
      </c>
      <c r="AJ85" t="str">
        <f>IF(Migrationsartikel!AE83="ja","true",FALSE)</f>
        <v>true</v>
      </c>
      <c r="AK85" t="str">
        <f>IF(Migrationsartikel!AF83="ja","Denner Partner","")</f>
        <v/>
      </c>
      <c r="AL85" t="str">
        <f>IF(Migrationsartikel!AG83="ja","true","false")</f>
        <v>false</v>
      </c>
      <c r="AM85" t="str">
        <f t="shared" si="1"/>
        <v>PLU</v>
      </c>
      <c r="AN85" s="31" t="s">
        <v>219</v>
      </c>
      <c r="AO85" s="31" t="s">
        <v>217</v>
      </c>
    </row>
    <row r="86" spans="2:41" ht="21.75" customHeight="1" x14ac:dyDescent="0.45">
      <c r="B86" t="s">
        <v>99</v>
      </c>
      <c r="E86" s="31" t="s">
        <v>1496</v>
      </c>
      <c r="F86" t="str">
        <f>"Warengruppe&gt;&gt;"&amp;Migrationsartikel!V84&amp;"&gt;&gt;"&amp;Migrationsartikel!W84&amp;"&gt;&gt;"&amp;Migrationsartikel!X84</f>
        <v>Warengruppe&gt;&gt;Frische&gt;&gt;Käse&gt;&gt;Käse</v>
      </c>
      <c r="H86" s="31" t="s">
        <v>109</v>
      </c>
      <c r="I86" s="31" t="s">
        <v>121</v>
      </c>
      <c r="J86" s="31">
        <f>Migrationsartikel!B84</f>
        <v>834</v>
      </c>
      <c r="L86" t="str">
        <f>Migrationsartikel!F84&amp;" "&amp;Migrationsartikel!G84&amp;" "&amp;Migrationsartikel!H84</f>
        <v>Fondue aus der Region 400g</v>
      </c>
      <c r="M86" t="str">
        <f>Migrationsartikel!J84&amp;" "&amp;Migrationsartikel!K84&amp;" "&amp;Migrationsartikel!L84</f>
        <v>Fondue de la région 400g</v>
      </c>
      <c r="N86" t="str">
        <f>Migrationsartikel!N84&amp;" "&amp;Migrationsartikel!O84&amp;" "&amp;Migrationsartikel!P84</f>
        <v>Fondue della regione 400g</v>
      </c>
      <c r="O86" t="str">
        <f>Migrationsartikel!F84</f>
        <v>Fondue</v>
      </c>
      <c r="P86" t="str">
        <f>Migrationsartikel!J84</f>
        <v>Fondue</v>
      </c>
      <c r="Q86" t="str">
        <f>Migrationsartikel!N84</f>
        <v>Fondue</v>
      </c>
      <c r="R86" t="str">
        <f>Migrationsartikel!G84</f>
        <v>aus der Region</v>
      </c>
      <c r="S86" t="str">
        <f>Migrationsartikel!K84</f>
        <v>de la région</v>
      </c>
      <c r="T86" t="str">
        <f>Migrationsartikel!O84</f>
        <v>della regione</v>
      </c>
      <c r="U86" s="31" t="str">
        <f>Migrationsartikel!H84</f>
        <v>400g</v>
      </c>
      <c r="V86" s="31" t="str">
        <f>Migrationsartikel!L84</f>
        <v>400g</v>
      </c>
      <c r="W86" s="31" t="str">
        <f>Migrationsartikel!P84</f>
        <v>400g</v>
      </c>
      <c r="X86" t="str">
        <f>Migrationsartikel!I84</f>
        <v>Fondue 400g</v>
      </c>
      <c r="Y86" t="str">
        <f>Migrationsartikel!M84</f>
        <v>Fondue 400g</v>
      </c>
      <c r="Z86" t="str">
        <f>Migrationsartikel!Q84</f>
        <v>Fondue 400g</v>
      </c>
      <c r="AA86" s="45">
        <f>Migrationsartikel!R84</f>
        <v>0.4</v>
      </c>
      <c r="AB86" s="46" t="str">
        <f>Migrationsartikel!T84</f>
        <v>Gramm</v>
      </c>
      <c r="AC86">
        <f>Migrationsartikel!S84</f>
        <v>100</v>
      </c>
      <c r="AD86" t="str">
        <f>Migrationsartikel!U84</f>
        <v>(PCE) Stück</v>
      </c>
      <c r="AE86" s="31" t="s">
        <v>179</v>
      </c>
      <c r="AF86" s="31" t="s">
        <v>192</v>
      </c>
      <c r="AG86" t="str">
        <f>IF(Migrationsartikel!AB84="ja","true",FALSE)</f>
        <v>true</v>
      </c>
      <c r="AH86" t="str">
        <f>IF(Migrationsartikel!AC84="ja","true",FALSE)</f>
        <v>true</v>
      </c>
      <c r="AI86" t="str">
        <f>IF(Migrationsartikel!AD84="ja","true",FALSE)</f>
        <v>true</v>
      </c>
      <c r="AJ86" t="str">
        <f>IF(Migrationsartikel!AE84="ja","true",FALSE)</f>
        <v>true</v>
      </c>
      <c r="AK86" t="str">
        <f>IF(Migrationsartikel!AF84="ja","Denner Partner","")</f>
        <v/>
      </c>
      <c r="AL86" t="str">
        <f>IF(Migrationsartikel!AG84="ja","true","false")</f>
        <v>false</v>
      </c>
      <c r="AM86" t="str">
        <f t="shared" si="1"/>
        <v>PLU</v>
      </c>
      <c r="AN86" s="31" t="s">
        <v>219</v>
      </c>
      <c r="AO86" s="31" t="s">
        <v>217</v>
      </c>
    </row>
    <row r="87" spans="2:41" ht="21.75" customHeight="1" x14ac:dyDescent="0.45">
      <c r="B87" t="s">
        <v>99</v>
      </c>
      <c r="E87" s="31" t="s">
        <v>1497</v>
      </c>
      <c r="F87" t="str">
        <f>"Warengruppe&gt;&gt;"&amp;Migrationsartikel!V85&amp;"&gt;&gt;"&amp;Migrationsartikel!W85&amp;"&gt;&gt;"&amp;Migrationsartikel!X85</f>
        <v>Warengruppe&gt;&gt;Frische&gt;&gt;Käse&gt;&gt;Käse</v>
      </c>
      <c r="H87" s="31" t="s">
        <v>109</v>
      </c>
      <c r="I87" s="31" t="s">
        <v>121</v>
      </c>
      <c r="J87" s="31">
        <f>Migrationsartikel!B85</f>
        <v>835</v>
      </c>
      <c r="L87" t="str">
        <f>Migrationsartikel!F85&amp;" "&amp;Migrationsartikel!G85&amp;" "&amp;Migrationsartikel!H85</f>
        <v>Fondue aus der Region 600g</v>
      </c>
      <c r="M87" t="str">
        <f>Migrationsartikel!J85&amp;" "&amp;Migrationsartikel!K85&amp;" "&amp;Migrationsartikel!L85</f>
        <v>Fondue de la région 600g</v>
      </c>
      <c r="N87" t="str">
        <f>Migrationsartikel!N85&amp;" "&amp;Migrationsartikel!O85&amp;" "&amp;Migrationsartikel!P85</f>
        <v>Fondue della regione 600g</v>
      </c>
      <c r="O87" t="str">
        <f>Migrationsartikel!F85</f>
        <v>Fondue</v>
      </c>
      <c r="P87" t="str">
        <f>Migrationsartikel!J85</f>
        <v>Fondue</v>
      </c>
      <c r="Q87" t="str">
        <f>Migrationsartikel!N85</f>
        <v>Fondue</v>
      </c>
      <c r="R87" t="str">
        <f>Migrationsartikel!G85</f>
        <v>aus der Region</v>
      </c>
      <c r="S87" t="str">
        <f>Migrationsartikel!K85</f>
        <v>de la région</v>
      </c>
      <c r="T87" t="str">
        <f>Migrationsartikel!O85</f>
        <v>della regione</v>
      </c>
      <c r="U87" s="31" t="str">
        <f>Migrationsartikel!H85</f>
        <v>600g</v>
      </c>
      <c r="V87" s="31" t="str">
        <f>Migrationsartikel!L85</f>
        <v>600g</v>
      </c>
      <c r="W87" s="31" t="str">
        <f>Migrationsartikel!P85</f>
        <v>600g</v>
      </c>
      <c r="X87" t="str">
        <f>Migrationsartikel!I85</f>
        <v>Fondue 600g</v>
      </c>
      <c r="Y87" t="str">
        <f>Migrationsartikel!M85</f>
        <v>Fondue 600g</v>
      </c>
      <c r="Z87" t="str">
        <f>Migrationsartikel!Q85</f>
        <v>Fondue 600g</v>
      </c>
      <c r="AA87" s="45">
        <f>Migrationsartikel!R85</f>
        <v>0.6</v>
      </c>
      <c r="AB87" s="46" t="str">
        <f>Migrationsartikel!T85</f>
        <v>Gramm</v>
      </c>
      <c r="AC87">
        <f>Migrationsartikel!S85</f>
        <v>100</v>
      </c>
      <c r="AD87" t="str">
        <f>Migrationsartikel!U85</f>
        <v>(PCE) Stück</v>
      </c>
      <c r="AE87" s="31" t="s">
        <v>179</v>
      </c>
      <c r="AF87" s="31" t="s">
        <v>192</v>
      </c>
      <c r="AG87" t="str">
        <f>IF(Migrationsartikel!AB85="ja","true",FALSE)</f>
        <v>true</v>
      </c>
      <c r="AH87" t="str">
        <f>IF(Migrationsartikel!AC85="ja","true",FALSE)</f>
        <v>true</v>
      </c>
      <c r="AI87" t="str">
        <f>IF(Migrationsartikel!AD85="ja","true",FALSE)</f>
        <v>true</v>
      </c>
      <c r="AJ87" t="str">
        <f>IF(Migrationsartikel!AE85="ja","true",FALSE)</f>
        <v>true</v>
      </c>
      <c r="AK87" t="str">
        <f>IF(Migrationsartikel!AF85="ja","Denner Partner","")</f>
        <v/>
      </c>
      <c r="AL87" t="str">
        <f>IF(Migrationsartikel!AG85="ja","true","false")</f>
        <v>false</v>
      </c>
      <c r="AM87" t="str">
        <f t="shared" si="1"/>
        <v>PLU</v>
      </c>
      <c r="AN87" s="31" t="s">
        <v>219</v>
      </c>
      <c r="AO87" s="31" t="s">
        <v>217</v>
      </c>
    </row>
    <row r="88" spans="2:41" ht="21.75" customHeight="1" x14ac:dyDescent="0.45">
      <c r="B88" t="s">
        <v>99</v>
      </c>
      <c r="E88" s="31" t="s">
        <v>1498</v>
      </c>
      <c r="F88" t="str">
        <f>"Warengruppe&gt;&gt;"&amp;Migrationsartikel!V86&amp;"&gt;&gt;"&amp;Migrationsartikel!W86&amp;"&gt;&gt;"&amp;Migrationsartikel!X86</f>
        <v>Warengruppe&gt;&gt;Frische&gt;&gt;Käse&gt;&gt;Käse</v>
      </c>
      <c r="H88" s="31" t="s">
        <v>109</v>
      </c>
      <c r="I88" s="31" t="s">
        <v>121</v>
      </c>
      <c r="J88" s="31">
        <f>Migrationsartikel!B86</f>
        <v>836</v>
      </c>
      <c r="L88" t="str">
        <f>Migrationsartikel!F86&amp;" "&amp;Migrationsartikel!G86&amp;" "&amp;Migrationsartikel!H86</f>
        <v>Fondue aus der Region 800g</v>
      </c>
      <c r="M88" t="str">
        <f>Migrationsartikel!J86&amp;" "&amp;Migrationsartikel!K86&amp;" "&amp;Migrationsartikel!L86</f>
        <v>Fondue de la région 800g</v>
      </c>
      <c r="N88" t="str">
        <f>Migrationsartikel!N86&amp;" "&amp;Migrationsartikel!O86&amp;" "&amp;Migrationsartikel!P86</f>
        <v>Fondue della regione 800g</v>
      </c>
      <c r="O88" t="str">
        <f>Migrationsartikel!F86</f>
        <v>Fondue</v>
      </c>
      <c r="P88" t="str">
        <f>Migrationsartikel!J86</f>
        <v>Fondue</v>
      </c>
      <c r="Q88" t="str">
        <f>Migrationsartikel!N86</f>
        <v>Fondue</v>
      </c>
      <c r="R88" t="str">
        <f>Migrationsartikel!G86</f>
        <v>aus der Region</v>
      </c>
      <c r="S88" t="str">
        <f>Migrationsartikel!K86</f>
        <v>de la région</v>
      </c>
      <c r="T88" t="str">
        <f>Migrationsartikel!O86</f>
        <v>della regione</v>
      </c>
      <c r="U88" s="31" t="str">
        <f>Migrationsartikel!H86</f>
        <v>800g</v>
      </c>
      <c r="V88" s="31" t="str">
        <f>Migrationsartikel!L86</f>
        <v>800g</v>
      </c>
      <c r="W88" s="31" t="str">
        <f>Migrationsartikel!P86</f>
        <v>800g</v>
      </c>
      <c r="X88" t="str">
        <f>Migrationsartikel!I86</f>
        <v>Fondue 800g</v>
      </c>
      <c r="Y88" t="str">
        <f>Migrationsartikel!M86</f>
        <v>Fondue 800g</v>
      </c>
      <c r="Z88" t="str">
        <f>Migrationsartikel!Q86</f>
        <v>Fondue 800g</v>
      </c>
      <c r="AA88" s="45">
        <f>Migrationsartikel!R86</f>
        <v>0.8</v>
      </c>
      <c r="AB88" s="46" t="str">
        <f>Migrationsartikel!T86</f>
        <v>Gramm</v>
      </c>
      <c r="AC88">
        <f>Migrationsartikel!S86</f>
        <v>100</v>
      </c>
      <c r="AD88" t="str">
        <f>Migrationsartikel!U86</f>
        <v>(PCE) Stück</v>
      </c>
      <c r="AE88" s="31" t="s">
        <v>179</v>
      </c>
      <c r="AF88" s="31" t="s">
        <v>192</v>
      </c>
      <c r="AG88" t="str">
        <f>IF(Migrationsartikel!AB86="ja","true",FALSE)</f>
        <v>true</v>
      </c>
      <c r="AH88" t="str">
        <f>IF(Migrationsartikel!AC86="ja","true",FALSE)</f>
        <v>true</v>
      </c>
      <c r="AI88" t="str">
        <f>IF(Migrationsartikel!AD86="ja","true",FALSE)</f>
        <v>true</v>
      </c>
      <c r="AJ88" t="str">
        <f>IF(Migrationsartikel!AE86="ja","true",FALSE)</f>
        <v>true</v>
      </c>
      <c r="AK88" t="str">
        <f>IF(Migrationsartikel!AF86="ja","Denner Partner","")</f>
        <v/>
      </c>
      <c r="AL88" t="str">
        <f>IF(Migrationsartikel!AG86="ja","true","false")</f>
        <v>false</v>
      </c>
      <c r="AM88" t="str">
        <f t="shared" si="1"/>
        <v>PLU</v>
      </c>
      <c r="AN88" s="31" t="s">
        <v>219</v>
      </c>
      <c r="AO88" s="31" t="s">
        <v>217</v>
      </c>
    </row>
    <row r="89" spans="2:41" ht="21.75" customHeight="1" x14ac:dyDescent="0.45">
      <c r="B89" t="s">
        <v>99</v>
      </c>
      <c r="E89" s="31" t="s">
        <v>1499</v>
      </c>
      <c r="F89" t="str">
        <f>"Warengruppe&gt;&gt;"&amp;Migrationsartikel!V87&amp;"&gt;&gt;"&amp;Migrationsartikel!W87&amp;"&gt;&gt;"&amp;Migrationsartikel!X87</f>
        <v>Warengruppe&gt;&gt;Frische&gt;&gt;Käse&gt;&gt;Käse</v>
      </c>
      <c r="H89" s="31" t="s">
        <v>109</v>
      </c>
      <c r="I89" s="31" t="s">
        <v>121</v>
      </c>
      <c r="J89" s="31">
        <f>Migrationsartikel!B87</f>
        <v>837</v>
      </c>
      <c r="L89" t="str">
        <f>Migrationsartikel!F87&amp;" "&amp;Migrationsartikel!G87&amp;" "&amp;Migrationsartikel!H87</f>
        <v>Frischkäse aus der Region 2Stk</v>
      </c>
      <c r="M89" t="str">
        <f>Migrationsartikel!J87&amp;" "&amp;Migrationsartikel!K87&amp;" "&amp;Migrationsartikel!L87</f>
        <v>Fromage frais  de la région 2pces</v>
      </c>
      <c r="N89" t="str">
        <f>Migrationsartikel!N87&amp;" "&amp;Migrationsartikel!O87&amp;" "&amp;Migrationsartikel!P87</f>
        <v>Formaggini freschi della regione 2pz</v>
      </c>
      <c r="O89" t="str">
        <f>Migrationsartikel!F87</f>
        <v>Frischkäse</v>
      </c>
      <c r="P89" t="str">
        <f>Migrationsartikel!J87</f>
        <v xml:space="preserve">Fromage frais </v>
      </c>
      <c r="Q89" t="str">
        <f>Migrationsartikel!N87</f>
        <v>Formaggini freschi</v>
      </c>
      <c r="R89" t="str">
        <f>Migrationsartikel!G87</f>
        <v>aus der Region</v>
      </c>
      <c r="S89" t="str">
        <f>Migrationsartikel!K87</f>
        <v>de la région</v>
      </c>
      <c r="T89" t="str">
        <f>Migrationsartikel!O87</f>
        <v>della regione</v>
      </c>
      <c r="U89" s="31" t="str">
        <f>Migrationsartikel!H87</f>
        <v>2Stk</v>
      </c>
      <c r="V89" s="31" t="str">
        <f>Migrationsartikel!L87</f>
        <v>2pces</v>
      </c>
      <c r="W89" s="31" t="str">
        <f>Migrationsartikel!P87</f>
        <v>2pz</v>
      </c>
      <c r="X89" t="str">
        <f>Migrationsartikel!I87</f>
        <v>Frischkäse 2Stk</v>
      </c>
      <c r="Y89" t="str">
        <f>Migrationsartikel!M87</f>
        <v>Fromage frais 2pces</v>
      </c>
      <c r="Z89" t="str">
        <f>Migrationsartikel!Q87</f>
        <v>Formaggini freschi 2pz</v>
      </c>
      <c r="AA89" s="45">
        <f>Migrationsartikel!R87</f>
        <v>2</v>
      </c>
      <c r="AB89" s="46" t="str">
        <f>Migrationsartikel!T87</f>
        <v>Gramm</v>
      </c>
      <c r="AC89">
        <f>Migrationsartikel!S87</f>
        <v>100</v>
      </c>
      <c r="AD89" t="str">
        <f>Migrationsartikel!U87</f>
        <v>(PCE) Stück</v>
      </c>
      <c r="AE89" s="31" t="s">
        <v>179</v>
      </c>
      <c r="AF89" s="31" t="s">
        <v>192</v>
      </c>
      <c r="AG89" t="str">
        <f>IF(Migrationsartikel!AB87="ja","true",FALSE)</f>
        <v>true</v>
      </c>
      <c r="AH89" t="str">
        <f>IF(Migrationsartikel!AC87="ja","true",FALSE)</f>
        <v>true</v>
      </c>
      <c r="AI89" t="str">
        <f>IF(Migrationsartikel!AD87="ja","true",FALSE)</f>
        <v>true</v>
      </c>
      <c r="AJ89" t="str">
        <f>IF(Migrationsartikel!AE87="ja","true",FALSE)</f>
        <v>true</v>
      </c>
      <c r="AK89" t="str">
        <f>IF(Migrationsartikel!AF87="ja","Denner Partner","")</f>
        <v/>
      </c>
      <c r="AL89" t="str">
        <f>IF(Migrationsartikel!AG87="ja","true","false")</f>
        <v>false</v>
      </c>
      <c r="AM89" t="str">
        <f t="shared" si="1"/>
        <v>PLU</v>
      </c>
      <c r="AN89" s="31" t="s">
        <v>219</v>
      </c>
      <c r="AO89" s="31" t="s">
        <v>217</v>
      </c>
    </row>
    <row r="90" spans="2:41" ht="21.75" customHeight="1" x14ac:dyDescent="0.45">
      <c r="B90" t="s">
        <v>99</v>
      </c>
      <c r="E90" s="31" t="s">
        <v>1500</v>
      </c>
      <c r="F90" t="str">
        <f>"Warengruppe&gt;&gt;"&amp;Migrationsartikel!V88&amp;"&gt;&gt;"&amp;Migrationsartikel!W88&amp;"&gt;&gt;"&amp;Migrationsartikel!X88</f>
        <v>Warengruppe&gt;&gt;Frische&gt;&gt;Käse&gt;&gt;Käse</v>
      </c>
      <c r="H90" s="31" t="s">
        <v>109</v>
      </c>
      <c r="I90" s="31" t="s">
        <v>121</v>
      </c>
      <c r="J90" s="31">
        <f>Migrationsartikel!B88</f>
        <v>838</v>
      </c>
      <c r="L90" t="str">
        <f>Migrationsartikel!F88&amp;" "&amp;Migrationsartikel!G88&amp;" "&amp;Migrationsartikel!H88</f>
        <v>Gruyère aus der Region 1Stk</v>
      </c>
      <c r="M90" t="str">
        <f>Migrationsartikel!J88&amp;" "&amp;Migrationsartikel!K88&amp;" "&amp;Migrationsartikel!L88</f>
        <v>Gruyère  de la région 1pce</v>
      </c>
      <c r="N90" t="str">
        <f>Migrationsartikel!N88&amp;" "&amp;Migrationsartikel!O88&amp;" "&amp;Migrationsartikel!P88</f>
        <v>Gruyère  della regione 1pz</v>
      </c>
      <c r="O90" t="str">
        <f>Migrationsartikel!F88</f>
        <v>Gruyère</v>
      </c>
      <c r="P90" t="str">
        <f>Migrationsartikel!J88</f>
        <v xml:space="preserve">Gruyère </v>
      </c>
      <c r="Q90" t="str">
        <f>Migrationsartikel!N88</f>
        <v xml:space="preserve">Gruyère </v>
      </c>
      <c r="R90" t="str">
        <f>Migrationsartikel!G88</f>
        <v>aus der Region</v>
      </c>
      <c r="S90" t="str">
        <f>Migrationsartikel!K88</f>
        <v>de la région</v>
      </c>
      <c r="T90" t="str">
        <f>Migrationsartikel!O88</f>
        <v>della regione</v>
      </c>
      <c r="U90" s="31" t="str">
        <f>Migrationsartikel!H88</f>
        <v>1Stk</v>
      </c>
      <c r="V90" s="31" t="str">
        <f>Migrationsartikel!L88</f>
        <v>1pce</v>
      </c>
      <c r="W90" s="31" t="str">
        <f>Migrationsartikel!P88</f>
        <v>1pz</v>
      </c>
      <c r="X90" t="str">
        <f>Migrationsartikel!I88</f>
        <v>Gruyère</v>
      </c>
      <c r="Y90" t="str">
        <f>Migrationsartikel!M88</f>
        <v xml:space="preserve">Gruyère </v>
      </c>
      <c r="Z90" t="str">
        <f>Migrationsartikel!Q88</f>
        <v xml:space="preserve">Gruyère </v>
      </c>
      <c r="AA90" s="45">
        <f>Migrationsartikel!R88</f>
        <v>1</v>
      </c>
      <c r="AB90" s="46" t="str">
        <f>Migrationsartikel!T88</f>
        <v>Gramm</v>
      </c>
      <c r="AC90">
        <f>Migrationsartikel!S88</f>
        <v>100</v>
      </c>
      <c r="AD90" t="str">
        <f>Migrationsartikel!U88</f>
        <v>(PCE) Stück</v>
      </c>
      <c r="AE90" s="31" t="s">
        <v>179</v>
      </c>
      <c r="AF90" s="31" t="s">
        <v>192</v>
      </c>
      <c r="AG90" t="str">
        <f>IF(Migrationsartikel!AB88="ja","true",FALSE)</f>
        <v>true</v>
      </c>
      <c r="AH90" t="str">
        <f>IF(Migrationsartikel!AC88="ja","true",FALSE)</f>
        <v>true</v>
      </c>
      <c r="AI90" t="str">
        <f>IF(Migrationsartikel!AD88="ja","true",FALSE)</f>
        <v>true</v>
      </c>
      <c r="AJ90" t="str">
        <f>IF(Migrationsartikel!AE88="ja","true",FALSE)</f>
        <v>true</v>
      </c>
      <c r="AK90" t="str">
        <f>IF(Migrationsartikel!AF88="ja","Denner Partner","")</f>
        <v/>
      </c>
      <c r="AL90" t="str">
        <f>IF(Migrationsartikel!AG88="ja","true","false")</f>
        <v>false</v>
      </c>
      <c r="AM90" t="str">
        <f t="shared" si="1"/>
        <v>PLU</v>
      </c>
      <c r="AN90" s="31" t="s">
        <v>219</v>
      </c>
      <c r="AO90" s="31" t="s">
        <v>217</v>
      </c>
    </row>
    <row r="91" spans="2:41" ht="21.75" customHeight="1" x14ac:dyDescent="0.45">
      <c r="B91" t="s">
        <v>99</v>
      </c>
      <c r="E91" s="31" t="s">
        <v>1501</v>
      </c>
      <c r="F91" t="str">
        <f>"Warengruppe&gt;&gt;"&amp;Migrationsartikel!V89&amp;"&gt;&gt;"&amp;Migrationsartikel!W89&amp;"&gt;&gt;"&amp;Migrationsartikel!X89</f>
        <v>Warengruppe&gt;&gt;Frische&gt;&gt;Käse&gt;&gt;Käse</v>
      </c>
      <c r="H91" s="31" t="s">
        <v>109</v>
      </c>
      <c r="I91" s="31" t="s">
        <v>121</v>
      </c>
      <c r="J91" s="31">
        <f>Migrationsartikel!B89</f>
        <v>839</v>
      </c>
      <c r="L91" t="str">
        <f>Migrationsartikel!F89&amp;" "&amp;Migrationsartikel!G89&amp;" "&amp;Migrationsartikel!H89</f>
        <v>Käse Spezialitäten aus der Region 1Stk</v>
      </c>
      <c r="M91" t="str">
        <f>Migrationsartikel!J89&amp;" "&amp;Migrationsartikel!K89&amp;" "&amp;Migrationsartikel!L89</f>
        <v>Spécialités de fromage de la région 1pce</v>
      </c>
      <c r="N91" t="str">
        <f>Migrationsartikel!N89&amp;" "&amp;Migrationsartikel!O89&amp;" "&amp;Migrationsartikel!P89</f>
        <v>Formaggi della regione 1pz</v>
      </c>
      <c r="O91" t="str">
        <f>Migrationsartikel!F89</f>
        <v>Käse Spezialitäten</v>
      </c>
      <c r="P91" t="str">
        <f>Migrationsartikel!J89</f>
        <v>Spécialités de fromage</v>
      </c>
      <c r="Q91" t="str">
        <f>Migrationsartikel!N89</f>
        <v>Formaggi</v>
      </c>
      <c r="R91" t="str">
        <f>Migrationsartikel!G89</f>
        <v>aus der Region</v>
      </c>
      <c r="S91" t="str">
        <f>Migrationsartikel!K89</f>
        <v>de la région</v>
      </c>
      <c r="T91" t="str">
        <f>Migrationsartikel!O89</f>
        <v>della regione</v>
      </c>
      <c r="U91" s="31" t="str">
        <f>Migrationsartikel!H89</f>
        <v>1Stk</v>
      </c>
      <c r="V91" s="31" t="str">
        <f>Migrationsartikel!L89</f>
        <v>1pce</v>
      </c>
      <c r="W91" s="31" t="str">
        <f>Migrationsartikel!P89</f>
        <v>1pz</v>
      </c>
      <c r="X91" t="str">
        <f>Migrationsartikel!I89</f>
        <v>Käse Spezialitäten</v>
      </c>
      <c r="Y91" t="str">
        <f>Migrationsartikel!M89</f>
        <v>Spécialités de fromage</v>
      </c>
      <c r="Z91" t="str">
        <f>Migrationsartikel!Q89</f>
        <v>Formaggi</v>
      </c>
      <c r="AA91" s="45">
        <f>Migrationsartikel!R89</f>
        <v>1</v>
      </c>
      <c r="AB91" s="46" t="str">
        <f>Migrationsartikel!T89</f>
        <v>Stück</v>
      </c>
      <c r="AC91">
        <f>Migrationsartikel!S89</f>
        <v>1</v>
      </c>
      <c r="AD91" t="str">
        <f>Migrationsartikel!U89</f>
        <v>(PCE) Stück</v>
      </c>
      <c r="AE91" s="31" t="s">
        <v>179</v>
      </c>
      <c r="AF91" s="31" t="s">
        <v>192</v>
      </c>
      <c r="AG91" t="str">
        <f>IF(Migrationsartikel!AB89="ja","true",FALSE)</f>
        <v>true</v>
      </c>
      <c r="AH91" t="str">
        <f>IF(Migrationsartikel!AC89="ja","true",FALSE)</f>
        <v>true</v>
      </c>
      <c r="AI91" t="str">
        <f>IF(Migrationsartikel!AD89="ja","true",FALSE)</f>
        <v>true</v>
      </c>
      <c r="AJ91" t="str">
        <f>IF(Migrationsartikel!AE89="ja","true",FALSE)</f>
        <v>true</v>
      </c>
      <c r="AK91" t="str">
        <f>IF(Migrationsartikel!AF89="ja","Denner Partner","")</f>
        <v/>
      </c>
      <c r="AL91" t="str">
        <f>IF(Migrationsartikel!AG89="ja","true","false")</f>
        <v>false</v>
      </c>
      <c r="AM91" t="str">
        <f t="shared" si="1"/>
        <v>PLU</v>
      </c>
      <c r="AN91" s="31" t="s">
        <v>219</v>
      </c>
      <c r="AO91" s="31" t="s">
        <v>217</v>
      </c>
    </row>
    <row r="92" spans="2:41" ht="21.75" customHeight="1" x14ac:dyDescent="0.45">
      <c r="B92" t="s">
        <v>99</v>
      </c>
      <c r="E92" s="31" t="s">
        <v>1502</v>
      </c>
      <c r="F92" t="str">
        <f>"Warengruppe&gt;&gt;"&amp;Migrationsartikel!V90&amp;"&gt;&gt;"&amp;Migrationsartikel!W90&amp;"&gt;&gt;"&amp;Migrationsartikel!X90</f>
        <v>Warengruppe&gt;&gt;Frische&gt;&gt;Käse&gt;&gt;Käse</v>
      </c>
      <c r="H92" s="31" t="s">
        <v>109</v>
      </c>
      <c r="I92" s="31" t="s">
        <v>121</v>
      </c>
      <c r="J92" s="31">
        <f>Migrationsartikel!B90</f>
        <v>840</v>
      </c>
      <c r="L92" t="str">
        <f>Migrationsartikel!F90&amp;" "&amp;Migrationsartikel!G90&amp;" "&amp;Migrationsartikel!H90</f>
        <v>Käsetheke aus der Region 1Stk</v>
      </c>
      <c r="M92" t="str">
        <f>Migrationsartikel!J90&amp;" "&amp;Migrationsartikel!K90&amp;" "&amp;Migrationsartikel!L90</f>
        <v>Fromagerie  de la région 1pce</v>
      </c>
      <c r="N92" t="str">
        <f>Migrationsartikel!N90&amp;" "&amp;Migrationsartikel!O90&amp;" "&amp;Migrationsartikel!P90</f>
        <v>Banco formaggi della regione 1pz</v>
      </c>
      <c r="O92" t="str">
        <f>Migrationsartikel!F90</f>
        <v>Käsetheke</v>
      </c>
      <c r="P92" t="str">
        <f>Migrationsartikel!J90</f>
        <v xml:space="preserve">Fromagerie </v>
      </c>
      <c r="Q92" t="str">
        <f>Migrationsartikel!N90</f>
        <v>Banco formaggi</v>
      </c>
      <c r="R92" t="str">
        <f>Migrationsartikel!G90</f>
        <v>aus der Region</v>
      </c>
      <c r="S92" t="str">
        <f>Migrationsartikel!K90</f>
        <v>de la région</v>
      </c>
      <c r="T92" t="str">
        <f>Migrationsartikel!O90</f>
        <v>della regione</v>
      </c>
      <c r="U92" s="31" t="str">
        <f>Migrationsartikel!H90</f>
        <v>1Stk</v>
      </c>
      <c r="V92" s="31" t="str">
        <f>Migrationsartikel!L90</f>
        <v>1pce</v>
      </c>
      <c r="W92" s="31" t="str">
        <f>Migrationsartikel!P90</f>
        <v>1pz</v>
      </c>
      <c r="X92" t="str">
        <f>Migrationsartikel!I90</f>
        <v>Käsetheke</v>
      </c>
      <c r="Y92" t="str">
        <f>Migrationsartikel!M90</f>
        <v xml:space="preserve">Fromagerie </v>
      </c>
      <c r="Z92" t="str">
        <f>Migrationsartikel!Q90</f>
        <v>Banco formaggi</v>
      </c>
      <c r="AA92" s="45">
        <f>Migrationsartikel!R90</f>
        <v>1</v>
      </c>
      <c r="AB92" s="46" t="str">
        <f>Migrationsartikel!T90</f>
        <v>Stück</v>
      </c>
      <c r="AC92">
        <f>Migrationsartikel!S90</f>
        <v>1</v>
      </c>
      <c r="AD92" t="str">
        <f>Migrationsartikel!U90</f>
        <v>(PCE) Stück</v>
      </c>
      <c r="AE92" s="31" t="s">
        <v>179</v>
      </c>
      <c r="AF92" s="31" t="s">
        <v>192</v>
      </c>
      <c r="AG92" t="str">
        <f>IF(Migrationsartikel!AB90="ja","true",FALSE)</f>
        <v>true</v>
      </c>
      <c r="AH92" t="str">
        <f>IF(Migrationsartikel!AC90="ja","true",FALSE)</f>
        <v>true</v>
      </c>
      <c r="AI92" t="str">
        <f>IF(Migrationsartikel!AD90="ja","true",FALSE)</f>
        <v>true</v>
      </c>
      <c r="AJ92" t="str">
        <f>IF(Migrationsartikel!AE90="ja","true",FALSE)</f>
        <v>true</v>
      </c>
      <c r="AK92" t="str">
        <f>IF(Migrationsartikel!AF90="ja","Denner Partner","")</f>
        <v/>
      </c>
      <c r="AL92" t="str">
        <f>IF(Migrationsartikel!AG90="ja","true","false")</f>
        <v>false</v>
      </c>
      <c r="AM92" t="str">
        <f t="shared" si="1"/>
        <v>PLU</v>
      </c>
      <c r="AN92" s="31" t="s">
        <v>219</v>
      </c>
      <c r="AO92" s="31" t="s">
        <v>217</v>
      </c>
    </row>
    <row r="93" spans="2:41" ht="21.75" customHeight="1" x14ac:dyDescent="0.45">
      <c r="B93" t="s">
        <v>99</v>
      </c>
      <c r="E93" s="31" t="s">
        <v>1503</v>
      </c>
      <c r="F93" t="str">
        <f>"Warengruppe&gt;&gt;"&amp;Migrationsartikel!V91&amp;"&gt;&gt;"&amp;Migrationsartikel!W91&amp;"&gt;&gt;"&amp;Migrationsartikel!X91</f>
        <v>Warengruppe&gt;&gt;Frische&gt;&gt;Käse&gt;&gt;Käse</v>
      </c>
      <c r="H93" s="31" t="s">
        <v>109</v>
      </c>
      <c r="I93" s="31" t="s">
        <v>121</v>
      </c>
      <c r="J93" s="31">
        <f>Migrationsartikel!B91</f>
        <v>841</v>
      </c>
      <c r="L93" t="str">
        <f>Migrationsartikel!F91&amp;" "&amp;Migrationsartikel!G91&amp;" "&amp;Migrationsartikel!H91</f>
        <v>Mutschli aus der Region 1Stk</v>
      </c>
      <c r="M93" t="str">
        <f>Migrationsartikel!J91&amp;" "&amp;Migrationsartikel!K91&amp;" "&amp;Migrationsartikel!L91</f>
        <v>Tomme  de la région 1pce</v>
      </c>
      <c r="N93" t="str">
        <f>Migrationsartikel!N91&amp;" "&amp;Migrationsartikel!O91&amp;" "&amp;Migrationsartikel!P91</f>
        <v>Tomino della regione 1pz</v>
      </c>
      <c r="O93" t="str">
        <f>Migrationsartikel!F91</f>
        <v>Mutschli</v>
      </c>
      <c r="P93" t="str">
        <f>Migrationsartikel!J91</f>
        <v xml:space="preserve">Tomme </v>
      </c>
      <c r="Q93" t="str">
        <f>Migrationsartikel!N91</f>
        <v>Tomino</v>
      </c>
      <c r="R93" t="str">
        <f>Migrationsartikel!G91</f>
        <v>aus der Region</v>
      </c>
      <c r="S93" t="str">
        <f>Migrationsartikel!K91</f>
        <v>de la région</v>
      </c>
      <c r="T93" t="str">
        <f>Migrationsartikel!O91</f>
        <v>della regione</v>
      </c>
      <c r="U93" s="31" t="str">
        <f>Migrationsartikel!H91</f>
        <v>1Stk</v>
      </c>
      <c r="V93" s="31" t="str">
        <f>Migrationsartikel!L91</f>
        <v>1pce</v>
      </c>
      <c r="W93" s="31" t="str">
        <f>Migrationsartikel!P91</f>
        <v>1pz</v>
      </c>
      <c r="X93" t="str">
        <f>Migrationsartikel!I91</f>
        <v>Mutschli</v>
      </c>
      <c r="Y93" t="str">
        <f>Migrationsartikel!M91</f>
        <v xml:space="preserve">Tomme </v>
      </c>
      <c r="Z93" t="str">
        <f>Migrationsartikel!Q91</f>
        <v>Tomino</v>
      </c>
      <c r="AA93" s="45">
        <f>Migrationsartikel!R91</f>
        <v>1</v>
      </c>
      <c r="AB93" s="46" t="str">
        <f>Migrationsartikel!T91</f>
        <v>Gramm</v>
      </c>
      <c r="AC93">
        <f>Migrationsartikel!S91</f>
        <v>100</v>
      </c>
      <c r="AD93" t="str">
        <f>Migrationsartikel!U91</f>
        <v>(PCE) Stück</v>
      </c>
      <c r="AE93" s="31" t="s">
        <v>179</v>
      </c>
      <c r="AF93" s="31" t="s">
        <v>192</v>
      </c>
      <c r="AG93" t="str">
        <f>IF(Migrationsartikel!AB91="ja","true",FALSE)</f>
        <v>true</v>
      </c>
      <c r="AH93" t="str">
        <f>IF(Migrationsartikel!AC91="ja","true",FALSE)</f>
        <v>true</v>
      </c>
      <c r="AI93" t="str">
        <f>IF(Migrationsartikel!AD91="ja","true",FALSE)</f>
        <v>true</v>
      </c>
      <c r="AJ93" t="str">
        <f>IF(Migrationsartikel!AE91="ja","true",FALSE)</f>
        <v>true</v>
      </c>
      <c r="AK93" t="str">
        <f>IF(Migrationsartikel!AF91="ja","Denner Partner","")</f>
        <v/>
      </c>
      <c r="AL93" t="str">
        <f>IF(Migrationsartikel!AG91="ja","true","false")</f>
        <v>false</v>
      </c>
      <c r="AM93" t="str">
        <f t="shared" si="1"/>
        <v>PLU</v>
      </c>
      <c r="AN93" s="31" t="s">
        <v>219</v>
      </c>
      <c r="AO93" s="31" t="s">
        <v>217</v>
      </c>
    </row>
    <row r="94" spans="2:41" ht="21.75" customHeight="1" x14ac:dyDescent="0.45">
      <c r="B94" t="s">
        <v>99</v>
      </c>
      <c r="E94" s="31" t="s">
        <v>1504</v>
      </c>
      <c r="F94" t="str">
        <f>"Warengruppe&gt;&gt;"&amp;Migrationsartikel!V92&amp;"&gt;&gt;"&amp;Migrationsartikel!W92&amp;"&gt;&gt;"&amp;Migrationsartikel!X92</f>
        <v>Warengruppe&gt;&gt;Frische&gt;&gt;Käse&gt;&gt;Käse</v>
      </c>
      <c r="H94" s="31" t="s">
        <v>109</v>
      </c>
      <c r="I94" s="31" t="s">
        <v>121</v>
      </c>
      <c r="J94" s="31">
        <f>Migrationsartikel!B92</f>
        <v>842</v>
      </c>
      <c r="L94" t="str">
        <f>Migrationsartikel!F92&amp;" "&amp;Migrationsartikel!G92&amp;" "&amp;Migrationsartikel!H92</f>
        <v>Raclette aus der Region 1Stk</v>
      </c>
      <c r="M94" t="str">
        <f>Migrationsartikel!J92&amp;" "&amp;Migrationsartikel!K92&amp;" "&amp;Migrationsartikel!L92</f>
        <v>Raclette  de la région 1pce</v>
      </c>
      <c r="N94" t="str">
        <f>Migrationsartikel!N92&amp;" "&amp;Migrationsartikel!O92&amp;" "&amp;Migrationsartikel!P92</f>
        <v>Raclette della regione 1pz</v>
      </c>
      <c r="O94" t="str">
        <f>Migrationsartikel!F92</f>
        <v>Raclette</v>
      </c>
      <c r="P94" t="str">
        <f>Migrationsartikel!J92</f>
        <v xml:space="preserve">Raclette </v>
      </c>
      <c r="Q94" t="str">
        <f>Migrationsartikel!N92</f>
        <v>Raclette</v>
      </c>
      <c r="R94" t="str">
        <f>Migrationsartikel!G92</f>
        <v>aus der Region</v>
      </c>
      <c r="S94" t="str">
        <f>Migrationsartikel!K92</f>
        <v>de la région</v>
      </c>
      <c r="T94" t="str">
        <f>Migrationsartikel!O92</f>
        <v>della regione</v>
      </c>
      <c r="U94" s="31" t="str">
        <f>Migrationsartikel!H92</f>
        <v>1Stk</v>
      </c>
      <c r="V94" s="31" t="str">
        <f>Migrationsartikel!L92</f>
        <v>1pce</v>
      </c>
      <c r="W94" s="31" t="str">
        <f>Migrationsartikel!P92</f>
        <v>1pz</v>
      </c>
      <c r="X94" t="str">
        <f>Migrationsartikel!I92</f>
        <v>Raclette</v>
      </c>
      <c r="Y94" t="str">
        <f>Migrationsartikel!M92</f>
        <v xml:space="preserve">Raclette </v>
      </c>
      <c r="Z94" t="str">
        <f>Migrationsartikel!Q92</f>
        <v>Raclette</v>
      </c>
      <c r="AA94" s="45">
        <f>Migrationsartikel!R92</f>
        <v>1</v>
      </c>
      <c r="AB94" s="46" t="str">
        <f>Migrationsartikel!T92</f>
        <v>Gramm</v>
      </c>
      <c r="AC94">
        <f>Migrationsartikel!S92</f>
        <v>100</v>
      </c>
      <c r="AD94" t="str">
        <f>Migrationsartikel!U92</f>
        <v>(PCE) Stück</v>
      </c>
      <c r="AE94" s="31" t="s">
        <v>179</v>
      </c>
      <c r="AF94" s="31" t="s">
        <v>192</v>
      </c>
      <c r="AG94" t="str">
        <f>IF(Migrationsartikel!AB92="ja","true",FALSE)</f>
        <v>true</v>
      </c>
      <c r="AH94" t="str">
        <f>IF(Migrationsartikel!AC92="ja","true",FALSE)</f>
        <v>true</v>
      </c>
      <c r="AI94" t="str">
        <f>IF(Migrationsartikel!AD92="ja","true",FALSE)</f>
        <v>true</v>
      </c>
      <c r="AJ94" t="str">
        <f>IF(Migrationsartikel!AE92="ja","true",FALSE)</f>
        <v>true</v>
      </c>
      <c r="AK94" t="str">
        <f>IF(Migrationsartikel!AF92="ja","Denner Partner","")</f>
        <v/>
      </c>
      <c r="AL94" t="str">
        <f>IF(Migrationsartikel!AG92="ja","true","false")</f>
        <v>false</v>
      </c>
      <c r="AM94" t="str">
        <f t="shared" si="1"/>
        <v>PLU</v>
      </c>
      <c r="AN94" s="31" t="s">
        <v>219</v>
      </c>
      <c r="AO94" s="31" t="s">
        <v>217</v>
      </c>
    </row>
    <row r="95" spans="2:41" ht="21.75" customHeight="1" x14ac:dyDescent="0.45">
      <c r="B95" t="s">
        <v>99</v>
      </c>
      <c r="E95" s="31" t="s">
        <v>1505</v>
      </c>
      <c r="F95" t="str">
        <f>"Warengruppe&gt;&gt;"&amp;Migrationsartikel!V93&amp;"&gt;&gt;"&amp;Migrationsartikel!W93&amp;"&gt;&gt;"&amp;Migrationsartikel!X93</f>
        <v>Warengruppe&gt;&gt;Frische&gt;&gt;Käse&gt;&gt;Käse</v>
      </c>
      <c r="H95" s="31" t="s">
        <v>109</v>
      </c>
      <c r="I95" s="31" t="s">
        <v>121</v>
      </c>
      <c r="J95" s="31">
        <f>Migrationsartikel!B93</f>
        <v>843</v>
      </c>
      <c r="L95" t="str">
        <f>Migrationsartikel!F93&amp;" "&amp;Migrationsartikel!G93&amp;" "&amp;Migrationsartikel!H93</f>
        <v>Zincarlin aus der Region 1Stk</v>
      </c>
      <c r="M95" t="str">
        <f>Migrationsartikel!J93&amp;" "&amp;Migrationsartikel!K93&amp;" "&amp;Migrationsartikel!L93</f>
        <v>Zincarlin de la région 1pce</v>
      </c>
      <c r="N95" t="str">
        <f>Migrationsartikel!N93&amp;" "&amp;Migrationsartikel!O93&amp;" "&amp;Migrationsartikel!P93</f>
        <v>Zincarlin della regione 1pz</v>
      </c>
      <c r="O95" t="str">
        <f>Migrationsartikel!F93</f>
        <v>Zincarlin</v>
      </c>
      <c r="P95" t="str">
        <f>Migrationsartikel!J93</f>
        <v>Zincarlin</v>
      </c>
      <c r="Q95" t="str">
        <f>Migrationsartikel!N93</f>
        <v>Zincarlin</v>
      </c>
      <c r="R95" t="str">
        <f>Migrationsartikel!G93</f>
        <v>aus der Region</v>
      </c>
      <c r="S95" t="str">
        <f>Migrationsartikel!K93</f>
        <v>de la région</v>
      </c>
      <c r="T95" t="str">
        <f>Migrationsartikel!O93</f>
        <v>della regione</v>
      </c>
      <c r="U95" s="31" t="str">
        <f>Migrationsartikel!H93</f>
        <v>1Stk</v>
      </c>
      <c r="V95" s="31" t="str">
        <f>Migrationsartikel!L93</f>
        <v>1pce</v>
      </c>
      <c r="W95" s="31" t="str">
        <f>Migrationsartikel!P93</f>
        <v>1pz</v>
      </c>
      <c r="X95" t="str">
        <f>Migrationsartikel!I93</f>
        <v>Zincarlin</v>
      </c>
      <c r="Y95" t="str">
        <f>Migrationsartikel!M93</f>
        <v>Zincarlin</v>
      </c>
      <c r="Z95" t="str">
        <f>Migrationsartikel!Q93</f>
        <v>Zincarlin</v>
      </c>
      <c r="AA95" s="45">
        <f>Migrationsartikel!R93</f>
        <v>1</v>
      </c>
      <c r="AB95" s="46" t="str">
        <f>Migrationsartikel!T93</f>
        <v>Stück</v>
      </c>
      <c r="AC95">
        <f>Migrationsartikel!S93</f>
        <v>1</v>
      </c>
      <c r="AD95" t="str">
        <f>Migrationsartikel!U93</f>
        <v>(PCE) Stück</v>
      </c>
      <c r="AE95" s="31" t="s">
        <v>179</v>
      </c>
      <c r="AF95" s="31" t="s">
        <v>192</v>
      </c>
      <c r="AG95" t="str">
        <f>IF(Migrationsartikel!AB93="ja","true",FALSE)</f>
        <v>true</v>
      </c>
      <c r="AH95" t="str">
        <f>IF(Migrationsartikel!AC93="ja","true",FALSE)</f>
        <v>true</v>
      </c>
      <c r="AI95" t="str">
        <f>IF(Migrationsartikel!AD93="ja","true",FALSE)</f>
        <v>true</v>
      </c>
      <c r="AJ95" t="str">
        <f>IF(Migrationsartikel!AE93="ja","true",FALSE)</f>
        <v>true</v>
      </c>
      <c r="AK95" t="str">
        <f>IF(Migrationsartikel!AF93="ja","Denner Partner","")</f>
        <v/>
      </c>
      <c r="AL95" t="str">
        <f>IF(Migrationsartikel!AG93="ja","true","false")</f>
        <v>false</v>
      </c>
      <c r="AM95" t="str">
        <f t="shared" si="1"/>
        <v>PLU</v>
      </c>
      <c r="AN95" s="31" t="s">
        <v>219</v>
      </c>
      <c r="AO95" s="31" t="s">
        <v>217</v>
      </c>
    </row>
    <row r="96" spans="2:41" ht="21.75" customHeight="1" x14ac:dyDescent="0.45">
      <c r="B96" t="s">
        <v>99</v>
      </c>
      <c r="E96" s="31" t="s">
        <v>1506</v>
      </c>
      <c r="F96" t="str">
        <f>"Warengruppe&gt;&gt;"&amp;Migrationsartikel!V94&amp;"&gt;&gt;"&amp;Migrationsartikel!W94&amp;"&gt;&gt;"&amp;Migrationsartikel!X94</f>
        <v>Warengruppe&gt;&gt;Frische&gt;&gt;Molkereiprodukte &amp; Eier &gt;&gt;Milchprodukte</v>
      </c>
      <c r="H96" s="31" t="s">
        <v>109</v>
      </c>
      <c r="I96" s="31" t="s">
        <v>121</v>
      </c>
      <c r="J96" s="31">
        <f>Migrationsartikel!B94</f>
        <v>844</v>
      </c>
      <c r="L96" t="str">
        <f>Migrationsartikel!F94&amp;" "&amp;Migrationsartikel!G94&amp;" "&amp;Migrationsartikel!H94</f>
        <v>Butter  aus der Region 100g</v>
      </c>
      <c r="M96" t="str">
        <f>Migrationsartikel!J94&amp;" "&amp;Migrationsartikel!K94&amp;" "&amp;Migrationsartikel!L94</f>
        <v>Beurre  de la région 100g</v>
      </c>
      <c r="N96" t="str">
        <f>Migrationsartikel!N94&amp;" "&amp;Migrationsartikel!O94&amp;" "&amp;Migrationsartikel!P94</f>
        <v>Burro  della regione 100g</v>
      </c>
      <c r="O96" t="str">
        <f>Migrationsartikel!F94</f>
        <v xml:space="preserve">Butter </v>
      </c>
      <c r="P96" t="str">
        <f>Migrationsartikel!J94</f>
        <v xml:space="preserve">Beurre </v>
      </c>
      <c r="Q96" t="str">
        <f>Migrationsartikel!N94</f>
        <v xml:space="preserve">Burro </v>
      </c>
      <c r="R96" t="str">
        <f>Migrationsartikel!G94</f>
        <v>aus der Region</v>
      </c>
      <c r="S96" t="str">
        <f>Migrationsartikel!K94</f>
        <v>de la région</v>
      </c>
      <c r="T96" t="str">
        <f>Migrationsartikel!O94</f>
        <v>della regione</v>
      </c>
      <c r="U96" s="31" t="str">
        <f>Migrationsartikel!H94</f>
        <v>100g</v>
      </c>
      <c r="V96" s="31" t="str">
        <f>Migrationsartikel!L94</f>
        <v>100g</v>
      </c>
      <c r="W96" s="31" t="str">
        <f>Migrationsartikel!P94</f>
        <v>100g</v>
      </c>
      <c r="X96" t="str">
        <f>Migrationsartikel!I94</f>
        <v>Butter 100g</v>
      </c>
      <c r="Y96" t="str">
        <f>Migrationsartikel!M94</f>
        <v>Beurre 100g</v>
      </c>
      <c r="Z96" t="str">
        <f>Migrationsartikel!Q94</f>
        <v>Burro 100g</v>
      </c>
      <c r="AA96" s="45">
        <f>Migrationsartikel!R94</f>
        <v>0.1</v>
      </c>
      <c r="AB96" s="46" t="str">
        <f>Migrationsartikel!T94</f>
        <v>Gramm</v>
      </c>
      <c r="AC96">
        <f>Migrationsartikel!S94</f>
        <v>100</v>
      </c>
      <c r="AD96" t="str">
        <f>Migrationsartikel!U94</f>
        <v>(PCE) Stück</v>
      </c>
      <c r="AE96" s="31" t="s">
        <v>179</v>
      </c>
      <c r="AF96" s="31" t="s">
        <v>192</v>
      </c>
      <c r="AG96" t="str">
        <f>IF(Migrationsartikel!AB94="ja","true",FALSE)</f>
        <v>true</v>
      </c>
      <c r="AH96" t="str">
        <f>IF(Migrationsartikel!AC94="ja","true",FALSE)</f>
        <v>true</v>
      </c>
      <c r="AI96" t="str">
        <f>IF(Migrationsartikel!AD94="ja","true",FALSE)</f>
        <v>true</v>
      </c>
      <c r="AJ96" t="str">
        <f>IF(Migrationsartikel!AE94="ja","true",FALSE)</f>
        <v>true</v>
      </c>
      <c r="AK96" t="str">
        <f>IF(Migrationsartikel!AF94="ja","Denner Partner","")</f>
        <v/>
      </c>
      <c r="AL96" t="str">
        <f>IF(Migrationsartikel!AG94="ja","true","false")</f>
        <v>false</v>
      </c>
      <c r="AM96" t="str">
        <f t="shared" si="1"/>
        <v>PLU</v>
      </c>
      <c r="AN96" s="31" t="s">
        <v>219</v>
      </c>
      <c r="AO96" s="31" t="s">
        <v>217</v>
      </c>
    </row>
    <row r="97" spans="2:41" ht="21.75" customHeight="1" x14ac:dyDescent="0.45">
      <c r="B97" t="s">
        <v>99</v>
      </c>
      <c r="E97" s="31" t="s">
        <v>1507</v>
      </c>
      <c r="F97" t="str">
        <f>"Warengruppe&gt;&gt;"&amp;Migrationsartikel!V95&amp;"&gt;&gt;"&amp;Migrationsartikel!W95&amp;"&gt;&gt;"&amp;Migrationsartikel!X95</f>
        <v>Warengruppe&gt;&gt;Frische&gt;&gt;Molkereiprodukte &amp; Eier &gt;&gt;Milchprodukte</v>
      </c>
      <c r="H97" s="31" t="s">
        <v>109</v>
      </c>
      <c r="I97" s="31" t="s">
        <v>121</v>
      </c>
      <c r="J97" s="31">
        <f>Migrationsartikel!B95</f>
        <v>845</v>
      </c>
      <c r="L97" t="str">
        <f>Migrationsartikel!F95&amp;" "&amp;Migrationsartikel!G95&amp;" "&amp;Migrationsartikel!H95</f>
        <v>Butter  aus der Region 200g</v>
      </c>
      <c r="M97" t="str">
        <f>Migrationsartikel!J95&amp;" "&amp;Migrationsartikel!K95&amp;" "&amp;Migrationsartikel!L95</f>
        <v>Beurre de la région 200g</v>
      </c>
      <c r="N97" t="str">
        <f>Migrationsartikel!N95&amp;" "&amp;Migrationsartikel!O95&amp;" "&amp;Migrationsartikel!P95</f>
        <v>Burro  della regione 200g</v>
      </c>
      <c r="O97" t="str">
        <f>Migrationsartikel!F95</f>
        <v xml:space="preserve">Butter </v>
      </c>
      <c r="P97" t="str">
        <f>Migrationsartikel!J95</f>
        <v>Beurre</v>
      </c>
      <c r="Q97" t="str">
        <f>Migrationsartikel!N95</f>
        <v xml:space="preserve">Burro </v>
      </c>
      <c r="R97" t="str">
        <f>Migrationsartikel!G95</f>
        <v>aus der Region</v>
      </c>
      <c r="S97" t="str">
        <f>Migrationsartikel!K95</f>
        <v>de la région</v>
      </c>
      <c r="T97" t="str">
        <f>Migrationsartikel!O95</f>
        <v>della regione</v>
      </c>
      <c r="U97" s="31" t="str">
        <f>Migrationsartikel!H95</f>
        <v>200g</v>
      </c>
      <c r="V97" s="31" t="str">
        <f>Migrationsartikel!L95</f>
        <v>200g</v>
      </c>
      <c r="W97" s="31" t="str">
        <f>Migrationsartikel!P95</f>
        <v>200g</v>
      </c>
      <c r="X97" t="str">
        <f>Migrationsartikel!I95</f>
        <v>Butter 200g</v>
      </c>
      <c r="Y97" t="str">
        <f>Migrationsartikel!M95</f>
        <v>Beurre 200g</v>
      </c>
      <c r="Z97" t="str">
        <f>Migrationsartikel!Q95</f>
        <v>Burro 200g</v>
      </c>
      <c r="AA97" s="45">
        <f>Migrationsartikel!R95</f>
        <v>0.2</v>
      </c>
      <c r="AB97" s="46" t="str">
        <f>Migrationsartikel!T95</f>
        <v>Gramm</v>
      </c>
      <c r="AC97">
        <f>Migrationsartikel!S95</f>
        <v>100</v>
      </c>
      <c r="AD97" t="str">
        <f>Migrationsartikel!U95</f>
        <v>(PCE) Stück</v>
      </c>
      <c r="AE97" s="31" t="s">
        <v>179</v>
      </c>
      <c r="AF97" s="31" t="s">
        <v>192</v>
      </c>
      <c r="AG97" t="str">
        <f>IF(Migrationsartikel!AB95="ja","true",FALSE)</f>
        <v>true</v>
      </c>
      <c r="AH97" t="str">
        <f>IF(Migrationsartikel!AC95="ja","true",FALSE)</f>
        <v>true</v>
      </c>
      <c r="AI97" t="str">
        <f>IF(Migrationsartikel!AD95="ja","true",FALSE)</f>
        <v>true</v>
      </c>
      <c r="AJ97" t="str">
        <f>IF(Migrationsartikel!AE95="ja","true",FALSE)</f>
        <v>true</v>
      </c>
      <c r="AK97" t="str">
        <f>IF(Migrationsartikel!AF95="ja","Denner Partner","")</f>
        <v/>
      </c>
      <c r="AL97" t="str">
        <f>IF(Migrationsartikel!AG95="ja","true","false")</f>
        <v>false</v>
      </c>
      <c r="AM97" t="str">
        <f t="shared" si="1"/>
        <v>PLU</v>
      </c>
      <c r="AN97" s="31" t="s">
        <v>219</v>
      </c>
      <c r="AO97" s="31" t="s">
        <v>217</v>
      </c>
    </row>
    <row r="98" spans="2:41" ht="21.75" customHeight="1" x14ac:dyDescent="0.45">
      <c r="B98" t="s">
        <v>99</v>
      </c>
      <c r="E98" s="31" t="s">
        <v>1508</v>
      </c>
      <c r="F98" t="str">
        <f>"Warengruppe&gt;&gt;"&amp;Migrationsartikel!V96&amp;"&gt;&gt;"&amp;Migrationsartikel!W96&amp;"&gt;&gt;"&amp;Migrationsartikel!X96</f>
        <v>Warengruppe&gt;&gt;Frische&gt;&gt;Molkereiprodukte &amp; Eier &gt;&gt;Milchprodukte</v>
      </c>
      <c r="H98" s="31" t="s">
        <v>109</v>
      </c>
      <c r="I98" s="31" t="s">
        <v>121</v>
      </c>
      <c r="J98" s="31">
        <f>Migrationsartikel!B96</f>
        <v>846</v>
      </c>
      <c r="L98" t="str">
        <f>Migrationsartikel!F96&amp;" "&amp;Migrationsartikel!G96&amp;" "&amp;Migrationsartikel!H96</f>
        <v>Butter  aus der Region 250g</v>
      </c>
      <c r="M98" t="str">
        <f>Migrationsartikel!J96&amp;" "&amp;Migrationsartikel!K96&amp;" "&amp;Migrationsartikel!L96</f>
        <v>Beurre de la région 250g</v>
      </c>
      <c r="N98" t="str">
        <f>Migrationsartikel!N96&amp;" "&amp;Migrationsartikel!O96&amp;" "&amp;Migrationsartikel!P96</f>
        <v>Burro  della regione 250g</v>
      </c>
      <c r="O98" t="str">
        <f>Migrationsartikel!F96</f>
        <v xml:space="preserve">Butter </v>
      </c>
      <c r="P98" t="str">
        <f>Migrationsartikel!J96</f>
        <v>Beurre</v>
      </c>
      <c r="Q98" t="str">
        <f>Migrationsartikel!N96</f>
        <v xml:space="preserve">Burro </v>
      </c>
      <c r="R98" t="str">
        <f>Migrationsartikel!G96</f>
        <v>aus der Region</v>
      </c>
      <c r="S98" t="str">
        <f>Migrationsartikel!K96</f>
        <v>de la région</v>
      </c>
      <c r="T98" t="str">
        <f>Migrationsartikel!O96</f>
        <v>della regione</v>
      </c>
      <c r="U98" s="31" t="str">
        <f>Migrationsartikel!H96</f>
        <v>250g</v>
      </c>
      <c r="V98" s="31" t="str">
        <f>Migrationsartikel!L96</f>
        <v>250g</v>
      </c>
      <c r="W98" s="31" t="str">
        <f>Migrationsartikel!P96</f>
        <v>250g</v>
      </c>
      <c r="X98" t="str">
        <f>Migrationsartikel!I96</f>
        <v>Butter 250g</v>
      </c>
      <c r="Y98" t="str">
        <f>Migrationsartikel!M96</f>
        <v>Beurre 250g</v>
      </c>
      <c r="Z98" t="str">
        <f>Migrationsartikel!Q96</f>
        <v>Burro 250g</v>
      </c>
      <c r="AA98" s="45">
        <f>Migrationsartikel!R96</f>
        <v>0.25</v>
      </c>
      <c r="AB98" s="46" t="str">
        <f>Migrationsartikel!T96</f>
        <v>Gramm</v>
      </c>
      <c r="AC98">
        <f>Migrationsartikel!S96</f>
        <v>100</v>
      </c>
      <c r="AD98" t="str">
        <f>Migrationsartikel!U96</f>
        <v>(PCE) Stück</v>
      </c>
      <c r="AE98" s="31" t="s">
        <v>179</v>
      </c>
      <c r="AF98" s="31" t="s">
        <v>192</v>
      </c>
      <c r="AG98" t="str">
        <f>IF(Migrationsartikel!AB96="ja","true",FALSE)</f>
        <v>true</v>
      </c>
      <c r="AH98" t="str">
        <f>IF(Migrationsartikel!AC96="ja","true",FALSE)</f>
        <v>true</v>
      </c>
      <c r="AI98" t="str">
        <f>IF(Migrationsartikel!AD96="ja","true",FALSE)</f>
        <v>true</v>
      </c>
      <c r="AJ98" t="str">
        <f>IF(Migrationsartikel!AE96="ja","true",FALSE)</f>
        <v>true</v>
      </c>
      <c r="AK98" t="str">
        <f>IF(Migrationsartikel!AF96="ja","Denner Partner","")</f>
        <v/>
      </c>
      <c r="AL98" t="str">
        <f>IF(Migrationsartikel!AG96="ja","true","false")</f>
        <v>false</v>
      </c>
      <c r="AM98" t="str">
        <f t="shared" si="1"/>
        <v>PLU</v>
      </c>
      <c r="AN98" s="31" t="s">
        <v>219</v>
      </c>
      <c r="AO98" s="31" t="s">
        <v>217</v>
      </c>
    </row>
    <row r="99" spans="2:41" ht="21.75" customHeight="1" x14ac:dyDescent="0.45">
      <c r="B99" t="s">
        <v>99</v>
      </c>
      <c r="E99" s="31" t="s">
        <v>1509</v>
      </c>
      <c r="F99" t="str">
        <f>"Warengruppe&gt;&gt;"&amp;Migrationsartikel!V97&amp;"&gt;&gt;"&amp;Migrationsartikel!W97&amp;"&gt;&gt;"&amp;Migrationsartikel!X97</f>
        <v>Warengruppe&gt;&gt;Frische&gt;&gt;Molkereiprodukte &amp; Eier &gt;&gt;Milchprodukte</v>
      </c>
      <c r="H99" s="31" t="s">
        <v>109</v>
      </c>
      <c r="I99" s="31" t="s">
        <v>121</v>
      </c>
      <c r="J99" s="31">
        <f>Migrationsartikel!B97</f>
        <v>847</v>
      </c>
      <c r="L99" t="str">
        <f>Migrationsartikel!F97&amp;" "&amp;Migrationsartikel!G97&amp;" "&amp;Migrationsartikel!H97</f>
        <v>Doppel-Rahm aus der Region 200ml</v>
      </c>
      <c r="M99" t="str">
        <f>Migrationsartikel!J97&amp;" "&amp;Migrationsartikel!K97&amp;" "&amp;Migrationsartikel!L97</f>
        <v>Double crème de la région 200ml</v>
      </c>
      <c r="N99" t="str">
        <f>Migrationsartikel!N97&amp;" "&amp;Migrationsartikel!O97&amp;" "&amp;Migrationsartikel!P97</f>
        <v>Panna doppia della regione 200ml</v>
      </c>
      <c r="O99" t="str">
        <f>Migrationsartikel!F97</f>
        <v>Doppel-Rahm</v>
      </c>
      <c r="P99" t="str">
        <f>Migrationsartikel!J97</f>
        <v>Double crème</v>
      </c>
      <c r="Q99" t="str">
        <f>Migrationsartikel!N97</f>
        <v>Panna doppia</v>
      </c>
      <c r="R99" t="str">
        <f>Migrationsartikel!G97</f>
        <v>aus der Region</v>
      </c>
      <c r="S99" t="str">
        <f>Migrationsartikel!K97</f>
        <v>de la région</v>
      </c>
      <c r="T99" t="str">
        <f>Migrationsartikel!O97</f>
        <v>della regione</v>
      </c>
      <c r="U99" s="31" t="str">
        <f>Migrationsartikel!H97</f>
        <v>200ml</v>
      </c>
      <c r="V99" s="31" t="str">
        <f>Migrationsartikel!L97</f>
        <v>200ml</v>
      </c>
      <c r="W99" s="31" t="str">
        <f>Migrationsartikel!P97</f>
        <v>200ml</v>
      </c>
      <c r="X99" t="str">
        <f>Migrationsartikel!I97</f>
        <v>Doppel-Rahm 200ml</v>
      </c>
      <c r="Y99" t="str">
        <f>Migrationsartikel!M97</f>
        <v>Double crème 200ml</v>
      </c>
      <c r="Z99" t="str">
        <f>Migrationsartikel!Q97</f>
        <v>Panna 200ml</v>
      </c>
      <c r="AA99" s="45">
        <f>Migrationsartikel!R97</f>
        <v>0.2</v>
      </c>
      <c r="AB99" s="46" t="str">
        <f>Migrationsartikel!T97</f>
        <v>Milliliter</v>
      </c>
      <c r="AC99">
        <f>Migrationsartikel!S97</f>
        <v>100</v>
      </c>
      <c r="AD99" t="str">
        <f>Migrationsartikel!U97</f>
        <v>(PCE) Stück</v>
      </c>
      <c r="AE99" s="31" t="s">
        <v>179</v>
      </c>
      <c r="AF99" s="31" t="s">
        <v>192</v>
      </c>
      <c r="AG99" t="str">
        <f>IF(Migrationsartikel!AB97="ja","true",FALSE)</f>
        <v>true</v>
      </c>
      <c r="AH99" t="str">
        <f>IF(Migrationsartikel!AC97="ja","true",FALSE)</f>
        <v>true</v>
      </c>
      <c r="AI99" t="str">
        <f>IF(Migrationsartikel!AD97="ja","true",FALSE)</f>
        <v>true</v>
      </c>
      <c r="AJ99" t="str">
        <f>IF(Migrationsartikel!AE97="ja","true",FALSE)</f>
        <v>true</v>
      </c>
      <c r="AK99" t="str">
        <f>IF(Migrationsartikel!AF97="ja","Denner Partner","")</f>
        <v/>
      </c>
      <c r="AL99" t="str">
        <f>IF(Migrationsartikel!AG97="ja","true","false")</f>
        <v>false</v>
      </c>
      <c r="AM99" t="str">
        <f t="shared" si="1"/>
        <v>PLU</v>
      </c>
      <c r="AN99" s="31" t="s">
        <v>219</v>
      </c>
      <c r="AO99" s="31" t="s">
        <v>217</v>
      </c>
    </row>
    <row r="100" spans="2:41" ht="21.75" customHeight="1" x14ac:dyDescent="0.45">
      <c r="B100" t="s">
        <v>99</v>
      </c>
      <c r="E100" s="31" t="s">
        <v>1510</v>
      </c>
      <c r="F100" t="str">
        <f>"Warengruppe&gt;&gt;"&amp;Migrationsartikel!V98&amp;"&gt;&gt;"&amp;Migrationsartikel!W98&amp;"&gt;&gt;"&amp;Migrationsartikel!X98</f>
        <v>Warengruppe&gt;&gt;Frische&gt;&gt;Molkereiprodukte &amp; Eier &gt;&gt;Milchprodukte</v>
      </c>
      <c r="H100" s="31" t="s">
        <v>109</v>
      </c>
      <c r="I100" s="31" t="s">
        <v>121</v>
      </c>
      <c r="J100" s="31">
        <f>Migrationsartikel!B98</f>
        <v>848</v>
      </c>
      <c r="L100" t="str">
        <f>Migrationsartikel!F98&amp;" "&amp;Migrationsartikel!G98&amp;" "&amp;Migrationsartikel!H98</f>
        <v>Doppel-Rahm aus der Region 250ml</v>
      </c>
      <c r="M100" t="str">
        <f>Migrationsartikel!J98&amp;" "&amp;Migrationsartikel!K98&amp;" "&amp;Migrationsartikel!L98</f>
        <v>Double crème de la région 250ml</v>
      </c>
      <c r="N100" t="str">
        <f>Migrationsartikel!N98&amp;" "&amp;Migrationsartikel!O98&amp;" "&amp;Migrationsartikel!P98</f>
        <v>Panna doppia della regione 250ml</v>
      </c>
      <c r="O100" t="str">
        <f>Migrationsartikel!F98</f>
        <v>Doppel-Rahm</v>
      </c>
      <c r="P100" t="str">
        <f>Migrationsartikel!J98</f>
        <v>Double crème</v>
      </c>
      <c r="Q100" t="str">
        <f>Migrationsartikel!N98</f>
        <v>Panna doppia</v>
      </c>
      <c r="R100" t="str">
        <f>Migrationsartikel!G98</f>
        <v>aus der Region</v>
      </c>
      <c r="S100" t="str">
        <f>Migrationsartikel!K98</f>
        <v>de la région</v>
      </c>
      <c r="T100" t="str">
        <f>Migrationsartikel!O98</f>
        <v>della regione</v>
      </c>
      <c r="U100" s="31" t="str">
        <f>Migrationsartikel!H98</f>
        <v>250ml</v>
      </c>
      <c r="V100" s="31" t="str">
        <f>Migrationsartikel!L98</f>
        <v>250ml</v>
      </c>
      <c r="W100" s="31" t="str">
        <f>Migrationsartikel!P98</f>
        <v>250ml</v>
      </c>
      <c r="X100" t="str">
        <f>Migrationsartikel!I98</f>
        <v>Doppel-Rahm 250ml</v>
      </c>
      <c r="Y100" t="str">
        <f>Migrationsartikel!M98</f>
        <v>Double crème 250ml</v>
      </c>
      <c r="Z100" t="str">
        <f>Migrationsartikel!Q98</f>
        <v>Panna 250ml</v>
      </c>
      <c r="AA100" s="45">
        <f>Migrationsartikel!R98</f>
        <v>0.25</v>
      </c>
      <c r="AB100" s="46" t="str">
        <f>Migrationsartikel!T98</f>
        <v>Milliliter</v>
      </c>
      <c r="AC100">
        <f>Migrationsartikel!S98</f>
        <v>100</v>
      </c>
      <c r="AD100" t="str">
        <f>Migrationsartikel!U98</f>
        <v>(PCE) Stück</v>
      </c>
      <c r="AE100" s="31" t="s">
        <v>179</v>
      </c>
      <c r="AF100" s="31" t="s">
        <v>192</v>
      </c>
      <c r="AG100" t="str">
        <f>IF(Migrationsartikel!AB98="ja","true",FALSE)</f>
        <v>true</v>
      </c>
      <c r="AH100" t="str">
        <f>IF(Migrationsartikel!AC98="ja","true",FALSE)</f>
        <v>true</v>
      </c>
      <c r="AI100" t="str">
        <f>IF(Migrationsartikel!AD98="ja","true",FALSE)</f>
        <v>true</v>
      </c>
      <c r="AJ100" t="str">
        <f>IF(Migrationsartikel!AE98="ja","true",FALSE)</f>
        <v>true</v>
      </c>
      <c r="AK100" t="str">
        <f>IF(Migrationsartikel!AF98="ja","Denner Partner","")</f>
        <v/>
      </c>
      <c r="AL100" t="str">
        <f>IF(Migrationsartikel!AG98="ja","true","false")</f>
        <v>false</v>
      </c>
      <c r="AM100" t="str">
        <f t="shared" si="1"/>
        <v>PLU</v>
      </c>
      <c r="AN100" s="31" t="s">
        <v>219</v>
      </c>
      <c r="AO100" s="31" t="s">
        <v>217</v>
      </c>
    </row>
    <row r="101" spans="2:41" ht="21.75" customHeight="1" x14ac:dyDescent="0.45">
      <c r="B101" t="s">
        <v>99</v>
      </c>
      <c r="E101" s="31" t="s">
        <v>1511</v>
      </c>
      <c r="F101" t="str">
        <f>"Warengruppe&gt;&gt;"&amp;Migrationsartikel!V99&amp;"&gt;&gt;"&amp;Migrationsartikel!W99&amp;"&gt;&gt;"&amp;Migrationsartikel!X99</f>
        <v>Warengruppe&gt;&gt;Frische&gt;&gt;Molkereiprodukte &amp; Eier &gt;&gt;Milchprodukte</v>
      </c>
      <c r="H101" s="31" t="s">
        <v>109</v>
      </c>
      <c r="I101" s="31" t="s">
        <v>121</v>
      </c>
      <c r="J101" s="31">
        <f>Migrationsartikel!B99</f>
        <v>849</v>
      </c>
      <c r="L101" t="str">
        <f>Migrationsartikel!F99&amp;" "&amp;Migrationsartikel!G99&amp;" "&amp;Migrationsartikel!H99</f>
        <v>Jogurt aus der Region 130g</v>
      </c>
      <c r="M101" t="str">
        <f>Migrationsartikel!J99&amp;" "&amp;Migrationsartikel!K99&amp;" "&amp;Migrationsartikel!L99</f>
        <v>Yogourt de la région 130g</v>
      </c>
      <c r="N101" t="str">
        <f>Migrationsartikel!N99&amp;" "&amp;Migrationsartikel!O99&amp;" "&amp;Migrationsartikel!P99</f>
        <v>Yogourt della regione 130g</v>
      </c>
      <c r="O101" t="str">
        <f>Migrationsartikel!F99</f>
        <v>Jogurt</v>
      </c>
      <c r="P101" t="str">
        <f>Migrationsartikel!J99</f>
        <v>Yogourt</v>
      </c>
      <c r="Q101" t="str">
        <f>Migrationsartikel!N99</f>
        <v>Yogourt</v>
      </c>
      <c r="R101" t="str">
        <f>Migrationsartikel!G99</f>
        <v>aus der Region</v>
      </c>
      <c r="S101" t="str">
        <f>Migrationsartikel!K99</f>
        <v>de la région</v>
      </c>
      <c r="T101" t="str">
        <f>Migrationsartikel!O99</f>
        <v>della regione</v>
      </c>
      <c r="U101" s="31" t="str">
        <f>Migrationsartikel!H99</f>
        <v>130g</v>
      </c>
      <c r="V101" s="31" t="str">
        <f>Migrationsartikel!L99</f>
        <v>130g</v>
      </c>
      <c r="W101" s="31" t="str">
        <f>Migrationsartikel!P99</f>
        <v>130g</v>
      </c>
      <c r="X101" t="str">
        <f>Migrationsartikel!I99</f>
        <v>Jogurt 130g</v>
      </c>
      <c r="Y101" t="str">
        <f>Migrationsartikel!M99</f>
        <v>Yogourt 130g</v>
      </c>
      <c r="Z101" t="str">
        <f>Migrationsartikel!Q99</f>
        <v>Yogourt 130g</v>
      </c>
      <c r="AA101" s="45">
        <f>Migrationsartikel!R99</f>
        <v>0.13</v>
      </c>
      <c r="AB101" s="46" t="str">
        <f>Migrationsartikel!T99</f>
        <v>Gramm</v>
      </c>
      <c r="AC101">
        <f>Migrationsartikel!S99</f>
        <v>100</v>
      </c>
      <c r="AD101" t="str">
        <f>Migrationsartikel!U99</f>
        <v>(PCE) Stück</v>
      </c>
      <c r="AE101" s="31" t="s">
        <v>179</v>
      </c>
      <c r="AF101" s="31" t="s">
        <v>192</v>
      </c>
      <c r="AG101" t="str">
        <f>IF(Migrationsartikel!AB99="ja","true",FALSE)</f>
        <v>true</v>
      </c>
      <c r="AH101" t="str">
        <f>IF(Migrationsartikel!AC99="ja","true",FALSE)</f>
        <v>true</v>
      </c>
      <c r="AI101" t="str">
        <f>IF(Migrationsartikel!AD99="ja","true",FALSE)</f>
        <v>true</v>
      </c>
      <c r="AJ101" t="str">
        <f>IF(Migrationsartikel!AE99="ja","true",FALSE)</f>
        <v>true</v>
      </c>
      <c r="AK101" t="str">
        <f>IF(Migrationsartikel!AF99="ja","Denner Partner","")</f>
        <v/>
      </c>
      <c r="AL101" t="str">
        <f>IF(Migrationsartikel!AG99="ja","true","false")</f>
        <v>false</v>
      </c>
      <c r="AM101" t="str">
        <f t="shared" si="1"/>
        <v>PLU</v>
      </c>
      <c r="AN101" s="31" t="s">
        <v>219</v>
      </c>
      <c r="AO101" s="31" t="s">
        <v>217</v>
      </c>
    </row>
    <row r="102" spans="2:41" ht="21.75" customHeight="1" x14ac:dyDescent="0.45">
      <c r="B102" t="s">
        <v>99</v>
      </c>
      <c r="E102" s="31" t="s">
        <v>1512</v>
      </c>
      <c r="F102" t="str">
        <f>"Warengruppe&gt;&gt;"&amp;Migrationsartikel!V100&amp;"&gt;&gt;"&amp;Migrationsartikel!W100&amp;"&gt;&gt;"&amp;Migrationsartikel!X100</f>
        <v>Warengruppe&gt;&gt;Frische&gt;&gt;Molkereiprodukte &amp; Eier &gt;&gt;Milchprodukte</v>
      </c>
      <c r="H102" s="31" t="s">
        <v>109</v>
      </c>
      <c r="I102" s="31" t="s">
        <v>121</v>
      </c>
      <c r="J102" s="31">
        <f>Migrationsartikel!B100</f>
        <v>850</v>
      </c>
      <c r="L102" t="str">
        <f>Migrationsartikel!F100&amp;" "&amp;Migrationsartikel!G100&amp;" "&amp;Migrationsartikel!H100</f>
        <v>Jogurt aus der Region 150g</v>
      </c>
      <c r="M102" t="str">
        <f>Migrationsartikel!J100&amp;" "&amp;Migrationsartikel!K100&amp;" "&amp;Migrationsartikel!L100</f>
        <v>Yogourt de la région 150g</v>
      </c>
      <c r="N102" t="str">
        <f>Migrationsartikel!N100&amp;" "&amp;Migrationsartikel!O100&amp;" "&amp;Migrationsartikel!P100</f>
        <v>Yogourt della regione 150g</v>
      </c>
      <c r="O102" t="str">
        <f>Migrationsartikel!F100</f>
        <v>Jogurt</v>
      </c>
      <c r="P102" t="str">
        <f>Migrationsartikel!J100</f>
        <v>Yogourt</v>
      </c>
      <c r="Q102" t="str">
        <f>Migrationsartikel!N100</f>
        <v>Yogourt</v>
      </c>
      <c r="R102" t="str">
        <f>Migrationsartikel!G100</f>
        <v>aus der Region</v>
      </c>
      <c r="S102" t="str">
        <f>Migrationsartikel!K100</f>
        <v>de la région</v>
      </c>
      <c r="T102" t="str">
        <f>Migrationsartikel!O100</f>
        <v>della regione</v>
      </c>
      <c r="U102" s="31" t="str">
        <f>Migrationsartikel!H100</f>
        <v>150g</v>
      </c>
      <c r="V102" s="31" t="str">
        <f>Migrationsartikel!L100</f>
        <v>150g</v>
      </c>
      <c r="W102" s="31" t="str">
        <f>Migrationsartikel!P100</f>
        <v>150g</v>
      </c>
      <c r="X102" t="str">
        <f>Migrationsartikel!I100</f>
        <v>Jogurt 150g</v>
      </c>
      <c r="Y102" t="str">
        <f>Migrationsartikel!M100</f>
        <v>Yogourt 150g</v>
      </c>
      <c r="Z102" t="str">
        <f>Migrationsartikel!Q100</f>
        <v>Yogourt 150g</v>
      </c>
      <c r="AA102" s="45">
        <f>Migrationsartikel!R100</f>
        <v>0.15</v>
      </c>
      <c r="AB102" s="46" t="str">
        <f>Migrationsartikel!T100</f>
        <v>Gramm</v>
      </c>
      <c r="AC102">
        <f>Migrationsartikel!S100</f>
        <v>100</v>
      </c>
      <c r="AD102" t="str">
        <f>Migrationsartikel!U100</f>
        <v>(PCE) Stück</v>
      </c>
      <c r="AE102" s="31" t="s">
        <v>179</v>
      </c>
      <c r="AF102" s="31" t="s">
        <v>192</v>
      </c>
      <c r="AG102" t="str">
        <f>IF(Migrationsartikel!AB100="ja","true",FALSE)</f>
        <v>true</v>
      </c>
      <c r="AH102" t="str">
        <f>IF(Migrationsartikel!AC100="ja","true",FALSE)</f>
        <v>true</v>
      </c>
      <c r="AI102" t="str">
        <f>IF(Migrationsartikel!AD100="ja","true",FALSE)</f>
        <v>true</v>
      </c>
      <c r="AJ102" t="str">
        <f>IF(Migrationsartikel!AE100="ja","true",FALSE)</f>
        <v>true</v>
      </c>
      <c r="AK102" t="str">
        <f>IF(Migrationsartikel!AF100="ja","Denner Partner","")</f>
        <v/>
      </c>
      <c r="AL102" t="str">
        <f>IF(Migrationsartikel!AG100="ja","true","false")</f>
        <v>false</v>
      </c>
      <c r="AM102" t="str">
        <f t="shared" si="1"/>
        <v>PLU</v>
      </c>
      <c r="AN102" s="31" t="s">
        <v>219</v>
      </c>
      <c r="AO102" s="31" t="s">
        <v>217</v>
      </c>
    </row>
    <row r="103" spans="2:41" ht="21.75" customHeight="1" x14ac:dyDescent="0.45">
      <c r="B103" t="s">
        <v>99</v>
      </c>
      <c r="E103" s="31" t="s">
        <v>1513</v>
      </c>
      <c r="F103" t="str">
        <f>"Warengruppe&gt;&gt;"&amp;Migrationsartikel!V101&amp;"&gt;&gt;"&amp;Migrationsartikel!W101&amp;"&gt;&gt;"&amp;Migrationsartikel!X101</f>
        <v>Warengruppe&gt;&gt;Frische&gt;&gt;Molkereiprodukte &amp; Eier &gt;&gt;Milchprodukte</v>
      </c>
      <c r="H103" s="31" t="s">
        <v>109</v>
      </c>
      <c r="I103" s="31" t="s">
        <v>121</v>
      </c>
      <c r="J103" s="31">
        <f>Migrationsartikel!B101</f>
        <v>851</v>
      </c>
      <c r="L103" t="str">
        <f>Migrationsartikel!F101&amp;" "&amp;Migrationsartikel!G101&amp;" "&amp;Migrationsartikel!H101</f>
        <v>Jogurt aus der Region 180g</v>
      </c>
      <c r="M103" t="str">
        <f>Migrationsartikel!J101&amp;" "&amp;Migrationsartikel!K101&amp;" "&amp;Migrationsartikel!L101</f>
        <v>Yogourt de la région 180g</v>
      </c>
      <c r="N103" t="str">
        <f>Migrationsartikel!N101&amp;" "&amp;Migrationsartikel!O101&amp;" "&amp;Migrationsartikel!P101</f>
        <v>Yogourt della regione 180g</v>
      </c>
      <c r="O103" t="str">
        <f>Migrationsartikel!F101</f>
        <v>Jogurt</v>
      </c>
      <c r="P103" t="str">
        <f>Migrationsartikel!J101</f>
        <v>Yogourt</v>
      </c>
      <c r="Q103" t="str">
        <f>Migrationsartikel!N101</f>
        <v>Yogourt</v>
      </c>
      <c r="R103" t="str">
        <f>Migrationsartikel!G101</f>
        <v>aus der Region</v>
      </c>
      <c r="S103" t="str">
        <f>Migrationsartikel!K101</f>
        <v>de la région</v>
      </c>
      <c r="T103" t="str">
        <f>Migrationsartikel!O101</f>
        <v>della regione</v>
      </c>
      <c r="U103" s="31" t="str">
        <f>Migrationsartikel!H101</f>
        <v>180g</v>
      </c>
      <c r="V103" s="31" t="str">
        <f>Migrationsartikel!L101</f>
        <v>180g</v>
      </c>
      <c r="W103" s="31" t="str">
        <f>Migrationsartikel!P101</f>
        <v>180g</v>
      </c>
      <c r="X103" t="str">
        <f>Migrationsartikel!I101</f>
        <v>Jogurt 180g</v>
      </c>
      <c r="Y103" t="str">
        <f>Migrationsartikel!M101</f>
        <v>Yogourt 180g</v>
      </c>
      <c r="Z103" t="str">
        <f>Migrationsartikel!Q101</f>
        <v>Yogourt 180g</v>
      </c>
      <c r="AA103" s="45">
        <f>Migrationsartikel!R101</f>
        <v>0.18</v>
      </c>
      <c r="AB103" s="46" t="str">
        <f>Migrationsartikel!T101</f>
        <v>Gramm</v>
      </c>
      <c r="AC103">
        <f>Migrationsartikel!S101</f>
        <v>100</v>
      </c>
      <c r="AD103" t="str">
        <f>Migrationsartikel!U101</f>
        <v>(PCE) Stück</v>
      </c>
      <c r="AE103" s="31" t="s">
        <v>179</v>
      </c>
      <c r="AF103" s="31" t="s">
        <v>192</v>
      </c>
      <c r="AG103" t="str">
        <f>IF(Migrationsartikel!AB101="ja","true",FALSE)</f>
        <v>true</v>
      </c>
      <c r="AH103" t="str">
        <f>IF(Migrationsartikel!AC101="ja","true",FALSE)</f>
        <v>true</v>
      </c>
      <c r="AI103" t="str">
        <f>IF(Migrationsartikel!AD101="ja","true",FALSE)</f>
        <v>true</v>
      </c>
      <c r="AJ103" t="str">
        <f>IF(Migrationsartikel!AE101="ja","true",FALSE)</f>
        <v>true</v>
      </c>
      <c r="AK103" t="str">
        <f>IF(Migrationsartikel!AF101="ja","Denner Partner","")</f>
        <v/>
      </c>
      <c r="AL103" t="str">
        <f>IF(Migrationsartikel!AG101="ja","true","false")</f>
        <v>false</v>
      </c>
      <c r="AM103" t="str">
        <f t="shared" si="1"/>
        <v>PLU</v>
      </c>
      <c r="AN103" s="31" t="s">
        <v>219</v>
      </c>
      <c r="AO103" s="31" t="s">
        <v>217</v>
      </c>
    </row>
    <row r="104" spans="2:41" ht="21.75" customHeight="1" x14ac:dyDescent="0.45">
      <c r="B104" t="s">
        <v>99</v>
      </c>
      <c r="E104" s="31" t="s">
        <v>1514</v>
      </c>
      <c r="F104" t="str">
        <f>"Warengruppe&gt;&gt;"&amp;Migrationsartikel!V102&amp;"&gt;&gt;"&amp;Migrationsartikel!W102&amp;"&gt;&gt;"&amp;Migrationsartikel!X102</f>
        <v>Warengruppe&gt;&gt;Frische&gt;&gt;Molkereiprodukte &amp; Eier &gt;&gt;Milchprodukte</v>
      </c>
      <c r="H104" s="31" t="s">
        <v>109</v>
      </c>
      <c r="I104" s="31" t="s">
        <v>121</v>
      </c>
      <c r="J104" s="31">
        <f>Migrationsartikel!B102</f>
        <v>852</v>
      </c>
      <c r="L104" t="str">
        <f>Migrationsartikel!F102&amp;" "&amp;Migrationsartikel!G102&amp;" "&amp;Migrationsartikel!H102</f>
        <v>Jogurt aus der Region 200g</v>
      </c>
      <c r="M104" t="str">
        <f>Migrationsartikel!J102&amp;" "&amp;Migrationsartikel!K102&amp;" "&amp;Migrationsartikel!L102</f>
        <v>Yogourt de la région 200g</v>
      </c>
      <c r="N104" t="str">
        <f>Migrationsartikel!N102&amp;" "&amp;Migrationsartikel!O102&amp;" "&amp;Migrationsartikel!P102</f>
        <v>Yogourt della regione 200g</v>
      </c>
      <c r="O104" t="str">
        <f>Migrationsartikel!F102</f>
        <v>Jogurt</v>
      </c>
      <c r="P104" t="str">
        <f>Migrationsartikel!J102</f>
        <v>Yogourt</v>
      </c>
      <c r="Q104" t="str">
        <f>Migrationsartikel!N102</f>
        <v>Yogourt</v>
      </c>
      <c r="R104" t="str">
        <f>Migrationsartikel!G102</f>
        <v>aus der Region</v>
      </c>
      <c r="S104" t="str">
        <f>Migrationsartikel!K102</f>
        <v>de la région</v>
      </c>
      <c r="T104" t="str">
        <f>Migrationsartikel!O102</f>
        <v>della regione</v>
      </c>
      <c r="U104" s="31" t="str">
        <f>Migrationsartikel!H102</f>
        <v>200g</v>
      </c>
      <c r="V104" s="31" t="str">
        <f>Migrationsartikel!L102</f>
        <v>200g</v>
      </c>
      <c r="W104" s="31" t="str">
        <f>Migrationsartikel!P102</f>
        <v>200g</v>
      </c>
      <c r="X104" t="str">
        <f>Migrationsartikel!I102</f>
        <v>Jogurt 200g</v>
      </c>
      <c r="Y104" t="str">
        <f>Migrationsartikel!M102</f>
        <v>Yogourt 200g</v>
      </c>
      <c r="Z104" t="str">
        <f>Migrationsartikel!Q102</f>
        <v>Yogourt 200g</v>
      </c>
      <c r="AA104" s="45">
        <f>Migrationsartikel!R102</f>
        <v>0.2</v>
      </c>
      <c r="AB104" s="46" t="str">
        <f>Migrationsartikel!T102</f>
        <v>Gramm</v>
      </c>
      <c r="AC104">
        <f>Migrationsartikel!S102</f>
        <v>100</v>
      </c>
      <c r="AD104" t="str">
        <f>Migrationsartikel!U102</f>
        <v>(PCE) Stück</v>
      </c>
      <c r="AE104" s="31" t="s">
        <v>179</v>
      </c>
      <c r="AF104" s="31" t="s">
        <v>192</v>
      </c>
      <c r="AG104" t="str">
        <f>IF(Migrationsartikel!AB102="ja","true",FALSE)</f>
        <v>true</v>
      </c>
      <c r="AH104" t="str">
        <f>IF(Migrationsartikel!AC102="ja","true",FALSE)</f>
        <v>true</v>
      </c>
      <c r="AI104" t="str">
        <f>IF(Migrationsartikel!AD102="ja","true",FALSE)</f>
        <v>true</v>
      </c>
      <c r="AJ104" t="str">
        <f>IF(Migrationsartikel!AE102="ja","true",FALSE)</f>
        <v>true</v>
      </c>
      <c r="AK104" t="str">
        <f>IF(Migrationsartikel!AF102="ja","Denner Partner","")</f>
        <v/>
      </c>
      <c r="AL104" t="str">
        <f>IF(Migrationsartikel!AG102="ja","true","false")</f>
        <v>false</v>
      </c>
      <c r="AM104" t="str">
        <f t="shared" si="1"/>
        <v>PLU</v>
      </c>
      <c r="AN104" s="31" t="s">
        <v>219</v>
      </c>
      <c r="AO104" s="31" t="s">
        <v>217</v>
      </c>
    </row>
    <row r="105" spans="2:41" ht="21.75" customHeight="1" x14ac:dyDescent="0.45">
      <c r="B105" t="s">
        <v>99</v>
      </c>
      <c r="E105" s="31" t="s">
        <v>1515</v>
      </c>
      <c r="F105" t="str">
        <f>"Warengruppe&gt;&gt;"&amp;Migrationsartikel!V103&amp;"&gt;&gt;"&amp;Migrationsartikel!W103&amp;"&gt;&gt;"&amp;Migrationsartikel!X103</f>
        <v>Warengruppe&gt;&gt;Frische&gt;&gt;Molkereiprodukte &amp; Eier &gt;&gt;Milchprodukte</v>
      </c>
      <c r="H105" s="31" t="s">
        <v>109</v>
      </c>
      <c r="I105" s="31" t="s">
        <v>121</v>
      </c>
      <c r="J105" s="31">
        <f>Migrationsartikel!B103</f>
        <v>853</v>
      </c>
      <c r="L105" t="str">
        <f>Migrationsartikel!F103&amp;" "&amp;Migrationsartikel!G103&amp;" "&amp;Migrationsartikel!H103</f>
        <v>Jogurt aus der Region 250g</v>
      </c>
      <c r="M105" t="str">
        <f>Migrationsartikel!J103&amp;" "&amp;Migrationsartikel!K103&amp;" "&amp;Migrationsartikel!L103</f>
        <v>Yogourt de la région 250g</v>
      </c>
      <c r="N105" t="str">
        <f>Migrationsartikel!N103&amp;" "&amp;Migrationsartikel!O103&amp;" "&amp;Migrationsartikel!P103</f>
        <v>Yogourt della regione 250g</v>
      </c>
      <c r="O105" t="str">
        <f>Migrationsartikel!F103</f>
        <v>Jogurt</v>
      </c>
      <c r="P105" t="str">
        <f>Migrationsartikel!J103</f>
        <v>Yogourt</v>
      </c>
      <c r="Q105" t="str">
        <f>Migrationsartikel!N103</f>
        <v>Yogourt</v>
      </c>
      <c r="R105" t="str">
        <f>Migrationsartikel!G103</f>
        <v>aus der Region</v>
      </c>
      <c r="S105" t="str">
        <f>Migrationsartikel!K103</f>
        <v>de la région</v>
      </c>
      <c r="T105" t="str">
        <f>Migrationsartikel!O103</f>
        <v>della regione</v>
      </c>
      <c r="U105" s="31" t="str">
        <f>Migrationsartikel!H103</f>
        <v>250g</v>
      </c>
      <c r="V105" s="31" t="str">
        <f>Migrationsartikel!L103</f>
        <v>250g</v>
      </c>
      <c r="W105" s="31" t="str">
        <f>Migrationsartikel!P103</f>
        <v>250g</v>
      </c>
      <c r="X105" t="str">
        <f>Migrationsartikel!I103</f>
        <v>Jogurt 250g</v>
      </c>
      <c r="Y105" t="str">
        <f>Migrationsartikel!M103</f>
        <v>Yogourt 250g</v>
      </c>
      <c r="Z105" t="str">
        <f>Migrationsartikel!Q103</f>
        <v>Yogourt 250g</v>
      </c>
      <c r="AA105" s="45">
        <f>Migrationsartikel!R103</f>
        <v>0.25</v>
      </c>
      <c r="AB105" s="46" t="str">
        <f>Migrationsartikel!T103</f>
        <v>Gramm</v>
      </c>
      <c r="AC105">
        <f>Migrationsartikel!S103</f>
        <v>100</v>
      </c>
      <c r="AD105" t="str">
        <f>Migrationsartikel!U103</f>
        <v>(PCE) Stück</v>
      </c>
      <c r="AE105" s="31" t="s">
        <v>179</v>
      </c>
      <c r="AF105" s="31" t="s">
        <v>192</v>
      </c>
      <c r="AG105" t="str">
        <f>IF(Migrationsartikel!AB103="ja","true",FALSE)</f>
        <v>true</v>
      </c>
      <c r="AH105" t="str">
        <f>IF(Migrationsartikel!AC103="ja","true",FALSE)</f>
        <v>true</v>
      </c>
      <c r="AI105" t="str">
        <f>IF(Migrationsartikel!AD103="ja","true",FALSE)</f>
        <v>true</v>
      </c>
      <c r="AJ105" t="str">
        <f>IF(Migrationsartikel!AE103="ja","true",FALSE)</f>
        <v>true</v>
      </c>
      <c r="AK105" t="str">
        <f>IF(Migrationsartikel!AF103="ja","Denner Partner","")</f>
        <v/>
      </c>
      <c r="AL105" t="str">
        <f>IF(Migrationsartikel!AG103="ja","true","false")</f>
        <v>false</v>
      </c>
      <c r="AM105" t="str">
        <f t="shared" si="1"/>
        <v>PLU</v>
      </c>
      <c r="AN105" s="31" t="s">
        <v>219</v>
      </c>
      <c r="AO105" s="31" t="s">
        <v>217</v>
      </c>
    </row>
    <row r="106" spans="2:41" ht="21.75" customHeight="1" x14ac:dyDescent="0.45">
      <c r="B106" t="s">
        <v>99</v>
      </c>
      <c r="E106" s="31" t="s">
        <v>1516</v>
      </c>
      <c r="F106" t="str">
        <f>"Warengruppe&gt;&gt;"&amp;Migrationsartikel!V104&amp;"&gt;&gt;"&amp;Migrationsartikel!W104&amp;"&gt;&gt;"&amp;Migrationsartikel!X104</f>
        <v>Warengruppe&gt;&gt;Frische&gt;&gt;Molkereiprodukte &amp; Eier &gt;&gt;Milchprodukte</v>
      </c>
      <c r="H106" s="31" t="s">
        <v>109</v>
      </c>
      <c r="I106" s="31" t="s">
        <v>121</v>
      </c>
      <c r="J106" s="31">
        <f>Migrationsartikel!B104</f>
        <v>854</v>
      </c>
      <c r="L106" t="str">
        <f>Migrationsartikel!F104&amp;" "&amp;Migrationsartikel!G104&amp;" "&amp;Migrationsartikel!H104</f>
        <v>Jogurt aus der Region 400g</v>
      </c>
      <c r="M106" t="str">
        <f>Migrationsartikel!J104&amp;" "&amp;Migrationsartikel!K104&amp;" "&amp;Migrationsartikel!L104</f>
        <v>Yogourt de la région 400g</v>
      </c>
      <c r="N106" t="str">
        <f>Migrationsartikel!N104&amp;" "&amp;Migrationsartikel!O104&amp;" "&amp;Migrationsartikel!P104</f>
        <v>Yogourt della regione 400g</v>
      </c>
      <c r="O106" t="str">
        <f>Migrationsartikel!F104</f>
        <v>Jogurt</v>
      </c>
      <c r="P106" t="str">
        <f>Migrationsartikel!J104</f>
        <v>Yogourt</v>
      </c>
      <c r="Q106" t="str">
        <f>Migrationsartikel!N104</f>
        <v>Yogourt</v>
      </c>
      <c r="R106" t="str">
        <f>Migrationsartikel!G104</f>
        <v>aus der Region</v>
      </c>
      <c r="S106" t="str">
        <f>Migrationsartikel!K104</f>
        <v>de la région</v>
      </c>
      <c r="T106" t="str">
        <f>Migrationsartikel!O104</f>
        <v>della regione</v>
      </c>
      <c r="U106" s="31" t="str">
        <f>Migrationsartikel!H104</f>
        <v>400g</v>
      </c>
      <c r="V106" s="31" t="str">
        <f>Migrationsartikel!L104</f>
        <v>400g</v>
      </c>
      <c r="W106" s="31" t="str">
        <f>Migrationsartikel!P104</f>
        <v>400g</v>
      </c>
      <c r="X106" t="str">
        <f>Migrationsartikel!I104</f>
        <v>Jogurt 400g</v>
      </c>
      <c r="Y106" t="str">
        <f>Migrationsartikel!M104</f>
        <v>Yogourt 400g</v>
      </c>
      <c r="Z106" t="str">
        <f>Migrationsartikel!Q104</f>
        <v>Yogourt 400g</v>
      </c>
      <c r="AA106" s="45">
        <f>Migrationsartikel!R104</f>
        <v>0.4</v>
      </c>
      <c r="AB106" s="46" t="str">
        <f>Migrationsartikel!T104</f>
        <v>Gramm</v>
      </c>
      <c r="AC106">
        <f>Migrationsartikel!S104</f>
        <v>100</v>
      </c>
      <c r="AD106" t="str">
        <f>Migrationsartikel!U104</f>
        <v>(PCE) Stück</v>
      </c>
      <c r="AE106" s="31" t="s">
        <v>179</v>
      </c>
      <c r="AF106" s="31" t="s">
        <v>192</v>
      </c>
      <c r="AG106" t="str">
        <f>IF(Migrationsartikel!AB104="ja","true",FALSE)</f>
        <v>true</v>
      </c>
      <c r="AH106" t="str">
        <f>IF(Migrationsartikel!AC104="ja","true",FALSE)</f>
        <v>true</v>
      </c>
      <c r="AI106" t="str">
        <f>IF(Migrationsartikel!AD104="ja","true",FALSE)</f>
        <v>true</v>
      </c>
      <c r="AJ106" t="str">
        <f>IF(Migrationsartikel!AE104="ja","true",FALSE)</f>
        <v>true</v>
      </c>
      <c r="AK106" t="str">
        <f>IF(Migrationsartikel!AF104="ja","Denner Partner","")</f>
        <v/>
      </c>
      <c r="AL106" t="str">
        <f>IF(Migrationsartikel!AG104="ja","true","false")</f>
        <v>false</v>
      </c>
      <c r="AM106" t="str">
        <f t="shared" si="1"/>
        <v>PLU</v>
      </c>
      <c r="AN106" s="31" t="s">
        <v>219</v>
      </c>
      <c r="AO106" s="31" t="s">
        <v>217</v>
      </c>
    </row>
    <row r="107" spans="2:41" ht="21.75" customHeight="1" x14ac:dyDescent="0.45">
      <c r="B107" t="s">
        <v>99</v>
      </c>
      <c r="E107" s="31" t="s">
        <v>1517</v>
      </c>
      <c r="F107" t="str">
        <f>"Warengruppe&gt;&gt;"&amp;Migrationsartikel!V105&amp;"&gt;&gt;"&amp;Migrationsartikel!W105&amp;"&gt;&gt;"&amp;Migrationsartikel!X105</f>
        <v>Warengruppe&gt;&gt;Frische&gt;&gt;Molkereiprodukte &amp; Eier &gt;&gt;Milchprodukte</v>
      </c>
      <c r="H107" s="31" t="s">
        <v>109</v>
      </c>
      <c r="I107" s="31" t="s">
        <v>121</v>
      </c>
      <c r="J107" s="31">
        <f>Migrationsartikel!B105</f>
        <v>855</v>
      </c>
      <c r="L107" t="str">
        <f>Migrationsartikel!F105&amp;" "&amp;Migrationsartikel!G105&amp;" "&amp;Migrationsartikel!H105</f>
        <v>Jogurt aus der Region 500g</v>
      </c>
      <c r="M107" t="str">
        <f>Migrationsartikel!J105&amp;" "&amp;Migrationsartikel!K105&amp;" "&amp;Migrationsartikel!L105</f>
        <v>Yogourt de la région 500g</v>
      </c>
      <c r="N107" t="str">
        <f>Migrationsartikel!N105&amp;" "&amp;Migrationsartikel!O105&amp;" "&amp;Migrationsartikel!P105</f>
        <v>Yogourt della regione 500g</v>
      </c>
      <c r="O107" t="str">
        <f>Migrationsartikel!F105</f>
        <v>Jogurt</v>
      </c>
      <c r="P107" t="str">
        <f>Migrationsartikel!J105</f>
        <v>Yogourt</v>
      </c>
      <c r="Q107" t="str">
        <f>Migrationsartikel!N105</f>
        <v>Yogourt</v>
      </c>
      <c r="R107" t="str">
        <f>Migrationsartikel!G105</f>
        <v>aus der Region</v>
      </c>
      <c r="S107" t="str">
        <f>Migrationsartikel!K105</f>
        <v>de la région</v>
      </c>
      <c r="T107" t="str">
        <f>Migrationsartikel!O105</f>
        <v>della regione</v>
      </c>
      <c r="U107" s="31" t="str">
        <f>Migrationsartikel!H105</f>
        <v>500g</v>
      </c>
      <c r="V107" s="31" t="str">
        <f>Migrationsartikel!L105</f>
        <v>500g</v>
      </c>
      <c r="W107" s="31" t="str">
        <f>Migrationsartikel!P105</f>
        <v>500g</v>
      </c>
      <c r="X107" t="str">
        <f>Migrationsartikel!I105</f>
        <v>Jogurt 500g</v>
      </c>
      <c r="Y107" t="str">
        <f>Migrationsartikel!M105</f>
        <v>Yogourt 500g</v>
      </c>
      <c r="Z107" t="str">
        <f>Migrationsartikel!Q105</f>
        <v>Yogourt 500g</v>
      </c>
      <c r="AA107" s="45">
        <f>Migrationsartikel!R105</f>
        <v>0.5</v>
      </c>
      <c r="AB107" s="46" t="str">
        <f>Migrationsartikel!T105</f>
        <v>Gramm</v>
      </c>
      <c r="AC107">
        <f>Migrationsartikel!S105</f>
        <v>100</v>
      </c>
      <c r="AD107" t="str">
        <f>Migrationsartikel!U105</f>
        <v>(PCE) Stück</v>
      </c>
      <c r="AE107" s="31" t="s">
        <v>179</v>
      </c>
      <c r="AF107" s="31" t="s">
        <v>192</v>
      </c>
      <c r="AG107" t="str">
        <f>IF(Migrationsartikel!AB105="ja","true",FALSE)</f>
        <v>true</v>
      </c>
      <c r="AH107" t="str">
        <f>IF(Migrationsartikel!AC105="ja","true",FALSE)</f>
        <v>true</v>
      </c>
      <c r="AI107" t="str">
        <f>IF(Migrationsartikel!AD105="ja","true",FALSE)</f>
        <v>true</v>
      </c>
      <c r="AJ107" t="str">
        <f>IF(Migrationsartikel!AE105="ja","true",FALSE)</f>
        <v>true</v>
      </c>
      <c r="AK107" t="str">
        <f>IF(Migrationsartikel!AF105="ja","Denner Partner","")</f>
        <v/>
      </c>
      <c r="AL107" t="str">
        <f>IF(Migrationsartikel!AG105="ja","true","false")</f>
        <v>false</v>
      </c>
      <c r="AM107" t="str">
        <f t="shared" si="1"/>
        <v>PLU</v>
      </c>
      <c r="AN107" s="31" t="s">
        <v>219</v>
      </c>
      <c r="AO107" s="31" t="s">
        <v>217</v>
      </c>
    </row>
    <row r="108" spans="2:41" ht="21.75" customHeight="1" x14ac:dyDescent="0.45">
      <c r="B108" t="s">
        <v>99</v>
      </c>
      <c r="E108" s="31" t="s">
        <v>1518</v>
      </c>
      <c r="F108" t="str">
        <f>"Warengruppe&gt;&gt;"&amp;Migrationsartikel!V106&amp;"&gt;&gt;"&amp;Migrationsartikel!W106&amp;"&gt;&gt;"&amp;Migrationsartikel!X106</f>
        <v>Warengruppe&gt;&gt;Frische&gt;&gt;Molkereiprodukte &amp; Eier &gt;&gt;Milchprodukte</v>
      </c>
      <c r="H108" s="31" t="s">
        <v>109</v>
      </c>
      <c r="I108" s="31" t="s">
        <v>121</v>
      </c>
      <c r="J108" s="31">
        <f>Migrationsartikel!B106</f>
        <v>856</v>
      </c>
      <c r="L108" t="str">
        <f>Migrationsartikel!F106&amp;" "&amp;Migrationsartikel!G106&amp;" "&amp;Migrationsartikel!H106</f>
        <v>Kräuterbutter  aus der Region 40g</v>
      </c>
      <c r="M108" t="str">
        <f>Migrationsartikel!J106&amp;" "&amp;Migrationsartikel!K106&amp;" "&amp;Migrationsartikel!L106</f>
        <v>Beurre aux herbes de la région 40g</v>
      </c>
      <c r="N108" t="str">
        <f>Migrationsartikel!N106&amp;" "&amp;Migrationsartikel!O106&amp;" "&amp;Migrationsartikel!P106</f>
        <v>Burro alle erbe della regione 40g</v>
      </c>
      <c r="O108" t="str">
        <f>Migrationsartikel!F106</f>
        <v xml:space="preserve">Kräuterbutter </v>
      </c>
      <c r="P108" t="str">
        <f>Migrationsartikel!J106</f>
        <v>Beurre aux herbes</v>
      </c>
      <c r="Q108" t="str">
        <f>Migrationsartikel!N106</f>
        <v>Burro alle erbe</v>
      </c>
      <c r="R108" t="str">
        <f>Migrationsartikel!G106</f>
        <v>aus der Region</v>
      </c>
      <c r="S108" t="str">
        <f>Migrationsartikel!K106</f>
        <v>de la région</v>
      </c>
      <c r="T108" t="str">
        <f>Migrationsartikel!O106</f>
        <v>della regione</v>
      </c>
      <c r="U108" s="31" t="str">
        <f>Migrationsartikel!H106</f>
        <v>40g</v>
      </c>
      <c r="V108" s="31" t="str">
        <f>Migrationsartikel!L106</f>
        <v>40g</v>
      </c>
      <c r="W108" s="31" t="str">
        <f>Migrationsartikel!P106</f>
        <v>40g</v>
      </c>
      <c r="X108" t="str">
        <f>Migrationsartikel!I106</f>
        <v>Kräuterbutter 40g</v>
      </c>
      <c r="Y108" t="str">
        <f>Migrationsartikel!M106</f>
        <v>Beurre aux herbes 40g</v>
      </c>
      <c r="Z108" t="str">
        <f>Migrationsartikel!Q106</f>
        <v>Burro alle erbe 40g</v>
      </c>
      <c r="AA108" s="45">
        <f>Migrationsartikel!R106</f>
        <v>0.04</v>
      </c>
      <c r="AB108" s="46" t="str">
        <f>Migrationsartikel!T106</f>
        <v>Gramm</v>
      </c>
      <c r="AC108">
        <f>Migrationsartikel!S106</f>
        <v>100</v>
      </c>
      <c r="AD108" t="str">
        <f>Migrationsartikel!U106</f>
        <v>(PCE) Stück</v>
      </c>
      <c r="AE108" s="31" t="s">
        <v>179</v>
      </c>
      <c r="AF108" s="31" t="s">
        <v>192</v>
      </c>
      <c r="AG108" t="str">
        <f>IF(Migrationsartikel!AB106="ja","true",FALSE)</f>
        <v>true</v>
      </c>
      <c r="AH108" t="str">
        <f>IF(Migrationsartikel!AC106="ja","true",FALSE)</f>
        <v>true</v>
      </c>
      <c r="AI108" t="str">
        <f>IF(Migrationsartikel!AD106="ja","true",FALSE)</f>
        <v>true</v>
      </c>
      <c r="AJ108" t="str">
        <f>IF(Migrationsartikel!AE106="ja","true",FALSE)</f>
        <v>true</v>
      </c>
      <c r="AK108" t="str">
        <f>IF(Migrationsartikel!AF106="ja","Denner Partner","")</f>
        <v/>
      </c>
      <c r="AL108" t="str">
        <f>IF(Migrationsartikel!AG106="ja","true","false")</f>
        <v>false</v>
      </c>
      <c r="AM108" t="str">
        <f t="shared" si="1"/>
        <v>PLU</v>
      </c>
      <c r="AN108" s="31" t="s">
        <v>219</v>
      </c>
      <c r="AO108" s="31" t="s">
        <v>217</v>
      </c>
    </row>
    <row r="109" spans="2:41" ht="21.75" customHeight="1" x14ac:dyDescent="0.45">
      <c r="B109" t="s">
        <v>99</v>
      </c>
      <c r="E109" s="31" t="s">
        <v>1519</v>
      </c>
      <c r="F109" t="str">
        <f>"Warengruppe&gt;&gt;"&amp;Migrationsartikel!V107&amp;"&gt;&gt;"&amp;Migrationsartikel!W107&amp;"&gt;&gt;"&amp;Migrationsartikel!X107</f>
        <v>Warengruppe&gt;&gt;Frische&gt;&gt;Molkereiprodukte &amp; Eier &gt;&gt;Milchprodukte</v>
      </c>
      <c r="H109" s="31" t="s">
        <v>109</v>
      </c>
      <c r="I109" s="31" t="s">
        <v>121</v>
      </c>
      <c r="J109" s="31">
        <f>Migrationsartikel!B107</f>
        <v>857</v>
      </c>
      <c r="L109" t="str">
        <f>Migrationsartikel!F107&amp;" "&amp;Migrationsartikel!G107&amp;" "&amp;Migrationsartikel!H107</f>
        <v>Kräuterbutter  aus der Region 60g</v>
      </c>
      <c r="M109" t="str">
        <f>Migrationsartikel!J107&amp;" "&amp;Migrationsartikel!K107&amp;" "&amp;Migrationsartikel!L107</f>
        <v>Beurre aux herbes de la région 60g</v>
      </c>
      <c r="N109" t="str">
        <f>Migrationsartikel!N107&amp;" "&amp;Migrationsartikel!O107&amp;" "&amp;Migrationsartikel!P107</f>
        <v>Burro alle erbe della regione 60g</v>
      </c>
      <c r="O109" t="str">
        <f>Migrationsartikel!F107</f>
        <v xml:space="preserve">Kräuterbutter </v>
      </c>
      <c r="P109" t="str">
        <f>Migrationsartikel!J107</f>
        <v>Beurre aux herbes</v>
      </c>
      <c r="Q109" t="str">
        <f>Migrationsartikel!N107</f>
        <v>Burro alle erbe</v>
      </c>
      <c r="R109" t="str">
        <f>Migrationsartikel!G107</f>
        <v>aus der Region</v>
      </c>
      <c r="S109" t="str">
        <f>Migrationsartikel!K107</f>
        <v>de la région</v>
      </c>
      <c r="T109" t="str">
        <f>Migrationsartikel!O107</f>
        <v>della regione</v>
      </c>
      <c r="U109" s="31" t="str">
        <f>Migrationsartikel!H107</f>
        <v>60g</v>
      </c>
      <c r="V109" s="31" t="str">
        <f>Migrationsartikel!L107</f>
        <v>60g</v>
      </c>
      <c r="W109" s="31" t="str">
        <f>Migrationsartikel!P107</f>
        <v>60g</v>
      </c>
      <c r="X109" t="str">
        <f>Migrationsartikel!I107</f>
        <v>Kräuterbutter 60g</v>
      </c>
      <c r="Y109" t="str">
        <f>Migrationsartikel!M107</f>
        <v>Beurre aux herbes 60g</v>
      </c>
      <c r="Z109" t="str">
        <f>Migrationsartikel!Q107</f>
        <v>Burro alle erbe 60g</v>
      </c>
      <c r="AA109" s="45">
        <f>Migrationsartikel!R107</f>
        <v>0.06</v>
      </c>
      <c r="AB109" s="46" t="str">
        <f>Migrationsartikel!T107</f>
        <v>Gramm</v>
      </c>
      <c r="AC109">
        <f>Migrationsartikel!S107</f>
        <v>100</v>
      </c>
      <c r="AD109" t="str">
        <f>Migrationsartikel!U107</f>
        <v>(PCE) Stück</v>
      </c>
      <c r="AE109" s="31" t="s">
        <v>179</v>
      </c>
      <c r="AF109" s="31" t="s">
        <v>192</v>
      </c>
      <c r="AG109" t="str">
        <f>IF(Migrationsartikel!AB107="ja","true",FALSE)</f>
        <v>true</v>
      </c>
      <c r="AH109" t="str">
        <f>IF(Migrationsartikel!AC107="ja","true",FALSE)</f>
        <v>true</v>
      </c>
      <c r="AI109" t="str">
        <f>IF(Migrationsartikel!AD107="ja","true",FALSE)</f>
        <v>true</v>
      </c>
      <c r="AJ109" t="str">
        <f>IF(Migrationsartikel!AE107="ja","true",FALSE)</f>
        <v>true</v>
      </c>
      <c r="AK109" t="str">
        <f>IF(Migrationsartikel!AF107="ja","Denner Partner","")</f>
        <v/>
      </c>
      <c r="AL109" t="str">
        <f>IF(Migrationsartikel!AG107="ja","true","false")</f>
        <v>false</v>
      </c>
      <c r="AM109" t="str">
        <f t="shared" si="1"/>
        <v>PLU</v>
      </c>
      <c r="AN109" s="31" t="s">
        <v>219</v>
      </c>
      <c r="AO109" s="31" t="s">
        <v>217</v>
      </c>
    </row>
    <row r="110" spans="2:41" ht="21.75" customHeight="1" x14ac:dyDescent="0.45">
      <c r="B110" t="s">
        <v>99</v>
      </c>
      <c r="E110" s="31" t="s">
        <v>1520</v>
      </c>
      <c r="F110" t="str">
        <f>"Warengruppe&gt;&gt;"&amp;Migrationsartikel!V108&amp;"&gt;&gt;"&amp;Migrationsartikel!W108&amp;"&gt;&gt;"&amp;Migrationsartikel!X108</f>
        <v>Warengruppe&gt;&gt;Frische&gt;&gt;Molkereiprodukte &amp; Eier &gt;&gt;Milchprodukte</v>
      </c>
      <c r="H110" s="31" t="s">
        <v>109</v>
      </c>
      <c r="I110" s="31" t="s">
        <v>121</v>
      </c>
      <c r="J110" s="31">
        <f>Migrationsartikel!B108</f>
        <v>858</v>
      </c>
      <c r="L110" t="str">
        <f>Migrationsartikel!F108&amp;" "&amp;Migrationsartikel!G108&amp;" "&amp;Migrationsartikel!H108</f>
        <v>Kräuterbutter  aus der Region 100g</v>
      </c>
      <c r="M110" t="str">
        <f>Migrationsartikel!J108&amp;" "&amp;Migrationsartikel!K108&amp;" "&amp;Migrationsartikel!L108</f>
        <v>Beurre aux herbes de la région 100g</v>
      </c>
      <c r="N110" t="str">
        <f>Migrationsartikel!N108&amp;" "&amp;Migrationsartikel!O108&amp;" "&amp;Migrationsartikel!P108</f>
        <v>Burro alle erbe della regione 100g</v>
      </c>
      <c r="O110" t="str">
        <f>Migrationsartikel!F108</f>
        <v xml:space="preserve">Kräuterbutter </v>
      </c>
      <c r="P110" t="str">
        <f>Migrationsartikel!J108</f>
        <v>Beurre aux herbes</v>
      </c>
      <c r="Q110" t="str">
        <f>Migrationsartikel!N108</f>
        <v>Burro alle erbe</v>
      </c>
      <c r="R110" t="str">
        <f>Migrationsartikel!G108</f>
        <v>aus der Region</v>
      </c>
      <c r="S110" t="str">
        <f>Migrationsartikel!K108</f>
        <v>de la région</v>
      </c>
      <c r="T110" t="str">
        <f>Migrationsartikel!O108</f>
        <v>della regione</v>
      </c>
      <c r="U110" s="31" t="str">
        <f>Migrationsartikel!H108</f>
        <v>100g</v>
      </c>
      <c r="V110" s="31" t="str">
        <f>Migrationsartikel!L108</f>
        <v>100g</v>
      </c>
      <c r="W110" s="31" t="str">
        <f>Migrationsartikel!P108</f>
        <v>100g</v>
      </c>
      <c r="X110" t="str">
        <f>Migrationsartikel!I108</f>
        <v>Kräuterbutter 100g</v>
      </c>
      <c r="Y110" t="str">
        <f>Migrationsartikel!M108</f>
        <v>Beurre aux herbes 100g</v>
      </c>
      <c r="Z110" t="str">
        <f>Migrationsartikel!Q108</f>
        <v>Burro alle erbe 100g</v>
      </c>
      <c r="AA110" s="45">
        <f>Migrationsartikel!R108</f>
        <v>0.1</v>
      </c>
      <c r="AB110" s="46" t="str">
        <f>Migrationsartikel!T108</f>
        <v>Gramm</v>
      </c>
      <c r="AC110">
        <f>Migrationsartikel!S108</f>
        <v>100</v>
      </c>
      <c r="AD110" t="str">
        <f>Migrationsartikel!U108</f>
        <v>(PCE) Stück</v>
      </c>
      <c r="AE110" s="31" t="s">
        <v>179</v>
      </c>
      <c r="AF110" s="31" t="s">
        <v>192</v>
      </c>
      <c r="AG110" t="str">
        <f>IF(Migrationsartikel!AB108="ja","true",FALSE)</f>
        <v>true</v>
      </c>
      <c r="AH110" t="str">
        <f>IF(Migrationsartikel!AC108="ja","true",FALSE)</f>
        <v>true</v>
      </c>
      <c r="AI110" t="str">
        <f>IF(Migrationsartikel!AD108="ja","true",FALSE)</f>
        <v>true</v>
      </c>
      <c r="AJ110" t="str">
        <f>IF(Migrationsartikel!AE108="ja","true",FALSE)</f>
        <v>true</v>
      </c>
      <c r="AK110" t="str">
        <f>IF(Migrationsartikel!AF108="ja","Denner Partner","")</f>
        <v/>
      </c>
      <c r="AL110" t="str">
        <f>IF(Migrationsartikel!AG108="ja","true","false")</f>
        <v>false</v>
      </c>
      <c r="AM110" t="str">
        <f t="shared" si="1"/>
        <v>PLU</v>
      </c>
      <c r="AN110" s="31" t="s">
        <v>219</v>
      </c>
      <c r="AO110" s="31" t="s">
        <v>217</v>
      </c>
    </row>
    <row r="111" spans="2:41" ht="21.75" customHeight="1" x14ac:dyDescent="0.45">
      <c r="B111" t="s">
        <v>99</v>
      </c>
      <c r="E111" s="31" t="s">
        <v>1521</v>
      </c>
      <c r="F111" t="str">
        <f>"Warengruppe&gt;&gt;"&amp;Migrationsartikel!V109&amp;"&gt;&gt;"&amp;Migrationsartikel!W109&amp;"&gt;&gt;"&amp;Migrationsartikel!X109</f>
        <v>Warengruppe&gt;&gt;Frische&gt;&gt;Molkereiprodukte &amp; Eier &gt;&gt;Milchprodukte</v>
      </c>
      <c r="H111" s="31" t="s">
        <v>109</v>
      </c>
      <c r="I111" s="31" t="s">
        <v>121</v>
      </c>
      <c r="J111" s="31">
        <f>Migrationsartikel!B109</f>
        <v>859</v>
      </c>
      <c r="L111" t="str">
        <f>Migrationsartikel!F109&amp;" "&amp;Migrationsartikel!G109&amp;" "&amp;Migrationsartikel!H109</f>
        <v>Molki Spezialitäten aus der Region 1Stk</v>
      </c>
      <c r="M111" t="str">
        <f>Migrationsartikel!J109&amp;" "&amp;Migrationsartikel!K109&amp;" "&amp;Migrationsartikel!L109</f>
        <v>Spécialités laiterie de la région 1pce</v>
      </c>
      <c r="N111" t="str">
        <f>Migrationsartikel!N109&amp;" "&amp;Migrationsartikel!O109&amp;" "&amp;Migrationsartikel!P109</f>
        <v>Specialità di latteria della regione 1pz</v>
      </c>
      <c r="O111" t="str">
        <f>Migrationsartikel!F109</f>
        <v>Molki Spezialitäten</v>
      </c>
      <c r="P111" t="str">
        <f>Migrationsartikel!J109</f>
        <v>Spécialités laiterie</v>
      </c>
      <c r="Q111" t="str">
        <f>Migrationsartikel!N109</f>
        <v>Specialità di latteria</v>
      </c>
      <c r="R111" t="str">
        <f>Migrationsartikel!G109</f>
        <v>aus der Region</v>
      </c>
      <c r="S111" t="str">
        <f>Migrationsartikel!K109</f>
        <v>de la région</v>
      </c>
      <c r="T111" t="str">
        <f>Migrationsartikel!O109</f>
        <v>della regione</v>
      </c>
      <c r="U111" s="31" t="str">
        <f>Migrationsartikel!H109</f>
        <v>1Stk</v>
      </c>
      <c r="V111" s="31" t="str">
        <f>Migrationsartikel!L109</f>
        <v>1pce</v>
      </c>
      <c r="W111" s="31" t="str">
        <f>Migrationsartikel!P109</f>
        <v>1pz</v>
      </c>
      <c r="X111" t="str">
        <f>Migrationsartikel!I109</f>
        <v>Molki Spezialitäten</v>
      </c>
      <c r="Y111" t="str">
        <f>Migrationsartikel!M109</f>
        <v>Spécialités laiterie</v>
      </c>
      <c r="Z111" t="str">
        <f>Migrationsartikel!Q109</f>
        <v>Specialità di latteria</v>
      </c>
      <c r="AA111" s="45">
        <f>Migrationsartikel!R109</f>
        <v>1</v>
      </c>
      <c r="AB111" s="46" t="str">
        <f>Migrationsartikel!T109</f>
        <v>Stück</v>
      </c>
      <c r="AC111">
        <f>Migrationsartikel!S109</f>
        <v>1</v>
      </c>
      <c r="AD111" t="str">
        <f>Migrationsartikel!U109</f>
        <v>(PCE) Stück</v>
      </c>
      <c r="AE111" s="31" t="s">
        <v>179</v>
      </c>
      <c r="AF111" s="31" t="s">
        <v>192</v>
      </c>
      <c r="AG111" t="str">
        <f>IF(Migrationsartikel!AB109="ja","true",FALSE)</f>
        <v>true</v>
      </c>
      <c r="AH111" t="str">
        <f>IF(Migrationsartikel!AC109="ja","true",FALSE)</f>
        <v>true</v>
      </c>
      <c r="AI111" t="str">
        <f>IF(Migrationsartikel!AD109="ja","true",FALSE)</f>
        <v>true</v>
      </c>
      <c r="AJ111" t="str">
        <f>IF(Migrationsartikel!AE109="ja","true",FALSE)</f>
        <v>true</v>
      </c>
      <c r="AK111" t="str">
        <f>IF(Migrationsartikel!AF109="ja","Denner Partner","")</f>
        <v/>
      </c>
      <c r="AL111" t="str">
        <f>IF(Migrationsartikel!AG109="ja","true","false")</f>
        <v>false</v>
      </c>
      <c r="AM111" t="str">
        <f t="shared" si="1"/>
        <v>PLU</v>
      </c>
      <c r="AN111" s="31" t="s">
        <v>219</v>
      </c>
      <c r="AO111" s="31" t="s">
        <v>217</v>
      </c>
    </row>
    <row r="112" spans="2:41" ht="21.75" customHeight="1" x14ac:dyDescent="0.45">
      <c r="B112" t="s">
        <v>99</v>
      </c>
      <c r="E112" s="31" t="s">
        <v>1522</v>
      </c>
      <c r="F112" t="str">
        <f>"Warengruppe&gt;&gt;"&amp;Migrationsartikel!V110&amp;"&gt;&gt;"&amp;Migrationsartikel!W110&amp;"&gt;&gt;"&amp;Migrationsartikel!X110</f>
        <v>Warengruppe&gt;&gt;Frische&gt;&gt;SB - Fleisch&gt;&gt;SB - Fleisch andere</v>
      </c>
      <c r="H112" s="31" t="s">
        <v>109</v>
      </c>
      <c r="I112" s="31" t="s">
        <v>121</v>
      </c>
      <c r="J112" s="31">
        <f>Migrationsartikel!B110</f>
        <v>860</v>
      </c>
      <c r="L112" t="str">
        <f>Migrationsartikel!F110&amp;" "&amp;Migrationsartikel!G110&amp;" "&amp;Migrationsartikel!H110</f>
        <v>Fleischtheke aus der Region 1Stk</v>
      </c>
      <c r="M112" t="str">
        <f>Migrationsartikel!J110&amp;" "&amp;Migrationsartikel!K110&amp;" "&amp;Migrationsartikel!L110</f>
        <v>Boucherie  de la région 1pce</v>
      </c>
      <c r="N112" t="str">
        <f>Migrationsartikel!N110&amp;" "&amp;Migrationsartikel!O110&amp;" "&amp;Migrationsartikel!P110</f>
        <v>Banco carni  della regione 1pz</v>
      </c>
      <c r="O112" t="str">
        <f>Migrationsartikel!F110</f>
        <v>Fleischtheke</v>
      </c>
      <c r="P112" t="str">
        <f>Migrationsartikel!J110</f>
        <v xml:space="preserve">Boucherie </v>
      </c>
      <c r="Q112" t="str">
        <f>Migrationsartikel!N110</f>
        <v xml:space="preserve">Banco carni </v>
      </c>
      <c r="R112" t="str">
        <f>Migrationsartikel!G110</f>
        <v>aus der Region</v>
      </c>
      <c r="S112" t="str">
        <f>Migrationsartikel!K110</f>
        <v>de la région</v>
      </c>
      <c r="T112" t="str">
        <f>Migrationsartikel!O110</f>
        <v>della regione</v>
      </c>
      <c r="U112" s="31" t="str">
        <f>Migrationsartikel!H110</f>
        <v>1Stk</v>
      </c>
      <c r="V112" s="31" t="str">
        <f>Migrationsartikel!L110</f>
        <v>1pce</v>
      </c>
      <c r="W112" s="31" t="str">
        <f>Migrationsartikel!P110</f>
        <v>1pz</v>
      </c>
      <c r="X112" t="str">
        <f>Migrationsartikel!I110</f>
        <v>Fleischtheke</v>
      </c>
      <c r="Y112" t="str">
        <f>Migrationsartikel!M110</f>
        <v xml:space="preserve">Boucherie </v>
      </c>
      <c r="Z112" t="str">
        <f>Migrationsartikel!Q110</f>
        <v xml:space="preserve">Banco carni </v>
      </c>
      <c r="AA112" s="45">
        <f>Migrationsartikel!R110</f>
        <v>1</v>
      </c>
      <c r="AB112" s="46" t="str">
        <f>Migrationsartikel!T110</f>
        <v>Stück</v>
      </c>
      <c r="AC112">
        <f>Migrationsartikel!S110</f>
        <v>1</v>
      </c>
      <c r="AD112" t="str">
        <f>Migrationsartikel!U110</f>
        <v>(PCE) Stück</v>
      </c>
      <c r="AE112" s="31" t="s">
        <v>179</v>
      </c>
      <c r="AF112" s="31" t="s">
        <v>192</v>
      </c>
      <c r="AG112" t="str">
        <f>IF(Migrationsartikel!AB110="ja","true",FALSE)</f>
        <v>true</v>
      </c>
      <c r="AH112" t="str">
        <f>IF(Migrationsartikel!AC110="ja","true",FALSE)</f>
        <v>true</v>
      </c>
      <c r="AI112" t="str">
        <f>IF(Migrationsartikel!AD110="ja","true",FALSE)</f>
        <v>true</v>
      </c>
      <c r="AJ112" t="str">
        <f>IF(Migrationsartikel!AE110="ja","true",FALSE)</f>
        <v>true</v>
      </c>
      <c r="AK112" t="str">
        <f>IF(Migrationsartikel!AF110="ja","Denner Partner","")</f>
        <v/>
      </c>
      <c r="AL112" t="str">
        <f>IF(Migrationsartikel!AG110="ja","true","false")</f>
        <v>false</v>
      </c>
      <c r="AM112" t="str">
        <f t="shared" si="1"/>
        <v>PLU</v>
      </c>
      <c r="AN112" s="31" t="s">
        <v>219</v>
      </c>
      <c r="AO112" s="31" t="s">
        <v>217</v>
      </c>
    </row>
    <row r="113" spans="2:41" ht="21.75" customHeight="1" x14ac:dyDescent="0.45">
      <c r="B113" t="s">
        <v>99</v>
      </c>
      <c r="E113" s="31" t="s">
        <v>1523</v>
      </c>
      <c r="F113" t="str">
        <f>"Warengruppe&gt;&gt;"&amp;Migrationsartikel!V111&amp;"&gt;&gt;"&amp;Migrationsartikel!W111&amp;"&gt;&gt;"&amp;Migrationsartikel!X111</f>
        <v>Warengruppe&gt;&gt;Frische&gt;&gt;Fleisch- und Wurstwaren&gt;&gt;Wurstwaren</v>
      </c>
      <c r="H113" s="31" t="s">
        <v>109</v>
      </c>
      <c r="I113" s="31" t="s">
        <v>121</v>
      </c>
      <c r="J113" s="31">
        <f>Migrationsartikel!B111</f>
        <v>861</v>
      </c>
      <c r="L113" t="str">
        <f>Migrationsartikel!F111&amp;" "&amp;Migrationsartikel!G111&amp;" "&amp;Migrationsartikel!H111</f>
        <v>Bauernschüblig  aus der Region 2Stk</v>
      </c>
      <c r="M113" t="str">
        <f>Migrationsartikel!J111&amp;" "&amp;Migrationsartikel!K111&amp;" "&amp;Migrationsartikel!L111</f>
        <v>Schüblig  de la région 2pces</v>
      </c>
      <c r="N113" t="str">
        <f>Migrationsartikel!N111&amp;" "&amp;Migrationsartikel!O111&amp;" "&amp;Migrationsartikel!P111</f>
        <v>Schüblig contadino della regione 2pz</v>
      </c>
      <c r="O113" t="str">
        <f>Migrationsartikel!F111</f>
        <v xml:space="preserve">Bauernschüblig </v>
      </c>
      <c r="P113" t="str">
        <f>Migrationsartikel!J111</f>
        <v xml:space="preserve">Schüblig </v>
      </c>
      <c r="Q113" t="str">
        <f>Migrationsartikel!N111</f>
        <v>Schüblig contadino</v>
      </c>
      <c r="R113" t="str">
        <f>Migrationsartikel!G111</f>
        <v>aus der Region</v>
      </c>
      <c r="S113" t="str">
        <f>Migrationsartikel!K111</f>
        <v>de la région</v>
      </c>
      <c r="T113" t="str">
        <f>Migrationsartikel!O111</f>
        <v>della regione</v>
      </c>
      <c r="U113" s="31" t="str">
        <f>Migrationsartikel!H111</f>
        <v>2Stk</v>
      </c>
      <c r="V113" s="31" t="str">
        <f>Migrationsartikel!L111</f>
        <v>2pces</v>
      </c>
      <c r="W113" s="31" t="str">
        <f>Migrationsartikel!P111</f>
        <v>2pz</v>
      </c>
      <c r="X113" t="str">
        <f>Migrationsartikel!I111</f>
        <v>Bauernschüblig 2Stk</v>
      </c>
      <c r="Y113" t="str">
        <f>Migrationsartikel!M111</f>
        <v>Schüblig 2pces</v>
      </c>
      <c r="Z113" t="str">
        <f>Migrationsartikel!Q111</f>
        <v>Schüblig contadino 2pz</v>
      </c>
      <c r="AA113" s="45">
        <f>Migrationsartikel!R111</f>
        <v>2</v>
      </c>
      <c r="AB113" s="46" t="str">
        <f>Migrationsartikel!T111</f>
        <v>Gramm</v>
      </c>
      <c r="AC113">
        <f>Migrationsartikel!S111</f>
        <v>100</v>
      </c>
      <c r="AD113" t="str">
        <f>Migrationsartikel!U111</f>
        <v>(PCE) Stück</v>
      </c>
      <c r="AE113" s="31" t="s">
        <v>179</v>
      </c>
      <c r="AF113" s="31" t="s">
        <v>192</v>
      </c>
      <c r="AG113" t="str">
        <f>IF(Migrationsartikel!AB111="ja","true",FALSE)</f>
        <v>true</v>
      </c>
      <c r="AH113" t="str">
        <f>IF(Migrationsartikel!AC111="ja","true",FALSE)</f>
        <v>true</v>
      </c>
      <c r="AI113" t="str">
        <f>IF(Migrationsartikel!AD111="ja","true",FALSE)</f>
        <v>true</v>
      </c>
      <c r="AJ113" t="str">
        <f>IF(Migrationsartikel!AE111="ja","true",FALSE)</f>
        <v>true</v>
      </c>
      <c r="AK113" t="str">
        <f>IF(Migrationsartikel!AF111="ja","Denner Partner","")</f>
        <v/>
      </c>
      <c r="AL113" t="str">
        <f>IF(Migrationsartikel!AG111="ja","true","false")</f>
        <v>false</v>
      </c>
      <c r="AM113" t="str">
        <f t="shared" si="1"/>
        <v>PLU</v>
      </c>
      <c r="AN113" s="31" t="s">
        <v>219</v>
      </c>
      <c r="AO113" s="31" t="s">
        <v>217</v>
      </c>
    </row>
    <row r="114" spans="2:41" ht="21.75" customHeight="1" x14ac:dyDescent="0.45">
      <c r="B114" t="s">
        <v>99</v>
      </c>
      <c r="E114" s="31" t="s">
        <v>1524</v>
      </c>
      <c r="F114" t="str">
        <f>"Warengruppe&gt;&gt;"&amp;Migrationsartikel!V112&amp;"&gt;&gt;"&amp;Migrationsartikel!W112&amp;"&gt;&gt;"&amp;Migrationsartikel!X112</f>
        <v>Warengruppe&gt;&gt;Frische&gt;&gt;Fleisch- und Wurstwaren&gt;&gt;Wurstwaren</v>
      </c>
      <c r="H114" s="31" t="s">
        <v>109</v>
      </c>
      <c r="I114" s="31" t="s">
        <v>121</v>
      </c>
      <c r="J114" s="31">
        <f>Migrationsartikel!B112</f>
        <v>862</v>
      </c>
      <c r="L114" t="str">
        <f>Migrationsartikel!F112&amp;" "&amp;Migrationsartikel!G112&amp;" "&amp;Migrationsartikel!H112</f>
        <v>Cervelat  aus der Region 2Stk</v>
      </c>
      <c r="M114" t="str">
        <f>Migrationsartikel!J112&amp;" "&amp;Migrationsartikel!K112&amp;" "&amp;Migrationsartikel!L112</f>
        <v>Cervelas  de la région 2pces</v>
      </c>
      <c r="N114" t="str">
        <f>Migrationsartikel!N112&amp;" "&amp;Migrationsartikel!O112&amp;" "&amp;Migrationsartikel!P112</f>
        <v>Cervelat  della regione 2pz</v>
      </c>
      <c r="O114" t="str">
        <f>Migrationsartikel!F112</f>
        <v xml:space="preserve">Cervelat </v>
      </c>
      <c r="P114" t="str">
        <f>Migrationsartikel!J112</f>
        <v xml:space="preserve">Cervelas </v>
      </c>
      <c r="Q114" t="str">
        <f>Migrationsartikel!N112</f>
        <v xml:space="preserve">Cervelat </v>
      </c>
      <c r="R114" t="str">
        <f>Migrationsartikel!G112</f>
        <v>aus der Region</v>
      </c>
      <c r="S114" t="str">
        <f>Migrationsartikel!K112</f>
        <v>de la région</v>
      </c>
      <c r="T114" t="str">
        <f>Migrationsartikel!O112</f>
        <v>della regione</v>
      </c>
      <c r="U114" s="31" t="str">
        <f>Migrationsartikel!H112</f>
        <v>2Stk</v>
      </c>
      <c r="V114" s="31" t="str">
        <f>Migrationsartikel!L112</f>
        <v>2pces</v>
      </c>
      <c r="W114" s="31" t="str">
        <f>Migrationsartikel!P112</f>
        <v>2pz</v>
      </c>
      <c r="X114" t="str">
        <f>Migrationsartikel!I112</f>
        <v>Cervelat 2Stk</v>
      </c>
      <c r="Y114" t="str">
        <f>Migrationsartikel!M112</f>
        <v>Cervelas 2pces</v>
      </c>
      <c r="Z114" t="str">
        <f>Migrationsartikel!Q112</f>
        <v>Cervelat 2pz</v>
      </c>
      <c r="AA114" s="45">
        <f>Migrationsartikel!R112</f>
        <v>2</v>
      </c>
      <c r="AB114" s="46" t="str">
        <f>Migrationsartikel!T112</f>
        <v>Gramm</v>
      </c>
      <c r="AC114">
        <f>Migrationsartikel!S112</f>
        <v>100</v>
      </c>
      <c r="AD114" t="str">
        <f>Migrationsartikel!U112</f>
        <v>(PCE) Stück</v>
      </c>
      <c r="AE114" s="31" t="s">
        <v>179</v>
      </c>
      <c r="AF114" s="31" t="s">
        <v>192</v>
      </c>
      <c r="AG114" t="str">
        <f>IF(Migrationsartikel!AB112="ja","true",FALSE)</f>
        <v>true</v>
      </c>
      <c r="AH114" t="str">
        <f>IF(Migrationsartikel!AC112="ja","true",FALSE)</f>
        <v>true</v>
      </c>
      <c r="AI114" t="str">
        <f>IF(Migrationsartikel!AD112="ja","true",FALSE)</f>
        <v>true</v>
      </c>
      <c r="AJ114" t="str">
        <f>IF(Migrationsartikel!AE112="ja","true",FALSE)</f>
        <v>true</v>
      </c>
      <c r="AK114" t="str">
        <f>IF(Migrationsartikel!AF112="ja","Denner Partner","")</f>
        <v/>
      </c>
      <c r="AL114" t="str">
        <f>IF(Migrationsartikel!AG112="ja","true","false")</f>
        <v>false</v>
      </c>
      <c r="AM114" t="str">
        <f t="shared" si="1"/>
        <v>PLU</v>
      </c>
      <c r="AN114" s="31" t="s">
        <v>219</v>
      </c>
      <c r="AO114" s="31" t="s">
        <v>217</v>
      </c>
    </row>
    <row r="115" spans="2:41" ht="21.75" customHeight="1" x14ac:dyDescent="0.45">
      <c r="B115" t="s">
        <v>99</v>
      </c>
      <c r="E115" s="31" t="s">
        <v>1525</v>
      </c>
      <c r="F115" t="str">
        <f>"Warengruppe&gt;&gt;"&amp;Migrationsartikel!V113&amp;"&gt;&gt;"&amp;Migrationsartikel!W113&amp;"&gt;&gt;"&amp;Migrationsartikel!X113</f>
        <v>Warengruppe&gt;&gt;Frische&gt;&gt;Fleisch- und Wurstwaren&gt;&gt;Wurstwaren</v>
      </c>
      <c r="H115" s="31" t="s">
        <v>109</v>
      </c>
      <c r="I115" s="31" t="s">
        <v>121</v>
      </c>
      <c r="J115" s="31">
        <f>Migrationsartikel!B113</f>
        <v>863</v>
      </c>
      <c r="L115" t="str">
        <f>Migrationsartikel!F113&amp;" "&amp;Migrationsartikel!G113&amp;" "&amp;Migrationsartikel!H113</f>
        <v>Hauswurst  aus der Region 2Stk</v>
      </c>
      <c r="M115" t="str">
        <f>Migrationsartikel!J113&amp;" "&amp;Migrationsartikel!K113&amp;" "&amp;Migrationsartikel!L113</f>
        <v>Saucisse  de la région 2pces</v>
      </c>
      <c r="N115" t="str">
        <f>Migrationsartikel!N113&amp;" "&amp;Migrationsartikel!O113&amp;" "&amp;Migrationsartikel!P113</f>
        <v>Salsiccia  della regione 2pz</v>
      </c>
      <c r="O115" t="str">
        <f>Migrationsartikel!F113</f>
        <v xml:space="preserve">Hauswurst </v>
      </c>
      <c r="P115" t="str">
        <f>Migrationsartikel!J113</f>
        <v xml:space="preserve">Saucisse </v>
      </c>
      <c r="Q115" t="str">
        <f>Migrationsartikel!N113</f>
        <v xml:space="preserve">Salsiccia </v>
      </c>
      <c r="R115" t="str">
        <f>Migrationsartikel!G113</f>
        <v>aus der Region</v>
      </c>
      <c r="S115" t="str">
        <f>Migrationsartikel!K113</f>
        <v>de la région</v>
      </c>
      <c r="T115" t="str">
        <f>Migrationsartikel!O113</f>
        <v>della regione</v>
      </c>
      <c r="U115" s="31" t="str">
        <f>Migrationsartikel!H113</f>
        <v>2Stk</v>
      </c>
      <c r="V115" s="31" t="str">
        <f>Migrationsartikel!L113</f>
        <v>2pces</v>
      </c>
      <c r="W115" s="31" t="str">
        <f>Migrationsartikel!P113</f>
        <v>2pz</v>
      </c>
      <c r="X115" t="str">
        <f>Migrationsartikel!I113</f>
        <v>Hauswurst 2Stk</v>
      </c>
      <c r="Y115" t="str">
        <f>Migrationsartikel!M113</f>
        <v>Saucisse 2pces</v>
      </c>
      <c r="Z115" t="str">
        <f>Migrationsartikel!Q113</f>
        <v>Salsiccia 2pz</v>
      </c>
      <c r="AA115" s="45">
        <f>Migrationsartikel!R113</f>
        <v>2</v>
      </c>
      <c r="AB115" s="46" t="str">
        <f>Migrationsartikel!T113</f>
        <v>Gramm</v>
      </c>
      <c r="AC115">
        <f>Migrationsartikel!S113</f>
        <v>100</v>
      </c>
      <c r="AD115" t="str">
        <f>Migrationsartikel!U113</f>
        <v>(PCE) Stück</v>
      </c>
      <c r="AE115" s="31" t="s">
        <v>179</v>
      </c>
      <c r="AF115" s="31" t="s">
        <v>192</v>
      </c>
      <c r="AG115" t="str">
        <f>IF(Migrationsartikel!AB113="ja","true",FALSE)</f>
        <v>true</v>
      </c>
      <c r="AH115" t="str">
        <f>IF(Migrationsartikel!AC113="ja","true",FALSE)</f>
        <v>true</v>
      </c>
      <c r="AI115" t="str">
        <f>IF(Migrationsartikel!AD113="ja","true",FALSE)</f>
        <v>true</v>
      </c>
      <c r="AJ115" t="str">
        <f>IF(Migrationsartikel!AE113="ja","true",FALSE)</f>
        <v>true</v>
      </c>
      <c r="AK115" t="str">
        <f>IF(Migrationsartikel!AF113="ja","Denner Partner","")</f>
        <v/>
      </c>
      <c r="AL115" t="str">
        <f>IF(Migrationsartikel!AG113="ja","true","false")</f>
        <v>false</v>
      </c>
      <c r="AM115" t="str">
        <f t="shared" si="1"/>
        <v>PLU</v>
      </c>
      <c r="AN115" s="31" t="s">
        <v>219</v>
      </c>
      <c r="AO115" s="31" t="s">
        <v>217</v>
      </c>
    </row>
    <row r="116" spans="2:41" ht="21.75" customHeight="1" x14ac:dyDescent="0.45">
      <c r="B116" t="s">
        <v>99</v>
      </c>
      <c r="E116" s="31" t="s">
        <v>1526</v>
      </c>
      <c r="F116" t="str">
        <f>"Warengruppe&gt;&gt;"&amp;Migrationsartikel!V114&amp;"&gt;&gt;"&amp;Migrationsartikel!W114&amp;"&gt;&gt;"&amp;Migrationsartikel!X114</f>
        <v>Warengruppe&gt;&gt;Frische&gt;&gt;Fleisch- und Wurstwaren&gt;&gt;Wurstwaren</v>
      </c>
      <c r="H116" s="31" t="s">
        <v>109</v>
      </c>
      <c r="I116" s="31" t="s">
        <v>121</v>
      </c>
      <c r="J116" s="31">
        <f>Migrationsartikel!B114</f>
        <v>864</v>
      </c>
      <c r="L116" t="str">
        <f>Migrationsartikel!F114&amp;" "&amp;Migrationsartikel!G114&amp;" "&amp;Migrationsartikel!H114</f>
        <v>Landjäger dunkel  aus der Region 2Stk</v>
      </c>
      <c r="M116" t="str">
        <f>Migrationsartikel!J114&amp;" "&amp;Migrationsartikel!K114&amp;" "&amp;Migrationsartikel!L114</f>
        <v>Sauc. Landjäger foncée de la région 2pces</v>
      </c>
      <c r="N116" t="str">
        <f>Migrationsartikel!N114&amp;" "&amp;Migrationsartikel!O114&amp;" "&amp;Migrationsartikel!P114</f>
        <v>Sals. Landjäger scura della regione 2pz</v>
      </c>
      <c r="O116" t="str">
        <f>Migrationsartikel!F114</f>
        <v xml:space="preserve">Landjäger dunkel </v>
      </c>
      <c r="P116" t="str">
        <f>Migrationsartikel!J114</f>
        <v>Sauc. Landjäger foncée</v>
      </c>
      <c r="Q116" t="str">
        <f>Migrationsartikel!N114</f>
        <v>Sals. Landjäger scura</v>
      </c>
      <c r="R116" t="str">
        <f>Migrationsartikel!G114</f>
        <v>aus der Region</v>
      </c>
      <c r="S116" t="str">
        <f>Migrationsartikel!K114</f>
        <v>de la région</v>
      </c>
      <c r="T116" t="str">
        <f>Migrationsartikel!O114</f>
        <v>della regione</v>
      </c>
      <c r="U116" s="31" t="str">
        <f>Migrationsartikel!H114</f>
        <v>2Stk</v>
      </c>
      <c r="V116" s="31" t="str">
        <f>Migrationsartikel!L114</f>
        <v>2pces</v>
      </c>
      <c r="W116" s="31" t="str">
        <f>Migrationsartikel!P114</f>
        <v>2pz</v>
      </c>
      <c r="X116" t="str">
        <f>Migrationsartikel!I114</f>
        <v>Landjäger dunkel 2Stk</v>
      </c>
      <c r="Y116" t="str">
        <f>Migrationsartikel!M114</f>
        <v>Sauc. foncée 2pces</v>
      </c>
      <c r="Z116" t="str">
        <f>Migrationsartikel!Q114</f>
        <v>Sals. scura 2pz</v>
      </c>
      <c r="AA116" s="45">
        <f>Migrationsartikel!R114</f>
        <v>2</v>
      </c>
      <c r="AB116" s="46" t="str">
        <f>Migrationsartikel!T114</f>
        <v>Gramm</v>
      </c>
      <c r="AC116">
        <f>Migrationsartikel!S114</f>
        <v>100</v>
      </c>
      <c r="AD116" t="str">
        <f>Migrationsartikel!U114</f>
        <v>(PCE) Stück</v>
      </c>
      <c r="AE116" s="31" t="s">
        <v>179</v>
      </c>
      <c r="AF116" s="31" t="s">
        <v>192</v>
      </c>
      <c r="AG116" t="str">
        <f>IF(Migrationsartikel!AB114="ja","true",FALSE)</f>
        <v>true</v>
      </c>
      <c r="AH116" t="str">
        <f>IF(Migrationsartikel!AC114="ja","true",FALSE)</f>
        <v>true</v>
      </c>
      <c r="AI116" t="str">
        <f>IF(Migrationsartikel!AD114="ja","true",FALSE)</f>
        <v>true</v>
      </c>
      <c r="AJ116" t="str">
        <f>IF(Migrationsartikel!AE114="ja","true",FALSE)</f>
        <v>true</v>
      </c>
      <c r="AK116" t="str">
        <f>IF(Migrationsartikel!AF114="ja","Denner Partner","")</f>
        <v/>
      </c>
      <c r="AL116" t="str">
        <f>IF(Migrationsartikel!AG114="ja","true","false")</f>
        <v>false</v>
      </c>
      <c r="AM116" t="str">
        <f t="shared" si="1"/>
        <v>PLU</v>
      </c>
      <c r="AN116" s="31" t="s">
        <v>219</v>
      </c>
      <c r="AO116" s="31" t="s">
        <v>217</v>
      </c>
    </row>
    <row r="117" spans="2:41" ht="21.75" customHeight="1" x14ac:dyDescent="0.45">
      <c r="B117" t="s">
        <v>99</v>
      </c>
      <c r="E117" s="31" t="s">
        <v>1527</v>
      </c>
      <c r="F117" t="str">
        <f>"Warengruppe&gt;&gt;"&amp;Migrationsartikel!V115&amp;"&gt;&gt;"&amp;Migrationsartikel!W115&amp;"&gt;&gt;"&amp;Migrationsartikel!X115</f>
        <v>Warengruppe&gt;&gt;Frische&gt;&gt;Fleisch- und Wurstwaren&gt;&gt;Wurstwaren</v>
      </c>
      <c r="H117" s="31" t="s">
        <v>109</v>
      </c>
      <c r="I117" s="31" t="s">
        <v>121</v>
      </c>
      <c r="J117" s="31">
        <f>Migrationsartikel!B115</f>
        <v>865</v>
      </c>
      <c r="L117" t="str">
        <f>Migrationsartikel!F115&amp;" "&amp;Migrationsartikel!G115&amp;" "&amp;Migrationsartikel!H115</f>
        <v>Landjäger hell  aus der Region 2Stk</v>
      </c>
      <c r="M117" t="str">
        <f>Migrationsartikel!J115&amp;" "&amp;Migrationsartikel!K115&amp;" "&amp;Migrationsartikel!L115</f>
        <v>Sauc. Landjäger claire de la région 2pces</v>
      </c>
      <c r="N117" t="str">
        <f>Migrationsartikel!N115&amp;" "&amp;Migrationsartikel!O115&amp;" "&amp;Migrationsartikel!P115</f>
        <v>Sals. Landjäger chiara della regione 2pz</v>
      </c>
      <c r="O117" t="str">
        <f>Migrationsartikel!F115</f>
        <v xml:space="preserve">Landjäger hell </v>
      </c>
      <c r="P117" t="str">
        <f>Migrationsartikel!J115</f>
        <v>Sauc. Landjäger claire</v>
      </c>
      <c r="Q117" t="str">
        <f>Migrationsartikel!N115</f>
        <v>Sals. Landjäger chiara</v>
      </c>
      <c r="R117" t="str">
        <f>Migrationsartikel!G115</f>
        <v>aus der Region</v>
      </c>
      <c r="S117" t="str">
        <f>Migrationsartikel!K115</f>
        <v>de la région</v>
      </c>
      <c r="T117" t="str">
        <f>Migrationsartikel!O115</f>
        <v>della regione</v>
      </c>
      <c r="U117" s="31" t="str">
        <f>Migrationsartikel!H115</f>
        <v>2Stk</v>
      </c>
      <c r="V117" s="31" t="str">
        <f>Migrationsartikel!L115</f>
        <v>2pces</v>
      </c>
      <c r="W117" s="31" t="str">
        <f>Migrationsartikel!P115</f>
        <v>2pz</v>
      </c>
      <c r="X117" t="str">
        <f>Migrationsartikel!I115</f>
        <v>Landjäger hell 2Stk</v>
      </c>
      <c r="Y117" t="str">
        <f>Migrationsartikel!M115</f>
        <v>Sauc. claire 2pces</v>
      </c>
      <c r="Z117" t="str">
        <f>Migrationsartikel!Q115</f>
        <v>Sals. chiara 2pz</v>
      </c>
      <c r="AA117" s="45">
        <f>Migrationsartikel!R115</f>
        <v>2</v>
      </c>
      <c r="AB117" s="46" t="str">
        <f>Migrationsartikel!T115</f>
        <v>Gramm</v>
      </c>
      <c r="AC117">
        <f>Migrationsartikel!S115</f>
        <v>100</v>
      </c>
      <c r="AD117" t="str">
        <f>Migrationsartikel!U115</f>
        <v>(PCE) Stück</v>
      </c>
      <c r="AE117" s="31" t="s">
        <v>179</v>
      </c>
      <c r="AF117" s="31" t="s">
        <v>192</v>
      </c>
      <c r="AG117" t="str">
        <f>IF(Migrationsartikel!AB115="ja","true",FALSE)</f>
        <v>true</v>
      </c>
      <c r="AH117" t="str">
        <f>IF(Migrationsartikel!AC115="ja","true",FALSE)</f>
        <v>true</v>
      </c>
      <c r="AI117" t="str">
        <f>IF(Migrationsartikel!AD115="ja","true",FALSE)</f>
        <v>true</v>
      </c>
      <c r="AJ117" t="str">
        <f>IF(Migrationsartikel!AE115="ja","true",FALSE)</f>
        <v>true</v>
      </c>
      <c r="AK117" t="str">
        <f>IF(Migrationsartikel!AF115="ja","Denner Partner","")</f>
        <v/>
      </c>
      <c r="AL117" t="str">
        <f>IF(Migrationsartikel!AG115="ja","true","false")</f>
        <v>false</v>
      </c>
      <c r="AM117" t="str">
        <f t="shared" si="1"/>
        <v>PLU</v>
      </c>
      <c r="AN117" s="31" t="s">
        <v>219</v>
      </c>
      <c r="AO117" s="31" t="s">
        <v>217</v>
      </c>
    </row>
    <row r="118" spans="2:41" ht="21.75" customHeight="1" x14ac:dyDescent="0.45">
      <c r="B118" t="s">
        <v>99</v>
      </c>
      <c r="E118" s="31" t="s">
        <v>1528</v>
      </c>
      <c r="F118" t="str">
        <f>"Warengruppe&gt;&gt;"&amp;Migrationsartikel!V116&amp;"&gt;&gt;"&amp;Migrationsartikel!W116&amp;"&gt;&gt;"&amp;Migrationsartikel!X116</f>
        <v>Warengruppe&gt;&gt;Frische&gt;&gt;Fleisch- und Wurstwaren&gt;&gt;Wurstwaren</v>
      </c>
      <c r="H118" s="31" t="s">
        <v>109</v>
      </c>
      <c r="I118" s="31" t="s">
        <v>121</v>
      </c>
      <c r="J118" s="31">
        <f>Migrationsartikel!B116</f>
        <v>866</v>
      </c>
      <c r="L118" t="str">
        <f>Migrationsartikel!F116&amp;" "&amp;Migrationsartikel!G116&amp;" "&amp;Migrationsartikel!H116</f>
        <v>Rauchwurst  aus der Region 2Stk</v>
      </c>
      <c r="M118" t="str">
        <f>Migrationsartikel!J116&amp;" "&amp;Migrationsartikel!K116&amp;" "&amp;Migrationsartikel!L116</f>
        <v>Saucisse fumée de la région 2pces</v>
      </c>
      <c r="N118" t="str">
        <f>Migrationsartikel!N116&amp;" "&amp;Migrationsartikel!O116&amp;" "&amp;Migrationsartikel!P116</f>
        <v>Salsiccia affumicata  della regione 2pz</v>
      </c>
      <c r="O118" t="str">
        <f>Migrationsartikel!F116</f>
        <v xml:space="preserve">Rauchwurst </v>
      </c>
      <c r="P118" t="str">
        <f>Migrationsartikel!J116</f>
        <v>Saucisse fumée</v>
      </c>
      <c r="Q118" t="str">
        <f>Migrationsartikel!N116</f>
        <v xml:space="preserve">Salsiccia affumicata </v>
      </c>
      <c r="R118" t="str">
        <f>Migrationsartikel!G116</f>
        <v>aus der Region</v>
      </c>
      <c r="S118" t="str">
        <f>Migrationsartikel!K116</f>
        <v>de la région</v>
      </c>
      <c r="T118" t="str">
        <f>Migrationsartikel!O116</f>
        <v>della regione</v>
      </c>
      <c r="U118" s="31" t="str">
        <f>Migrationsartikel!H116</f>
        <v>2Stk</v>
      </c>
      <c r="V118" s="31" t="str">
        <f>Migrationsartikel!L116</f>
        <v>2pces</v>
      </c>
      <c r="W118" s="31" t="str">
        <f>Migrationsartikel!P116</f>
        <v>2pz</v>
      </c>
      <c r="X118" t="str">
        <f>Migrationsartikel!I116</f>
        <v>Rauchwurst 2Stk</v>
      </c>
      <c r="Y118" t="str">
        <f>Migrationsartikel!M116</f>
        <v>Saucisse fumée 2pces</v>
      </c>
      <c r="Z118" t="str">
        <f>Migrationsartikel!Q116</f>
        <v>Salsiccia affumicata 2pz</v>
      </c>
      <c r="AA118" s="45">
        <f>Migrationsartikel!R116</f>
        <v>2</v>
      </c>
      <c r="AB118" s="46" t="str">
        <f>Migrationsartikel!T116</f>
        <v>Gramm</v>
      </c>
      <c r="AC118">
        <f>Migrationsartikel!S116</f>
        <v>100</v>
      </c>
      <c r="AD118" t="str">
        <f>Migrationsartikel!U116</f>
        <v>(PCE) Stück</v>
      </c>
      <c r="AE118" s="31" t="s">
        <v>179</v>
      </c>
      <c r="AF118" s="31" t="s">
        <v>192</v>
      </c>
      <c r="AG118" t="str">
        <f>IF(Migrationsartikel!AB116="ja","true",FALSE)</f>
        <v>true</v>
      </c>
      <c r="AH118" t="str">
        <f>IF(Migrationsartikel!AC116="ja","true",FALSE)</f>
        <v>true</v>
      </c>
      <c r="AI118" t="str">
        <f>IF(Migrationsartikel!AD116="ja","true",FALSE)</f>
        <v>true</v>
      </c>
      <c r="AJ118" t="str">
        <f>IF(Migrationsartikel!AE116="ja","true",FALSE)</f>
        <v>true</v>
      </c>
      <c r="AK118" t="str">
        <f>IF(Migrationsartikel!AF116="ja","Denner Partner","")</f>
        <v/>
      </c>
      <c r="AL118" t="str">
        <f>IF(Migrationsartikel!AG116="ja","true","false")</f>
        <v>false</v>
      </c>
      <c r="AM118" t="str">
        <f t="shared" si="1"/>
        <v>PLU</v>
      </c>
      <c r="AN118" s="31" t="s">
        <v>219</v>
      </c>
      <c r="AO118" s="31" t="s">
        <v>217</v>
      </c>
    </row>
    <row r="119" spans="2:41" ht="21.75" customHeight="1" x14ac:dyDescent="0.45">
      <c r="B119" t="s">
        <v>99</v>
      </c>
      <c r="E119" s="31" t="s">
        <v>1529</v>
      </c>
      <c r="F119" t="str">
        <f>"Warengruppe&gt;&gt;"&amp;Migrationsartikel!V117&amp;"&gt;&gt;"&amp;Migrationsartikel!W117&amp;"&gt;&gt;"&amp;Migrationsartikel!X117</f>
        <v>Warengruppe&gt;&gt;Getränke&gt;&gt;Bier&gt;&gt;Bier</v>
      </c>
      <c r="H119" s="31" t="s">
        <v>109</v>
      </c>
      <c r="I119" s="31" t="s">
        <v>121</v>
      </c>
      <c r="J119" s="31">
        <f>Migrationsartikel!B117</f>
        <v>867</v>
      </c>
      <c r="L119" t="str">
        <f>Migrationsartikel!F117&amp;" "&amp;Migrationsartikel!G117&amp;" "&amp;Migrationsartikel!H117</f>
        <v>Bier aus der Region 6x25cl</v>
      </c>
      <c r="M119" t="str">
        <f>Migrationsartikel!J117&amp;" "&amp;Migrationsartikel!K117&amp;" "&amp;Migrationsartikel!L117</f>
        <v>Bière de la région 6x25cl</v>
      </c>
      <c r="N119" t="str">
        <f>Migrationsartikel!N117&amp;" "&amp;Migrationsartikel!O117&amp;" "&amp;Migrationsartikel!P117</f>
        <v>Birra della regione 6x25cl</v>
      </c>
      <c r="O119" t="str">
        <f>Migrationsartikel!F117</f>
        <v>Bier</v>
      </c>
      <c r="P119" t="str">
        <f>Migrationsartikel!J117</f>
        <v>Bière</v>
      </c>
      <c r="Q119" t="str">
        <f>Migrationsartikel!N117</f>
        <v>Birra</v>
      </c>
      <c r="R119" t="str">
        <f>Migrationsartikel!G117</f>
        <v>aus der Region</v>
      </c>
      <c r="S119" t="str">
        <f>Migrationsartikel!K117</f>
        <v>de la région</v>
      </c>
      <c r="T119" t="str">
        <f>Migrationsartikel!O117</f>
        <v>della regione</v>
      </c>
      <c r="U119" s="31" t="str">
        <f>Migrationsartikel!H117</f>
        <v>6x25cl</v>
      </c>
      <c r="V119" s="31" t="str">
        <f>Migrationsartikel!L117</f>
        <v>6x25cl</v>
      </c>
      <c r="W119" s="31" t="str">
        <f>Migrationsartikel!P117</f>
        <v>6x25cl</v>
      </c>
      <c r="X119" t="str">
        <f>Migrationsartikel!I117</f>
        <v>Bier 6x25cl</v>
      </c>
      <c r="Y119" t="str">
        <f>Migrationsartikel!M117</f>
        <v>Bière 6x25cl</v>
      </c>
      <c r="Z119" t="str">
        <f>Migrationsartikel!Q117</f>
        <v>Birra 6x25cl</v>
      </c>
      <c r="AA119" s="45">
        <f>Migrationsartikel!R117</f>
        <v>0.25</v>
      </c>
      <c r="AB119" s="46" t="str">
        <f>Migrationsartikel!T117</f>
        <v>Centiliter</v>
      </c>
      <c r="AC119">
        <f>Migrationsartikel!S117</f>
        <v>10</v>
      </c>
      <c r="AD119" t="str">
        <f>Migrationsartikel!U117</f>
        <v>(PCE) Stück</v>
      </c>
      <c r="AE119" s="31" t="s">
        <v>179</v>
      </c>
      <c r="AF119" s="31" t="s">
        <v>192</v>
      </c>
      <c r="AG119" t="str">
        <f>IF(Migrationsartikel!AB117="ja","true",FALSE)</f>
        <v>true</v>
      </c>
      <c r="AH119" t="str">
        <f>IF(Migrationsartikel!AC117="ja","true",FALSE)</f>
        <v>true</v>
      </c>
      <c r="AI119" t="str">
        <f>IF(Migrationsartikel!AD117="ja","true",FALSE)</f>
        <v>true</v>
      </c>
      <c r="AJ119" t="str">
        <f>IF(Migrationsartikel!AE117="ja","true",FALSE)</f>
        <v>true</v>
      </c>
      <c r="AK119" t="str">
        <f>IF(Migrationsartikel!AF117="ja","Denner Partner","")</f>
        <v/>
      </c>
      <c r="AL119" t="str">
        <f>IF(Migrationsartikel!AG117="ja","true","false")</f>
        <v>false</v>
      </c>
      <c r="AM119" t="str">
        <f t="shared" si="1"/>
        <v>PLU</v>
      </c>
      <c r="AN119" s="31" t="s">
        <v>219</v>
      </c>
      <c r="AO119" s="31" t="s">
        <v>217</v>
      </c>
    </row>
    <row r="120" spans="2:41" ht="21.75" customHeight="1" x14ac:dyDescent="0.45">
      <c r="B120" t="s">
        <v>99</v>
      </c>
      <c r="E120" s="31" t="s">
        <v>1530</v>
      </c>
      <c r="F120" t="str">
        <f>"Warengruppe&gt;&gt;"&amp;Migrationsartikel!V118&amp;"&gt;&gt;"&amp;Migrationsartikel!W118&amp;"&gt;&gt;"&amp;Migrationsartikel!X118</f>
        <v>Warengruppe&gt;&gt;Getränke&gt;&gt;Bier&gt;&gt;Bier</v>
      </c>
      <c r="H120" s="31" t="s">
        <v>109</v>
      </c>
      <c r="I120" s="31" t="s">
        <v>121</v>
      </c>
      <c r="J120" s="31">
        <f>Migrationsartikel!B118</f>
        <v>868</v>
      </c>
      <c r="L120" t="str">
        <f>Migrationsartikel!F118&amp;" "&amp;Migrationsartikel!G118&amp;" "&amp;Migrationsartikel!H118</f>
        <v>Bier aus der Region 4x25cl</v>
      </c>
      <c r="M120" t="str">
        <f>Migrationsartikel!J118&amp;" "&amp;Migrationsartikel!K118&amp;" "&amp;Migrationsartikel!L118</f>
        <v>Bière de la région 4x25cl</v>
      </c>
      <c r="N120" t="str">
        <f>Migrationsartikel!N118&amp;" "&amp;Migrationsartikel!O118&amp;" "&amp;Migrationsartikel!P118</f>
        <v>Birra della regione 4x25cl</v>
      </c>
      <c r="O120" t="str">
        <f>Migrationsartikel!F118</f>
        <v>Bier</v>
      </c>
      <c r="P120" t="str">
        <f>Migrationsartikel!J118</f>
        <v>Bière</v>
      </c>
      <c r="Q120" t="str">
        <f>Migrationsartikel!N118</f>
        <v>Birra</v>
      </c>
      <c r="R120" t="str">
        <f>Migrationsartikel!G118</f>
        <v>aus der Region</v>
      </c>
      <c r="S120" t="str">
        <f>Migrationsartikel!K118</f>
        <v>de la région</v>
      </c>
      <c r="T120" t="str">
        <f>Migrationsartikel!O118</f>
        <v>della regione</v>
      </c>
      <c r="U120" s="31" t="str">
        <f>Migrationsartikel!H118</f>
        <v>4x25cl</v>
      </c>
      <c r="V120" s="31" t="str">
        <f>Migrationsartikel!L118</f>
        <v>4x25cl</v>
      </c>
      <c r="W120" s="31" t="str">
        <f>Migrationsartikel!P118</f>
        <v>4x25cl</v>
      </c>
      <c r="X120" t="str">
        <f>Migrationsartikel!I118</f>
        <v>Bier 4x25cl</v>
      </c>
      <c r="Y120" t="str">
        <f>Migrationsartikel!M118</f>
        <v>Bière 4x25cl</v>
      </c>
      <c r="Z120" t="str">
        <f>Migrationsartikel!Q118</f>
        <v>Birra 4x25cl</v>
      </c>
      <c r="AA120" s="45">
        <f>Migrationsartikel!R118</f>
        <v>0.25</v>
      </c>
      <c r="AB120" s="46" t="str">
        <f>Migrationsartikel!T118</f>
        <v>Centiliter</v>
      </c>
      <c r="AC120">
        <f>Migrationsartikel!S118</f>
        <v>10</v>
      </c>
      <c r="AD120" t="str">
        <f>Migrationsartikel!U118</f>
        <v>(PCE) Stück</v>
      </c>
      <c r="AE120" s="31" t="s">
        <v>179</v>
      </c>
      <c r="AF120" s="31" t="s">
        <v>192</v>
      </c>
      <c r="AG120" t="str">
        <f>IF(Migrationsartikel!AB118="ja","true",FALSE)</f>
        <v>true</v>
      </c>
      <c r="AH120" t="str">
        <f>IF(Migrationsartikel!AC118="ja","true",FALSE)</f>
        <v>true</v>
      </c>
      <c r="AI120" t="str">
        <f>IF(Migrationsartikel!AD118="ja","true",FALSE)</f>
        <v>true</v>
      </c>
      <c r="AJ120" t="str">
        <f>IF(Migrationsartikel!AE118="ja","true",FALSE)</f>
        <v>true</v>
      </c>
      <c r="AK120" t="str">
        <f>IF(Migrationsartikel!AF118="ja","Denner Partner","")</f>
        <v/>
      </c>
      <c r="AL120" t="str">
        <f>IF(Migrationsartikel!AG118="ja","true","false")</f>
        <v>false</v>
      </c>
      <c r="AM120" t="str">
        <f t="shared" si="1"/>
        <v>PLU</v>
      </c>
      <c r="AN120" s="31" t="s">
        <v>219</v>
      </c>
      <c r="AO120" s="31" t="s">
        <v>217</v>
      </c>
    </row>
    <row r="121" spans="2:41" ht="21.75" customHeight="1" x14ac:dyDescent="0.45">
      <c r="B121" t="s">
        <v>99</v>
      </c>
      <c r="E121" s="31" t="s">
        <v>1531</v>
      </c>
      <c r="F121" t="str">
        <f>"Warengruppe&gt;&gt;"&amp;Migrationsartikel!V119&amp;"&gt;&gt;"&amp;Migrationsartikel!W119&amp;"&gt;&gt;"&amp;Migrationsartikel!X119</f>
        <v>Warengruppe&gt;&gt;Getränke&gt;&gt;Bier&gt;&gt;Bier</v>
      </c>
      <c r="H121" s="31" t="s">
        <v>109</v>
      </c>
      <c r="I121" s="31" t="s">
        <v>121</v>
      </c>
      <c r="J121" s="31">
        <f>Migrationsartikel!B119</f>
        <v>869</v>
      </c>
      <c r="L121" t="str">
        <f>Migrationsartikel!F119&amp;" "&amp;Migrationsartikel!G119&amp;" "&amp;Migrationsartikel!H119</f>
        <v>Bier aus der Region 25cl</v>
      </c>
      <c r="M121" t="str">
        <f>Migrationsartikel!J119&amp;" "&amp;Migrationsartikel!K119&amp;" "&amp;Migrationsartikel!L119</f>
        <v>Bière de la région 25cl</v>
      </c>
      <c r="N121" t="str">
        <f>Migrationsartikel!N119&amp;" "&amp;Migrationsartikel!O119&amp;" "&amp;Migrationsartikel!P119</f>
        <v>Birra della regione 25cl</v>
      </c>
      <c r="O121" t="str">
        <f>Migrationsartikel!F119</f>
        <v>Bier</v>
      </c>
      <c r="P121" t="str">
        <f>Migrationsartikel!J119</f>
        <v>Bière</v>
      </c>
      <c r="Q121" t="str">
        <f>Migrationsartikel!N119</f>
        <v>Birra</v>
      </c>
      <c r="R121" t="str">
        <f>Migrationsartikel!G119</f>
        <v>aus der Region</v>
      </c>
      <c r="S121" t="str">
        <f>Migrationsartikel!K119</f>
        <v>de la région</v>
      </c>
      <c r="T121" t="str">
        <f>Migrationsartikel!O119</f>
        <v>della regione</v>
      </c>
      <c r="U121" s="31" t="str">
        <f>Migrationsartikel!H119</f>
        <v>25cl</v>
      </c>
      <c r="V121" s="31" t="str">
        <f>Migrationsartikel!L119</f>
        <v>25cl</v>
      </c>
      <c r="W121" s="31" t="str">
        <f>Migrationsartikel!P119</f>
        <v>25cl</v>
      </c>
      <c r="X121" t="str">
        <f>Migrationsartikel!I119</f>
        <v>Bier 25cl</v>
      </c>
      <c r="Y121" t="str">
        <f>Migrationsartikel!M119</f>
        <v>Bière 25cl</v>
      </c>
      <c r="Z121" t="str">
        <f>Migrationsartikel!Q119</f>
        <v>Birra 25cl</v>
      </c>
      <c r="AA121" s="45">
        <f>Migrationsartikel!R119</f>
        <v>0.25</v>
      </c>
      <c r="AB121" s="46" t="str">
        <f>Migrationsartikel!T119</f>
        <v>Centiliter</v>
      </c>
      <c r="AC121">
        <f>Migrationsartikel!S119</f>
        <v>10</v>
      </c>
      <c r="AD121" t="str">
        <f>Migrationsartikel!U119</f>
        <v>(PCE) Stück</v>
      </c>
      <c r="AE121" s="31" t="s">
        <v>179</v>
      </c>
      <c r="AF121" s="31" t="s">
        <v>192</v>
      </c>
      <c r="AG121" t="str">
        <f>IF(Migrationsartikel!AB119="ja","true",FALSE)</f>
        <v>true</v>
      </c>
      <c r="AH121" t="str">
        <f>IF(Migrationsartikel!AC119="ja","true",FALSE)</f>
        <v>true</v>
      </c>
      <c r="AI121" t="str">
        <f>IF(Migrationsartikel!AD119="ja","true",FALSE)</f>
        <v>true</v>
      </c>
      <c r="AJ121" t="str">
        <f>IF(Migrationsartikel!AE119="ja","true",FALSE)</f>
        <v>true</v>
      </c>
      <c r="AK121" t="str">
        <f>IF(Migrationsartikel!AF119="ja","Denner Partner","")</f>
        <v/>
      </c>
      <c r="AL121" t="str">
        <f>IF(Migrationsartikel!AG119="ja","true","false")</f>
        <v>false</v>
      </c>
      <c r="AM121" t="str">
        <f t="shared" si="1"/>
        <v>PLU</v>
      </c>
      <c r="AN121" s="31" t="s">
        <v>219</v>
      </c>
      <c r="AO121" s="31" t="s">
        <v>217</v>
      </c>
    </row>
    <row r="122" spans="2:41" ht="21.75" customHeight="1" x14ac:dyDescent="0.45">
      <c r="B122" t="s">
        <v>99</v>
      </c>
      <c r="E122" s="31" t="s">
        <v>1532</v>
      </c>
      <c r="F122" t="str">
        <f>"Warengruppe&gt;&gt;"&amp;Migrationsartikel!V120&amp;"&gt;&gt;"&amp;Migrationsartikel!W120&amp;"&gt;&gt;"&amp;Migrationsartikel!X120</f>
        <v>Warengruppe&gt;&gt;Getränke&gt;&gt;Bier&gt;&gt;Bier</v>
      </c>
      <c r="H122" s="31" t="s">
        <v>109</v>
      </c>
      <c r="I122" s="31" t="s">
        <v>121</v>
      </c>
      <c r="J122" s="31">
        <f>Migrationsartikel!B120</f>
        <v>870</v>
      </c>
      <c r="L122" t="str">
        <f>Migrationsartikel!F120&amp;" "&amp;Migrationsartikel!G120&amp;" "&amp;Migrationsartikel!H120</f>
        <v>Bier aus der Region 10x33cl</v>
      </c>
      <c r="M122" t="str">
        <f>Migrationsartikel!J120&amp;" "&amp;Migrationsartikel!K120&amp;" "&amp;Migrationsartikel!L120</f>
        <v>Bière de la région 10x33cl</v>
      </c>
      <c r="N122" t="str">
        <f>Migrationsartikel!N120&amp;" "&amp;Migrationsartikel!O120&amp;" "&amp;Migrationsartikel!P120</f>
        <v>Birra della regione 10x33cl</v>
      </c>
      <c r="O122" t="str">
        <f>Migrationsartikel!F120</f>
        <v>Bier</v>
      </c>
      <c r="P122" t="str">
        <f>Migrationsartikel!J120</f>
        <v>Bière</v>
      </c>
      <c r="Q122" t="str">
        <f>Migrationsartikel!N120</f>
        <v>Birra</v>
      </c>
      <c r="R122" t="str">
        <f>Migrationsartikel!G120</f>
        <v>aus der Region</v>
      </c>
      <c r="S122" t="str">
        <f>Migrationsartikel!K120</f>
        <v>de la région</v>
      </c>
      <c r="T122" t="str">
        <f>Migrationsartikel!O120</f>
        <v>della regione</v>
      </c>
      <c r="U122" s="31" t="str">
        <f>Migrationsartikel!H120</f>
        <v>10x33cl</v>
      </c>
      <c r="V122" s="31" t="str">
        <f>Migrationsartikel!L120</f>
        <v>10x33cl</v>
      </c>
      <c r="W122" s="31" t="str">
        <f>Migrationsartikel!P120</f>
        <v>10x33cl</v>
      </c>
      <c r="X122" t="str">
        <f>Migrationsartikel!I120</f>
        <v>Bier 10x33cl</v>
      </c>
      <c r="Y122" t="str">
        <f>Migrationsartikel!M120</f>
        <v>Bière 10x33cl</v>
      </c>
      <c r="Z122" t="str">
        <f>Migrationsartikel!Q120</f>
        <v>Birra 10x33cl</v>
      </c>
      <c r="AA122" s="45">
        <f>Migrationsartikel!R120</f>
        <v>0.33</v>
      </c>
      <c r="AB122" s="46" t="str">
        <f>Migrationsartikel!T120</f>
        <v>Centiliter</v>
      </c>
      <c r="AC122">
        <f>Migrationsartikel!S120</f>
        <v>10</v>
      </c>
      <c r="AD122" t="str">
        <f>Migrationsartikel!U120</f>
        <v>(PCE) Stück</v>
      </c>
      <c r="AE122" s="31" t="s">
        <v>179</v>
      </c>
      <c r="AF122" s="31" t="s">
        <v>192</v>
      </c>
      <c r="AG122" t="str">
        <f>IF(Migrationsartikel!AB120="ja","true",FALSE)</f>
        <v>true</v>
      </c>
      <c r="AH122" t="str">
        <f>IF(Migrationsartikel!AC120="ja","true",FALSE)</f>
        <v>true</v>
      </c>
      <c r="AI122" t="str">
        <f>IF(Migrationsartikel!AD120="ja","true",FALSE)</f>
        <v>true</v>
      </c>
      <c r="AJ122" t="str">
        <f>IF(Migrationsartikel!AE120="ja","true",FALSE)</f>
        <v>true</v>
      </c>
      <c r="AK122" t="str">
        <f>IF(Migrationsartikel!AF120="ja","Denner Partner","")</f>
        <v/>
      </c>
      <c r="AL122" t="str">
        <f>IF(Migrationsartikel!AG120="ja","true","false")</f>
        <v>false</v>
      </c>
      <c r="AM122" t="str">
        <f t="shared" si="1"/>
        <v>PLU</v>
      </c>
      <c r="AN122" s="31" t="s">
        <v>219</v>
      </c>
      <c r="AO122" s="31" t="s">
        <v>217</v>
      </c>
    </row>
    <row r="123" spans="2:41" ht="21.75" customHeight="1" x14ac:dyDescent="0.45">
      <c r="B123" t="s">
        <v>99</v>
      </c>
      <c r="E123" s="31" t="s">
        <v>1533</v>
      </c>
      <c r="F123" t="str">
        <f>"Warengruppe&gt;&gt;"&amp;Migrationsartikel!V121&amp;"&gt;&gt;"&amp;Migrationsartikel!W121&amp;"&gt;&gt;"&amp;Migrationsartikel!X121</f>
        <v>Warengruppe&gt;&gt;Getränke&gt;&gt;Bier&gt;&gt;Bier</v>
      </c>
      <c r="H123" s="31" t="s">
        <v>109</v>
      </c>
      <c r="I123" s="31" t="s">
        <v>121</v>
      </c>
      <c r="J123" s="31">
        <f>Migrationsartikel!B121</f>
        <v>871</v>
      </c>
      <c r="L123" t="str">
        <f>Migrationsartikel!F121&amp;" "&amp;Migrationsartikel!G121&amp;" "&amp;Migrationsartikel!H121</f>
        <v>Bier aus der Region 6x33cl</v>
      </c>
      <c r="M123" t="str">
        <f>Migrationsartikel!J121&amp;" "&amp;Migrationsartikel!K121&amp;" "&amp;Migrationsartikel!L121</f>
        <v>Bière de la région 6x33cl</v>
      </c>
      <c r="N123" t="str">
        <f>Migrationsartikel!N121&amp;" "&amp;Migrationsartikel!O121&amp;" "&amp;Migrationsartikel!P121</f>
        <v>Birra della regione 6x33cl</v>
      </c>
      <c r="O123" t="str">
        <f>Migrationsartikel!F121</f>
        <v>Bier</v>
      </c>
      <c r="P123" t="str">
        <f>Migrationsartikel!J121</f>
        <v>Bière</v>
      </c>
      <c r="Q123" t="str">
        <f>Migrationsartikel!N121</f>
        <v>Birra</v>
      </c>
      <c r="R123" t="str">
        <f>Migrationsartikel!G121</f>
        <v>aus der Region</v>
      </c>
      <c r="S123" t="str">
        <f>Migrationsartikel!K121</f>
        <v>de la région</v>
      </c>
      <c r="T123" t="str">
        <f>Migrationsartikel!O121</f>
        <v>della regione</v>
      </c>
      <c r="U123" s="31" t="str">
        <f>Migrationsartikel!H121</f>
        <v>6x33cl</v>
      </c>
      <c r="V123" s="31" t="str">
        <f>Migrationsartikel!L121</f>
        <v>6x33cl</v>
      </c>
      <c r="W123" s="31" t="str">
        <f>Migrationsartikel!P121</f>
        <v>6x33cl</v>
      </c>
      <c r="X123" t="str">
        <f>Migrationsartikel!I121</f>
        <v>Bier 6x33cl</v>
      </c>
      <c r="Y123" t="str">
        <f>Migrationsartikel!M121</f>
        <v>Bière 6x33cl</v>
      </c>
      <c r="Z123" t="str">
        <f>Migrationsartikel!Q121</f>
        <v>Birra 6x33cl</v>
      </c>
      <c r="AA123" s="45">
        <f>Migrationsartikel!R121</f>
        <v>0.33</v>
      </c>
      <c r="AB123" s="46" t="str">
        <f>Migrationsartikel!T121</f>
        <v>Centiliter</v>
      </c>
      <c r="AC123">
        <f>Migrationsartikel!S121</f>
        <v>10</v>
      </c>
      <c r="AD123" t="str">
        <f>Migrationsartikel!U121</f>
        <v>(PCE) Stück</v>
      </c>
      <c r="AE123" s="31" t="s">
        <v>179</v>
      </c>
      <c r="AF123" s="31" t="s">
        <v>192</v>
      </c>
      <c r="AG123" t="str">
        <f>IF(Migrationsartikel!AB121="ja","true",FALSE)</f>
        <v>true</v>
      </c>
      <c r="AH123" t="str">
        <f>IF(Migrationsartikel!AC121="ja","true",FALSE)</f>
        <v>true</v>
      </c>
      <c r="AI123" t="str">
        <f>IF(Migrationsartikel!AD121="ja","true",FALSE)</f>
        <v>true</v>
      </c>
      <c r="AJ123" t="str">
        <f>IF(Migrationsartikel!AE121="ja","true",FALSE)</f>
        <v>true</v>
      </c>
      <c r="AK123" t="str">
        <f>IF(Migrationsartikel!AF121="ja","Denner Partner","")</f>
        <v/>
      </c>
      <c r="AL123" t="str">
        <f>IF(Migrationsartikel!AG121="ja","true","false")</f>
        <v>false</v>
      </c>
      <c r="AM123" t="str">
        <f t="shared" si="1"/>
        <v>PLU</v>
      </c>
      <c r="AN123" s="31" t="s">
        <v>219</v>
      </c>
      <c r="AO123" s="31" t="s">
        <v>217</v>
      </c>
    </row>
    <row r="124" spans="2:41" ht="21.75" customHeight="1" x14ac:dyDescent="0.45">
      <c r="B124" t="s">
        <v>99</v>
      </c>
      <c r="E124" s="31" t="s">
        <v>1534</v>
      </c>
      <c r="F124" t="str">
        <f>"Warengruppe&gt;&gt;"&amp;Migrationsartikel!V122&amp;"&gt;&gt;"&amp;Migrationsartikel!W122&amp;"&gt;&gt;"&amp;Migrationsartikel!X122</f>
        <v>Warengruppe&gt;&gt;Getränke&gt;&gt;Bier&gt;&gt;Bier</v>
      </c>
      <c r="H124" s="31" t="s">
        <v>109</v>
      </c>
      <c r="I124" s="31" t="s">
        <v>121</v>
      </c>
      <c r="J124" s="31">
        <f>Migrationsartikel!B122</f>
        <v>872</v>
      </c>
      <c r="L124" t="str">
        <f>Migrationsartikel!F122&amp;" "&amp;Migrationsartikel!G122&amp;" "&amp;Migrationsartikel!H122</f>
        <v>Bier aus der Region 4x33cl</v>
      </c>
      <c r="M124" t="str">
        <f>Migrationsartikel!J122&amp;" "&amp;Migrationsartikel!K122&amp;" "&amp;Migrationsartikel!L122</f>
        <v>Bière de la région 4x33cl</v>
      </c>
      <c r="N124" t="str">
        <f>Migrationsartikel!N122&amp;" "&amp;Migrationsartikel!O122&amp;" "&amp;Migrationsartikel!P122</f>
        <v>Birra della regione 4x33cl</v>
      </c>
      <c r="O124" t="str">
        <f>Migrationsartikel!F122</f>
        <v>Bier</v>
      </c>
      <c r="P124" t="str">
        <f>Migrationsartikel!J122</f>
        <v>Bière</v>
      </c>
      <c r="Q124" t="str">
        <f>Migrationsartikel!N122</f>
        <v>Birra</v>
      </c>
      <c r="R124" t="str">
        <f>Migrationsartikel!G122</f>
        <v>aus der Region</v>
      </c>
      <c r="S124" t="str">
        <f>Migrationsartikel!K122</f>
        <v>de la région</v>
      </c>
      <c r="T124" t="str">
        <f>Migrationsartikel!O122</f>
        <v>della regione</v>
      </c>
      <c r="U124" s="31" t="str">
        <f>Migrationsartikel!H122</f>
        <v>4x33cl</v>
      </c>
      <c r="V124" s="31" t="str">
        <f>Migrationsartikel!L122</f>
        <v>4x33cl</v>
      </c>
      <c r="W124" s="31" t="str">
        <f>Migrationsartikel!P122</f>
        <v>4x33cl</v>
      </c>
      <c r="X124" t="str">
        <f>Migrationsartikel!I122</f>
        <v>Bier 4x33cl</v>
      </c>
      <c r="Y124" t="str">
        <f>Migrationsartikel!M122</f>
        <v>Bière 4x33cl</v>
      </c>
      <c r="Z124" t="str">
        <f>Migrationsartikel!Q122</f>
        <v>Birra 4x33cl</v>
      </c>
      <c r="AA124" s="45">
        <f>Migrationsartikel!R122</f>
        <v>0.33</v>
      </c>
      <c r="AB124" s="46" t="str">
        <f>Migrationsartikel!T122</f>
        <v>Centiliter</v>
      </c>
      <c r="AC124">
        <f>Migrationsartikel!S122</f>
        <v>10</v>
      </c>
      <c r="AD124" t="str">
        <f>Migrationsartikel!U122</f>
        <v>(PCE) Stück</v>
      </c>
      <c r="AE124" s="31" t="s">
        <v>179</v>
      </c>
      <c r="AF124" s="31" t="s">
        <v>192</v>
      </c>
      <c r="AG124" t="str">
        <f>IF(Migrationsartikel!AB122="ja","true",FALSE)</f>
        <v>true</v>
      </c>
      <c r="AH124" t="str">
        <f>IF(Migrationsartikel!AC122="ja","true",FALSE)</f>
        <v>true</v>
      </c>
      <c r="AI124" t="str">
        <f>IF(Migrationsartikel!AD122="ja","true",FALSE)</f>
        <v>true</v>
      </c>
      <c r="AJ124" t="str">
        <f>IF(Migrationsartikel!AE122="ja","true",FALSE)</f>
        <v>true</v>
      </c>
      <c r="AK124" t="str">
        <f>IF(Migrationsartikel!AF122="ja","Denner Partner","")</f>
        <v/>
      </c>
      <c r="AL124" t="str">
        <f>IF(Migrationsartikel!AG122="ja","true","false")</f>
        <v>false</v>
      </c>
      <c r="AM124" t="str">
        <f t="shared" si="1"/>
        <v>PLU</v>
      </c>
      <c r="AN124" s="31" t="s">
        <v>219</v>
      </c>
      <c r="AO124" s="31" t="s">
        <v>217</v>
      </c>
    </row>
    <row r="125" spans="2:41" ht="21.75" customHeight="1" x14ac:dyDescent="0.45">
      <c r="B125" t="s">
        <v>99</v>
      </c>
      <c r="E125" s="31" t="s">
        <v>1535</v>
      </c>
      <c r="F125" t="str">
        <f>"Warengruppe&gt;&gt;"&amp;Migrationsartikel!V123&amp;"&gt;&gt;"&amp;Migrationsartikel!W123&amp;"&gt;&gt;"&amp;Migrationsartikel!X123</f>
        <v>Warengruppe&gt;&gt;Getränke&gt;&gt;Bier&gt;&gt;Bier</v>
      </c>
      <c r="H125" s="31" t="s">
        <v>109</v>
      </c>
      <c r="I125" s="31" t="s">
        <v>121</v>
      </c>
      <c r="J125" s="31">
        <f>Migrationsartikel!B123</f>
        <v>873</v>
      </c>
      <c r="L125" t="str">
        <f>Migrationsartikel!F123&amp;" "&amp;Migrationsartikel!G123&amp;" "&amp;Migrationsartikel!H123</f>
        <v>Bier aus der Region 3x33cl</v>
      </c>
      <c r="M125" t="str">
        <f>Migrationsartikel!J123&amp;" "&amp;Migrationsartikel!K123&amp;" "&amp;Migrationsartikel!L123</f>
        <v>Bière de la région 3x33cl</v>
      </c>
      <c r="N125" t="str">
        <f>Migrationsartikel!N123&amp;" "&amp;Migrationsartikel!O123&amp;" "&amp;Migrationsartikel!P123</f>
        <v>Birra della regione 3x33cl</v>
      </c>
      <c r="O125" t="str">
        <f>Migrationsartikel!F123</f>
        <v>Bier</v>
      </c>
      <c r="P125" t="str">
        <f>Migrationsartikel!J123</f>
        <v>Bière</v>
      </c>
      <c r="Q125" t="str">
        <f>Migrationsartikel!N123</f>
        <v>Birra</v>
      </c>
      <c r="R125" t="str">
        <f>Migrationsartikel!G123</f>
        <v>aus der Region</v>
      </c>
      <c r="S125" t="str">
        <f>Migrationsartikel!K123</f>
        <v>de la région</v>
      </c>
      <c r="T125" t="str">
        <f>Migrationsartikel!O123</f>
        <v>della regione</v>
      </c>
      <c r="U125" s="31" t="str">
        <f>Migrationsartikel!H123</f>
        <v>3x33cl</v>
      </c>
      <c r="V125" s="31" t="str">
        <f>Migrationsartikel!L123</f>
        <v>3x33cl</v>
      </c>
      <c r="W125" s="31" t="str">
        <f>Migrationsartikel!P123</f>
        <v>3x33cl</v>
      </c>
      <c r="X125" t="str">
        <f>Migrationsartikel!I123</f>
        <v>Bier 3x33cl</v>
      </c>
      <c r="Y125" t="str">
        <f>Migrationsartikel!M123</f>
        <v>Bière 3x33cl</v>
      </c>
      <c r="Z125" t="str">
        <f>Migrationsartikel!Q123</f>
        <v>Birra 3x33cl</v>
      </c>
      <c r="AA125" s="45">
        <f>Migrationsartikel!R123</f>
        <v>0.33</v>
      </c>
      <c r="AB125" s="46" t="str">
        <f>Migrationsartikel!T123</f>
        <v>Centiliter</v>
      </c>
      <c r="AC125">
        <f>Migrationsartikel!S123</f>
        <v>10</v>
      </c>
      <c r="AD125" t="str">
        <f>Migrationsartikel!U123</f>
        <v>(PCE) Stück</v>
      </c>
      <c r="AE125" s="31" t="s">
        <v>179</v>
      </c>
      <c r="AF125" s="31" t="s">
        <v>192</v>
      </c>
      <c r="AG125" t="str">
        <f>IF(Migrationsartikel!AB123="ja","true",FALSE)</f>
        <v>true</v>
      </c>
      <c r="AH125" t="str">
        <f>IF(Migrationsartikel!AC123="ja","true",FALSE)</f>
        <v>true</v>
      </c>
      <c r="AI125" t="str">
        <f>IF(Migrationsartikel!AD123="ja","true",FALSE)</f>
        <v>true</v>
      </c>
      <c r="AJ125" t="str">
        <f>IF(Migrationsartikel!AE123="ja","true",FALSE)</f>
        <v>true</v>
      </c>
      <c r="AK125" t="str">
        <f>IF(Migrationsartikel!AF123="ja","Denner Partner","")</f>
        <v/>
      </c>
      <c r="AL125" t="str">
        <f>IF(Migrationsartikel!AG123="ja","true","false")</f>
        <v>false</v>
      </c>
      <c r="AM125" t="str">
        <f t="shared" si="1"/>
        <v>PLU</v>
      </c>
      <c r="AN125" s="31" t="s">
        <v>219</v>
      </c>
      <c r="AO125" s="31" t="s">
        <v>217</v>
      </c>
    </row>
    <row r="126" spans="2:41" ht="21.75" customHeight="1" x14ac:dyDescent="0.45">
      <c r="B126" t="s">
        <v>99</v>
      </c>
      <c r="E126" s="31" t="s">
        <v>1536</v>
      </c>
      <c r="F126" t="str">
        <f>"Warengruppe&gt;&gt;"&amp;Migrationsartikel!V124&amp;"&gt;&gt;"&amp;Migrationsartikel!W124&amp;"&gt;&gt;"&amp;Migrationsartikel!X124</f>
        <v>Warengruppe&gt;&gt;Getränke&gt;&gt;Bier&gt;&gt;Bier</v>
      </c>
      <c r="H126" s="31" t="s">
        <v>109</v>
      </c>
      <c r="I126" s="31" t="s">
        <v>121</v>
      </c>
      <c r="J126" s="31">
        <f>Migrationsartikel!B124</f>
        <v>874</v>
      </c>
      <c r="L126" t="str">
        <f>Migrationsartikel!F124&amp;" "&amp;Migrationsartikel!G124&amp;" "&amp;Migrationsartikel!H124</f>
        <v>Bier aus der Region 33cl</v>
      </c>
      <c r="M126" t="str">
        <f>Migrationsartikel!J124&amp;" "&amp;Migrationsartikel!K124&amp;" "&amp;Migrationsartikel!L124</f>
        <v>Bière de la région 33cl</v>
      </c>
      <c r="N126" t="str">
        <f>Migrationsartikel!N124&amp;" "&amp;Migrationsartikel!O124&amp;" "&amp;Migrationsartikel!P124</f>
        <v>Birra della regione 33cl</v>
      </c>
      <c r="O126" t="str">
        <f>Migrationsartikel!F124</f>
        <v>Bier</v>
      </c>
      <c r="P126" t="str">
        <f>Migrationsartikel!J124</f>
        <v>Bière</v>
      </c>
      <c r="Q126" t="str">
        <f>Migrationsartikel!N124</f>
        <v>Birra</v>
      </c>
      <c r="R126" t="str">
        <f>Migrationsartikel!G124</f>
        <v>aus der Region</v>
      </c>
      <c r="S126" t="str">
        <f>Migrationsartikel!K124</f>
        <v>de la région</v>
      </c>
      <c r="T126" t="str">
        <f>Migrationsartikel!O124</f>
        <v>della regione</v>
      </c>
      <c r="U126" s="31" t="str">
        <f>Migrationsartikel!H124</f>
        <v>33cl</v>
      </c>
      <c r="V126" s="31" t="str">
        <f>Migrationsartikel!L124</f>
        <v>33cl</v>
      </c>
      <c r="W126" s="31" t="str">
        <f>Migrationsartikel!P124</f>
        <v>33cl</v>
      </c>
      <c r="X126" t="str">
        <f>Migrationsartikel!I124</f>
        <v>Bier 33cl</v>
      </c>
      <c r="Y126" t="str">
        <f>Migrationsartikel!M124</f>
        <v>Bière 33cl</v>
      </c>
      <c r="Z126" t="str">
        <f>Migrationsartikel!Q124</f>
        <v>Birra 33cl</v>
      </c>
      <c r="AA126" s="45">
        <f>Migrationsartikel!R124</f>
        <v>0.33</v>
      </c>
      <c r="AB126" s="46" t="str">
        <f>Migrationsartikel!T124</f>
        <v>Centiliter</v>
      </c>
      <c r="AC126">
        <f>Migrationsartikel!S124</f>
        <v>10</v>
      </c>
      <c r="AD126" t="str">
        <f>Migrationsartikel!U124</f>
        <v>(PCE) Stück</v>
      </c>
      <c r="AE126" s="31" t="s">
        <v>179</v>
      </c>
      <c r="AF126" s="31" t="s">
        <v>192</v>
      </c>
      <c r="AG126" t="str">
        <f>IF(Migrationsartikel!AB124="ja","true",FALSE)</f>
        <v>true</v>
      </c>
      <c r="AH126" t="str">
        <f>IF(Migrationsartikel!AC124="ja","true",FALSE)</f>
        <v>true</v>
      </c>
      <c r="AI126" t="str">
        <f>IF(Migrationsartikel!AD124="ja","true",FALSE)</f>
        <v>true</v>
      </c>
      <c r="AJ126" t="str">
        <f>IF(Migrationsartikel!AE124="ja","true",FALSE)</f>
        <v>true</v>
      </c>
      <c r="AK126" t="str">
        <f>IF(Migrationsartikel!AF124="ja","Denner Partner","")</f>
        <v/>
      </c>
      <c r="AL126" t="str">
        <f>IF(Migrationsartikel!AG124="ja","true","false")</f>
        <v>false</v>
      </c>
      <c r="AM126" t="str">
        <f t="shared" si="1"/>
        <v>PLU</v>
      </c>
      <c r="AN126" s="31" t="s">
        <v>219</v>
      </c>
      <c r="AO126" s="31" t="s">
        <v>217</v>
      </c>
    </row>
    <row r="127" spans="2:41" ht="21.75" customHeight="1" x14ac:dyDescent="0.45">
      <c r="B127" t="s">
        <v>99</v>
      </c>
      <c r="E127" s="31" t="s">
        <v>1537</v>
      </c>
      <c r="F127" t="str">
        <f>"Warengruppe&gt;&gt;"&amp;Migrationsartikel!V125&amp;"&gt;&gt;"&amp;Migrationsartikel!W125&amp;"&gt;&gt;"&amp;Migrationsartikel!X125</f>
        <v>Warengruppe&gt;&gt;Getränke&gt;&gt;Bier&gt;&gt;Bier</v>
      </c>
      <c r="H127" s="31" t="s">
        <v>109</v>
      </c>
      <c r="I127" s="31" t="s">
        <v>121</v>
      </c>
      <c r="J127" s="31">
        <f>Migrationsartikel!B125</f>
        <v>875</v>
      </c>
      <c r="L127" t="str">
        <f>Migrationsartikel!F125&amp;" "&amp;Migrationsartikel!G125&amp;" "&amp;Migrationsartikel!H125</f>
        <v>Bier aus der Region 6x50cl</v>
      </c>
      <c r="M127" t="str">
        <f>Migrationsartikel!J125&amp;" "&amp;Migrationsartikel!K125&amp;" "&amp;Migrationsartikel!L125</f>
        <v>Bière de la région 6x50cl</v>
      </c>
      <c r="N127" t="str">
        <f>Migrationsartikel!N125&amp;" "&amp;Migrationsartikel!O125&amp;" "&amp;Migrationsartikel!P125</f>
        <v>Birra della regione 6x50cl</v>
      </c>
      <c r="O127" t="str">
        <f>Migrationsartikel!F125</f>
        <v>Bier</v>
      </c>
      <c r="P127" t="str">
        <f>Migrationsartikel!J125</f>
        <v>Bière</v>
      </c>
      <c r="Q127" t="str">
        <f>Migrationsartikel!N125</f>
        <v>Birra</v>
      </c>
      <c r="R127" t="str">
        <f>Migrationsartikel!G125</f>
        <v>aus der Region</v>
      </c>
      <c r="S127" t="str">
        <f>Migrationsartikel!K125</f>
        <v>de la région</v>
      </c>
      <c r="T127" t="str">
        <f>Migrationsartikel!O125</f>
        <v>della regione</v>
      </c>
      <c r="U127" s="31" t="str">
        <f>Migrationsartikel!H125</f>
        <v>6x50cl</v>
      </c>
      <c r="V127" s="31" t="str">
        <f>Migrationsartikel!L125</f>
        <v>6x50cl</v>
      </c>
      <c r="W127" s="31" t="str">
        <f>Migrationsartikel!P125</f>
        <v>6x50cl</v>
      </c>
      <c r="X127" t="str">
        <f>Migrationsartikel!I125</f>
        <v>Bier 6x50cl</v>
      </c>
      <c r="Y127" t="str">
        <f>Migrationsartikel!M125</f>
        <v>Bière 6x50cl</v>
      </c>
      <c r="Z127" t="str">
        <f>Migrationsartikel!Q125</f>
        <v>Birra 6x50cl</v>
      </c>
      <c r="AA127" s="45">
        <f>Migrationsartikel!R125</f>
        <v>0.5</v>
      </c>
      <c r="AB127" s="46" t="str">
        <f>Migrationsartikel!T125</f>
        <v>Centiliter</v>
      </c>
      <c r="AC127">
        <f>Migrationsartikel!S125</f>
        <v>10</v>
      </c>
      <c r="AD127" t="str">
        <f>Migrationsartikel!U125</f>
        <v>(PCE) Stück</v>
      </c>
      <c r="AE127" s="31" t="s">
        <v>179</v>
      </c>
      <c r="AF127" s="31" t="s">
        <v>192</v>
      </c>
      <c r="AG127" t="str">
        <f>IF(Migrationsartikel!AB125="ja","true",FALSE)</f>
        <v>true</v>
      </c>
      <c r="AH127" t="str">
        <f>IF(Migrationsartikel!AC125="ja","true",FALSE)</f>
        <v>true</v>
      </c>
      <c r="AI127" t="str">
        <f>IF(Migrationsartikel!AD125="ja","true",FALSE)</f>
        <v>true</v>
      </c>
      <c r="AJ127" t="str">
        <f>IF(Migrationsartikel!AE125="ja","true",FALSE)</f>
        <v>true</v>
      </c>
      <c r="AK127" t="str">
        <f>IF(Migrationsartikel!AF125="ja","Denner Partner","")</f>
        <v/>
      </c>
      <c r="AL127" t="str">
        <f>IF(Migrationsartikel!AG125="ja","true","false")</f>
        <v>false</v>
      </c>
      <c r="AM127" t="str">
        <f t="shared" si="1"/>
        <v>PLU</v>
      </c>
      <c r="AN127" s="31" t="s">
        <v>219</v>
      </c>
      <c r="AO127" s="31" t="s">
        <v>217</v>
      </c>
    </row>
    <row r="128" spans="2:41" ht="21.75" customHeight="1" x14ac:dyDescent="0.45">
      <c r="B128" t="s">
        <v>99</v>
      </c>
      <c r="E128" s="31" t="s">
        <v>1538</v>
      </c>
      <c r="F128" t="str">
        <f>"Warengruppe&gt;&gt;"&amp;Migrationsartikel!V126&amp;"&gt;&gt;"&amp;Migrationsartikel!W126&amp;"&gt;&gt;"&amp;Migrationsartikel!X126</f>
        <v>Warengruppe&gt;&gt;Getränke&gt;&gt;Bier&gt;&gt;Bier</v>
      </c>
      <c r="H128" s="31" t="s">
        <v>109</v>
      </c>
      <c r="I128" s="31" t="s">
        <v>121</v>
      </c>
      <c r="J128" s="31">
        <f>Migrationsartikel!B126</f>
        <v>876</v>
      </c>
      <c r="L128" t="str">
        <f>Migrationsartikel!F126&amp;" "&amp;Migrationsartikel!G126&amp;" "&amp;Migrationsartikel!H126</f>
        <v>Bier aus der Region 4x50cl</v>
      </c>
      <c r="M128" t="str">
        <f>Migrationsartikel!J126&amp;" "&amp;Migrationsartikel!K126&amp;" "&amp;Migrationsartikel!L126</f>
        <v>Bière de la région 4x50cl</v>
      </c>
      <c r="N128" t="str">
        <f>Migrationsartikel!N126&amp;" "&amp;Migrationsartikel!O126&amp;" "&amp;Migrationsartikel!P126</f>
        <v>Birra della regione 4x50cl</v>
      </c>
      <c r="O128" t="str">
        <f>Migrationsartikel!F126</f>
        <v>Bier</v>
      </c>
      <c r="P128" t="str">
        <f>Migrationsartikel!J126</f>
        <v>Bière</v>
      </c>
      <c r="Q128" t="str">
        <f>Migrationsartikel!N126</f>
        <v>Birra</v>
      </c>
      <c r="R128" t="str">
        <f>Migrationsartikel!G126</f>
        <v>aus der Region</v>
      </c>
      <c r="S128" t="str">
        <f>Migrationsartikel!K126</f>
        <v>de la région</v>
      </c>
      <c r="T128" t="str">
        <f>Migrationsartikel!O126</f>
        <v>della regione</v>
      </c>
      <c r="U128" s="31" t="str">
        <f>Migrationsartikel!H126</f>
        <v>4x50cl</v>
      </c>
      <c r="V128" s="31" t="str">
        <f>Migrationsartikel!L126</f>
        <v>4x50cl</v>
      </c>
      <c r="W128" s="31" t="str">
        <f>Migrationsartikel!P126</f>
        <v>4x50cl</v>
      </c>
      <c r="X128" t="str">
        <f>Migrationsartikel!I126</f>
        <v>Bier 4x50cl</v>
      </c>
      <c r="Y128" t="str">
        <f>Migrationsartikel!M126</f>
        <v>Bière 4x50cl</v>
      </c>
      <c r="Z128" t="str">
        <f>Migrationsartikel!Q126</f>
        <v>Birra 4x50cl</v>
      </c>
      <c r="AA128" s="45">
        <f>Migrationsartikel!R126</f>
        <v>0.5</v>
      </c>
      <c r="AB128" s="46" t="str">
        <f>Migrationsartikel!T126</f>
        <v>Centiliter</v>
      </c>
      <c r="AC128">
        <f>Migrationsartikel!S126</f>
        <v>10</v>
      </c>
      <c r="AD128" t="str">
        <f>Migrationsartikel!U126</f>
        <v>(PCE) Stück</v>
      </c>
      <c r="AE128" s="31" t="s">
        <v>179</v>
      </c>
      <c r="AF128" s="31" t="s">
        <v>192</v>
      </c>
      <c r="AG128" t="str">
        <f>IF(Migrationsartikel!AB126="ja","true",FALSE)</f>
        <v>true</v>
      </c>
      <c r="AH128" t="str">
        <f>IF(Migrationsartikel!AC126="ja","true",FALSE)</f>
        <v>true</v>
      </c>
      <c r="AI128" t="str">
        <f>IF(Migrationsartikel!AD126="ja","true",FALSE)</f>
        <v>true</v>
      </c>
      <c r="AJ128" t="str">
        <f>IF(Migrationsartikel!AE126="ja","true",FALSE)</f>
        <v>true</v>
      </c>
      <c r="AK128" t="str">
        <f>IF(Migrationsartikel!AF126="ja","Denner Partner","")</f>
        <v/>
      </c>
      <c r="AL128" t="str">
        <f>IF(Migrationsartikel!AG126="ja","true","false")</f>
        <v>false</v>
      </c>
      <c r="AM128" t="str">
        <f t="shared" si="1"/>
        <v>PLU</v>
      </c>
      <c r="AN128" s="31" t="s">
        <v>219</v>
      </c>
      <c r="AO128" s="31" t="s">
        <v>217</v>
      </c>
    </row>
    <row r="129" spans="2:41" ht="21.75" customHeight="1" x14ac:dyDescent="0.45">
      <c r="B129" t="s">
        <v>99</v>
      </c>
      <c r="E129" s="31" t="s">
        <v>1539</v>
      </c>
      <c r="F129" t="str">
        <f>"Warengruppe&gt;&gt;"&amp;Migrationsartikel!V127&amp;"&gt;&gt;"&amp;Migrationsartikel!W127&amp;"&gt;&gt;"&amp;Migrationsartikel!X127</f>
        <v>Warengruppe&gt;&gt;Getränke&gt;&gt;Bier&gt;&gt;Bier</v>
      </c>
      <c r="H129" s="31" t="s">
        <v>109</v>
      </c>
      <c r="I129" s="31" t="s">
        <v>121</v>
      </c>
      <c r="J129" s="31">
        <f>Migrationsartikel!B127</f>
        <v>877</v>
      </c>
      <c r="L129" t="str">
        <f>Migrationsartikel!F127&amp;" "&amp;Migrationsartikel!G127&amp;" "&amp;Migrationsartikel!H127</f>
        <v>Bier aus der Region 50cl</v>
      </c>
      <c r="M129" t="str">
        <f>Migrationsartikel!J127&amp;" "&amp;Migrationsartikel!K127&amp;" "&amp;Migrationsartikel!L127</f>
        <v>Bière de la région 50cl</v>
      </c>
      <c r="N129" t="str">
        <f>Migrationsartikel!N127&amp;" "&amp;Migrationsartikel!O127&amp;" "&amp;Migrationsartikel!P127</f>
        <v>Birra della regione 50cl</v>
      </c>
      <c r="O129" t="str">
        <f>Migrationsartikel!F127</f>
        <v>Bier</v>
      </c>
      <c r="P129" t="str">
        <f>Migrationsartikel!J127</f>
        <v>Bière</v>
      </c>
      <c r="Q129" t="str">
        <f>Migrationsartikel!N127</f>
        <v>Birra</v>
      </c>
      <c r="R129" t="str">
        <f>Migrationsartikel!G127</f>
        <v>aus der Region</v>
      </c>
      <c r="S129" t="str">
        <f>Migrationsartikel!K127</f>
        <v>de la région</v>
      </c>
      <c r="T129" t="str">
        <f>Migrationsartikel!O127</f>
        <v>della regione</v>
      </c>
      <c r="U129" s="31" t="str">
        <f>Migrationsartikel!H127</f>
        <v>50cl</v>
      </c>
      <c r="V129" s="31" t="str">
        <f>Migrationsartikel!L127</f>
        <v>50cl</v>
      </c>
      <c r="W129" s="31" t="str">
        <f>Migrationsartikel!P127</f>
        <v>50cl</v>
      </c>
      <c r="X129" t="str">
        <f>Migrationsartikel!I127</f>
        <v>Bier 50cl</v>
      </c>
      <c r="Y129" t="str">
        <f>Migrationsartikel!M127</f>
        <v>Bière 50cl</v>
      </c>
      <c r="Z129" t="str">
        <f>Migrationsartikel!Q127</f>
        <v>Birra 50cl</v>
      </c>
      <c r="AA129" s="45">
        <f>Migrationsartikel!R127</f>
        <v>0.5</v>
      </c>
      <c r="AB129" s="46" t="str">
        <f>Migrationsartikel!T127</f>
        <v>Centiliter</v>
      </c>
      <c r="AC129">
        <f>Migrationsartikel!S127</f>
        <v>10</v>
      </c>
      <c r="AD129" t="str">
        <f>Migrationsartikel!U127</f>
        <v>(PCE) Stück</v>
      </c>
      <c r="AE129" s="31" t="s">
        <v>179</v>
      </c>
      <c r="AF129" s="31" t="s">
        <v>192</v>
      </c>
      <c r="AG129" t="str">
        <f>IF(Migrationsartikel!AB127="ja","true",FALSE)</f>
        <v>true</v>
      </c>
      <c r="AH129" t="str">
        <f>IF(Migrationsartikel!AC127="ja","true",FALSE)</f>
        <v>true</v>
      </c>
      <c r="AI129" t="str">
        <f>IF(Migrationsartikel!AD127="ja","true",FALSE)</f>
        <v>true</v>
      </c>
      <c r="AJ129" t="str">
        <f>IF(Migrationsartikel!AE127="ja","true",FALSE)</f>
        <v>true</v>
      </c>
      <c r="AK129" t="str">
        <f>IF(Migrationsartikel!AF127="ja","Denner Partner","")</f>
        <v/>
      </c>
      <c r="AL129" t="str">
        <f>IF(Migrationsartikel!AG127="ja","true","false")</f>
        <v>false</v>
      </c>
      <c r="AM129" t="str">
        <f t="shared" si="1"/>
        <v>PLU</v>
      </c>
      <c r="AN129" s="31" t="s">
        <v>219</v>
      </c>
      <c r="AO129" s="31" t="s">
        <v>217</v>
      </c>
    </row>
    <row r="130" spans="2:41" ht="21.75" customHeight="1" x14ac:dyDescent="0.45">
      <c r="B130" t="s">
        <v>99</v>
      </c>
      <c r="E130" s="31" t="s">
        <v>1540</v>
      </c>
      <c r="F130" t="str">
        <f>"Warengruppe&gt;&gt;"&amp;Migrationsartikel!V128&amp;"&gt;&gt;"&amp;Migrationsartikel!W128&amp;"&gt;&gt;"&amp;Migrationsartikel!X128</f>
        <v>Warengruppe&gt;&gt;Getränke&gt;&gt;Bier&gt;&gt;Bier</v>
      </c>
      <c r="H130" s="31" t="s">
        <v>109</v>
      </c>
      <c r="I130" s="31" t="s">
        <v>121</v>
      </c>
      <c r="J130" s="31">
        <f>Migrationsartikel!B128</f>
        <v>878</v>
      </c>
      <c r="L130" t="str">
        <f>Migrationsartikel!F128&amp;" "&amp;Migrationsartikel!G128&amp;" "&amp;Migrationsartikel!H128</f>
        <v>Bier aus der Region 75cl</v>
      </c>
      <c r="M130" t="str">
        <f>Migrationsartikel!J128&amp;" "&amp;Migrationsartikel!K128&amp;" "&amp;Migrationsartikel!L128</f>
        <v>Bière de la région 75cl</v>
      </c>
      <c r="N130" t="str">
        <f>Migrationsartikel!N128&amp;" "&amp;Migrationsartikel!O128&amp;" "&amp;Migrationsartikel!P128</f>
        <v>Birra della regione 75cl</v>
      </c>
      <c r="O130" t="str">
        <f>Migrationsartikel!F128</f>
        <v>Bier</v>
      </c>
      <c r="P130" t="str">
        <f>Migrationsartikel!J128</f>
        <v>Bière</v>
      </c>
      <c r="Q130" t="str">
        <f>Migrationsartikel!N128</f>
        <v>Birra</v>
      </c>
      <c r="R130" t="str">
        <f>Migrationsartikel!G128</f>
        <v>aus der Region</v>
      </c>
      <c r="S130" t="str">
        <f>Migrationsartikel!K128</f>
        <v>de la région</v>
      </c>
      <c r="T130" t="str">
        <f>Migrationsartikel!O128</f>
        <v>della regione</v>
      </c>
      <c r="U130" s="31" t="str">
        <f>Migrationsartikel!H128</f>
        <v>75cl</v>
      </c>
      <c r="V130" s="31" t="str">
        <f>Migrationsartikel!L128</f>
        <v>75cl</v>
      </c>
      <c r="W130" s="31" t="str">
        <f>Migrationsartikel!P128</f>
        <v>75cl</v>
      </c>
      <c r="X130" t="str">
        <f>Migrationsartikel!I128</f>
        <v>Bier 75cl</v>
      </c>
      <c r="Y130" t="str">
        <f>Migrationsartikel!M128</f>
        <v>Bière 75cl</v>
      </c>
      <c r="Z130" t="str">
        <f>Migrationsartikel!Q128</f>
        <v>Birra 75cl</v>
      </c>
      <c r="AA130" s="45">
        <f>Migrationsartikel!R128</f>
        <v>0.75</v>
      </c>
      <c r="AB130" s="46" t="str">
        <f>Migrationsartikel!T128</f>
        <v>Centiliter</v>
      </c>
      <c r="AC130">
        <f>Migrationsartikel!S128</f>
        <v>10</v>
      </c>
      <c r="AD130" t="str">
        <f>Migrationsartikel!U128</f>
        <v>(PCE) Stück</v>
      </c>
      <c r="AE130" s="31" t="s">
        <v>179</v>
      </c>
      <c r="AF130" s="31" t="s">
        <v>192</v>
      </c>
      <c r="AG130" t="str">
        <f>IF(Migrationsartikel!AB128="ja","true",FALSE)</f>
        <v>true</v>
      </c>
      <c r="AH130" t="str">
        <f>IF(Migrationsartikel!AC128="ja","true",FALSE)</f>
        <v>true</v>
      </c>
      <c r="AI130" t="str">
        <f>IF(Migrationsartikel!AD128="ja","true",FALSE)</f>
        <v>true</v>
      </c>
      <c r="AJ130" t="str">
        <f>IF(Migrationsartikel!AE128="ja","true",FALSE)</f>
        <v>true</v>
      </c>
      <c r="AK130" t="str">
        <f>IF(Migrationsartikel!AF128="ja","Denner Partner","")</f>
        <v/>
      </c>
      <c r="AL130" t="str">
        <f>IF(Migrationsartikel!AG128="ja","true","false")</f>
        <v>false</v>
      </c>
      <c r="AM130" t="str">
        <f t="shared" si="1"/>
        <v>PLU</v>
      </c>
      <c r="AN130" s="31" t="s">
        <v>219</v>
      </c>
      <c r="AO130" s="31" t="s">
        <v>217</v>
      </c>
    </row>
    <row r="131" spans="2:41" ht="21.75" customHeight="1" x14ac:dyDescent="0.45">
      <c r="B131" t="s">
        <v>99</v>
      </c>
      <c r="E131" s="31" t="s">
        <v>1541</v>
      </c>
      <c r="F131" t="str">
        <f>"Warengruppe&gt;&gt;"&amp;Migrationsartikel!V129&amp;"&gt;&gt;"&amp;Migrationsartikel!W129&amp;"&gt;&gt;"&amp;Migrationsartikel!X129</f>
        <v>Warengruppe&gt;&gt;Getränke&gt;&gt;Kaffee und Tee&gt;&gt;Kaffee</v>
      </c>
      <c r="H131" s="31" t="s">
        <v>109</v>
      </c>
      <c r="I131" s="31" t="s">
        <v>121</v>
      </c>
      <c r="J131" s="31">
        <f>Migrationsartikel!B129</f>
        <v>879</v>
      </c>
      <c r="L131" t="str">
        <f>Migrationsartikel!F129&amp;" "&amp;Migrationsartikel!G129&amp;" "&amp;Migrationsartikel!H129</f>
        <v>Kaffee  aus der Region 1Stk</v>
      </c>
      <c r="M131" t="str">
        <f>Migrationsartikel!J129&amp;" "&amp;Migrationsartikel!K129&amp;" "&amp;Migrationsartikel!L129</f>
        <v>Café  de la région 1pce</v>
      </c>
      <c r="N131" t="str">
        <f>Migrationsartikel!N129&amp;" "&amp;Migrationsartikel!O129&amp;" "&amp;Migrationsartikel!P129</f>
        <v>Caffè  della regione 1pz</v>
      </c>
      <c r="O131" t="str">
        <f>Migrationsartikel!F129</f>
        <v xml:space="preserve">Kaffee </v>
      </c>
      <c r="P131" t="str">
        <f>Migrationsartikel!J129</f>
        <v xml:space="preserve">Café </v>
      </c>
      <c r="Q131" t="str">
        <f>Migrationsartikel!N129</f>
        <v xml:space="preserve">Caffè </v>
      </c>
      <c r="R131" t="str">
        <f>Migrationsartikel!G129</f>
        <v>aus der Region</v>
      </c>
      <c r="S131" t="str">
        <f>Migrationsartikel!K129</f>
        <v>de la région</v>
      </c>
      <c r="T131" t="str">
        <f>Migrationsartikel!O129</f>
        <v>della regione</v>
      </c>
      <c r="U131" s="31" t="str">
        <f>Migrationsartikel!H129</f>
        <v>1Stk</v>
      </c>
      <c r="V131" s="31" t="str">
        <f>Migrationsartikel!L129</f>
        <v>1pce</v>
      </c>
      <c r="W131" s="31" t="str">
        <f>Migrationsartikel!P129</f>
        <v>1pz</v>
      </c>
      <c r="X131" t="str">
        <f>Migrationsartikel!I129</f>
        <v xml:space="preserve">Kaffee </v>
      </c>
      <c r="Y131" t="str">
        <f>Migrationsartikel!M129</f>
        <v xml:space="preserve">Café </v>
      </c>
      <c r="Z131" t="str">
        <f>Migrationsartikel!Q129</f>
        <v xml:space="preserve">Caffè </v>
      </c>
      <c r="AA131" s="45">
        <f>Migrationsartikel!R129</f>
        <v>1</v>
      </c>
      <c r="AB131" s="46" t="str">
        <f>Migrationsartikel!T129</f>
        <v>Centiliter</v>
      </c>
      <c r="AC131">
        <f>Migrationsartikel!S129</f>
        <v>10</v>
      </c>
      <c r="AD131" t="str">
        <f>Migrationsartikel!U129</f>
        <v>(PCE) Stück</v>
      </c>
      <c r="AE131" s="31" t="s">
        <v>179</v>
      </c>
      <c r="AF131" s="31" t="s">
        <v>192</v>
      </c>
      <c r="AG131" t="str">
        <f>IF(Migrationsartikel!AB129="ja","true",FALSE)</f>
        <v>true</v>
      </c>
      <c r="AH131" t="str">
        <f>IF(Migrationsartikel!AC129="ja","true",FALSE)</f>
        <v>true</v>
      </c>
      <c r="AI131" t="str">
        <f>IF(Migrationsartikel!AD129="ja","true",FALSE)</f>
        <v>true</v>
      </c>
      <c r="AJ131" t="str">
        <f>IF(Migrationsartikel!AE129="ja","true",FALSE)</f>
        <v>true</v>
      </c>
      <c r="AK131" t="str">
        <f>IF(Migrationsartikel!AF129="ja","Denner Partner","")</f>
        <v/>
      </c>
      <c r="AL131" t="str">
        <f>IF(Migrationsartikel!AG129="ja","true","false")</f>
        <v>false</v>
      </c>
      <c r="AM131" t="str">
        <f t="shared" si="1"/>
        <v>PLU</v>
      </c>
      <c r="AN131" s="31" t="s">
        <v>219</v>
      </c>
      <c r="AO131" s="31" t="s">
        <v>217</v>
      </c>
    </row>
    <row r="132" spans="2:41" ht="21.75" customHeight="1" x14ac:dyDescent="0.45">
      <c r="B132" t="s">
        <v>99</v>
      </c>
      <c r="E132" s="31" t="s">
        <v>1542</v>
      </c>
      <c r="F132" t="str">
        <f>"Warengruppe&gt;&gt;"&amp;Migrationsartikel!V130&amp;"&gt;&gt;"&amp;Migrationsartikel!W130&amp;"&gt;&gt;"&amp;Migrationsartikel!X130</f>
        <v>Warengruppe&gt;&gt;Getränke&gt;&gt;Kaffee und Tee&gt;&gt;Kaffee</v>
      </c>
      <c r="H132" s="31" t="s">
        <v>109</v>
      </c>
      <c r="I132" s="31" t="s">
        <v>121</v>
      </c>
      <c r="J132" s="31">
        <f>Migrationsartikel!B130</f>
        <v>880</v>
      </c>
      <c r="L132" t="str">
        <f>Migrationsartikel!F130&amp;" "&amp;Migrationsartikel!G130&amp;" "&amp;Migrationsartikel!H130</f>
        <v>Kaffee to go aus der Region 1Stk</v>
      </c>
      <c r="M132" t="str">
        <f>Migrationsartikel!J130&amp;" "&amp;Migrationsartikel!K130&amp;" "&amp;Migrationsartikel!L130</f>
        <v>Café à l'emporter de la région 1pce</v>
      </c>
      <c r="N132" t="str">
        <f>Migrationsartikel!N130&amp;" "&amp;Migrationsartikel!O130&amp;" "&amp;Migrationsartikel!P130</f>
        <v>Caffè da asporto della regione 1pz</v>
      </c>
      <c r="O132" t="str">
        <f>Migrationsartikel!F130</f>
        <v>Kaffee to go</v>
      </c>
      <c r="P132" t="str">
        <f>Migrationsartikel!J130</f>
        <v>Café à l'emporter</v>
      </c>
      <c r="Q132" t="str">
        <f>Migrationsartikel!N130</f>
        <v>Caffè da asporto</v>
      </c>
      <c r="R132" t="str">
        <f>Migrationsartikel!G130</f>
        <v>aus der Region</v>
      </c>
      <c r="S132" t="str">
        <f>Migrationsartikel!K130</f>
        <v>de la région</v>
      </c>
      <c r="T132" t="str">
        <f>Migrationsartikel!O130</f>
        <v>della regione</v>
      </c>
      <c r="U132" s="31" t="str">
        <f>Migrationsartikel!H130</f>
        <v>1Stk</v>
      </c>
      <c r="V132" s="31" t="str">
        <f>Migrationsartikel!L130</f>
        <v>1pce</v>
      </c>
      <c r="W132" s="31" t="str">
        <f>Migrationsartikel!P130</f>
        <v>1pz</v>
      </c>
      <c r="X132" t="str">
        <f>Migrationsartikel!I130</f>
        <v>Kaffee to go</v>
      </c>
      <c r="Y132" t="str">
        <f>Migrationsartikel!M130</f>
        <v>Café à l'emporter</v>
      </c>
      <c r="Z132" t="str">
        <f>Migrationsartikel!Q130</f>
        <v>Caffè da asporto</v>
      </c>
      <c r="AA132" s="45">
        <f>Migrationsartikel!R130</f>
        <v>1</v>
      </c>
      <c r="AB132" s="46" t="str">
        <f>Migrationsartikel!T130</f>
        <v>Centiliter</v>
      </c>
      <c r="AC132">
        <f>Migrationsartikel!S130</f>
        <v>10</v>
      </c>
      <c r="AD132" t="str">
        <f>Migrationsartikel!U130</f>
        <v>(PCE) Stück</v>
      </c>
      <c r="AE132" s="31" t="s">
        <v>179</v>
      </c>
      <c r="AF132" s="31" t="s">
        <v>192</v>
      </c>
      <c r="AG132" t="str">
        <f>IF(Migrationsartikel!AB130="ja","true",FALSE)</f>
        <v>true</v>
      </c>
      <c r="AH132" t="str">
        <f>IF(Migrationsartikel!AC130="ja","true",FALSE)</f>
        <v>true</v>
      </c>
      <c r="AI132" t="str">
        <f>IF(Migrationsartikel!AD130="ja","true",FALSE)</f>
        <v>true</v>
      </c>
      <c r="AJ132" t="str">
        <f>IF(Migrationsartikel!AE130="ja","true",FALSE)</f>
        <v>true</v>
      </c>
      <c r="AK132" t="str">
        <f>IF(Migrationsartikel!AF130="ja","Denner Partner","")</f>
        <v/>
      </c>
      <c r="AL132" t="str">
        <f>IF(Migrationsartikel!AG130="ja","true","false")</f>
        <v>false</v>
      </c>
      <c r="AM132" t="str">
        <f t="shared" ref="AM132:AM195" si="2">IF(J132&lt;&gt;"","PLU","Kassentastenbelegung (ohne GTIN/PLU)")</f>
        <v>PLU</v>
      </c>
      <c r="AN132" s="31" t="s">
        <v>219</v>
      </c>
      <c r="AO132" s="31" t="s">
        <v>217</v>
      </c>
    </row>
    <row r="133" spans="2:41" ht="21.75" customHeight="1" x14ac:dyDescent="0.45">
      <c r="B133" t="s">
        <v>99</v>
      </c>
      <c r="E133" s="31" t="s">
        <v>1543</v>
      </c>
      <c r="F133" t="str">
        <f>"Warengruppe&gt;&gt;"&amp;Migrationsartikel!V131&amp;"&gt;&gt;"&amp;Migrationsartikel!W131&amp;"&gt;&gt;"&amp;Migrationsartikel!X131</f>
        <v>Warengruppe&gt;&gt;Getränke&gt;&gt;Spirituosen&gt;&gt;Spirituosen</v>
      </c>
      <c r="H133" s="31" t="s">
        <v>109</v>
      </c>
      <c r="I133" s="31" t="s">
        <v>121</v>
      </c>
      <c r="J133" s="31">
        <f>Migrationsartikel!B131</f>
        <v>881</v>
      </c>
      <c r="L133" t="str">
        <f>Migrationsartikel!F131&amp;" "&amp;Migrationsartikel!G131&amp;" "&amp;Migrationsartikel!H131</f>
        <v>Absinth aus der Region 1l</v>
      </c>
      <c r="M133" t="str">
        <f>Migrationsartikel!J131&amp;" "&amp;Migrationsartikel!K131&amp;" "&amp;Migrationsartikel!L131</f>
        <v>Absinthe de la région 1l</v>
      </c>
      <c r="N133" t="str">
        <f>Migrationsartikel!N131&amp;" "&amp;Migrationsartikel!O131&amp;" "&amp;Migrationsartikel!P131</f>
        <v>Assenzio della regione 1l</v>
      </c>
      <c r="O133" t="str">
        <f>Migrationsartikel!F131</f>
        <v>Absinth</v>
      </c>
      <c r="P133" t="str">
        <f>Migrationsartikel!J131</f>
        <v>Absinthe</v>
      </c>
      <c r="Q133" t="str">
        <f>Migrationsartikel!N131</f>
        <v>Assenzio</v>
      </c>
      <c r="R133" t="str">
        <f>Migrationsartikel!G131</f>
        <v>aus der Region</v>
      </c>
      <c r="S133" t="str">
        <f>Migrationsartikel!K131</f>
        <v>de la région</v>
      </c>
      <c r="T133" t="str">
        <f>Migrationsartikel!O131</f>
        <v>della regione</v>
      </c>
      <c r="U133" s="31" t="str">
        <f>Migrationsartikel!H131</f>
        <v>1l</v>
      </c>
      <c r="V133" s="31" t="str">
        <f>Migrationsartikel!L131</f>
        <v>1l</v>
      </c>
      <c r="W133" s="31" t="str">
        <f>Migrationsartikel!P131</f>
        <v>1l</v>
      </c>
      <c r="X133" t="str">
        <f>Migrationsartikel!I131</f>
        <v>Absinth 1l</v>
      </c>
      <c r="Y133" t="str">
        <f>Migrationsartikel!M131</f>
        <v>Absinthe 1l</v>
      </c>
      <c r="Z133" t="str">
        <f>Migrationsartikel!Q131</f>
        <v>Assenzio 1l</v>
      </c>
      <c r="AA133" s="45">
        <f>Migrationsartikel!R131</f>
        <v>1</v>
      </c>
      <c r="AB133" s="46" t="str">
        <f>Migrationsartikel!T131</f>
        <v>Centiliter</v>
      </c>
      <c r="AC133">
        <f>Migrationsartikel!S131</f>
        <v>10</v>
      </c>
      <c r="AD133" t="str">
        <f>Migrationsartikel!U131</f>
        <v>(PCE) Stück</v>
      </c>
      <c r="AE133" s="31" t="s">
        <v>179</v>
      </c>
      <c r="AF133" s="31" t="s">
        <v>192</v>
      </c>
      <c r="AG133" t="str">
        <f>IF(Migrationsartikel!AB131="ja","true",FALSE)</f>
        <v>true</v>
      </c>
      <c r="AH133" t="str">
        <f>IF(Migrationsartikel!AC131="ja","true",FALSE)</f>
        <v>true</v>
      </c>
      <c r="AI133" t="str">
        <f>IF(Migrationsartikel!AD131="ja","true",FALSE)</f>
        <v>true</v>
      </c>
      <c r="AJ133" t="str">
        <f>IF(Migrationsartikel!AE131="ja","true",FALSE)</f>
        <v>true</v>
      </c>
      <c r="AK133" t="str">
        <f>IF(Migrationsartikel!AF131="ja","Denner Partner","")</f>
        <v/>
      </c>
      <c r="AL133" t="str">
        <f>IF(Migrationsartikel!AG131="ja","true","false")</f>
        <v>false</v>
      </c>
      <c r="AM133" t="str">
        <f t="shared" si="2"/>
        <v>PLU</v>
      </c>
      <c r="AN133" s="31" t="s">
        <v>219</v>
      </c>
      <c r="AO133" s="31" t="s">
        <v>217</v>
      </c>
    </row>
    <row r="134" spans="2:41" ht="21.75" customHeight="1" x14ac:dyDescent="0.45">
      <c r="B134" t="s">
        <v>99</v>
      </c>
      <c r="E134" s="31" t="s">
        <v>1544</v>
      </c>
      <c r="F134" t="str">
        <f>"Warengruppe&gt;&gt;"&amp;Migrationsartikel!V132&amp;"&gt;&gt;"&amp;Migrationsartikel!W132&amp;"&gt;&gt;"&amp;Migrationsartikel!X132</f>
        <v>Warengruppe&gt;&gt;Getränke&gt;&gt;Spirituosen&gt;&gt;Spirituosen</v>
      </c>
      <c r="H134" s="31" t="s">
        <v>109</v>
      </c>
      <c r="I134" s="31" t="s">
        <v>121</v>
      </c>
      <c r="J134" s="31">
        <f>Migrationsartikel!B132</f>
        <v>882</v>
      </c>
      <c r="L134" t="str">
        <f>Migrationsartikel!F132&amp;" "&amp;Migrationsartikel!G132&amp;" "&amp;Migrationsartikel!H132</f>
        <v>Absinth aus der Region 50cl</v>
      </c>
      <c r="M134" t="str">
        <f>Migrationsartikel!J132&amp;" "&amp;Migrationsartikel!K132&amp;" "&amp;Migrationsartikel!L132</f>
        <v>Absinthe de la région 50cl</v>
      </c>
      <c r="N134" t="str">
        <f>Migrationsartikel!N132&amp;" "&amp;Migrationsartikel!O132&amp;" "&amp;Migrationsartikel!P132</f>
        <v>Assenzio della regione 50cl</v>
      </c>
      <c r="O134" t="str">
        <f>Migrationsartikel!F132</f>
        <v>Absinth</v>
      </c>
      <c r="P134" t="str">
        <f>Migrationsartikel!J132</f>
        <v>Absinthe</v>
      </c>
      <c r="Q134" t="str">
        <f>Migrationsartikel!N132</f>
        <v>Assenzio</v>
      </c>
      <c r="R134" t="str">
        <f>Migrationsartikel!G132</f>
        <v>aus der Region</v>
      </c>
      <c r="S134" t="str">
        <f>Migrationsartikel!K132</f>
        <v>de la région</v>
      </c>
      <c r="T134" t="str">
        <f>Migrationsartikel!O132</f>
        <v>della regione</v>
      </c>
      <c r="U134" s="31" t="str">
        <f>Migrationsartikel!H132</f>
        <v>50cl</v>
      </c>
      <c r="V134" s="31" t="str">
        <f>Migrationsartikel!L132</f>
        <v>50cl</v>
      </c>
      <c r="W134" s="31" t="str">
        <f>Migrationsartikel!P132</f>
        <v>50cl</v>
      </c>
      <c r="X134" t="str">
        <f>Migrationsartikel!I132</f>
        <v>Absinth 50cl</v>
      </c>
      <c r="Y134" t="str">
        <f>Migrationsartikel!M132</f>
        <v>Absinthe 50cl</v>
      </c>
      <c r="Z134" t="str">
        <f>Migrationsartikel!Q132</f>
        <v>Assenzio 50cl</v>
      </c>
      <c r="AA134" s="45">
        <f>Migrationsartikel!R132</f>
        <v>0.5</v>
      </c>
      <c r="AB134" s="46" t="str">
        <f>Migrationsartikel!T132</f>
        <v>Centiliter</v>
      </c>
      <c r="AC134">
        <f>Migrationsartikel!S132</f>
        <v>10</v>
      </c>
      <c r="AD134" t="str">
        <f>Migrationsartikel!U132</f>
        <v>(PCE) Stück</v>
      </c>
      <c r="AE134" s="31" t="s">
        <v>179</v>
      </c>
      <c r="AF134" s="31" t="s">
        <v>192</v>
      </c>
      <c r="AG134" t="str">
        <f>IF(Migrationsartikel!AB132="ja","true",FALSE)</f>
        <v>true</v>
      </c>
      <c r="AH134" t="str">
        <f>IF(Migrationsartikel!AC132="ja","true",FALSE)</f>
        <v>true</v>
      </c>
      <c r="AI134" t="str">
        <f>IF(Migrationsartikel!AD132="ja","true",FALSE)</f>
        <v>true</v>
      </c>
      <c r="AJ134" t="str">
        <f>IF(Migrationsartikel!AE132="ja","true",FALSE)</f>
        <v>true</v>
      </c>
      <c r="AK134" t="str">
        <f>IF(Migrationsartikel!AF132="ja","Denner Partner","")</f>
        <v/>
      </c>
      <c r="AL134" t="str">
        <f>IF(Migrationsartikel!AG132="ja","true","false")</f>
        <v>false</v>
      </c>
      <c r="AM134" t="str">
        <f t="shared" si="2"/>
        <v>PLU</v>
      </c>
      <c r="AN134" s="31" t="s">
        <v>219</v>
      </c>
      <c r="AO134" s="31" t="s">
        <v>217</v>
      </c>
    </row>
    <row r="135" spans="2:41" ht="21.75" customHeight="1" x14ac:dyDescent="0.45">
      <c r="B135" t="s">
        <v>99</v>
      </c>
      <c r="E135" s="31" t="s">
        <v>1545</v>
      </c>
      <c r="F135" t="str">
        <f>"Warengruppe&gt;&gt;"&amp;Migrationsartikel!V133&amp;"&gt;&gt;"&amp;Migrationsartikel!W133&amp;"&gt;&gt;"&amp;Migrationsartikel!X133</f>
        <v>Warengruppe&gt;&gt;Getränke&gt;&gt;Spirituosen&gt;&gt;Spirituosen</v>
      </c>
      <c r="H135" s="31" t="s">
        <v>109</v>
      </c>
      <c r="I135" s="31" t="s">
        <v>121</v>
      </c>
      <c r="J135" s="31">
        <f>Migrationsartikel!B133</f>
        <v>883</v>
      </c>
      <c r="L135" t="str">
        <f>Migrationsartikel!F133&amp;" "&amp;Migrationsartikel!G133&amp;" "&amp;Migrationsartikel!H133</f>
        <v>Grappa aus der Region 1l</v>
      </c>
      <c r="M135" t="str">
        <f>Migrationsartikel!J133&amp;" "&amp;Migrationsartikel!K133&amp;" "&amp;Migrationsartikel!L133</f>
        <v>Grappa de la région 1l</v>
      </c>
      <c r="N135" t="str">
        <f>Migrationsartikel!N133&amp;" "&amp;Migrationsartikel!O133&amp;" "&amp;Migrationsartikel!P133</f>
        <v>Grappa della regione 1l</v>
      </c>
      <c r="O135" t="str">
        <f>Migrationsartikel!F133</f>
        <v>Grappa</v>
      </c>
      <c r="P135" t="str">
        <f>Migrationsartikel!J133</f>
        <v>Grappa</v>
      </c>
      <c r="Q135" t="str">
        <f>Migrationsartikel!N133</f>
        <v>Grappa</v>
      </c>
      <c r="R135" t="str">
        <f>Migrationsartikel!G133</f>
        <v>aus der Region</v>
      </c>
      <c r="S135" t="str">
        <f>Migrationsartikel!K133</f>
        <v>de la région</v>
      </c>
      <c r="T135" t="str">
        <f>Migrationsartikel!O133</f>
        <v>della regione</v>
      </c>
      <c r="U135" s="31" t="str">
        <f>Migrationsartikel!H133</f>
        <v>1l</v>
      </c>
      <c r="V135" s="31" t="str">
        <f>Migrationsartikel!L133</f>
        <v>1l</v>
      </c>
      <c r="W135" s="31" t="str">
        <f>Migrationsartikel!P133</f>
        <v>1l</v>
      </c>
      <c r="X135" t="str">
        <f>Migrationsartikel!I133</f>
        <v>Grappa 1l</v>
      </c>
      <c r="Y135" t="str">
        <f>Migrationsartikel!M133</f>
        <v>Grappa 1l</v>
      </c>
      <c r="Z135" t="str">
        <f>Migrationsartikel!Q133</f>
        <v>Grappa 1l</v>
      </c>
      <c r="AA135" s="45">
        <f>Migrationsartikel!R133</f>
        <v>1</v>
      </c>
      <c r="AB135" s="46" t="str">
        <f>Migrationsartikel!T133</f>
        <v>Centiliter</v>
      </c>
      <c r="AC135">
        <f>Migrationsartikel!S133</f>
        <v>10</v>
      </c>
      <c r="AD135" t="str">
        <f>Migrationsartikel!U133</f>
        <v>(PCE) Stück</v>
      </c>
      <c r="AE135" s="31" t="s">
        <v>179</v>
      </c>
      <c r="AF135" s="31" t="s">
        <v>192</v>
      </c>
      <c r="AG135" t="str">
        <f>IF(Migrationsartikel!AB133="ja","true",FALSE)</f>
        <v>true</v>
      </c>
      <c r="AH135" t="str">
        <f>IF(Migrationsartikel!AC133="ja","true",FALSE)</f>
        <v>true</v>
      </c>
      <c r="AI135" t="str">
        <f>IF(Migrationsartikel!AD133="ja","true",FALSE)</f>
        <v>true</v>
      </c>
      <c r="AJ135" t="str">
        <f>IF(Migrationsartikel!AE133="ja","true",FALSE)</f>
        <v>true</v>
      </c>
      <c r="AK135" t="str">
        <f>IF(Migrationsartikel!AF133="ja","Denner Partner","")</f>
        <v/>
      </c>
      <c r="AL135" t="str">
        <f>IF(Migrationsartikel!AG133="ja","true","false")</f>
        <v>false</v>
      </c>
      <c r="AM135" t="str">
        <f t="shared" si="2"/>
        <v>PLU</v>
      </c>
      <c r="AN135" s="31" t="s">
        <v>219</v>
      </c>
      <c r="AO135" s="31" t="s">
        <v>217</v>
      </c>
    </row>
    <row r="136" spans="2:41" ht="21.75" customHeight="1" x14ac:dyDescent="0.45">
      <c r="B136" t="s">
        <v>99</v>
      </c>
      <c r="E136" s="31" t="s">
        <v>1546</v>
      </c>
      <c r="F136" t="str">
        <f>"Warengruppe&gt;&gt;"&amp;Migrationsartikel!V134&amp;"&gt;&gt;"&amp;Migrationsartikel!W134&amp;"&gt;&gt;"&amp;Migrationsartikel!X134</f>
        <v>Warengruppe&gt;&gt;Getränke&gt;&gt;Spirituosen&gt;&gt;Spirituosen</v>
      </c>
      <c r="H136" s="31" t="s">
        <v>109</v>
      </c>
      <c r="I136" s="31" t="s">
        <v>121</v>
      </c>
      <c r="J136" s="31">
        <f>Migrationsartikel!B134</f>
        <v>884</v>
      </c>
      <c r="L136" t="str">
        <f>Migrationsartikel!F134&amp;" "&amp;Migrationsartikel!G134&amp;" "&amp;Migrationsartikel!H134</f>
        <v>Grappa aus der Region 50cl</v>
      </c>
      <c r="M136" t="str">
        <f>Migrationsartikel!J134&amp;" "&amp;Migrationsartikel!K134&amp;" "&amp;Migrationsartikel!L134</f>
        <v>Grappa de la région 50cl</v>
      </c>
      <c r="N136" t="str">
        <f>Migrationsartikel!N134&amp;" "&amp;Migrationsartikel!O134&amp;" "&amp;Migrationsartikel!P134</f>
        <v>Grappa della regione 50cl</v>
      </c>
      <c r="O136" t="str">
        <f>Migrationsartikel!F134</f>
        <v>Grappa</v>
      </c>
      <c r="P136" t="str">
        <f>Migrationsartikel!J134</f>
        <v>Grappa</v>
      </c>
      <c r="Q136" t="str">
        <f>Migrationsartikel!N134</f>
        <v>Grappa</v>
      </c>
      <c r="R136" t="str">
        <f>Migrationsartikel!G134</f>
        <v>aus der Region</v>
      </c>
      <c r="S136" t="str">
        <f>Migrationsartikel!K134</f>
        <v>de la région</v>
      </c>
      <c r="T136" t="str">
        <f>Migrationsartikel!O134</f>
        <v>della regione</v>
      </c>
      <c r="U136" s="31" t="str">
        <f>Migrationsartikel!H134</f>
        <v>50cl</v>
      </c>
      <c r="V136" s="31" t="str">
        <f>Migrationsartikel!L134</f>
        <v>50cl</v>
      </c>
      <c r="W136" s="31" t="str">
        <f>Migrationsartikel!P134</f>
        <v>50cl</v>
      </c>
      <c r="X136" t="str">
        <f>Migrationsartikel!I134</f>
        <v>Grappa 50cl</v>
      </c>
      <c r="Y136" t="str">
        <f>Migrationsartikel!M134</f>
        <v>Grappa 50cl</v>
      </c>
      <c r="Z136" t="str">
        <f>Migrationsartikel!Q134</f>
        <v>Grappa 50cl</v>
      </c>
      <c r="AA136" s="45">
        <f>Migrationsartikel!R134</f>
        <v>0.5</v>
      </c>
      <c r="AB136" s="46" t="str">
        <f>Migrationsartikel!T134</f>
        <v>Centiliter</v>
      </c>
      <c r="AC136">
        <f>Migrationsartikel!S134</f>
        <v>10</v>
      </c>
      <c r="AD136" t="str">
        <f>Migrationsartikel!U134</f>
        <v>(PCE) Stück</v>
      </c>
      <c r="AE136" s="31" t="s">
        <v>179</v>
      </c>
      <c r="AF136" s="31" t="s">
        <v>192</v>
      </c>
      <c r="AG136" t="str">
        <f>IF(Migrationsartikel!AB134="ja","true",FALSE)</f>
        <v>true</v>
      </c>
      <c r="AH136" t="str">
        <f>IF(Migrationsartikel!AC134="ja","true",FALSE)</f>
        <v>true</v>
      </c>
      <c r="AI136" t="str">
        <f>IF(Migrationsartikel!AD134="ja","true",FALSE)</f>
        <v>true</v>
      </c>
      <c r="AJ136" t="str">
        <f>IF(Migrationsartikel!AE134="ja","true",FALSE)</f>
        <v>true</v>
      </c>
      <c r="AK136" t="str">
        <f>IF(Migrationsartikel!AF134="ja","Denner Partner","")</f>
        <v/>
      </c>
      <c r="AL136" t="str">
        <f>IF(Migrationsartikel!AG134="ja","true","false")</f>
        <v>false</v>
      </c>
      <c r="AM136" t="str">
        <f t="shared" si="2"/>
        <v>PLU</v>
      </c>
      <c r="AN136" s="31" t="s">
        <v>219</v>
      </c>
      <c r="AO136" s="31" t="s">
        <v>217</v>
      </c>
    </row>
    <row r="137" spans="2:41" ht="21.75" customHeight="1" x14ac:dyDescent="0.45">
      <c r="B137" t="s">
        <v>99</v>
      </c>
      <c r="E137" s="31" t="s">
        <v>1547</v>
      </c>
      <c r="F137" t="str">
        <f>"Warengruppe&gt;&gt;"&amp;Migrationsartikel!V135&amp;"&gt;&gt;"&amp;Migrationsartikel!W135&amp;"&gt;&gt;"&amp;Migrationsartikel!X135</f>
        <v>Warengruppe&gt;&gt;Getränke&gt;&gt;Spirituosen&gt;&gt;Spirituosen</v>
      </c>
      <c r="H137" s="31" t="s">
        <v>109</v>
      </c>
      <c r="I137" s="31" t="s">
        <v>121</v>
      </c>
      <c r="J137" s="31">
        <f>Migrationsartikel!B135</f>
        <v>885</v>
      </c>
      <c r="L137" t="str">
        <f>Migrationsartikel!F135&amp;" "&amp;Migrationsartikel!G135&amp;" "&amp;Migrationsartikel!H135</f>
        <v>Grappa aus der Region 70cl</v>
      </c>
      <c r="M137" t="str">
        <f>Migrationsartikel!J135&amp;" "&amp;Migrationsartikel!K135&amp;" "&amp;Migrationsartikel!L135</f>
        <v>Grappa de la région 70cl</v>
      </c>
      <c r="N137" t="str">
        <f>Migrationsartikel!N135&amp;" "&amp;Migrationsartikel!O135&amp;" "&amp;Migrationsartikel!P135</f>
        <v>Grappa della regione 70cl</v>
      </c>
      <c r="O137" t="str">
        <f>Migrationsartikel!F135</f>
        <v>Grappa</v>
      </c>
      <c r="P137" t="str">
        <f>Migrationsartikel!J135</f>
        <v>Grappa</v>
      </c>
      <c r="Q137" t="str">
        <f>Migrationsartikel!N135</f>
        <v>Grappa</v>
      </c>
      <c r="R137" t="str">
        <f>Migrationsartikel!G135</f>
        <v>aus der Region</v>
      </c>
      <c r="S137" t="str">
        <f>Migrationsartikel!K135</f>
        <v>de la région</v>
      </c>
      <c r="T137" t="str">
        <f>Migrationsartikel!O135</f>
        <v>della regione</v>
      </c>
      <c r="U137" s="31" t="str">
        <f>Migrationsartikel!H135</f>
        <v>70cl</v>
      </c>
      <c r="V137" s="31" t="str">
        <f>Migrationsartikel!L135</f>
        <v>70cl</v>
      </c>
      <c r="W137" s="31" t="str">
        <f>Migrationsartikel!P135</f>
        <v>70cl</v>
      </c>
      <c r="X137" t="str">
        <f>Migrationsartikel!I135</f>
        <v>Grappa 70cl</v>
      </c>
      <c r="Y137" t="str">
        <f>Migrationsartikel!M135</f>
        <v>Grappa 70cl</v>
      </c>
      <c r="Z137" t="str">
        <f>Migrationsartikel!Q135</f>
        <v>Grappa 70cl</v>
      </c>
      <c r="AA137" s="45">
        <f>Migrationsartikel!R135</f>
        <v>0.7</v>
      </c>
      <c r="AB137" s="46" t="str">
        <f>Migrationsartikel!T135</f>
        <v>Centiliter</v>
      </c>
      <c r="AC137">
        <f>Migrationsartikel!S135</f>
        <v>10</v>
      </c>
      <c r="AD137" t="str">
        <f>Migrationsartikel!U135</f>
        <v>(PCE) Stück</v>
      </c>
      <c r="AE137" s="31" t="s">
        <v>179</v>
      </c>
      <c r="AF137" s="31" t="s">
        <v>192</v>
      </c>
      <c r="AG137" t="str">
        <f>IF(Migrationsartikel!AB135="ja","true",FALSE)</f>
        <v>true</v>
      </c>
      <c r="AH137" t="str">
        <f>IF(Migrationsartikel!AC135="ja","true",FALSE)</f>
        <v>true</v>
      </c>
      <c r="AI137" t="str">
        <f>IF(Migrationsartikel!AD135="ja","true",FALSE)</f>
        <v>true</v>
      </c>
      <c r="AJ137" t="str">
        <f>IF(Migrationsartikel!AE135="ja","true",FALSE)</f>
        <v>true</v>
      </c>
      <c r="AK137" t="str">
        <f>IF(Migrationsartikel!AF135="ja","Denner Partner","")</f>
        <v/>
      </c>
      <c r="AL137" t="str">
        <f>IF(Migrationsartikel!AG135="ja","true","false")</f>
        <v>false</v>
      </c>
      <c r="AM137" t="str">
        <f t="shared" si="2"/>
        <v>PLU</v>
      </c>
      <c r="AN137" s="31" t="s">
        <v>219</v>
      </c>
      <c r="AO137" s="31" t="s">
        <v>217</v>
      </c>
    </row>
    <row r="138" spans="2:41" ht="21.75" customHeight="1" x14ac:dyDescent="0.45">
      <c r="B138" t="s">
        <v>99</v>
      </c>
      <c r="E138" s="31" t="s">
        <v>1548</v>
      </c>
      <c r="F138" t="str">
        <f>"Warengruppe&gt;&gt;"&amp;Migrationsartikel!V136&amp;"&gt;&gt;"&amp;Migrationsartikel!W136&amp;"&gt;&gt;"&amp;Migrationsartikel!X136</f>
        <v>Warengruppe&gt;&gt;Getränke&gt;&gt;Spirituosen&gt;&gt;Spirituosen</v>
      </c>
      <c r="H138" s="31" t="s">
        <v>109</v>
      </c>
      <c r="I138" s="31" t="s">
        <v>121</v>
      </c>
      <c r="J138" s="31">
        <f>Migrationsartikel!B136</f>
        <v>886</v>
      </c>
      <c r="L138" t="str">
        <f>Migrationsartikel!F136&amp;" "&amp;Migrationsartikel!G136&amp;" "&amp;Migrationsartikel!H136</f>
        <v>Likör &amp; Schnaps aus der Region 1Stk</v>
      </c>
      <c r="M138" t="str">
        <f>Migrationsartikel!J136&amp;" "&amp;Migrationsartikel!K136&amp;" "&amp;Migrationsartikel!L136</f>
        <v>Liqueurs &amp; eaux-de-vie de la région 1pce</v>
      </c>
      <c r="N138" t="str">
        <f>Migrationsartikel!N136&amp;" "&amp;Migrationsartikel!O136&amp;" "&amp;Migrationsartikel!P136</f>
        <v>Liquori e distillati della regione 1pz</v>
      </c>
      <c r="O138" t="str">
        <f>Migrationsartikel!F136</f>
        <v>Likör &amp; Schnaps</v>
      </c>
      <c r="P138" t="str">
        <f>Migrationsartikel!J136</f>
        <v>Liqueurs &amp; eaux-de-vie</v>
      </c>
      <c r="Q138" t="str">
        <f>Migrationsartikel!N136</f>
        <v>Liquori e distillati</v>
      </c>
      <c r="R138" t="str">
        <f>Migrationsartikel!G136</f>
        <v>aus der Region</v>
      </c>
      <c r="S138" t="str">
        <f>Migrationsartikel!K136</f>
        <v>de la région</v>
      </c>
      <c r="T138" t="str">
        <f>Migrationsartikel!O136</f>
        <v>della regione</v>
      </c>
      <c r="U138" s="31" t="str">
        <f>Migrationsartikel!H136</f>
        <v>1Stk</v>
      </c>
      <c r="V138" s="31" t="str">
        <f>Migrationsartikel!L136</f>
        <v>1pce</v>
      </c>
      <c r="W138" s="31" t="str">
        <f>Migrationsartikel!P136</f>
        <v>1pz</v>
      </c>
      <c r="X138" t="str">
        <f>Migrationsartikel!I136</f>
        <v>Likör &amp; Schnaps</v>
      </c>
      <c r="Y138" t="str">
        <f>Migrationsartikel!M136</f>
        <v>Liqueurs &amp; eaux-de-vie</v>
      </c>
      <c r="Z138" t="str">
        <f>Migrationsartikel!Q136</f>
        <v>Liquori e distillati</v>
      </c>
      <c r="AA138" s="45">
        <f>Migrationsartikel!R136</f>
        <v>1</v>
      </c>
      <c r="AB138" s="46" t="str">
        <f>Migrationsartikel!T136</f>
        <v>Stück</v>
      </c>
      <c r="AC138">
        <f>Migrationsartikel!S136</f>
        <v>1</v>
      </c>
      <c r="AD138" t="str">
        <f>Migrationsartikel!U136</f>
        <v>(PCE) Stück</v>
      </c>
      <c r="AE138" s="31" t="s">
        <v>179</v>
      </c>
      <c r="AF138" s="31" t="s">
        <v>192</v>
      </c>
      <c r="AG138" t="str">
        <f>IF(Migrationsartikel!AB136="ja","true",FALSE)</f>
        <v>true</v>
      </c>
      <c r="AH138" t="str">
        <f>IF(Migrationsartikel!AC136="ja","true",FALSE)</f>
        <v>true</v>
      </c>
      <c r="AI138" t="str">
        <f>IF(Migrationsartikel!AD136="ja","true",FALSE)</f>
        <v>true</v>
      </c>
      <c r="AJ138" t="str">
        <f>IF(Migrationsartikel!AE136="ja","true",FALSE)</f>
        <v>true</v>
      </c>
      <c r="AK138" t="str">
        <f>IF(Migrationsartikel!AF136="ja","Denner Partner","")</f>
        <v/>
      </c>
      <c r="AL138" t="str">
        <f>IF(Migrationsartikel!AG136="ja","true","false")</f>
        <v>false</v>
      </c>
      <c r="AM138" t="str">
        <f t="shared" si="2"/>
        <v>PLU</v>
      </c>
      <c r="AN138" s="31" t="s">
        <v>219</v>
      </c>
      <c r="AO138" s="31" t="s">
        <v>217</v>
      </c>
    </row>
    <row r="139" spans="2:41" ht="21.75" customHeight="1" x14ac:dyDescent="0.45">
      <c r="B139" t="s">
        <v>99</v>
      </c>
      <c r="E139" s="31" t="s">
        <v>1549</v>
      </c>
      <c r="F139" t="str">
        <f>"Warengruppe&gt;&gt;"&amp;Migrationsartikel!V137&amp;"&gt;&gt;"&amp;Migrationsartikel!W137&amp;"&gt;&gt;"&amp;Migrationsartikel!X137</f>
        <v>Warengruppe&gt;&gt;Getränke&gt;&gt;Spirituosen&gt;&gt;Spirituosen</v>
      </c>
      <c r="H139" s="31" t="s">
        <v>109</v>
      </c>
      <c r="I139" s="31" t="s">
        <v>121</v>
      </c>
      <c r="J139" s="31">
        <f>Migrationsartikel!B137</f>
        <v>887</v>
      </c>
      <c r="L139" t="str">
        <f>Migrationsartikel!F137&amp;" "&amp;Migrationsartikel!G137&amp;" "&amp;Migrationsartikel!H137</f>
        <v>Limoncello aus der Region 1l</v>
      </c>
      <c r="M139" t="str">
        <f>Migrationsartikel!J137&amp;" "&amp;Migrationsartikel!K137&amp;" "&amp;Migrationsartikel!L137</f>
        <v>Limoncello de la région 1l</v>
      </c>
      <c r="N139" t="str">
        <f>Migrationsartikel!N137&amp;" "&amp;Migrationsartikel!O137&amp;" "&amp;Migrationsartikel!P137</f>
        <v>Limoncello della regione 1l</v>
      </c>
      <c r="O139" t="str">
        <f>Migrationsartikel!F137</f>
        <v>Limoncello</v>
      </c>
      <c r="P139" t="str">
        <f>Migrationsartikel!J137</f>
        <v>Limoncello</v>
      </c>
      <c r="Q139" t="str">
        <f>Migrationsartikel!N137</f>
        <v>Limoncello</v>
      </c>
      <c r="R139" t="str">
        <f>Migrationsartikel!G137</f>
        <v>aus der Region</v>
      </c>
      <c r="S139" t="str">
        <f>Migrationsartikel!K137</f>
        <v>de la région</v>
      </c>
      <c r="T139" t="str">
        <f>Migrationsartikel!O137</f>
        <v>della regione</v>
      </c>
      <c r="U139" s="31" t="str">
        <f>Migrationsartikel!H137</f>
        <v>1l</v>
      </c>
      <c r="V139" s="31" t="str">
        <f>Migrationsartikel!L137</f>
        <v>1l</v>
      </c>
      <c r="W139" s="31" t="str">
        <f>Migrationsartikel!P137</f>
        <v>1l</v>
      </c>
      <c r="X139" t="str">
        <f>Migrationsartikel!I137</f>
        <v>Limoncello 1l</v>
      </c>
      <c r="Y139" t="str">
        <f>Migrationsartikel!M137</f>
        <v>Limoncello 1l</v>
      </c>
      <c r="Z139" t="str">
        <f>Migrationsartikel!Q137</f>
        <v>Limoncello 1l</v>
      </c>
      <c r="AA139" s="45">
        <f>Migrationsartikel!R137</f>
        <v>1</v>
      </c>
      <c r="AB139" s="46" t="str">
        <f>Migrationsartikel!T137</f>
        <v>Centiliter</v>
      </c>
      <c r="AC139">
        <f>Migrationsartikel!S137</f>
        <v>10</v>
      </c>
      <c r="AD139" t="str">
        <f>Migrationsartikel!U137</f>
        <v>(PCE) Stück</v>
      </c>
      <c r="AE139" s="31" t="s">
        <v>179</v>
      </c>
      <c r="AF139" s="31" t="s">
        <v>192</v>
      </c>
      <c r="AG139" t="str">
        <f>IF(Migrationsartikel!AB137="ja","true",FALSE)</f>
        <v>true</v>
      </c>
      <c r="AH139" t="str">
        <f>IF(Migrationsartikel!AC137="ja","true",FALSE)</f>
        <v>true</v>
      </c>
      <c r="AI139" t="str">
        <f>IF(Migrationsartikel!AD137="ja","true",FALSE)</f>
        <v>true</v>
      </c>
      <c r="AJ139" t="str">
        <f>IF(Migrationsartikel!AE137="ja","true",FALSE)</f>
        <v>true</v>
      </c>
      <c r="AK139" t="str">
        <f>IF(Migrationsartikel!AF137="ja","Denner Partner","")</f>
        <v/>
      </c>
      <c r="AL139" t="str">
        <f>IF(Migrationsartikel!AG137="ja","true","false")</f>
        <v>false</v>
      </c>
      <c r="AM139" t="str">
        <f t="shared" si="2"/>
        <v>PLU</v>
      </c>
      <c r="AN139" s="31" t="s">
        <v>219</v>
      </c>
      <c r="AO139" s="31" t="s">
        <v>217</v>
      </c>
    </row>
    <row r="140" spans="2:41" ht="21.75" customHeight="1" x14ac:dyDescent="0.45">
      <c r="B140" t="s">
        <v>99</v>
      </c>
      <c r="E140" s="31" t="s">
        <v>1550</v>
      </c>
      <c r="F140" t="str">
        <f>"Warengruppe&gt;&gt;"&amp;Migrationsartikel!V138&amp;"&gt;&gt;"&amp;Migrationsartikel!W138&amp;"&gt;&gt;"&amp;Migrationsartikel!X138</f>
        <v>Warengruppe&gt;&gt;Getränke&gt;&gt;Spirituosen&gt;&gt;Spirituosen</v>
      </c>
      <c r="H140" s="31" t="s">
        <v>109</v>
      </c>
      <c r="I140" s="31" t="s">
        <v>121</v>
      </c>
      <c r="J140" s="31">
        <f>Migrationsartikel!B138</f>
        <v>888</v>
      </c>
      <c r="L140" t="str">
        <f>Migrationsartikel!F138&amp;" "&amp;Migrationsartikel!G138&amp;" "&amp;Migrationsartikel!H138</f>
        <v>Nocino aus der Region 1l</v>
      </c>
      <c r="M140" t="str">
        <f>Migrationsartikel!J138&amp;" "&amp;Migrationsartikel!K138&amp;" "&amp;Migrationsartikel!L138</f>
        <v>Nocino de la région 1l</v>
      </c>
      <c r="N140" t="str">
        <f>Migrationsartikel!N138&amp;" "&amp;Migrationsartikel!O138&amp;" "&amp;Migrationsartikel!P138</f>
        <v>Nocino della regione 1l</v>
      </c>
      <c r="O140" t="str">
        <f>Migrationsartikel!F138</f>
        <v>Nocino</v>
      </c>
      <c r="P140" t="str">
        <f>Migrationsartikel!J138</f>
        <v>Nocino</v>
      </c>
      <c r="Q140" t="str">
        <f>Migrationsartikel!N138</f>
        <v>Nocino</v>
      </c>
      <c r="R140" t="str">
        <f>Migrationsartikel!G138</f>
        <v>aus der Region</v>
      </c>
      <c r="S140" t="str">
        <f>Migrationsartikel!K138</f>
        <v>de la région</v>
      </c>
      <c r="T140" t="str">
        <f>Migrationsartikel!O138</f>
        <v>della regione</v>
      </c>
      <c r="U140" s="31" t="str">
        <f>Migrationsartikel!H138</f>
        <v>1l</v>
      </c>
      <c r="V140" s="31" t="str">
        <f>Migrationsartikel!L138</f>
        <v>1l</v>
      </c>
      <c r="W140" s="31" t="str">
        <f>Migrationsartikel!P138</f>
        <v>1l</v>
      </c>
      <c r="X140" t="str">
        <f>Migrationsartikel!I138</f>
        <v>Nocino 1l</v>
      </c>
      <c r="Y140" t="str">
        <f>Migrationsartikel!M138</f>
        <v>Nocino 1l</v>
      </c>
      <c r="Z140" t="str">
        <f>Migrationsartikel!Q138</f>
        <v>Nocino 1l</v>
      </c>
      <c r="AA140" s="45">
        <f>Migrationsartikel!R138</f>
        <v>1</v>
      </c>
      <c r="AB140" s="46" t="str">
        <f>Migrationsartikel!T138</f>
        <v>Centiliter</v>
      </c>
      <c r="AC140">
        <f>Migrationsartikel!S138</f>
        <v>10</v>
      </c>
      <c r="AD140" t="str">
        <f>Migrationsartikel!U138</f>
        <v>(PCE) Stück</v>
      </c>
      <c r="AE140" s="31" t="s">
        <v>179</v>
      </c>
      <c r="AF140" s="31" t="s">
        <v>192</v>
      </c>
      <c r="AG140" t="str">
        <f>IF(Migrationsartikel!AB138="ja","true",FALSE)</f>
        <v>true</v>
      </c>
      <c r="AH140" t="str">
        <f>IF(Migrationsartikel!AC138="ja","true",FALSE)</f>
        <v>true</v>
      </c>
      <c r="AI140" t="str">
        <f>IF(Migrationsartikel!AD138="ja","true",FALSE)</f>
        <v>true</v>
      </c>
      <c r="AJ140" t="str">
        <f>IF(Migrationsartikel!AE138="ja","true",FALSE)</f>
        <v>true</v>
      </c>
      <c r="AK140" t="str">
        <f>IF(Migrationsartikel!AF138="ja","Denner Partner","")</f>
        <v/>
      </c>
      <c r="AL140" t="str">
        <f>IF(Migrationsartikel!AG138="ja","true","false")</f>
        <v>false</v>
      </c>
      <c r="AM140" t="str">
        <f t="shared" si="2"/>
        <v>PLU</v>
      </c>
      <c r="AN140" s="31" t="s">
        <v>219</v>
      </c>
      <c r="AO140" s="31" t="s">
        <v>217</v>
      </c>
    </row>
    <row r="141" spans="2:41" ht="21.75" customHeight="1" x14ac:dyDescent="0.45">
      <c r="B141" t="s">
        <v>99</v>
      </c>
      <c r="E141" s="31" t="s">
        <v>1551</v>
      </c>
      <c r="F141" t="str">
        <f>"Warengruppe&gt;&gt;"&amp;Migrationsartikel!V139&amp;"&gt;&gt;"&amp;Migrationsartikel!W139&amp;"&gt;&gt;"&amp;Migrationsartikel!X139</f>
        <v>Warengruppe&gt;&gt;Getränke&gt;&gt;Spirituosen&gt;&gt;Spirituosen</v>
      </c>
      <c r="H141" s="31" t="s">
        <v>109</v>
      </c>
      <c r="I141" s="31" t="s">
        <v>121</v>
      </c>
      <c r="J141" s="31">
        <f>Migrationsartikel!B139</f>
        <v>889</v>
      </c>
      <c r="L141" t="str">
        <f>Migrationsartikel!F139&amp;" "&amp;Migrationsartikel!G139&amp;" "&amp;Migrationsartikel!H139</f>
        <v>Nocino aus der Region 50cl</v>
      </c>
      <c r="M141" t="str">
        <f>Migrationsartikel!J139&amp;" "&amp;Migrationsartikel!K139&amp;" "&amp;Migrationsartikel!L139</f>
        <v>Nocino de la région 50cl</v>
      </c>
      <c r="N141" t="str">
        <f>Migrationsartikel!N139&amp;" "&amp;Migrationsartikel!O139&amp;" "&amp;Migrationsartikel!P139</f>
        <v>Nocino della regione 50cl</v>
      </c>
      <c r="O141" t="str">
        <f>Migrationsartikel!F139</f>
        <v>Nocino</v>
      </c>
      <c r="P141" t="str">
        <f>Migrationsartikel!J139</f>
        <v>Nocino</v>
      </c>
      <c r="Q141" t="str">
        <f>Migrationsartikel!N139</f>
        <v>Nocino</v>
      </c>
      <c r="R141" t="str">
        <f>Migrationsartikel!G139</f>
        <v>aus der Region</v>
      </c>
      <c r="S141" t="str">
        <f>Migrationsartikel!K139</f>
        <v>de la région</v>
      </c>
      <c r="T141" t="str">
        <f>Migrationsartikel!O139</f>
        <v>della regione</v>
      </c>
      <c r="U141" s="31" t="str">
        <f>Migrationsartikel!H139</f>
        <v>50cl</v>
      </c>
      <c r="V141" s="31" t="str">
        <f>Migrationsartikel!L139</f>
        <v>50cl</v>
      </c>
      <c r="W141" s="31" t="str">
        <f>Migrationsartikel!P139</f>
        <v>50cl</v>
      </c>
      <c r="X141" t="str">
        <f>Migrationsartikel!I139</f>
        <v>Nocino 50cl</v>
      </c>
      <c r="Y141" t="str">
        <f>Migrationsartikel!M139</f>
        <v>Nocino 50cl</v>
      </c>
      <c r="Z141" t="str">
        <f>Migrationsartikel!Q139</f>
        <v>Nocino 50cl</v>
      </c>
      <c r="AA141" s="45">
        <f>Migrationsartikel!R139</f>
        <v>0.5</v>
      </c>
      <c r="AB141" s="46" t="str">
        <f>Migrationsartikel!T139</f>
        <v>Centiliter</v>
      </c>
      <c r="AC141">
        <f>Migrationsartikel!S139</f>
        <v>10</v>
      </c>
      <c r="AD141" t="str">
        <f>Migrationsartikel!U139</f>
        <v>(PCE) Stück</v>
      </c>
      <c r="AE141" s="31" t="s">
        <v>179</v>
      </c>
      <c r="AF141" s="31" t="s">
        <v>192</v>
      </c>
      <c r="AG141" t="str">
        <f>IF(Migrationsartikel!AB139="ja","true",FALSE)</f>
        <v>true</v>
      </c>
      <c r="AH141" t="str">
        <f>IF(Migrationsartikel!AC139="ja","true",FALSE)</f>
        <v>true</v>
      </c>
      <c r="AI141" t="str">
        <f>IF(Migrationsartikel!AD139="ja","true",FALSE)</f>
        <v>true</v>
      </c>
      <c r="AJ141" t="str">
        <f>IF(Migrationsartikel!AE139="ja","true",FALSE)</f>
        <v>true</v>
      </c>
      <c r="AK141" t="str">
        <f>IF(Migrationsartikel!AF139="ja","Denner Partner","")</f>
        <v/>
      </c>
      <c r="AL141" t="str">
        <f>IF(Migrationsartikel!AG139="ja","true","false")</f>
        <v>false</v>
      </c>
      <c r="AM141" t="str">
        <f t="shared" si="2"/>
        <v>PLU</v>
      </c>
      <c r="AN141" s="31" t="s">
        <v>219</v>
      </c>
      <c r="AO141" s="31" t="s">
        <v>217</v>
      </c>
    </row>
    <row r="142" spans="2:41" ht="21.75" customHeight="1" x14ac:dyDescent="0.45">
      <c r="B142" t="s">
        <v>99</v>
      </c>
      <c r="E142" s="31" t="s">
        <v>1552</v>
      </c>
      <c r="F142" t="str">
        <f>"Warengruppe&gt;&gt;"&amp;Migrationsartikel!V140&amp;"&gt;&gt;"&amp;Migrationsartikel!W140&amp;"&gt;&gt;"&amp;Migrationsartikel!X140</f>
        <v>Warengruppe&gt;&gt;Getränke&gt;&gt;Spirituosen&gt;&gt;Spirituosen</v>
      </c>
      <c r="H142" s="31" t="s">
        <v>109</v>
      </c>
      <c r="I142" s="31" t="s">
        <v>121</v>
      </c>
      <c r="J142" s="31">
        <f>Migrationsartikel!B140</f>
        <v>890</v>
      </c>
      <c r="L142" t="str">
        <f>Migrationsartikel!F140&amp;" "&amp;Migrationsartikel!G140&amp;" "&amp;Migrationsartikel!H140</f>
        <v>Nocino aus der Region 70cl</v>
      </c>
      <c r="M142" t="str">
        <f>Migrationsartikel!J140&amp;" "&amp;Migrationsartikel!K140&amp;" "&amp;Migrationsartikel!L140</f>
        <v>Nocino de la région 70cl</v>
      </c>
      <c r="N142" t="str">
        <f>Migrationsartikel!N140&amp;" "&amp;Migrationsartikel!O140&amp;" "&amp;Migrationsartikel!P140</f>
        <v>Nocino della regione 70cl</v>
      </c>
      <c r="O142" t="str">
        <f>Migrationsartikel!F140</f>
        <v>Nocino</v>
      </c>
      <c r="P142" t="str">
        <f>Migrationsartikel!J140</f>
        <v>Nocino</v>
      </c>
      <c r="Q142" t="str">
        <f>Migrationsartikel!N140</f>
        <v>Nocino</v>
      </c>
      <c r="R142" t="str">
        <f>Migrationsartikel!G140</f>
        <v>aus der Region</v>
      </c>
      <c r="S142" t="str">
        <f>Migrationsartikel!K140</f>
        <v>de la région</v>
      </c>
      <c r="T142" t="str">
        <f>Migrationsartikel!O140</f>
        <v>della regione</v>
      </c>
      <c r="U142" s="31" t="str">
        <f>Migrationsartikel!H140</f>
        <v>70cl</v>
      </c>
      <c r="V142" s="31" t="str">
        <f>Migrationsartikel!L140</f>
        <v>70cl</v>
      </c>
      <c r="W142" s="31" t="str">
        <f>Migrationsartikel!P140</f>
        <v>70cl</v>
      </c>
      <c r="X142" t="str">
        <f>Migrationsartikel!I140</f>
        <v>Nocino 70cl</v>
      </c>
      <c r="Y142" t="str">
        <f>Migrationsartikel!M140</f>
        <v>Nocino 70cl</v>
      </c>
      <c r="Z142" t="str">
        <f>Migrationsartikel!Q140</f>
        <v>Nocino 70cl</v>
      </c>
      <c r="AA142" s="45">
        <f>Migrationsartikel!R140</f>
        <v>0.7</v>
      </c>
      <c r="AB142" s="46" t="str">
        <f>Migrationsartikel!T140</f>
        <v>Centiliter</v>
      </c>
      <c r="AC142">
        <f>Migrationsartikel!S140</f>
        <v>10</v>
      </c>
      <c r="AD142" t="str">
        <f>Migrationsartikel!U140</f>
        <v>(PCE) Stück</v>
      </c>
      <c r="AE142" s="31" t="s">
        <v>179</v>
      </c>
      <c r="AF142" s="31" t="s">
        <v>192</v>
      </c>
      <c r="AG142" t="str">
        <f>IF(Migrationsartikel!AB140="ja","true",FALSE)</f>
        <v>true</v>
      </c>
      <c r="AH142" t="str">
        <f>IF(Migrationsartikel!AC140="ja","true",FALSE)</f>
        <v>true</v>
      </c>
      <c r="AI142" t="str">
        <f>IF(Migrationsartikel!AD140="ja","true",FALSE)</f>
        <v>true</v>
      </c>
      <c r="AJ142" t="str">
        <f>IF(Migrationsartikel!AE140="ja","true",FALSE)</f>
        <v>true</v>
      </c>
      <c r="AK142" t="str">
        <f>IF(Migrationsartikel!AF140="ja","Denner Partner","")</f>
        <v/>
      </c>
      <c r="AL142" t="str">
        <f>IF(Migrationsartikel!AG140="ja","true","false")</f>
        <v>false</v>
      </c>
      <c r="AM142" t="str">
        <f t="shared" si="2"/>
        <v>PLU</v>
      </c>
      <c r="AN142" s="31" t="s">
        <v>219</v>
      </c>
      <c r="AO142" s="31" t="s">
        <v>217</v>
      </c>
    </row>
    <row r="143" spans="2:41" ht="21.75" customHeight="1" x14ac:dyDescent="0.45">
      <c r="B143" t="s">
        <v>99</v>
      </c>
      <c r="E143" s="31" t="s">
        <v>1553</v>
      </c>
      <c r="F143" t="str">
        <f>"Warengruppe&gt;&gt;"&amp;Migrationsartikel!V141&amp;"&gt;&gt;"&amp;Migrationsartikel!W141&amp;"&gt;&gt;"&amp;Migrationsartikel!X141</f>
        <v>Warengruppe&gt;&gt;Getränke&gt;&gt;Tafelgetränke&gt;&gt;Tafelgetränke</v>
      </c>
      <c r="H143" s="31" t="s">
        <v>109</v>
      </c>
      <c r="I143" s="31" t="s">
        <v>121</v>
      </c>
      <c r="J143" s="31">
        <f>Migrationsartikel!B141</f>
        <v>891</v>
      </c>
      <c r="L143" t="str">
        <f>Migrationsartikel!F141&amp;" "&amp;Migrationsartikel!G141&amp;" "&amp;Migrationsartikel!H141</f>
        <v>Apfelsaft aus der Region 33cl</v>
      </c>
      <c r="M143" t="str">
        <f>Migrationsartikel!J141&amp;" "&amp;Migrationsartikel!K141&amp;" "&amp;Migrationsartikel!L141</f>
        <v>Jus de pomme de la région 33cl</v>
      </c>
      <c r="N143" t="str">
        <f>Migrationsartikel!N141&amp;" "&amp;Migrationsartikel!O141&amp;" "&amp;Migrationsartikel!P141</f>
        <v>Succo di mela della regione 33cl</v>
      </c>
      <c r="O143" t="str">
        <f>Migrationsartikel!F141</f>
        <v>Apfelsaft</v>
      </c>
      <c r="P143" t="str">
        <f>Migrationsartikel!J141</f>
        <v>Jus de pomme</v>
      </c>
      <c r="Q143" t="str">
        <f>Migrationsartikel!N141</f>
        <v>Succo di mela</v>
      </c>
      <c r="R143" t="str">
        <f>Migrationsartikel!G141</f>
        <v>aus der Region</v>
      </c>
      <c r="S143" t="str">
        <f>Migrationsartikel!K141</f>
        <v>de la région</v>
      </c>
      <c r="T143" t="str">
        <f>Migrationsartikel!O141</f>
        <v>della regione</v>
      </c>
      <c r="U143" s="31" t="str">
        <f>Migrationsartikel!H141</f>
        <v>33cl</v>
      </c>
      <c r="V143" s="31" t="str">
        <f>Migrationsartikel!L141</f>
        <v>33cl</v>
      </c>
      <c r="W143" s="31" t="str">
        <f>Migrationsartikel!P141</f>
        <v>33cl</v>
      </c>
      <c r="X143" t="str">
        <f>Migrationsartikel!I141</f>
        <v>Apfelsaft 33cl</v>
      </c>
      <c r="Y143" t="str">
        <f>Migrationsartikel!M141</f>
        <v>Jus de pomme 33cl</v>
      </c>
      <c r="Z143" t="str">
        <f>Migrationsartikel!Q141</f>
        <v>Succo mela 33cl</v>
      </c>
      <c r="AA143" s="45">
        <f>Migrationsartikel!R141</f>
        <v>0.33</v>
      </c>
      <c r="AB143" s="46" t="str">
        <f>Migrationsartikel!T141</f>
        <v>Liter</v>
      </c>
      <c r="AC143">
        <f>Migrationsartikel!S141</f>
        <v>1</v>
      </c>
      <c r="AD143" t="str">
        <f>Migrationsartikel!U141</f>
        <v>(PCE) Stück</v>
      </c>
      <c r="AE143" s="31" t="s">
        <v>179</v>
      </c>
      <c r="AF143" s="31" t="s">
        <v>192</v>
      </c>
      <c r="AG143" t="str">
        <f>IF(Migrationsartikel!AB141="ja","true",FALSE)</f>
        <v>true</v>
      </c>
      <c r="AH143" t="str">
        <f>IF(Migrationsartikel!AC141="ja","true",FALSE)</f>
        <v>true</v>
      </c>
      <c r="AI143" t="str">
        <f>IF(Migrationsartikel!AD141="ja","true",FALSE)</f>
        <v>true</v>
      </c>
      <c r="AJ143" t="str">
        <f>IF(Migrationsartikel!AE141="ja","true",FALSE)</f>
        <v>true</v>
      </c>
      <c r="AK143" t="str">
        <f>IF(Migrationsartikel!AF141="ja","Denner Partner","")</f>
        <v/>
      </c>
      <c r="AL143" t="str">
        <f>IF(Migrationsartikel!AG141="ja","true","false")</f>
        <v>false</v>
      </c>
      <c r="AM143" t="str">
        <f t="shared" si="2"/>
        <v>PLU</v>
      </c>
      <c r="AN143" s="31" t="s">
        <v>219</v>
      </c>
      <c r="AO143" s="31" t="s">
        <v>217</v>
      </c>
    </row>
    <row r="144" spans="2:41" ht="21.75" customHeight="1" x14ac:dyDescent="0.45">
      <c r="B144" t="s">
        <v>99</v>
      </c>
      <c r="E144" s="31" t="s">
        <v>1554</v>
      </c>
      <c r="F144" t="str">
        <f>"Warengruppe&gt;&gt;"&amp;Migrationsartikel!V142&amp;"&gt;&gt;"&amp;Migrationsartikel!W142&amp;"&gt;&gt;"&amp;Migrationsartikel!X142</f>
        <v>Warengruppe&gt;&gt;Getränke&gt;&gt;Tafelgetränke&gt;&gt;Tafelgetränke</v>
      </c>
      <c r="H144" s="31" t="s">
        <v>109</v>
      </c>
      <c r="I144" s="31" t="s">
        <v>121</v>
      </c>
      <c r="J144" s="31">
        <f>Migrationsartikel!B142</f>
        <v>892</v>
      </c>
      <c r="L144" t="str">
        <f>Migrationsartikel!F142&amp;" "&amp;Migrationsartikel!G142&amp;" "&amp;Migrationsartikel!H142</f>
        <v>Apfelsaft aus der Region 50cl</v>
      </c>
      <c r="M144" t="str">
        <f>Migrationsartikel!J142&amp;" "&amp;Migrationsartikel!K142&amp;" "&amp;Migrationsartikel!L142</f>
        <v>Jus de pomme de la région 50cl</v>
      </c>
      <c r="N144" t="str">
        <f>Migrationsartikel!N142&amp;" "&amp;Migrationsartikel!O142&amp;" "&amp;Migrationsartikel!P142</f>
        <v>Succo di mela della regione 50cl</v>
      </c>
      <c r="O144" t="str">
        <f>Migrationsartikel!F142</f>
        <v>Apfelsaft</v>
      </c>
      <c r="P144" t="str">
        <f>Migrationsartikel!J142</f>
        <v>Jus de pomme</v>
      </c>
      <c r="Q144" t="str">
        <f>Migrationsartikel!N142</f>
        <v>Succo di mela</v>
      </c>
      <c r="R144" t="str">
        <f>Migrationsartikel!G142</f>
        <v>aus der Region</v>
      </c>
      <c r="S144" t="str">
        <f>Migrationsartikel!K142</f>
        <v>de la région</v>
      </c>
      <c r="T144" t="str">
        <f>Migrationsartikel!O142</f>
        <v>della regione</v>
      </c>
      <c r="U144" s="31" t="str">
        <f>Migrationsartikel!H142</f>
        <v>50cl</v>
      </c>
      <c r="V144" s="31" t="str">
        <f>Migrationsartikel!L142</f>
        <v>50cl</v>
      </c>
      <c r="W144" s="31" t="str">
        <f>Migrationsartikel!P142</f>
        <v>50cl</v>
      </c>
      <c r="X144" t="str">
        <f>Migrationsartikel!I142</f>
        <v>Apfelsaft 50cl</v>
      </c>
      <c r="Y144" t="str">
        <f>Migrationsartikel!M142</f>
        <v>Jus de pomme 50cl</v>
      </c>
      <c r="Z144" t="str">
        <f>Migrationsartikel!Q142</f>
        <v>Succo mela 50cl</v>
      </c>
      <c r="AA144" s="45">
        <f>Migrationsartikel!R142</f>
        <v>0.5</v>
      </c>
      <c r="AB144" s="46" t="str">
        <f>Migrationsartikel!T142</f>
        <v>Liter</v>
      </c>
      <c r="AC144">
        <f>Migrationsartikel!S142</f>
        <v>1</v>
      </c>
      <c r="AD144" t="str">
        <f>Migrationsartikel!U142</f>
        <v>(PCE) Stück</v>
      </c>
      <c r="AE144" s="31" t="s">
        <v>179</v>
      </c>
      <c r="AF144" s="31" t="s">
        <v>192</v>
      </c>
      <c r="AG144" t="str">
        <f>IF(Migrationsartikel!AB142="ja","true",FALSE)</f>
        <v>true</v>
      </c>
      <c r="AH144" t="str">
        <f>IF(Migrationsartikel!AC142="ja","true",FALSE)</f>
        <v>true</v>
      </c>
      <c r="AI144" t="str">
        <f>IF(Migrationsartikel!AD142="ja","true",FALSE)</f>
        <v>true</v>
      </c>
      <c r="AJ144" t="str">
        <f>IF(Migrationsartikel!AE142="ja","true",FALSE)</f>
        <v>true</v>
      </c>
      <c r="AK144" t="str">
        <f>IF(Migrationsartikel!AF142="ja","Denner Partner","")</f>
        <v/>
      </c>
      <c r="AL144" t="str">
        <f>IF(Migrationsartikel!AG142="ja","true","false")</f>
        <v>false</v>
      </c>
      <c r="AM144" t="str">
        <f t="shared" si="2"/>
        <v>PLU</v>
      </c>
      <c r="AN144" s="31" t="s">
        <v>219</v>
      </c>
      <c r="AO144" s="31" t="s">
        <v>217</v>
      </c>
    </row>
    <row r="145" spans="2:41" ht="21.75" customHeight="1" x14ac:dyDescent="0.45">
      <c r="B145" t="s">
        <v>99</v>
      </c>
      <c r="E145" s="31" t="s">
        <v>1555</v>
      </c>
      <c r="F145" t="str">
        <f>"Warengruppe&gt;&gt;"&amp;Migrationsartikel!V143&amp;"&gt;&gt;"&amp;Migrationsartikel!W143&amp;"&gt;&gt;"&amp;Migrationsartikel!X143</f>
        <v>Warengruppe&gt;&gt;Getränke&gt;&gt;Tafelgetränke&gt;&gt;Tafelgetränke</v>
      </c>
      <c r="H145" s="31" t="s">
        <v>109</v>
      </c>
      <c r="I145" s="31" t="s">
        <v>121</v>
      </c>
      <c r="J145" s="31">
        <f>Migrationsartikel!B143</f>
        <v>893</v>
      </c>
      <c r="L145" t="str">
        <f>Migrationsartikel!F143&amp;" "&amp;Migrationsartikel!G143&amp;" "&amp;Migrationsartikel!H143</f>
        <v>Apfelsaft aus der Region 1l</v>
      </c>
      <c r="M145" t="str">
        <f>Migrationsartikel!J143&amp;" "&amp;Migrationsartikel!K143&amp;" "&amp;Migrationsartikel!L143</f>
        <v>Jus de pomme de la région 1l</v>
      </c>
      <c r="N145" t="str">
        <f>Migrationsartikel!N143&amp;" "&amp;Migrationsartikel!O143&amp;" "&amp;Migrationsartikel!P143</f>
        <v>Succo di mela della regione 1l</v>
      </c>
      <c r="O145" t="str">
        <f>Migrationsartikel!F143</f>
        <v>Apfelsaft</v>
      </c>
      <c r="P145" t="str">
        <f>Migrationsartikel!J143</f>
        <v>Jus de pomme</v>
      </c>
      <c r="Q145" t="str">
        <f>Migrationsartikel!N143</f>
        <v>Succo di mela</v>
      </c>
      <c r="R145" t="str">
        <f>Migrationsartikel!G143</f>
        <v>aus der Region</v>
      </c>
      <c r="S145" t="str">
        <f>Migrationsartikel!K143</f>
        <v>de la région</v>
      </c>
      <c r="T145" t="str">
        <f>Migrationsartikel!O143</f>
        <v>della regione</v>
      </c>
      <c r="U145" s="31" t="str">
        <f>Migrationsartikel!H143</f>
        <v>1l</v>
      </c>
      <c r="V145" s="31" t="str">
        <f>Migrationsartikel!L143</f>
        <v>1l</v>
      </c>
      <c r="W145" s="31" t="str">
        <f>Migrationsartikel!P143</f>
        <v>1l</v>
      </c>
      <c r="X145" t="str">
        <f>Migrationsartikel!I143</f>
        <v>Apfelsaft 1l</v>
      </c>
      <c r="Y145" t="str">
        <f>Migrationsartikel!M143</f>
        <v>Jus de pomme 1l</v>
      </c>
      <c r="Z145" t="str">
        <f>Migrationsartikel!Q143</f>
        <v>Succo mela 1l</v>
      </c>
      <c r="AA145" s="45">
        <f>Migrationsartikel!R143</f>
        <v>1</v>
      </c>
      <c r="AB145" s="46" t="str">
        <f>Migrationsartikel!T143</f>
        <v>Liter</v>
      </c>
      <c r="AC145">
        <f>Migrationsartikel!S143</f>
        <v>1</v>
      </c>
      <c r="AD145" t="str">
        <f>Migrationsartikel!U143</f>
        <v>(PCE) Stück</v>
      </c>
      <c r="AE145" s="31" t="s">
        <v>179</v>
      </c>
      <c r="AF145" s="31" t="s">
        <v>192</v>
      </c>
      <c r="AG145" t="str">
        <f>IF(Migrationsartikel!AB143="ja","true",FALSE)</f>
        <v>true</v>
      </c>
      <c r="AH145" t="str">
        <f>IF(Migrationsartikel!AC143="ja","true",FALSE)</f>
        <v>true</v>
      </c>
      <c r="AI145" t="str">
        <f>IF(Migrationsartikel!AD143="ja","true",FALSE)</f>
        <v>true</v>
      </c>
      <c r="AJ145" t="str">
        <f>IF(Migrationsartikel!AE143="ja","true",FALSE)</f>
        <v>true</v>
      </c>
      <c r="AK145" t="str">
        <f>IF(Migrationsartikel!AF143="ja","Denner Partner","")</f>
        <v/>
      </c>
      <c r="AL145" t="str">
        <f>IF(Migrationsartikel!AG143="ja","true","false")</f>
        <v>false</v>
      </c>
      <c r="AM145" t="str">
        <f t="shared" si="2"/>
        <v>PLU</v>
      </c>
      <c r="AN145" s="31" t="s">
        <v>219</v>
      </c>
      <c r="AO145" s="31" t="s">
        <v>217</v>
      </c>
    </row>
    <row r="146" spans="2:41" ht="21.75" customHeight="1" x14ac:dyDescent="0.45">
      <c r="B146" t="s">
        <v>99</v>
      </c>
      <c r="E146" s="31" t="s">
        <v>1556</v>
      </c>
      <c r="F146" t="str">
        <f>"Warengruppe&gt;&gt;"&amp;Migrationsartikel!V144&amp;"&gt;&gt;"&amp;Migrationsartikel!W144&amp;"&gt;&gt;"&amp;Migrationsartikel!X144</f>
        <v>Warengruppe&gt;&gt;Getränke&gt;&gt;Tafelgetränke&gt;&gt;Tafelgetränke</v>
      </c>
      <c r="H146" s="31" t="s">
        <v>109</v>
      </c>
      <c r="I146" s="31" t="s">
        <v>121</v>
      </c>
      <c r="J146" s="31">
        <f>Migrationsartikel!B144</f>
        <v>894</v>
      </c>
      <c r="L146" t="str">
        <f>Migrationsartikel!F144&amp;" "&amp;Migrationsartikel!G144&amp;" "&amp;Migrationsartikel!H144</f>
        <v>Apfelsaft aus der Region 1.5l</v>
      </c>
      <c r="M146" t="str">
        <f>Migrationsartikel!J144&amp;" "&amp;Migrationsartikel!K144&amp;" "&amp;Migrationsartikel!L144</f>
        <v>Jus de pomme de la région 1.5l</v>
      </c>
      <c r="N146" t="str">
        <f>Migrationsartikel!N144&amp;" "&amp;Migrationsartikel!O144&amp;" "&amp;Migrationsartikel!P144</f>
        <v>Succo di mela della regione 1.5l</v>
      </c>
      <c r="O146" t="str">
        <f>Migrationsartikel!F144</f>
        <v>Apfelsaft</v>
      </c>
      <c r="P146" t="str">
        <f>Migrationsartikel!J144</f>
        <v>Jus de pomme</v>
      </c>
      <c r="Q146" t="str">
        <f>Migrationsartikel!N144</f>
        <v>Succo di mela</v>
      </c>
      <c r="R146" t="str">
        <f>Migrationsartikel!G144</f>
        <v>aus der Region</v>
      </c>
      <c r="S146" t="str">
        <f>Migrationsartikel!K144</f>
        <v>de la région</v>
      </c>
      <c r="T146" t="str">
        <f>Migrationsartikel!O144</f>
        <v>della regione</v>
      </c>
      <c r="U146" s="31" t="str">
        <f>Migrationsartikel!H144</f>
        <v>1.5l</v>
      </c>
      <c r="V146" s="31" t="str">
        <f>Migrationsartikel!L144</f>
        <v>1.5l</v>
      </c>
      <c r="W146" s="31" t="str">
        <f>Migrationsartikel!P144</f>
        <v>1.5l</v>
      </c>
      <c r="X146" t="str">
        <f>Migrationsartikel!I144</f>
        <v>Apfelsaft 1.5l</v>
      </c>
      <c r="Y146" t="str">
        <f>Migrationsartikel!M144</f>
        <v>Jus de pomme 1.5l</v>
      </c>
      <c r="Z146" t="str">
        <f>Migrationsartikel!Q144</f>
        <v>Succo mela 1.5l</v>
      </c>
      <c r="AA146" s="45">
        <f>Migrationsartikel!R144</f>
        <v>1.5</v>
      </c>
      <c r="AB146" s="46" t="str">
        <f>Migrationsartikel!T144</f>
        <v>Liter</v>
      </c>
      <c r="AC146">
        <f>Migrationsartikel!S144</f>
        <v>1</v>
      </c>
      <c r="AD146" t="str">
        <f>Migrationsartikel!U144</f>
        <v>(PCE) Stück</v>
      </c>
      <c r="AE146" s="31" t="s">
        <v>179</v>
      </c>
      <c r="AF146" s="31" t="s">
        <v>192</v>
      </c>
      <c r="AG146" t="str">
        <f>IF(Migrationsartikel!AB144="ja","true",FALSE)</f>
        <v>true</v>
      </c>
      <c r="AH146" t="str">
        <f>IF(Migrationsartikel!AC144="ja","true",FALSE)</f>
        <v>true</v>
      </c>
      <c r="AI146" t="str">
        <f>IF(Migrationsartikel!AD144="ja","true",FALSE)</f>
        <v>true</v>
      </c>
      <c r="AJ146" t="str">
        <f>IF(Migrationsartikel!AE144="ja","true",FALSE)</f>
        <v>true</v>
      </c>
      <c r="AK146" t="str">
        <f>IF(Migrationsartikel!AF144="ja","Denner Partner","")</f>
        <v/>
      </c>
      <c r="AL146" t="str">
        <f>IF(Migrationsartikel!AG144="ja","true","false")</f>
        <v>false</v>
      </c>
      <c r="AM146" t="str">
        <f t="shared" si="2"/>
        <v>PLU</v>
      </c>
      <c r="AN146" s="31" t="s">
        <v>219</v>
      </c>
      <c r="AO146" s="31" t="s">
        <v>217</v>
      </c>
    </row>
    <row r="147" spans="2:41" ht="21.75" customHeight="1" x14ac:dyDescent="0.45">
      <c r="B147" t="s">
        <v>99</v>
      </c>
      <c r="E147" s="31" t="s">
        <v>1557</v>
      </c>
      <c r="F147" t="str">
        <f>"Warengruppe&gt;&gt;"&amp;Migrationsartikel!V145&amp;"&gt;&gt;"&amp;Migrationsartikel!W145&amp;"&gt;&gt;"&amp;Migrationsartikel!X145</f>
        <v>Warengruppe&gt;&gt;Getränke&gt;&gt;Tafelgetränke&gt;&gt;Tafelgetränke</v>
      </c>
      <c r="H147" s="31" t="s">
        <v>109</v>
      </c>
      <c r="I147" s="31" t="s">
        <v>121</v>
      </c>
      <c r="J147" s="31">
        <f>Migrationsartikel!B145</f>
        <v>895</v>
      </c>
      <c r="L147" t="str">
        <f>Migrationsartikel!F145&amp;" "&amp;Migrationsartikel!G145&amp;" "&amp;Migrationsartikel!H145</f>
        <v>Apfelsaft aus der Region 10l</v>
      </c>
      <c r="M147" t="str">
        <f>Migrationsartikel!J145&amp;" "&amp;Migrationsartikel!K145&amp;" "&amp;Migrationsartikel!L145</f>
        <v>Jus de pomme de la région 10l</v>
      </c>
      <c r="N147" t="str">
        <f>Migrationsartikel!N145&amp;" "&amp;Migrationsartikel!O145&amp;" "&amp;Migrationsartikel!P145</f>
        <v>Succo di mela della regione 10l</v>
      </c>
      <c r="O147" t="str">
        <f>Migrationsartikel!F145</f>
        <v>Apfelsaft</v>
      </c>
      <c r="P147" t="str">
        <f>Migrationsartikel!J145</f>
        <v>Jus de pomme</v>
      </c>
      <c r="Q147" t="str">
        <f>Migrationsartikel!N145</f>
        <v>Succo di mela</v>
      </c>
      <c r="R147" t="str">
        <f>Migrationsartikel!G145</f>
        <v>aus der Region</v>
      </c>
      <c r="S147" t="str">
        <f>Migrationsartikel!K145</f>
        <v>de la région</v>
      </c>
      <c r="T147" t="str">
        <f>Migrationsartikel!O145</f>
        <v>della regione</v>
      </c>
      <c r="U147" s="31" t="str">
        <f>Migrationsartikel!H145</f>
        <v>10l</v>
      </c>
      <c r="V147" s="31" t="str">
        <f>Migrationsartikel!L145</f>
        <v>10l</v>
      </c>
      <c r="W147" s="31" t="str">
        <f>Migrationsartikel!P145</f>
        <v>10l</v>
      </c>
      <c r="X147" t="str">
        <f>Migrationsartikel!I145</f>
        <v>Apfelsaft 10l</v>
      </c>
      <c r="Y147" t="str">
        <f>Migrationsartikel!M145</f>
        <v>Jus de pomme 10l</v>
      </c>
      <c r="Z147" t="str">
        <f>Migrationsartikel!Q145</f>
        <v>Succo mela 10l</v>
      </c>
      <c r="AA147" s="45">
        <f>Migrationsartikel!R145</f>
        <v>10</v>
      </c>
      <c r="AB147" s="46" t="str">
        <f>Migrationsartikel!T145</f>
        <v>Liter</v>
      </c>
      <c r="AC147">
        <f>Migrationsartikel!S145</f>
        <v>1</v>
      </c>
      <c r="AD147" t="str">
        <f>Migrationsartikel!U145</f>
        <v>(PCE) Stück</v>
      </c>
      <c r="AE147" s="31" t="s">
        <v>179</v>
      </c>
      <c r="AF147" s="31" t="s">
        <v>192</v>
      </c>
      <c r="AG147" t="str">
        <f>IF(Migrationsartikel!AB145="ja","true",FALSE)</f>
        <v>true</v>
      </c>
      <c r="AH147" t="str">
        <f>IF(Migrationsartikel!AC145="ja","true",FALSE)</f>
        <v>true</v>
      </c>
      <c r="AI147" t="str">
        <f>IF(Migrationsartikel!AD145="ja","true",FALSE)</f>
        <v>true</v>
      </c>
      <c r="AJ147" t="str">
        <f>IF(Migrationsartikel!AE145="ja","true",FALSE)</f>
        <v>true</v>
      </c>
      <c r="AK147" t="str">
        <f>IF(Migrationsartikel!AF145="ja","Denner Partner","")</f>
        <v/>
      </c>
      <c r="AL147" t="str">
        <f>IF(Migrationsartikel!AG145="ja","true","false")</f>
        <v>false</v>
      </c>
      <c r="AM147" t="str">
        <f t="shared" si="2"/>
        <v>PLU</v>
      </c>
      <c r="AN147" s="31" t="s">
        <v>219</v>
      </c>
      <c r="AO147" s="31" t="s">
        <v>217</v>
      </c>
    </row>
    <row r="148" spans="2:41" ht="21.75" customHeight="1" x14ac:dyDescent="0.45">
      <c r="B148" t="s">
        <v>99</v>
      </c>
      <c r="E148" s="31" t="s">
        <v>1558</v>
      </c>
      <c r="F148" t="str">
        <f>"Warengruppe&gt;&gt;"&amp;Migrationsartikel!V146&amp;"&gt;&gt;"&amp;Migrationsartikel!W146&amp;"&gt;&gt;"&amp;Migrationsartikel!X146</f>
        <v>Warengruppe&gt;&gt;Getränke&gt;&gt;Tafelgetränke&gt;&gt;Tafelgetränke</v>
      </c>
      <c r="H148" s="31" t="s">
        <v>109</v>
      </c>
      <c r="I148" s="31" t="s">
        <v>121</v>
      </c>
      <c r="J148" s="31">
        <f>Migrationsartikel!B146</f>
        <v>896</v>
      </c>
      <c r="L148" t="str">
        <f>Migrationsartikel!F146&amp;" "&amp;Migrationsartikel!G146&amp;" "&amp;Migrationsartikel!H146</f>
        <v>Apfelsaft aus der Region 5l</v>
      </c>
      <c r="M148" t="str">
        <f>Migrationsartikel!J146&amp;" "&amp;Migrationsartikel!K146&amp;" "&amp;Migrationsartikel!L146</f>
        <v>Jus de pomme de la région 5l</v>
      </c>
      <c r="N148" t="str">
        <f>Migrationsartikel!N146&amp;" "&amp;Migrationsartikel!O146&amp;" "&amp;Migrationsartikel!P146</f>
        <v>Succo di mela della regione 5l</v>
      </c>
      <c r="O148" t="str">
        <f>Migrationsartikel!F146</f>
        <v>Apfelsaft</v>
      </c>
      <c r="P148" t="str">
        <f>Migrationsartikel!J146</f>
        <v>Jus de pomme</v>
      </c>
      <c r="Q148" t="str">
        <f>Migrationsartikel!N146</f>
        <v>Succo di mela</v>
      </c>
      <c r="R148" t="str">
        <f>Migrationsartikel!G146</f>
        <v>aus der Region</v>
      </c>
      <c r="S148" t="str">
        <f>Migrationsartikel!K146</f>
        <v>de la région</v>
      </c>
      <c r="T148" t="str">
        <f>Migrationsartikel!O146</f>
        <v>della regione</v>
      </c>
      <c r="U148" s="31" t="str">
        <f>Migrationsartikel!H146</f>
        <v>5l</v>
      </c>
      <c r="V148" s="31" t="str">
        <f>Migrationsartikel!L146</f>
        <v>5l</v>
      </c>
      <c r="W148" s="31" t="str">
        <f>Migrationsartikel!P146</f>
        <v>5l</v>
      </c>
      <c r="X148" t="str">
        <f>Migrationsartikel!I146</f>
        <v>Apfelsaft 5l</v>
      </c>
      <c r="Y148" t="str">
        <f>Migrationsartikel!M146</f>
        <v>Jus de pomme 5l</v>
      </c>
      <c r="Z148" t="str">
        <f>Migrationsartikel!Q146</f>
        <v>Succo mela 5l</v>
      </c>
      <c r="AA148" s="45">
        <f>Migrationsartikel!R146</f>
        <v>5</v>
      </c>
      <c r="AB148" s="46" t="str">
        <f>Migrationsartikel!T146</f>
        <v>Liter</v>
      </c>
      <c r="AC148">
        <f>Migrationsartikel!S146</f>
        <v>1</v>
      </c>
      <c r="AD148" t="str">
        <f>Migrationsartikel!U146</f>
        <v>(PCE) Stück</v>
      </c>
      <c r="AE148" s="31" t="s">
        <v>179</v>
      </c>
      <c r="AF148" s="31" t="s">
        <v>192</v>
      </c>
      <c r="AG148" t="str">
        <f>IF(Migrationsartikel!AB146="ja","true",FALSE)</f>
        <v>true</v>
      </c>
      <c r="AH148" t="str">
        <f>IF(Migrationsartikel!AC146="ja","true",FALSE)</f>
        <v>true</v>
      </c>
      <c r="AI148" t="str">
        <f>IF(Migrationsartikel!AD146="ja","true",FALSE)</f>
        <v>true</v>
      </c>
      <c r="AJ148" t="str">
        <f>IF(Migrationsartikel!AE146="ja","true",FALSE)</f>
        <v>true</v>
      </c>
      <c r="AK148" t="str">
        <f>IF(Migrationsartikel!AF146="ja","Denner Partner","")</f>
        <v/>
      </c>
      <c r="AL148" t="str">
        <f>IF(Migrationsartikel!AG146="ja","true","false")</f>
        <v>false</v>
      </c>
      <c r="AM148" t="str">
        <f t="shared" si="2"/>
        <v>PLU</v>
      </c>
      <c r="AN148" s="31" t="s">
        <v>219</v>
      </c>
      <c r="AO148" s="31" t="s">
        <v>217</v>
      </c>
    </row>
    <row r="149" spans="2:41" ht="21.75" customHeight="1" x14ac:dyDescent="0.45">
      <c r="B149" t="s">
        <v>99</v>
      </c>
      <c r="E149" s="31" t="s">
        <v>1559</v>
      </c>
      <c r="F149" t="str">
        <f>"Warengruppe&gt;&gt;"&amp;Migrationsartikel!V147&amp;"&gt;&gt;"&amp;Migrationsartikel!W147&amp;"&gt;&gt;"&amp;Migrationsartikel!X147</f>
        <v>Warengruppe&gt;&gt;Getränke&gt;&gt;Tafelgetränke&gt;&gt;Tafelgetränke</v>
      </c>
      <c r="H149" s="31" t="s">
        <v>109</v>
      </c>
      <c r="I149" s="31" t="s">
        <v>121</v>
      </c>
      <c r="J149" s="31">
        <f>Migrationsartikel!B147</f>
        <v>897</v>
      </c>
      <c r="L149" t="str">
        <f>Migrationsartikel!F147&amp;" "&amp;Migrationsartikel!G147&amp;" "&amp;Migrationsartikel!H147</f>
        <v>Apfelsaft aus der Region 3l</v>
      </c>
      <c r="M149" t="str">
        <f>Migrationsartikel!J147&amp;" "&amp;Migrationsartikel!K147&amp;" "&amp;Migrationsartikel!L147</f>
        <v>Jus de pomme de la région 3l</v>
      </c>
      <c r="N149" t="str">
        <f>Migrationsartikel!N147&amp;" "&amp;Migrationsartikel!O147&amp;" "&amp;Migrationsartikel!P147</f>
        <v>Succo di mela della regione 3l</v>
      </c>
      <c r="O149" t="str">
        <f>Migrationsartikel!F147</f>
        <v>Apfelsaft</v>
      </c>
      <c r="P149" t="str">
        <f>Migrationsartikel!J147</f>
        <v>Jus de pomme</v>
      </c>
      <c r="Q149" t="str">
        <f>Migrationsartikel!N147</f>
        <v>Succo di mela</v>
      </c>
      <c r="R149" t="str">
        <f>Migrationsartikel!G147</f>
        <v>aus der Region</v>
      </c>
      <c r="S149" t="str">
        <f>Migrationsartikel!K147</f>
        <v>de la région</v>
      </c>
      <c r="T149" t="str">
        <f>Migrationsartikel!O147</f>
        <v>della regione</v>
      </c>
      <c r="U149" s="31" t="str">
        <f>Migrationsartikel!H147</f>
        <v>3l</v>
      </c>
      <c r="V149" s="31" t="str">
        <f>Migrationsartikel!L147</f>
        <v>3l</v>
      </c>
      <c r="W149" s="31" t="str">
        <f>Migrationsartikel!P147</f>
        <v>3l</v>
      </c>
      <c r="X149" t="str">
        <f>Migrationsartikel!I147</f>
        <v>Apfelsaft 3l</v>
      </c>
      <c r="Y149" t="str">
        <f>Migrationsartikel!M147</f>
        <v>Jus de pomme 3l</v>
      </c>
      <c r="Z149" t="str">
        <f>Migrationsartikel!Q147</f>
        <v>Succo mela 3l</v>
      </c>
      <c r="AA149" s="45">
        <f>Migrationsartikel!R147</f>
        <v>3</v>
      </c>
      <c r="AB149" s="46" t="str">
        <f>Migrationsartikel!T147</f>
        <v>Liter</v>
      </c>
      <c r="AC149">
        <f>Migrationsartikel!S147</f>
        <v>1</v>
      </c>
      <c r="AD149" t="str">
        <f>Migrationsartikel!U147</f>
        <v>(PCE) Stück</v>
      </c>
      <c r="AE149" s="31" t="s">
        <v>179</v>
      </c>
      <c r="AF149" s="31" t="s">
        <v>192</v>
      </c>
      <c r="AG149" t="str">
        <f>IF(Migrationsartikel!AB147="ja","true",FALSE)</f>
        <v>true</v>
      </c>
      <c r="AH149" t="str">
        <f>IF(Migrationsartikel!AC147="ja","true",FALSE)</f>
        <v>true</v>
      </c>
      <c r="AI149" t="str">
        <f>IF(Migrationsartikel!AD147="ja","true",FALSE)</f>
        <v>true</v>
      </c>
      <c r="AJ149" t="str">
        <f>IF(Migrationsartikel!AE147="ja","true",FALSE)</f>
        <v>true</v>
      </c>
      <c r="AK149" t="str">
        <f>IF(Migrationsartikel!AF147="ja","Denner Partner","")</f>
        <v/>
      </c>
      <c r="AL149" t="str">
        <f>IF(Migrationsartikel!AG147="ja","true","false")</f>
        <v>false</v>
      </c>
      <c r="AM149" t="str">
        <f t="shared" si="2"/>
        <v>PLU</v>
      </c>
      <c r="AN149" s="31" t="s">
        <v>219</v>
      </c>
      <c r="AO149" s="31" t="s">
        <v>217</v>
      </c>
    </row>
    <row r="150" spans="2:41" ht="21.75" customHeight="1" x14ac:dyDescent="0.45">
      <c r="B150" t="s">
        <v>99</v>
      </c>
      <c r="E150" s="31" t="s">
        <v>1560</v>
      </c>
      <c r="F150" t="str">
        <f>"Warengruppe&gt;&gt;"&amp;Migrationsartikel!V148&amp;"&gt;&gt;"&amp;Migrationsartikel!W148&amp;"&gt;&gt;"&amp;Migrationsartikel!X148</f>
        <v>Warengruppe&gt;&gt;Getränke&gt;&gt;Tafelgetränke&gt;&gt;Tafelgetränke</v>
      </c>
      <c r="H150" s="31" t="s">
        <v>109</v>
      </c>
      <c r="I150" s="31" t="s">
        <v>121</v>
      </c>
      <c r="J150" s="31">
        <f>Migrationsartikel!B148</f>
        <v>898</v>
      </c>
      <c r="L150" t="str">
        <f>Migrationsartikel!F148&amp;" "&amp;Migrationsartikel!G148&amp;" "&amp;Migrationsartikel!H148</f>
        <v>Apfelshorle aus der Region 33cl</v>
      </c>
      <c r="M150" t="str">
        <f>Migrationsartikel!J148&amp;" "&amp;Migrationsartikel!K148&amp;" "&amp;Migrationsartikel!L148</f>
        <v>Jus de pomme pétillant de la région 33cl</v>
      </c>
      <c r="N150" t="str">
        <f>Migrationsartikel!N148&amp;" "&amp;Migrationsartikel!O148&amp;" "&amp;Migrationsartikel!P148</f>
        <v>Succo di mela gassato della regione 33cl</v>
      </c>
      <c r="O150" t="str">
        <f>Migrationsartikel!F148</f>
        <v>Apfelshorle</v>
      </c>
      <c r="P150" t="str">
        <f>Migrationsartikel!J148</f>
        <v>Jus de pomme pétillant</v>
      </c>
      <c r="Q150" t="str">
        <f>Migrationsartikel!N148</f>
        <v>Succo di mela gassato</v>
      </c>
      <c r="R150" t="str">
        <f>Migrationsartikel!G148</f>
        <v>aus der Region</v>
      </c>
      <c r="S150" t="str">
        <f>Migrationsartikel!K148</f>
        <v>de la région</v>
      </c>
      <c r="T150" t="str">
        <f>Migrationsartikel!O148</f>
        <v>della regione</v>
      </c>
      <c r="U150" s="31" t="str">
        <f>Migrationsartikel!H148</f>
        <v>33cl</v>
      </c>
      <c r="V150" s="31" t="str">
        <f>Migrationsartikel!L148</f>
        <v>33cl</v>
      </c>
      <c r="W150" s="31" t="str">
        <f>Migrationsartikel!P148</f>
        <v>33cl</v>
      </c>
      <c r="X150" t="str">
        <f>Migrationsartikel!I148</f>
        <v>Apfelshorle</v>
      </c>
      <c r="Y150" t="str">
        <f>Migrationsartikel!M148</f>
        <v>Jus de pomme pétillant 33cl</v>
      </c>
      <c r="Z150" t="str">
        <f>Migrationsartikel!Q148</f>
        <v>Succo di mela gas. 33cl</v>
      </c>
      <c r="AA150" s="45">
        <f>Migrationsartikel!R148</f>
        <v>0.33</v>
      </c>
      <c r="AB150" s="46" t="str">
        <f>Migrationsartikel!T148</f>
        <v>Liter</v>
      </c>
      <c r="AC150">
        <f>Migrationsartikel!S148</f>
        <v>1</v>
      </c>
      <c r="AD150" t="str">
        <f>Migrationsartikel!U148</f>
        <v>(PCE) Stück</v>
      </c>
      <c r="AE150" s="31" t="s">
        <v>179</v>
      </c>
      <c r="AF150" s="31" t="s">
        <v>192</v>
      </c>
      <c r="AG150" t="str">
        <f>IF(Migrationsartikel!AB148="ja","true",FALSE)</f>
        <v>true</v>
      </c>
      <c r="AH150" t="str">
        <f>IF(Migrationsartikel!AC148="ja","true",FALSE)</f>
        <v>true</v>
      </c>
      <c r="AI150" t="str">
        <f>IF(Migrationsartikel!AD148="ja","true",FALSE)</f>
        <v>true</v>
      </c>
      <c r="AJ150" t="str">
        <f>IF(Migrationsartikel!AE148="ja","true",FALSE)</f>
        <v>true</v>
      </c>
      <c r="AK150" t="str">
        <f>IF(Migrationsartikel!AF148="ja","Denner Partner","")</f>
        <v/>
      </c>
      <c r="AL150" t="str">
        <f>IF(Migrationsartikel!AG148="ja","true","false")</f>
        <v>false</v>
      </c>
      <c r="AM150" t="str">
        <f t="shared" si="2"/>
        <v>PLU</v>
      </c>
      <c r="AN150" s="31" t="s">
        <v>219</v>
      </c>
      <c r="AO150" s="31" t="s">
        <v>217</v>
      </c>
    </row>
    <row r="151" spans="2:41" ht="21.75" customHeight="1" x14ac:dyDescent="0.45">
      <c r="B151" t="s">
        <v>99</v>
      </c>
      <c r="E151" s="31" t="s">
        <v>1561</v>
      </c>
      <c r="F151" t="str">
        <f>"Warengruppe&gt;&gt;"&amp;Migrationsartikel!V149&amp;"&gt;&gt;"&amp;Migrationsartikel!W149&amp;"&gt;&gt;"&amp;Migrationsartikel!X149</f>
        <v>Warengruppe&gt;&gt;Getränke&gt;&gt;Tafelgetränke&gt;&gt;Tafelgetränke</v>
      </c>
      <c r="H151" s="31" t="s">
        <v>109</v>
      </c>
      <c r="I151" s="31" t="s">
        <v>121</v>
      </c>
      <c r="J151" s="31">
        <f>Migrationsartikel!B149</f>
        <v>899</v>
      </c>
      <c r="L151" t="str">
        <f>Migrationsartikel!F149&amp;" "&amp;Migrationsartikel!G149&amp;" "&amp;Migrationsartikel!H149</f>
        <v>Apfelshorle aus der Region 50cl</v>
      </c>
      <c r="M151" t="str">
        <f>Migrationsartikel!J149&amp;" "&amp;Migrationsartikel!K149&amp;" "&amp;Migrationsartikel!L149</f>
        <v>Jus de pomme pétillant de la région 50cl</v>
      </c>
      <c r="N151" t="str">
        <f>Migrationsartikel!N149&amp;" "&amp;Migrationsartikel!O149&amp;" "&amp;Migrationsartikel!P149</f>
        <v>Succo di mela gassato della regione 50cl</v>
      </c>
      <c r="O151" t="str">
        <f>Migrationsartikel!F149</f>
        <v>Apfelshorle</v>
      </c>
      <c r="P151" t="str">
        <f>Migrationsartikel!J149</f>
        <v>Jus de pomme pétillant</v>
      </c>
      <c r="Q151" t="str">
        <f>Migrationsartikel!N149</f>
        <v>Succo di mela gassato</v>
      </c>
      <c r="R151" t="str">
        <f>Migrationsartikel!G149</f>
        <v>aus der Region</v>
      </c>
      <c r="S151" t="str">
        <f>Migrationsartikel!K149</f>
        <v>de la région</v>
      </c>
      <c r="T151" t="str">
        <f>Migrationsartikel!O149</f>
        <v>della regione</v>
      </c>
      <c r="U151" s="31" t="str">
        <f>Migrationsartikel!H149</f>
        <v>50cl</v>
      </c>
      <c r="V151" s="31" t="str">
        <f>Migrationsartikel!L149</f>
        <v>50cl</v>
      </c>
      <c r="W151" s="31" t="str">
        <f>Migrationsartikel!P149</f>
        <v>50cl</v>
      </c>
      <c r="X151" t="str">
        <f>Migrationsartikel!I149</f>
        <v>Apfelshorle</v>
      </c>
      <c r="Y151" t="str">
        <f>Migrationsartikel!M149</f>
        <v>Jus de pomme pétillant 50cl</v>
      </c>
      <c r="Z151" t="str">
        <f>Migrationsartikel!Q149</f>
        <v>Succo di mela gas. 50cl</v>
      </c>
      <c r="AA151" s="45">
        <f>Migrationsartikel!R149</f>
        <v>0.5</v>
      </c>
      <c r="AB151" s="46" t="str">
        <f>Migrationsartikel!T149</f>
        <v>Liter</v>
      </c>
      <c r="AC151">
        <f>Migrationsartikel!S149</f>
        <v>1</v>
      </c>
      <c r="AD151" t="str">
        <f>Migrationsartikel!U149</f>
        <v>(PCE) Stück</v>
      </c>
      <c r="AE151" s="31" t="s">
        <v>179</v>
      </c>
      <c r="AF151" s="31" t="s">
        <v>192</v>
      </c>
      <c r="AG151" t="str">
        <f>IF(Migrationsartikel!AB149="ja","true",FALSE)</f>
        <v>true</v>
      </c>
      <c r="AH151" t="str">
        <f>IF(Migrationsartikel!AC149="ja","true",FALSE)</f>
        <v>true</v>
      </c>
      <c r="AI151" t="str">
        <f>IF(Migrationsartikel!AD149="ja","true",FALSE)</f>
        <v>true</v>
      </c>
      <c r="AJ151" t="str">
        <f>IF(Migrationsartikel!AE149="ja","true",FALSE)</f>
        <v>true</v>
      </c>
      <c r="AK151" t="str">
        <f>IF(Migrationsartikel!AF149="ja","Denner Partner","")</f>
        <v/>
      </c>
      <c r="AL151" t="str">
        <f>IF(Migrationsartikel!AG149="ja","true","false")</f>
        <v>false</v>
      </c>
      <c r="AM151" t="str">
        <f t="shared" si="2"/>
        <v>PLU</v>
      </c>
      <c r="AN151" s="31" t="s">
        <v>219</v>
      </c>
      <c r="AO151" s="31" t="s">
        <v>217</v>
      </c>
    </row>
    <row r="152" spans="2:41" ht="21.75" customHeight="1" x14ac:dyDescent="0.45">
      <c r="B152" t="s">
        <v>99</v>
      </c>
      <c r="E152" s="31" t="s">
        <v>1562</v>
      </c>
      <c r="F152" t="str">
        <f>"Warengruppe&gt;&gt;"&amp;Migrationsartikel!V150&amp;"&gt;&gt;"&amp;Migrationsartikel!W150&amp;"&gt;&gt;"&amp;Migrationsartikel!X150</f>
        <v>Warengruppe&gt;&gt;Getränke&gt;&gt;Tafelgetränke&gt;&gt;Tafelgetränke</v>
      </c>
      <c r="H152" s="31" t="s">
        <v>109</v>
      </c>
      <c r="I152" s="31" t="s">
        <v>121</v>
      </c>
      <c r="J152" s="31">
        <f>Migrationsartikel!B150</f>
        <v>900</v>
      </c>
      <c r="L152" t="str">
        <f>Migrationsartikel!F150&amp;" "&amp;Migrationsartikel!G150&amp;" "&amp;Migrationsartikel!H150</f>
        <v>Apfelshorle aus der Region 1l</v>
      </c>
      <c r="M152" t="str">
        <f>Migrationsartikel!J150&amp;" "&amp;Migrationsartikel!K150&amp;" "&amp;Migrationsartikel!L150</f>
        <v>Jus de pomme pétillant de la région 1l</v>
      </c>
      <c r="N152" t="str">
        <f>Migrationsartikel!N150&amp;" "&amp;Migrationsartikel!O150&amp;" "&amp;Migrationsartikel!P150</f>
        <v>Succo di mela gassato della regione 1l</v>
      </c>
      <c r="O152" t="str">
        <f>Migrationsartikel!F150</f>
        <v>Apfelshorle</v>
      </c>
      <c r="P152" t="str">
        <f>Migrationsartikel!J150</f>
        <v>Jus de pomme pétillant</v>
      </c>
      <c r="Q152" t="str">
        <f>Migrationsartikel!N150</f>
        <v>Succo di mela gassato</v>
      </c>
      <c r="R152" t="str">
        <f>Migrationsartikel!G150</f>
        <v>aus der Region</v>
      </c>
      <c r="S152" t="str">
        <f>Migrationsartikel!K150</f>
        <v>de la région</v>
      </c>
      <c r="T152" t="str">
        <f>Migrationsartikel!O150</f>
        <v>della regione</v>
      </c>
      <c r="U152" s="31" t="str">
        <f>Migrationsartikel!H150</f>
        <v>1l</v>
      </c>
      <c r="V152" s="31" t="str">
        <f>Migrationsartikel!L150</f>
        <v>1l</v>
      </c>
      <c r="W152" s="31" t="str">
        <f>Migrationsartikel!P150</f>
        <v>1l</v>
      </c>
      <c r="X152" t="str">
        <f>Migrationsartikel!I150</f>
        <v>Apfelshorle</v>
      </c>
      <c r="Y152" t="str">
        <f>Migrationsartikel!M150</f>
        <v>Jus de pomme pétillant 1l</v>
      </c>
      <c r="Z152" t="str">
        <f>Migrationsartikel!Q150</f>
        <v>Succo di mela gas. 1l</v>
      </c>
      <c r="AA152" s="45">
        <f>Migrationsartikel!R150</f>
        <v>1</v>
      </c>
      <c r="AB152" s="46" t="str">
        <f>Migrationsartikel!T150</f>
        <v>Liter</v>
      </c>
      <c r="AC152">
        <f>Migrationsartikel!S150</f>
        <v>1</v>
      </c>
      <c r="AD152" t="str">
        <f>Migrationsartikel!U150</f>
        <v>(PCE) Stück</v>
      </c>
      <c r="AE152" s="31" t="s">
        <v>179</v>
      </c>
      <c r="AF152" s="31" t="s">
        <v>192</v>
      </c>
      <c r="AG152" t="str">
        <f>IF(Migrationsartikel!AB150="ja","true",FALSE)</f>
        <v>true</v>
      </c>
      <c r="AH152" t="str">
        <f>IF(Migrationsartikel!AC150="ja","true",FALSE)</f>
        <v>true</v>
      </c>
      <c r="AI152" t="str">
        <f>IF(Migrationsartikel!AD150="ja","true",FALSE)</f>
        <v>true</v>
      </c>
      <c r="AJ152" t="str">
        <f>IF(Migrationsartikel!AE150="ja","true",FALSE)</f>
        <v>true</v>
      </c>
      <c r="AK152" t="str">
        <f>IF(Migrationsartikel!AF150="ja","Denner Partner","")</f>
        <v/>
      </c>
      <c r="AL152" t="str">
        <f>IF(Migrationsartikel!AG150="ja","true","false")</f>
        <v>false</v>
      </c>
      <c r="AM152" t="str">
        <f t="shared" si="2"/>
        <v>PLU</v>
      </c>
      <c r="AN152" s="31" t="s">
        <v>219</v>
      </c>
      <c r="AO152" s="31" t="s">
        <v>217</v>
      </c>
    </row>
    <row r="153" spans="2:41" ht="21.75" customHeight="1" x14ac:dyDescent="0.45">
      <c r="B153" t="s">
        <v>99</v>
      </c>
      <c r="E153" s="31" t="s">
        <v>1563</v>
      </c>
      <c r="F153" t="str">
        <f>"Warengruppe&gt;&gt;"&amp;Migrationsartikel!V151&amp;"&gt;&gt;"&amp;Migrationsartikel!W151&amp;"&gt;&gt;"&amp;Migrationsartikel!X151</f>
        <v>Warengruppe&gt;&gt;Getränke&gt;&gt;Tafelgetränke&gt;&gt;Tafelgetränke</v>
      </c>
      <c r="H153" s="31" t="s">
        <v>109</v>
      </c>
      <c r="I153" s="31" t="s">
        <v>121</v>
      </c>
      <c r="J153" s="31">
        <f>Migrationsartikel!B151</f>
        <v>901</v>
      </c>
      <c r="L153" t="str">
        <f>Migrationsartikel!F151&amp;" "&amp;Migrationsartikel!G151&amp;" "&amp;Migrationsartikel!H151</f>
        <v>Apfelshorle aus der Region 1.5l</v>
      </c>
      <c r="M153" t="str">
        <f>Migrationsartikel!J151&amp;" "&amp;Migrationsartikel!K151&amp;" "&amp;Migrationsartikel!L151</f>
        <v>Jus de pomme pétillant de la région 1.5l</v>
      </c>
      <c r="N153" t="str">
        <f>Migrationsartikel!N151&amp;" "&amp;Migrationsartikel!O151&amp;" "&amp;Migrationsartikel!P151</f>
        <v>Succo di mela gassato della regione 1.5l</v>
      </c>
      <c r="O153" t="str">
        <f>Migrationsartikel!F151</f>
        <v>Apfelshorle</v>
      </c>
      <c r="P153" t="str">
        <f>Migrationsartikel!J151</f>
        <v>Jus de pomme pétillant</v>
      </c>
      <c r="Q153" t="str">
        <f>Migrationsartikel!N151</f>
        <v>Succo di mela gassato</v>
      </c>
      <c r="R153" t="str">
        <f>Migrationsartikel!G151</f>
        <v>aus der Region</v>
      </c>
      <c r="S153" t="str">
        <f>Migrationsartikel!K151</f>
        <v>de la région</v>
      </c>
      <c r="T153" t="str">
        <f>Migrationsartikel!O151</f>
        <v>della regione</v>
      </c>
      <c r="U153" s="31" t="str">
        <f>Migrationsartikel!H151</f>
        <v>1.5l</v>
      </c>
      <c r="V153" s="31" t="str">
        <f>Migrationsartikel!L151</f>
        <v>1.5l</v>
      </c>
      <c r="W153" s="31" t="str">
        <f>Migrationsartikel!P151</f>
        <v>1.5l</v>
      </c>
      <c r="X153" t="str">
        <f>Migrationsartikel!I151</f>
        <v>Apfelshorle</v>
      </c>
      <c r="Y153" t="str">
        <f>Migrationsartikel!M151</f>
        <v>Jus de pomme pétillant 1.5l</v>
      </c>
      <c r="Z153" t="str">
        <f>Migrationsartikel!Q151</f>
        <v>Succo di mela gas. 1.5l</v>
      </c>
      <c r="AA153" s="45">
        <f>Migrationsartikel!R151</f>
        <v>1.5</v>
      </c>
      <c r="AB153" s="46" t="str">
        <f>Migrationsartikel!T151</f>
        <v>Liter</v>
      </c>
      <c r="AC153">
        <f>Migrationsartikel!S151</f>
        <v>1</v>
      </c>
      <c r="AD153" t="str">
        <f>Migrationsartikel!U151</f>
        <v>(PCE) Stück</v>
      </c>
      <c r="AE153" s="31" t="s">
        <v>179</v>
      </c>
      <c r="AF153" s="31" t="s">
        <v>192</v>
      </c>
      <c r="AG153" t="str">
        <f>IF(Migrationsartikel!AB151="ja","true",FALSE)</f>
        <v>true</v>
      </c>
      <c r="AH153" t="str">
        <f>IF(Migrationsartikel!AC151="ja","true",FALSE)</f>
        <v>true</v>
      </c>
      <c r="AI153" t="str">
        <f>IF(Migrationsartikel!AD151="ja","true",FALSE)</f>
        <v>true</v>
      </c>
      <c r="AJ153" t="str">
        <f>IF(Migrationsartikel!AE151="ja","true",FALSE)</f>
        <v>true</v>
      </c>
      <c r="AK153" t="str">
        <f>IF(Migrationsartikel!AF151="ja","Denner Partner","")</f>
        <v/>
      </c>
      <c r="AL153" t="str">
        <f>IF(Migrationsartikel!AG151="ja","true","false")</f>
        <v>false</v>
      </c>
      <c r="AM153" t="str">
        <f t="shared" si="2"/>
        <v>PLU</v>
      </c>
      <c r="AN153" s="31" t="s">
        <v>219</v>
      </c>
      <c r="AO153" s="31" t="s">
        <v>217</v>
      </c>
    </row>
    <row r="154" spans="2:41" ht="21.75" customHeight="1" x14ac:dyDescent="0.45">
      <c r="B154" t="s">
        <v>99</v>
      </c>
      <c r="E154" s="31" t="s">
        <v>1564</v>
      </c>
      <c r="F154" t="str">
        <f>"Warengruppe&gt;&gt;"&amp;Migrationsartikel!V152&amp;"&gt;&gt;"&amp;Migrationsartikel!W152&amp;"&gt;&gt;"&amp;Migrationsartikel!X152</f>
        <v>Warengruppe&gt;&gt;Getränke&gt;&gt;Tafelgetränke&gt;&gt;Tafelgetränke</v>
      </c>
      <c r="H154" s="31" t="s">
        <v>109</v>
      </c>
      <c r="I154" s="31" t="s">
        <v>121</v>
      </c>
      <c r="J154" s="31">
        <f>Migrationsartikel!B152</f>
        <v>902</v>
      </c>
      <c r="L154" t="str">
        <f>Migrationsartikel!F152&amp;" "&amp;Migrationsartikel!G152&amp;" "&amp;Migrationsartikel!H152</f>
        <v>Apfelwein aus der Region 33cl</v>
      </c>
      <c r="M154" t="str">
        <f>Migrationsartikel!J152&amp;" "&amp;Migrationsartikel!K152&amp;" "&amp;Migrationsartikel!L152</f>
        <v>Vin de pomme de la région 33cl</v>
      </c>
      <c r="N154" t="str">
        <f>Migrationsartikel!N152&amp;" "&amp;Migrationsartikel!O152&amp;" "&amp;Migrationsartikel!P152</f>
        <v>Vino di mele della regione 33cl</v>
      </c>
      <c r="O154" t="str">
        <f>Migrationsartikel!F152</f>
        <v>Apfelwein</v>
      </c>
      <c r="P154" t="str">
        <f>Migrationsartikel!J152</f>
        <v>Vin de pomme</v>
      </c>
      <c r="Q154" t="str">
        <f>Migrationsartikel!N152</f>
        <v>Vino di mele</v>
      </c>
      <c r="R154" t="str">
        <f>Migrationsartikel!G152</f>
        <v>aus der Region</v>
      </c>
      <c r="S154" t="str">
        <f>Migrationsartikel!K152</f>
        <v>de la région</v>
      </c>
      <c r="T154" t="str">
        <f>Migrationsartikel!O152</f>
        <v>della regione</v>
      </c>
      <c r="U154" s="31" t="str">
        <f>Migrationsartikel!H152</f>
        <v>33cl</v>
      </c>
      <c r="V154" s="31" t="str">
        <f>Migrationsartikel!L152</f>
        <v>33cl</v>
      </c>
      <c r="W154" s="31" t="str">
        <f>Migrationsartikel!P152</f>
        <v>33cl</v>
      </c>
      <c r="X154" t="str">
        <f>Migrationsartikel!I152</f>
        <v>Apfelwein 33cl</v>
      </c>
      <c r="Y154" t="str">
        <f>Migrationsartikel!M152</f>
        <v>Vin de pomme 33cl</v>
      </c>
      <c r="Z154" t="str">
        <f>Migrationsartikel!Q152</f>
        <v>Vino di mele 33cl</v>
      </c>
      <c r="AA154" s="45">
        <f>Migrationsartikel!R152</f>
        <v>0.33</v>
      </c>
      <c r="AB154" s="46" t="str">
        <f>Migrationsartikel!T152</f>
        <v>Liter</v>
      </c>
      <c r="AC154">
        <f>Migrationsartikel!S152</f>
        <v>1</v>
      </c>
      <c r="AD154" t="str">
        <f>Migrationsartikel!U152</f>
        <v>(PCE) Stück</v>
      </c>
      <c r="AE154" s="31" t="s">
        <v>179</v>
      </c>
      <c r="AF154" s="31" t="s">
        <v>192</v>
      </c>
      <c r="AG154" t="str">
        <f>IF(Migrationsartikel!AB152="ja","true",FALSE)</f>
        <v>true</v>
      </c>
      <c r="AH154" t="str">
        <f>IF(Migrationsartikel!AC152="ja","true",FALSE)</f>
        <v>true</v>
      </c>
      <c r="AI154" t="str">
        <f>IF(Migrationsartikel!AD152="ja","true",FALSE)</f>
        <v>true</v>
      </c>
      <c r="AJ154" t="str">
        <f>IF(Migrationsartikel!AE152="ja","true",FALSE)</f>
        <v>true</v>
      </c>
      <c r="AK154" t="str">
        <f>IF(Migrationsartikel!AF152="ja","Denner Partner","")</f>
        <v/>
      </c>
      <c r="AL154" t="str">
        <f>IF(Migrationsartikel!AG152="ja","true","false")</f>
        <v>false</v>
      </c>
      <c r="AM154" t="str">
        <f t="shared" si="2"/>
        <v>PLU</v>
      </c>
      <c r="AN154" s="31" t="s">
        <v>219</v>
      </c>
      <c r="AO154" s="31" t="s">
        <v>217</v>
      </c>
    </row>
    <row r="155" spans="2:41" ht="21.75" customHeight="1" x14ac:dyDescent="0.45">
      <c r="B155" t="s">
        <v>99</v>
      </c>
      <c r="E155" s="31" t="s">
        <v>1565</v>
      </c>
      <c r="F155" t="str">
        <f>"Warengruppe&gt;&gt;"&amp;Migrationsartikel!V153&amp;"&gt;&gt;"&amp;Migrationsartikel!W153&amp;"&gt;&gt;"&amp;Migrationsartikel!X153</f>
        <v>Warengruppe&gt;&gt;Getränke&gt;&gt;Tafelgetränke&gt;&gt;Tafelgetränke</v>
      </c>
      <c r="H155" s="31" t="s">
        <v>109</v>
      </c>
      <c r="I155" s="31" t="s">
        <v>121</v>
      </c>
      <c r="J155" s="31">
        <f>Migrationsartikel!B153</f>
        <v>903</v>
      </c>
      <c r="L155" t="str">
        <f>Migrationsartikel!F153&amp;" "&amp;Migrationsartikel!G153&amp;" "&amp;Migrationsartikel!H153</f>
        <v>Apfelwein aus der Region 50cl</v>
      </c>
      <c r="M155" t="str">
        <f>Migrationsartikel!J153&amp;" "&amp;Migrationsartikel!K153&amp;" "&amp;Migrationsartikel!L153</f>
        <v>Vin de pomme de la région 50cl</v>
      </c>
      <c r="N155" t="str">
        <f>Migrationsartikel!N153&amp;" "&amp;Migrationsartikel!O153&amp;" "&amp;Migrationsartikel!P153</f>
        <v>Vino di mele della regione 50cl</v>
      </c>
      <c r="O155" t="str">
        <f>Migrationsartikel!F153</f>
        <v>Apfelwein</v>
      </c>
      <c r="P155" t="str">
        <f>Migrationsartikel!J153</f>
        <v>Vin de pomme</v>
      </c>
      <c r="Q155" t="str">
        <f>Migrationsartikel!N153</f>
        <v>Vino di mele</v>
      </c>
      <c r="R155" t="str">
        <f>Migrationsartikel!G153</f>
        <v>aus der Region</v>
      </c>
      <c r="S155" t="str">
        <f>Migrationsartikel!K153</f>
        <v>de la région</v>
      </c>
      <c r="T155" t="str">
        <f>Migrationsartikel!O153</f>
        <v>della regione</v>
      </c>
      <c r="U155" s="31" t="str">
        <f>Migrationsartikel!H153</f>
        <v>50cl</v>
      </c>
      <c r="V155" s="31" t="str">
        <f>Migrationsartikel!L153</f>
        <v>50cl</v>
      </c>
      <c r="W155" s="31" t="str">
        <f>Migrationsartikel!P153</f>
        <v>50cl</v>
      </c>
      <c r="X155" t="str">
        <f>Migrationsartikel!I153</f>
        <v>Apfelwein 50cl</v>
      </c>
      <c r="Y155" t="str">
        <f>Migrationsartikel!M153</f>
        <v>Vin de pomme 50cl</v>
      </c>
      <c r="Z155" t="str">
        <f>Migrationsartikel!Q153</f>
        <v>Vino di mele 50cl</v>
      </c>
      <c r="AA155" s="45">
        <f>Migrationsartikel!R153</f>
        <v>0.5</v>
      </c>
      <c r="AB155" s="46" t="str">
        <f>Migrationsartikel!T153</f>
        <v>Liter</v>
      </c>
      <c r="AC155">
        <f>Migrationsartikel!S153</f>
        <v>1</v>
      </c>
      <c r="AD155" t="str">
        <f>Migrationsartikel!U153</f>
        <v>(PCE) Stück</v>
      </c>
      <c r="AE155" s="31" t="s">
        <v>179</v>
      </c>
      <c r="AF155" s="31" t="s">
        <v>192</v>
      </c>
      <c r="AG155" t="str">
        <f>IF(Migrationsartikel!AB153="ja","true",FALSE)</f>
        <v>true</v>
      </c>
      <c r="AH155" t="str">
        <f>IF(Migrationsartikel!AC153="ja","true",FALSE)</f>
        <v>true</v>
      </c>
      <c r="AI155" t="str">
        <f>IF(Migrationsartikel!AD153="ja","true",FALSE)</f>
        <v>true</v>
      </c>
      <c r="AJ155" t="str">
        <f>IF(Migrationsartikel!AE153="ja","true",FALSE)</f>
        <v>true</v>
      </c>
      <c r="AK155" t="str">
        <f>IF(Migrationsartikel!AF153="ja","Denner Partner","")</f>
        <v/>
      </c>
      <c r="AL155" t="str">
        <f>IF(Migrationsartikel!AG153="ja","true","false")</f>
        <v>false</v>
      </c>
      <c r="AM155" t="str">
        <f t="shared" si="2"/>
        <v>PLU</v>
      </c>
      <c r="AN155" s="31" t="s">
        <v>219</v>
      </c>
      <c r="AO155" s="31" t="s">
        <v>217</v>
      </c>
    </row>
    <row r="156" spans="2:41" ht="21.75" customHeight="1" x14ac:dyDescent="0.45">
      <c r="B156" t="s">
        <v>99</v>
      </c>
      <c r="E156" s="31" t="s">
        <v>1566</v>
      </c>
      <c r="F156" t="str">
        <f>"Warengruppe&gt;&gt;"&amp;Migrationsartikel!V154&amp;"&gt;&gt;"&amp;Migrationsartikel!W154&amp;"&gt;&gt;"&amp;Migrationsartikel!X154</f>
        <v>Warengruppe&gt;&gt;Getränke&gt;&gt;Tafelgetränke&gt;&gt;Tafelgetränke</v>
      </c>
      <c r="H156" s="31" t="s">
        <v>109</v>
      </c>
      <c r="I156" s="31" t="s">
        <v>121</v>
      </c>
      <c r="J156" s="31">
        <f>Migrationsartikel!B154</f>
        <v>904</v>
      </c>
      <c r="L156" t="str">
        <f>Migrationsartikel!F154&amp;" "&amp;Migrationsartikel!G154&amp;" "&amp;Migrationsartikel!H154</f>
        <v>Apfelwein aus der Region 75cl</v>
      </c>
      <c r="M156" t="str">
        <f>Migrationsartikel!J154&amp;" "&amp;Migrationsartikel!K154&amp;" "&amp;Migrationsartikel!L154</f>
        <v>Vin de pomme de la région 75cl</v>
      </c>
      <c r="N156" t="str">
        <f>Migrationsartikel!N154&amp;" "&amp;Migrationsartikel!O154&amp;" "&amp;Migrationsartikel!P154</f>
        <v>Vino di mele della regione 75cl</v>
      </c>
      <c r="O156" t="str">
        <f>Migrationsartikel!F154</f>
        <v>Apfelwein</v>
      </c>
      <c r="P156" t="str">
        <f>Migrationsartikel!J154</f>
        <v>Vin de pomme</v>
      </c>
      <c r="Q156" t="str">
        <f>Migrationsartikel!N154</f>
        <v>Vino di mele</v>
      </c>
      <c r="R156" t="str">
        <f>Migrationsartikel!G154</f>
        <v>aus der Region</v>
      </c>
      <c r="S156" t="str">
        <f>Migrationsartikel!K154</f>
        <v>de la région</v>
      </c>
      <c r="T156" t="str">
        <f>Migrationsartikel!O154</f>
        <v>della regione</v>
      </c>
      <c r="U156" s="31" t="str">
        <f>Migrationsartikel!H154</f>
        <v>75cl</v>
      </c>
      <c r="V156" s="31" t="str">
        <f>Migrationsartikel!L154</f>
        <v>75cl</v>
      </c>
      <c r="W156" s="31" t="str">
        <f>Migrationsartikel!P154</f>
        <v>75cl</v>
      </c>
      <c r="X156" t="str">
        <f>Migrationsartikel!I154</f>
        <v>Apfelwein 75cl</v>
      </c>
      <c r="Y156" t="str">
        <f>Migrationsartikel!M154</f>
        <v>Vin de pomme 75cl</v>
      </c>
      <c r="Z156" t="str">
        <f>Migrationsartikel!Q154</f>
        <v>Vino di mele 75cl</v>
      </c>
      <c r="AA156" s="45">
        <f>Migrationsartikel!R154</f>
        <v>0.75</v>
      </c>
      <c r="AB156" s="46" t="str">
        <f>Migrationsartikel!T154</f>
        <v>Liter</v>
      </c>
      <c r="AC156">
        <f>Migrationsartikel!S154</f>
        <v>1</v>
      </c>
      <c r="AD156" t="str">
        <f>Migrationsartikel!U154</f>
        <v>(PCE) Stück</v>
      </c>
      <c r="AE156" s="31" t="s">
        <v>179</v>
      </c>
      <c r="AF156" s="31" t="s">
        <v>192</v>
      </c>
      <c r="AG156" t="str">
        <f>IF(Migrationsartikel!AB154="ja","true",FALSE)</f>
        <v>true</v>
      </c>
      <c r="AH156" t="str">
        <f>IF(Migrationsartikel!AC154="ja","true",FALSE)</f>
        <v>true</v>
      </c>
      <c r="AI156" t="str">
        <f>IF(Migrationsartikel!AD154="ja","true",FALSE)</f>
        <v>true</v>
      </c>
      <c r="AJ156" t="str">
        <f>IF(Migrationsartikel!AE154="ja","true",FALSE)</f>
        <v>true</v>
      </c>
      <c r="AK156" t="str">
        <f>IF(Migrationsartikel!AF154="ja","Denner Partner","")</f>
        <v/>
      </c>
      <c r="AL156" t="str">
        <f>IF(Migrationsartikel!AG154="ja","true","false")</f>
        <v>false</v>
      </c>
      <c r="AM156" t="str">
        <f t="shared" si="2"/>
        <v>PLU</v>
      </c>
      <c r="AN156" s="31" t="s">
        <v>219</v>
      </c>
      <c r="AO156" s="31" t="s">
        <v>217</v>
      </c>
    </row>
    <row r="157" spans="2:41" ht="21.75" customHeight="1" x14ac:dyDescent="0.45">
      <c r="B157" t="s">
        <v>99</v>
      </c>
      <c r="E157" s="31" t="s">
        <v>1567</v>
      </c>
      <c r="F157" t="str">
        <f>"Warengruppe&gt;&gt;"&amp;Migrationsartikel!V155&amp;"&gt;&gt;"&amp;Migrationsartikel!W155&amp;"&gt;&gt;"&amp;Migrationsartikel!X155</f>
        <v>Warengruppe&gt;&gt;Getränke&gt;&gt;Tafelgetränke&gt;&gt;Tafelgetränke</v>
      </c>
      <c r="H157" s="31" t="s">
        <v>109</v>
      </c>
      <c r="I157" s="31" t="s">
        <v>121</v>
      </c>
      <c r="J157" s="31">
        <f>Migrationsartikel!B155</f>
        <v>905</v>
      </c>
      <c r="L157" t="str">
        <f>Migrationsartikel!F155&amp;" "&amp;Migrationsartikel!G155&amp;" "&amp;Migrationsartikel!H155</f>
        <v>Apfelwein aus der Region 1l</v>
      </c>
      <c r="M157" t="str">
        <f>Migrationsartikel!J155&amp;" "&amp;Migrationsartikel!K155&amp;" "&amp;Migrationsartikel!L155</f>
        <v>Vin de pomme de la région 1l</v>
      </c>
      <c r="N157" t="str">
        <f>Migrationsartikel!N155&amp;" "&amp;Migrationsartikel!O155&amp;" "&amp;Migrationsartikel!P155</f>
        <v>Vino di mele della regione 1l</v>
      </c>
      <c r="O157" t="str">
        <f>Migrationsartikel!F155</f>
        <v>Apfelwein</v>
      </c>
      <c r="P157" t="str">
        <f>Migrationsartikel!J155</f>
        <v>Vin de pomme</v>
      </c>
      <c r="Q157" t="str">
        <f>Migrationsartikel!N155</f>
        <v>Vino di mele</v>
      </c>
      <c r="R157" t="str">
        <f>Migrationsartikel!G155</f>
        <v>aus der Region</v>
      </c>
      <c r="S157" t="str">
        <f>Migrationsartikel!K155</f>
        <v>de la région</v>
      </c>
      <c r="T157" t="str">
        <f>Migrationsartikel!O155</f>
        <v>della regione</v>
      </c>
      <c r="U157" s="31" t="str">
        <f>Migrationsartikel!H155</f>
        <v>1l</v>
      </c>
      <c r="V157" s="31" t="str">
        <f>Migrationsartikel!L155</f>
        <v>1l</v>
      </c>
      <c r="W157" s="31" t="str">
        <f>Migrationsartikel!P155</f>
        <v>1l</v>
      </c>
      <c r="X157" t="str">
        <f>Migrationsartikel!I155</f>
        <v>Apfelwein 1l</v>
      </c>
      <c r="Y157" t="str">
        <f>Migrationsartikel!M155</f>
        <v>Vin de pomme 1l</v>
      </c>
      <c r="Z157" t="str">
        <f>Migrationsartikel!Q155</f>
        <v>Vino di mele 1l</v>
      </c>
      <c r="AA157" s="45">
        <f>Migrationsartikel!R155</f>
        <v>1</v>
      </c>
      <c r="AB157" s="46" t="str">
        <f>Migrationsartikel!T155</f>
        <v>Liter</v>
      </c>
      <c r="AC157">
        <f>Migrationsartikel!S155</f>
        <v>1</v>
      </c>
      <c r="AD157" t="str">
        <f>Migrationsartikel!U155</f>
        <v>(PCE) Stück</v>
      </c>
      <c r="AE157" s="31" t="s">
        <v>179</v>
      </c>
      <c r="AF157" s="31" t="s">
        <v>192</v>
      </c>
      <c r="AG157" t="str">
        <f>IF(Migrationsartikel!AB155="ja","true",FALSE)</f>
        <v>true</v>
      </c>
      <c r="AH157" t="str">
        <f>IF(Migrationsartikel!AC155="ja","true",FALSE)</f>
        <v>true</v>
      </c>
      <c r="AI157" t="str">
        <f>IF(Migrationsartikel!AD155="ja","true",FALSE)</f>
        <v>true</v>
      </c>
      <c r="AJ157" t="str">
        <f>IF(Migrationsartikel!AE155="ja","true",FALSE)</f>
        <v>true</v>
      </c>
      <c r="AK157" t="str">
        <f>IF(Migrationsartikel!AF155="ja","Denner Partner","")</f>
        <v/>
      </c>
      <c r="AL157" t="str">
        <f>IF(Migrationsartikel!AG155="ja","true","false")</f>
        <v>false</v>
      </c>
      <c r="AM157" t="str">
        <f t="shared" si="2"/>
        <v>PLU</v>
      </c>
      <c r="AN157" s="31" t="s">
        <v>219</v>
      </c>
      <c r="AO157" s="31" t="s">
        <v>217</v>
      </c>
    </row>
    <row r="158" spans="2:41" ht="21.75" customHeight="1" x14ac:dyDescent="0.45">
      <c r="B158" t="s">
        <v>99</v>
      </c>
      <c r="E158" s="31" t="s">
        <v>1568</v>
      </c>
      <c r="F158" t="str">
        <f>"Warengruppe&gt;&gt;"&amp;Migrationsartikel!V156&amp;"&gt;&gt;"&amp;Migrationsartikel!W156&amp;"&gt;&gt;"&amp;Migrationsartikel!X156</f>
        <v>Warengruppe&gt;&gt;Getränke&gt;&gt;Tafelgetränke&gt;&gt;Tafelgetränke</v>
      </c>
      <c r="H158" s="31" t="s">
        <v>109</v>
      </c>
      <c r="I158" s="31" t="s">
        <v>121</v>
      </c>
      <c r="J158" s="31">
        <f>Migrationsartikel!B156</f>
        <v>906</v>
      </c>
      <c r="L158" t="str">
        <f>Migrationsartikel!F156&amp;" "&amp;Migrationsartikel!G156&amp;" "&amp;Migrationsartikel!H156</f>
        <v>Apfelwein aus der Region 1.5l</v>
      </c>
      <c r="M158" t="str">
        <f>Migrationsartikel!J156&amp;" "&amp;Migrationsartikel!K156&amp;" "&amp;Migrationsartikel!L156</f>
        <v>Vin de pomme de la région 1.5l</v>
      </c>
      <c r="N158" t="str">
        <f>Migrationsartikel!N156&amp;" "&amp;Migrationsartikel!O156&amp;" "&amp;Migrationsartikel!P156</f>
        <v>Vino di mele della regione 1.5l</v>
      </c>
      <c r="O158" t="str">
        <f>Migrationsartikel!F156</f>
        <v>Apfelwein</v>
      </c>
      <c r="P158" t="str">
        <f>Migrationsartikel!J156</f>
        <v>Vin de pomme</v>
      </c>
      <c r="Q158" t="str">
        <f>Migrationsartikel!N156</f>
        <v>Vino di mele</v>
      </c>
      <c r="R158" t="str">
        <f>Migrationsartikel!G156</f>
        <v>aus der Region</v>
      </c>
      <c r="S158" t="str">
        <f>Migrationsartikel!K156</f>
        <v>de la région</v>
      </c>
      <c r="T158" t="str">
        <f>Migrationsartikel!O156</f>
        <v>della regione</v>
      </c>
      <c r="U158" s="31" t="str">
        <f>Migrationsartikel!H156</f>
        <v>1.5l</v>
      </c>
      <c r="V158" s="31" t="str">
        <f>Migrationsartikel!L156</f>
        <v>1.5l</v>
      </c>
      <c r="W158" s="31" t="str">
        <f>Migrationsartikel!P156</f>
        <v>1.5l</v>
      </c>
      <c r="X158" t="str">
        <f>Migrationsartikel!I156</f>
        <v>Apfelwein 1.5l</v>
      </c>
      <c r="Y158" t="str">
        <f>Migrationsartikel!M156</f>
        <v>Vin de pomme 1.5l</v>
      </c>
      <c r="Z158" t="str">
        <f>Migrationsartikel!Q156</f>
        <v>Vino di mele 1.5l</v>
      </c>
      <c r="AA158" s="45">
        <f>Migrationsartikel!R156</f>
        <v>1.5</v>
      </c>
      <c r="AB158" s="46" t="str">
        <f>Migrationsartikel!T156</f>
        <v>Liter</v>
      </c>
      <c r="AC158">
        <f>Migrationsartikel!S156</f>
        <v>1</v>
      </c>
      <c r="AD158" t="str">
        <f>Migrationsartikel!U156</f>
        <v>(PCE) Stück</v>
      </c>
      <c r="AE158" s="31" t="s">
        <v>179</v>
      </c>
      <c r="AF158" s="31" t="s">
        <v>192</v>
      </c>
      <c r="AG158" t="str">
        <f>IF(Migrationsartikel!AB156="ja","true",FALSE)</f>
        <v>true</v>
      </c>
      <c r="AH158" t="str">
        <f>IF(Migrationsartikel!AC156="ja","true",FALSE)</f>
        <v>true</v>
      </c>
      <c r="AI158" t="str">
        <f>IF(Migrationsartikel!AD156="ja","true",FALSE)</f>
        <v>true</v>
      </c>
      <c r="AJ158" t="str">
        <f>IF(Migrationsartikel!AE156="ja","true",FALSE)</f>
        <v>true</v>
      </c>
      <c r="AK158" t="str">
        <f>IF(Migrationsartikel!AF156="ja","Denner Partner","")</f>
        <v/>
      </c>
      <c r="AL158" t="str">
        <f>IF(Migrationsartikel!AG156="ja","true","false")</f>
        <v>false</v>
      </c>
      <c r="AM158" t="str">
        <f t="shared" si="2"/>
        <v>PLU</v>
      </c>
      <c r="AN158" s="31" t="s">
        <v>219</v>
      </c>
      <c r="AO158" s="31" t="s">
        <v>217</v>
      </c>
    </row>
    <row r="159" spans="2:41" ht="21.75" customHeight="1" x14ac:dyDescent="0.45">
      <c r="B159" t="s">
        <v>99</v>
      </c>
      <c r="E159" s="31" t="s">
        <v>1569</v>
      </c>
      <c r="F159" t="str">
        <f>"Warengruppe&gt;&gt;"&amp;Migrationsartikel!V157&amp;"&gt;&gt;"&amp;Migrationsartikel!W157&amp;"&gt;&gt;"&amp;Migrationsartikel!X157</f>
        <v>Warengruppe&gt;&gt;Getränke&gt;&gt;Tafelgetränke&gt;&gt;Tafelgetränke</v>
      </c>
      <c r="H159" s="31" t="s">
        <v>109</v>
      </c>
      <c r="I159" s="31" t="s">
        <v>121</v>
      </c>
      <c r="J159" s="31">
        <f>Migrationsartikel!B157</f>
        <v>907</v>
      </c>
      <c r="L159" t="str">
        <f>Migrationsartikel!F157&amp;" "&amp;Migrationsartikel!G157&amp;" "&amp;Migrationsartikel!H157</f>
        <v>Cider aus der Region 33cl</v>
      </c>
      <c r="M159" t="str">
        <f>Migrationsartikel!J157&amp;" "&amp;Migrationsartikel!K157&amp;" "&amp;Migrationsartikel!L157</f>
        <v>Cidre de la région 33cl</v>
      </c>
      <c r="N159" t="str">
        <f>Migrationsartikel!N157&amp;" "&amp;Migrationsartikel!O157&amp;" "&amp;Migrationsartikel!P157</f>
        <v>Sidro della regione 33cl</v>
      </c>
      <c r="O159" t="str">
        <f>Migrationsartikel!F157</f>
        <v>Cider</v>
      </c>
      <c r="P159" t="str">
        <f>Migrationsartikel!J157</f>
        <v>Cidre</v>
      </c>
      <c r="Q159" t="str">
        <f>Migrationsartikel!N157</f>
        <v>Sidro</v>
      </c>
      <c r="R159" t="str">
        <f>Migrationsartikel!G157</f>
        <v>aus der Region</v>
      </c>
      <c r="S159" t="str">
        <f>Migrationsartikel!K157</f>
        <v>de la région</v>
      </c>
      <c r="T159" t="str">
        <f>Migrationsartikel!O157</f>
        <v>della regione</v>
      </c>
      <c r="U159" s="31" t="str">
        <f>Migrationsartikel!H157</f>
        <v>33cl</v>
      </c>
      <c r="V159" s="31" t="str">
        <f>Migrationsartikel!L157</f>
        <v>33cl</v>
      </c>
      <c r="W159" s="31" t="str">
        <f>Migrationsartikel!P157</f>
        <v>33cl</v>
      </c>
      <c r="X159" t="str">
        <f>Migrationsartikel!I157</f>
        <v>Cider 33cl</v>
      </c>
      <c r="Y159" t="str">
        <f>Migrationsartikel!M157</f>
        <v>Cidre 33cl</v>
      </c>
      <c r="Z159" t="str">
        <f>Migrationsartikel!Q157</f>
        <v>Sidro 33cl</v>
      </c>
      <c r="AA159" s="45">
        <f>Migrationsartikel!R157</f>
        <v>0.33</v>
      </c>
      <c r="AB159" s="46" t="str">
        <f>Migrationsartikel!T157</f>
        <v>Liter</v>
      </c>
      <c r="AC159">
        <f>Migrationsartikel!S157</f>
        <v>1</v>
      </c>
      <c r="AD159" t="str">
        <f>Migrationsartikel!U157</f>
        <v>(PCE) Stück</v>
      </c>
      <c r="AE159" s="31" t="s">
        <v>179</v>
      </c>
      <c r="AF159" s="31" t="s">
        <v>192</v>
      </c>
      <c r="AG159" t="str">
        <f>IF(Migrationsartikel!AB157="ja","true",FALSE)</f>
        <v>true</v>
      </c>
      <c r="AH159" t="str">
        <f>IF(Migrationsartikel!AC157="ja","true",FALSE)</f>
        <v>true</v>
      </c>
      <c r="AI159" t="str">
        <f>IF(Migrationsartikel!AD157="ja","true",FALSE)</f>
        <v>true</v>
      </c>
      <c r="AJ159" t="str">
        <f>IF(Migrationsartikel!AE157="ja","true",FALSE)</f>
        <v>true</v>
      </c>
      <c r="AK159" t="str">
        <f>IF(Migrationsartikel!AF157="ja","Denner Partner","")</f>
        <v/>
      </c>
      <c r="AL159" t="str">
        <f>IF(Migrationsartikel!AG157="ja","true","false")</f>
        <v>false</v>
      </c>
      <c r="AM159" t="str">
        <f t="shared" si="2"/>
        <v>PLU</v>
      </c>
      <c r="AN159" s="31" t="s">
        <v>219</v>
      </c>
      <c r="AO159" s="31" t="s">
        <v>217</v>
      </c>
    </row>
    <row r="160" spans="2:41" ht="21.75" customHeight="1" x14ac:dyDescent="0.45">
      <c r="B160" t="s">
        <v>99</v>
      </c>
      <c r="E160" s="31" t="s">
        <v>1570</v>
      </c>
      <c r="F160" t="str">
        <f>"Warengruppe&gt;&gt;"&amp;Migrationsartikel!V158&amp;"&gt;&gt;"&amp;Migrationsartikel!W158&amp;"&gt;&gt;"&amp;Migrationsartikel!X158</f>
        <v>Warengruppe&gt;&gt;Getränke&gt;&gt;Tafelgetränke&gt;&gt;Tafelgetränke</v>
      </c>
      <c r="H160" s="31" t="s">
        <v>109</v>
      </c>
      <c r="I160" s="31" t="s">
        <v>121</v>
      </c>
      <c r="J160" s="31">
        <f>Migrationsartikel!B158</f>
        <v>908</v>
      </c>
      <c r="L160" t="str">
        <f>Migrationsartikel!F158&amp;" "&amp;Migrationsartikel!G158&amp;" "&amp;Migrationsartikel!H158</f>
        <v>Cider aus der Region 50cl</v>
      </c>
      <c r="M160" t="str">
        <f>Migrationsartikel!J158&amp;" "&amp;Migrationsartikel!K158&amp;" "&amp;Migrationsartikel!L158</f>
        <v>Cidre de la région 50cl</v>
      </c>
      <c r="N160" t="str">
        <f>Migrationsartikel!N158&amp;" "&amp;Migrationsartikel!O158&amp;" "&amp;Migrationsartikel!P158</f>
        <v>Sidro della regione 50cl</v>
      </c>
      <c r="O160" t="str">
        <f>Migrationsartikel!F158</f>
        <v>Cider</v>
      </c>
      <c r="P160" t="str">
        <f>Migrationsartikel!J158</f>
        <v>Cidre</v>
      </c>
      <c r="Q160" t="str">
        <f>Migrationsartikel!N158</f>
        <v>Sidro</v>
      </c>
      <c r="R160" t="str">
        <f>Migrationsartikel!G158</f>
        <v>aus der Region</v>
      </c>
      <c r="S160" t="str">
        <f>Migrationsartikel!K158</f>
        <v>de la région</v>
      </c>
      <c r="T160" t="str">
        <f>Migrationsartikel!O158</f>
        <v>della regione</v>
      </c>
      <c r="U160" s="31" t="str">
        <f>Migrationsartikel!H158</f>
        <v>50cl</v>
      </c>
      <c r="V160" s="31" t="str">
        <f>Migrationsartikel!L158</f>
        <v>50cl</v>
      </c>
      <c r="W160" s="31" t="str">
        <f>Migrationsartikel!P158</f>
        <v>50cl</v>
      </c>
      <c r="X160" t="str">
        <f>Migrationsartikel!I158</f>
        <v>Cider 50cl</v>
      </c>
      <c r="Y160" t="str">
        <f>Migrationsartikel!M158</f>
        <v>Cidre 50cl</v>
      </c>
      <c r="Z160" t="str">
        <f>Migrationsartikel!Q158</f>
        <v>Sidro 50cl</v>
      </c>
      <c r="AA160" s="45">
        <f>Migrationsartikel!R158</f>
        <v>0.5</v>
      </c>
      <c r="AB160" s="46" t="str">
        <f>Migrationsartikel!T158</f>
        <v>Liter</v>
      </c>
      <c r="AC160">
        <f>Migrationsartikel!S158</f>
        <v>1</v>
      </c>
      <c r="AD160" t="str">
        <f>Migrationsartikel!U158</f>
        <v>(PCE) Stück</v>
      </c>
      <c r="AE160" s="31" t="s">
        <v>179</v>
      </c>
      <c r="AF160" s="31" t="s">
        <v>192</v>
      </c>
      <c r="AG160" t="str">
        <f>IF(Migrationsartikel!AB158="ja","true",FALSE)</f>
        <v>true</v>
      </c>
      <c r="AH160" t="str">
        <f>IF(Migrationsartikel!AC158="ja","true",FALSE)</f>
        <v>true</v>
      </c>
      <c r="AI160" t="str">
        <f>IF(Migrationsartikel!AD158="ja","true",FALSE)</f>
        <v>true</v>
      </c>
      <c r="AJ160" t="str">
        <f>IF(Migrationsartikel!AE158="ja","true",FALSE)</f>
        <v>true</v>
      </c>
      <c r="AK160" t="str">
        <f>IF(Migrationsartikel!AF158="ja","Denner Partner","")</f>
        <v/>
      </c>
      <c r="AL160" t="str">
        <f>IF(Migrationsartikel!AG158="ja","true","false")</f>
        <v>false</v>
      </c>
      <c r="AM160" t="str">
        <f t="shared" si="2"/>
        <v>PLU</v>
      </c>
      <c r="AN160" s="31" t="s">
        <v>219</v>
      </c>
      <c r="AO160" s="31" t="s">
        <v>217</v>
      </c>
    </row>
    <row r="161" spans="2:41" ht="21.75" customHeight="1" x14ac:dyDescent="0.45">
      <c r="B161" t="s">
        <v>99</v>
      </c>
      <c r="E161" s="31" t="s">
        <v>1571</v>
      </c>
      <c r="F161" t="str">
        <f>"Warengruppe&gt;&gt;"&amp;Migrationsartikel!V159&amp;"&gt;&gt;"&amp;Migrationsartikel!W159&amp;"&gt;&gt;"&amp;Migrationsartikel!X159</f>
        <v>Warengruppe&gt;&gt;Getränke&gt;&gt;Tafelgetränke&gt;&gt;Tafelgetränke</v>
      </c>
      <c r="H161" s="31" t="s">
        <v>109</v>
      </c>
      <c r="I161" s="31" t="s">
        <v>121</v>
      </c>
      <c r="J161" s="31">
        <f>Migrationsartikel!B159</f>
        <v>909</v>
      </c>
      <c r="L161" t="str">
        <f>Migrationsartikel!F159&amp;" "&amp;Migrationsartikel!G159&amp;" "&amp;Migrationsartikel!H159</f>
        <v>Cider aus der Region 75cl</v>
      </c>
      <c r="M161" t="str">
        <f>Migrationsartikel!J159&amp;" "&amp;Migrationsartikel!K159&amp;" "&amp;Migrationsartikel!L159</f>
        <v>Cidre de la région 75cl</v>
      </c>
      <c r="N161" t="str">
        <f>Migrationsartikel!N159&amp;" "&amp;Migrationsartikel!O159&amp;" "&amp;Migrationsartikel!P159</f>
        <v>Sidro della regione 75cl</v>
      </c>
      <c r="O161" t="str">
        <f>Migrationsartikel!F159</f>
        <v>Cider</v>
      </c>
      <c r="P161" t="str">
        <f>Migrationsartikel!J159</f>
        <v>Cidre</v>
      </c>
      <c r="Q161" t="str">
        <f>Migrationsartikel!N159</f>
        <v>Sidro</v>
      </c>
      <c r="R161" t="str">
        <f>Migrationsartikel!G159</f>
        <v>aus der Region</v>
      </c>
      <c r="S161" t="str">
        <f>Migrationsartikel!K159</f>
        <v>de la région</v>
      </c>
      <c r="T161" t="str">
        <f>Migrationsartikel!O159</f>
        <v>della regione</v>
      </c>
      <c r="U161" s="31" t="str">
        <f>Migrationsartikel!H159</f>
        <v>75cl</v>
      </c>
      <c r="V161" s="31" t="str">
        <f>Migrationsartikel!L159</f>
        <v>75cl</v>
      </c>
      <c r="W161" s="31" t="str">
        <f>Migrationsartikel!P159</f>
        <v>75cl</v>
      </c>
      <c r="X161" t="str">
        <f>Migrationsartikel!I159</f>
        <v>Cider 75cl</v>
      </c>
      <c r="Y161" t="str">
        <f>Migrationsartikel!M159</f>
        <v>Cidre 75cl</v>
      </c>
      <c r="Z161" t="str">
        <f>Migrationsartikel!Q159</f>
        <v>Sidro 75cl</v>
      </c>
      <c r="AA161" s="45">
        <f>Migrationsartikel!R159</f>
        <v>0.75</v>
      </c>
      <c r="AB161" s="46" t="str">
        <f>Migrationsartikel!T159</f>
        <v>Liter</v>
      </c>
      <c r="AC161">
        <f>Migrationsartikel!S159</f>
        <v>1</v>
      </c>
      <c r="AD161" t="str">
        <f>Migrationsartikel!U159</f>
        <v>(PCE) Stück</v>
      </c>
      <c r="AE161" s="31" t="s">
        <v>179</v>
      </c>
      <c r="AF161" s="31" t="s">
        <v>192</v>
      </c>
      <c r="AG161" t="str">
        <f>IF(Migrationsartikel!AB159="ja","true",FALSE)</f>
        <v>true</v>
      </c>
      <c r="AH161" t="str">
        <f>IF(Migrationsartikel!AC159="ja","true",FALSE)</f>
        <v>true</v>
      </c>
      <c r="AI161" t="str">
        <f>IF(Migrationsartikel!AD159="ja","true",FALSE)</f>
        <v>true</v>
      </c>
      <c r="AJ161" t="str">
        <f>IF(Migrationsartikel!AE159="ja","true",FALSE)</f>
        <v>true</v>
      </c>
      <c r="AK161" t="str">
        <f>IF(Migrationsartikel!AF159="ja","Denner Partner","")</f>
        <v/>
      </c>
      <c r="AL161" t="str">
        <f>IF(Migrationsartikel!AG159="ja","true","false")</f>
        <v>false</v>
      </c>
      <c r="AM161" t="str">
        <f t="shared" si="2"/>
        <v>PLU</v>
      </c>
      <c r="AN161" s="31" t="s">
        <v>219</v>
      </c>
      <c r="AO161" s="31" t="s">
        <v>217</v>
      </c>
    </row>
    <row r="162" spans="2:41" ht="21.75" customHeight="1" x14ac:dyDescent="0.45">
      <c r="B162" t="s">
        <v>99</v>
      </c>
      <c r="E162" s="31" t="s">
        <v>1572</v>
      </c>
      <c r="F162" t="str">
        <f>"Warengruppe&gt;&gt;"&amp;Migrationsartikel!V160&amp;"&gt;&gt;"&amp;Migrationsartikel!W160&amp;"&gt;&gt;"&amp;Migrationsartikel!X160</f>
        <v>Warengruppe&gt;&gt;Getränke&gt;&gt;Tafelgetränke&gt;&gt;Tafelgetränke</v>
      </c>
      <c r="H162" s="31" t="s">
        <v>109</v>
      </c>
      <c r="I162" s="31" t="s">
        <v>121</v>
      </c>
      <c r="J162" s="31">
        <f>Migrationsartikel!B160</f>
        <v>910</v>
      </c>
      <c r="L162" t="str">
        <f>Migrationsartikel!F160&amp;" "&amp;Migrationsartikel!G160&amp;" "&amp;Migrationsartikel!H160</f>
        <v>Cider aus der Region 1l</v>
      </c>
      <c r="M162" t="str">
        <f>Migrationsartikel!J160&amp;" "&amp;Migrationsartikel!K160&amp;" "&amp;Migrationsartikel!L160</f>
        <v>Cidre de la région 1l</v>
      </c>
      <c r="N162" t="str">
        <f>Migrationsartikel!N160&amp;" "&amp;Migrationsartikel!O160&amp;" "&amp;Migrationsartikel!P160</f>
        <v>Sidro della regione 1l</v>
      </c>
      <c r="O162" t="str">
        <f>Migrationsartikel!F160</f>
        <v>Cider</v>
      </c>
      <c r="P162" t="str">
        <f>Migrationsartikel!J160</f>
        <v>Cidre</v>
      </c>
      <c r="Q162" t="str">
        <f>Migrationsartikel!N160</f>
        <v>Sidro</v>
      </c>
      <c r="R162" t="str">
        <f>Migrationsartikel!G160</f>
        <v>aus der Region</v>
      </c>
      <c r="S162" t="str">
        <f>Migrationsartikel!K160</f>
        <v>de la région</v>
      </c>
      <c r="T162" t="str">
        <f>Migrationsartikel!O160</f>
        <v>della regione</v>
      </c>
      <c r="U162" s="31" t="str">
        <f>Migrationsartikel!H160</f>
        <v>1l</v>
      </c>
      <c r="V162" s="31" t="str">
        <f>Migrationsartikel!L160</f>
        <v>1l</v>
      </c>
      <c r="W162" s="31" t="str">
        <f>Migrationsartikel!P160</f>
        <v>1l</v>
      </c>
      <c r="X162" t="str">
        <f>Migrationsartikel!I160</f>
        <v>Cider 1l</v>
      </c>
      <c r="Y162" t="str">
        <f>Migrationsartikel!M160</f>
        <v>Cidre 1l</v>
      </c>
      <c r="Z162" t="str">
        <f>Migrationsartikel!Q160</f>
        <v>Sidro 1l</v>
      </c>
      <c r="AA162" s="45">
        <f>Migrationsartikel!R160</f>
        <v>1</v>
      </c>
      <c r="AB162" s="46" t="str">
        <f>Migrationsartikel!T160</f>
        <v>Liter</v>
      </c>
      <c r="AC162">
        <f>Migrationsartikel!S160</f>
        <v>1</v>
      </c>
      <c r="AD162" t="str">
        <f>Migrationsartikel!U160</f>
        <v>(PCE) Stück</v>
      </c>
      <c r="AE162" s="31" t="s">
        <v>179</v>
      </c>
      <c r="AF162" s="31" t="s">
        <v>192</v>
      </c>
      <c r="AG162" t="str">
        <f>IF(Migrationsartikel!AB160="ja","true",FALSE)</f>
        <v>true</v>
      </c>
      <c r="AH162" t="str">
        <f>IF(Migrationsartikel!AC160="ja","true",FALSE)</f>
        <v>true</v>
      </c>
      <c r="AI162" t="str">
        <f>IF(Migrationsartikel!AD160="ja","true",FALSE)</f>
        <v>true</v>
      </c>
      <c r="AJ162" t="str">
        <f>IF(Migrationsartikel!AE160="ja","true",FALSE)</f>
        <v>true</v>
      </c>
      <c r="AK162" t="str">
        <f>IF(Migrationsartikel!AF160="ja","Denner Partner","")</f>
        <v/>
      </c>
      <c r="AL162" t="str">
        <f>IF(Migrationsartikel!AG160="ja","true","false")</f>
        <v>false</v>
      </c>
      <c r="AM162" t="str">
        <f t="shared" si="2"/>
        <v>PLU</v>
      </c>
      <c r="AN162" s="31" t="s">
        <v>219</v>
      </c>
      <c r="AO162" s="31" t="s">
        <v>217</v>
      </c>
    </row>
    <row r="163" spans="2:41" ht="21.75" customHeight="1" x14ac:dyDescent="0.45">
      <c r="B163" t="s">
        <v>99</v>
      </c>
      <c r="E163" s="31" t="s">
        <v>1573</v>
      </c>
      <c r="F163" t="str">
        <f>"Warengruppe&gt;&gt;"&amp;Migrationsartikel!V161&amp;"&gt;&gt;"&amp;Migrationsartikel!W161&amp;"&gt;&gt;"&amp;Migrationsartikel!X161</f>
        <v>Warengruppe&gt;&gt;Getränke&gt;&gt;Tafelgetränke&gt;&gt;Tafelgetränke</v>
      </c>
      <c r="H163" s="31" t="s">
        <v>109</v>
      </c>
      <c r="I163" s="31" t="s">
        <v>121</v>
      </c>
      <c r="J163" s="31">
        <f>Migrationsartikel!B161</f>
        <v>911</v>
      </c>
      <c r="L163" t="str">
        <f>Migrationsartikel!F161&amp;" "&amp;Migrationsartikel!G161&amp;" "&amp;Migrationsartikel!H161</f>
        <v>Sirup aus der Region 35cl</v>
      </c>
      <c r="M163" t="str">
        <f>Migrationsartikel!J161&amp;" "&amp;Migrationsartikel!K161&amp;" "&amp;Migrationsartikel!L161</f>
        <v>Sirop  de la région 35cl</v>
      </c>
      <c r="N163" t="str">
        <f>Migrationsartikel!N161&amp;" "&amp;Migrationsartikel!O161&amp;" "&amp;Migrationsartikel!P161</f>
        <v>Sciroppo della regione 35cl</v>
      </c>
      <c r="O163" t="str">
        <f>Migrationsartikel!F161</f>
        <v>Sirup</v>
      </c>
      <c r="P163" t="str">
        <f>Migrationsartikel!J161</f>
        <v xml:space="preserve">Sirop </v>
      </c>
      <c r="Q163" t="str">
        <f>Migrationsartikel!N161</f>
        <v>Sciroppo</v>
      </c>
      <c r="R163" t="str">
        <f>Migrationsartikel!G161</f>
        <v>aus der Region</v>
      </c>
      <c r="S163" t="str">
        <f>Migrationsartikel!K161</f>
        <v>de la région</v>
      </c>
      <c r="T163" t="str">
        <f>Migrationsartikel!O161</f>
        <v>della regione</v>
      </c>
      <c r="U163" s="31" t="str">
        <f>Migrationsartikel!H161</f>
        <v>35cl</v>
      </c>
      <c r="V163" s="31" t="str">
        <f>Migrationsartikel!L161</f>
        <v>35cl</v>
      </c>
      <c r="W163" s="31" t="str">
        <f>Migrationsartikel!P161</f>
        <v>35cl</v>
      </c>
      <c r="X163" t="str">
        <f>Migrationsartikel!I161</f>
        <v>Sirup 35cl</v>
      </c>
      <c r="Y163" t="str">
        <f>Migrationsartikel!M161</f>
        <v>Sirop 35cl</v>
      </c>
      <c r="Z163" t="str">
        <f>Migrationsartikel!Q161</f>
        <v>Sciroppo 35cl</v>
      </c>
      <c r="AA163" s="45">
        <f>Migrationsartikel!R161</f>
        <v>0.35</v>
      </c>
      <c r="AB163" s="46" t="str">
        <f>Migrationsartikel!T161</f>
        <v>Liter</v>
      </c>
      <c r="AC163">
        <f>Migrationsartikel!S161</f>
        <v>1</v>
      </c>
      <c r="AD163" t="str">
        <f>Migrationsartikel!U161</f>
        <v>(PCE) Stück</v>
      </c>
      <c r="AE163" s="31" t="s">
        <v>179</v>
      </c>
      <c r="AF163" s="31" t="s">
        <v>192</v>
      </c>
      <c r="AG163" t="str">
        <f>IF(Migrationsartikel!AB161="ja","true",FALSE)</f>
        <v>true</v>
      </c>
      <c r="AH163" t="str">
        <f>IF(Migrationsartikel!AC161="ja","true",FALSE)</f>
        <v>true</v>
      </c>
      <c r="AI163" t="str">
        <f>IF(Migrationsartikel!AD161="ja","true",FALSE)</f>
        <v>true</v>
      </c>
      <c r="AJ163" t="str">
        <f>IF(Migrationsartikel!AE161="ja","true",FALSE)</f>
        <v>true</v>
      </c>
      <c r="AK163" t="str">
        <f>IF(Migrationsartikel!AF161="ja","Denner Partner","")</f>
        <v/>
      </c>
      <c r="AL163" t="str">
        <f>IF(Migrationsartikel!AG161="ja","true","false")</f>
        <v>false</v>
      </c>
      <c r="AM163" t="str">
        <f t="shared" si="2"/>
        <v>PLU</v>
      </c>
      <c r="AN163" s="31" t="s">
        <v>219</v>
      </c>
      <c r="AO163" s="31" t="s">
        <v>217</v>
      </c>
    </row>
    <row r="164" spans="2:41" ht="21.75" customHeight="1" x14ac:dyDescent="0.45">
      <c r="B164" t="s">
        <v>99</v>
      </c>
      <c r="E164" s="31" t="s">
        <v>1574</v>
      </c>
      <c r="F164" t="str">
        <f>"Warengruppe&gt;&gt;"&amp;Migrationsartikel!V162&amp;"&gt;&gt;"&amp;Migrationsartikel!W162&amp;"&gt;&gt;"&amp;Migrationsartikel!X162</f>
        <v>Warengruppe&gt;&gt;Getränke&gt;&gt;Tafelgetränke&gt;&gt;Tafelgetränke</v>
      </c>
      <c r="H164" s="31" t="s">
        <v>109</v>
      </c>
      <c r="I164" s="31" t="s">
        <v>121</v>
      </c>
      <c r="J164" s="31">
        <f>Migrationsartikel!B162</f>
        <v>912</v>
      </c>
      <c r="L164" t="str">
        <f>Migrationsartikel!F162&amp;" "&amp;Migrationsartikel!G162&amp;" "&amp;Migrationsartikel!H162</f>
        <v>Sirup aus der Region 50cl</v>
      </c>
      <c r="M164" t="str">
        <f>Migrationsartikel!J162&amp;" "&amp;Migrationsartikel!K162&amp;" "&amp;Migrationsartikel!L162</f>
        <v>Sirop  de la région 50cl</v>
      </c>
      <c r="N164" t="str">
        <f>Migrationsartikel!N162&amp;" "&amp;Migrationsartikel!O162&amp;" "&amp;Migrationsartikel!P162</f>
        <v>Sciroppo della regione 50cl</v>
      </c>
      <c r="O164" t="str">
        <f>Migrationsartikel!F162</f>
        <v>Sirup</v>
      </c>
      <c r="P164" t="str">
        <f>Migrationsartikel!J162</f>
        <v xml:space="preserve">Sirop </v>
      </c>
      <c r="Q164" t="str">
        <f>Migrationsartikel!N162</f>
        <v>Sciroppo</v>
      </c>
      <c r="R164" t="str">
        <f>Migrationsartikel!G162</f>
        <v>aus der Region</v>
      </c>
      <c r="S164" t="str">
        <f>Migrationsartikel!K162</f>
        <v>de la région</v>
      </c>
      <c r="T164" t="str">
        <f>Migrationsartikel!O162</f>
        <v>della regione</v>
      </c>
      <c r="U164" s="31" t="str">
        <f>Migrationsartikel!H162</f>
        <v>50cl</v>
      </c>
      <c r="V164" s="31" t="str">
        <f>Migrationsartikel!L162</f>
        <v>50cl</v>
      </c>
      <c r="W164" s="31" t="str">
        <f>Migrationsartikel!P162</f>
        <v>50cl</v>
      </c>
      <c r="X164" t="str">
        <f>Migrationsartikel!I162</f>
        <v>Sirup 50cl</v>
      </c>
      <c r="Y164" t="str">
        <f>Migrationsartikel!M162</f>
        <v>Sirop 50cl</v>
      </c>
      <c r="Z164" t="str">
        <f>Migrationsartikel!Q162</f>
        <v>Sciroppo 50cl</v>
      </c>
      <c r="AA164" s="45">
        <f>Migrationsartikel!R162</f>
        <v>0.5</v>
      </c>
      <c r="AB164" s="46" t="str">
        <f>Migrationsartikel!T162</f>
        <v>Liter</v>
      </c>
      <c r="AC164">
        <f>Migrationsartikel!S162</f>
        <v>1</v>
      </c>
      <c r="AD164" t="str">
        <f>Migrationsartikel!U162</f>
        <v>(PCE) Stück</v>
      </c>
      <c r="AE164" s="31" t="s">
        <v>179</v>
      </c>
      <c r="AF164" s="31" t="s">
        <v>192</v>
      </c>
      <c r="AG164" t="str">
        <f>IF(Migrationsartikel!AB162="ja","true",FALSE)</f>
        <v>true</v>
      </c>
      <c r="AH164" t="str">
        <f>IF(Migrationsartikel!AC162="ja","true",FALSE)</f>
        <v>true</v>
      </c>
      <c r="AI164" t="str">
        <f>IF(Migrationsartikel!AD162="ja","true",FALSE)</f>
        <v>true</v>
      </c>
      <c r="AJ164" t="str">
        <f>IF(Migrationsartikel!AE162="ja","true",FALSE)</f>
        <v>true</v>
      </c>
      <c r="AK164" t="str">
        <f>IF(Migrationsartikel!AF162="ja","Denner Partner","")</f>
        <v/>
      </c>
      <c r="AL164" t="str">
        <f>IF(Migrationsartikel!AG162="ja","true","false")</f>
        <v>false</v>
      </c>
      <c r="AM164" t="str">
        <f t="shared" si="2"/>
        <v>PLU</v>
      </c>
      <c r="AN164" s="31" t="s">
        <v>219</v>
      </c>
      <c r="AO164" s="31" t="s">
        <v>217</v>
      </c>
    </row>
    <row r="165" spans="2:41" ht="21.75" customHeight="1" x14ac:dyDescent="0.45">
      <c r="B165" t="s">
        <v>99</v>
      </c>
      <c r="E165" s="31" t="s">
        <v>1575</v>
      </c>
      <c r="F165" t="str">
        <f>"Warengruppe&gt;&gt;"&amp;Migrationsartikel!V163&amp;"&gt;&gt;"&amp;Migrationsartikel!W163&amp;"&gt;&gt;"&amp;Migrationsartikel!X163</f>
        <v>Warengruppe&gt;&gt;Getränke&gt;&gt;Tafelgetränke&gt;&gt;Tafelgetränke</v>
      </c>
      <c r="H165" s="31" t="s">
        <v>109</v>
      </c>
      <c r="I165" s="31" t="s">
        <v>121</v>
      </c>
      <c r="J165" s="31">
        <f>Migrationsartikel!B163</f>
        <v>913</v>
      </c>
      <c r="L165" t="str">
        <f>Migrationsartikel!F163&amp;" "&amp;Migrationsartikel!G163&amp;" "&amp;Migrationsartikel!H163</f>
        <v>Sirup aus der Region 75cl</v>
      </c>
      <c r="M165" t="str">
        <f>Migrationsartikel!J163&amp;" "&amp;Migrationsartikel!K163&amp;" "&amp;Migrationsartikel!L163</f>
        <v>Sirop  de la région 75cl</v>
      </c>
      <c r="N165" t="str">
        <f>Migrationsartikel!N163&amp;" "&amp;Migrationsartikel!O163&amp;" "&amp;Migrationsartikel!P163</f>
        <v>Sciroppo della regione 75cl</v>
      </c>
      <c r="O165" t="str">
        <f>Migrationsartikel!F163</f>
        <v>Sirup</v>
      </c>
      <c r="P165" t="str">
        <f>Migrationsartikel!J163</f>
        <v xml:space="preserve">Sirop </v>
      </c>
      <c r="Q165" t="str">
        <f>Migrationsartikel!N163</f>
        <v>Sciroppo</v>
      </c>
      <c r="R165" t="str">
        <f>Migrationsartikel!G163</f>
        <v>aus der Region</v>
      </c>
      <c r="S165" t="str">
        <f>Migrationsartikel!K163</f>
        <v>de la région</v>
      </c>
      <c r="T165" t="str">
        <f>Migrationsartikel!O163</f>
        <v>della regione</v>
      </c>
      <c r="U165" s="31" t="str">
        <f>Migrationsartikel!H163</f>
        <v>75cl</v>
      </c>
      <c r="V165" s="31" t="str">
        <f>Migrationsartikel!L163</f>
        <v>75cl</v>
      </c>
      <c r="W165" s="31" t="str">
        <f>Migrationsartikel!P163</f>
        <v>75cl</v>
      </c>
      <c r="X165" t="str">
        <f>Migrationsartikel!I163</f>
        <v>Sirup 75cl</v>
      </c>
      <c r="Y165" t="str">
        <f>Migrationsartikel!M163</f>
        <v>Sirop 75cl</v>
      </c>
      <c r="Z165" t="str">
        <f>Migrationsartikel!Q163</f>
        <v>Sciroppo 75cl</v>
      </c>
      <c r="AA165" s="45">
        <f>Migrationsartikel!R163</f>
        <v>0.75</v>
      </c>
      <c r="AB165" s="46" t="str">
        <f>Migrationsartikel!T163</f>
        <v>Liter</v>
      </c>
      <c r="AC165">
        <f>Migrationsartikel!S163</f>
        <v>1</v>
      </c>
      <c r="AD165" t="str">
        <f>Migrationsartikel!U163</f>
        <v>(PCE) Stück</v>
      </c>
      <c r="AE165" s="31" t="s">
        <v>179</v>
      </c>
      <c r="AF165" s="31" t="s">
        <v>192</v>
      </c>
      <c r="AG165" t="str">
        <f>IF(Migrationsartikel!AB163="ja","true",FALSE)</f>
        <v>true</v>
      </c>
      <c r="AH165" t="str">
        <f>IF(Migrationsartikel!AC163="ja","true",FALSE)</f>
        <v>true</v>
      </c>
      <c r="AI165" t="str">
        <f>IF(Migrationsartikel!AD163="ja","true",FALSE)</f>
        <v>true</v>
      </c>
      <c r="AJ165" t="str">
        <f>IF(Migrationsartikel!AE163="ja","true",FALSE)</f>
        <v>true</v>
      </c>
      <c r="AK165" t="str">
        <f>IF(Migrationsartikel!AF163="ja","Denner Partner","")</f>
        <v/>
      </c>
      <c r="AL165" t="str">
        <f>IF(Migrationsartikel!AG163="ja","true","false")</f>
        <v>false</v>
      </c>
      <c r="AM165" t="str">
        <f t="shared" si="2"/>
        <v>PLU</v>
      </c>
      <c r="AN165" s="31" t="s">
        <v>219</v>
      </c>
      <c r="AO165" s="31" t="s">
        <v>217</v>
      </c>
    </row>
    <row r="166" spans="2:41" ht="21.75" customHeight="1" x14ac:dyDescent="0.45">
      <c r="B166" t="s">
        <v>99</v>
      </c>
      <c r="E166" s="31" t="s">
        <v>1576</v>
      </c>
      <c r="F166" t="str">
        <f>"Warengruppe&gt;&gt;"&amp;Migrationsartikel!V164&amp;"&gt;&gt;"&amp;Migrationsartikel!W164&amp;"&gt;&gt;"&amp;Migrationsartikel!X164</f>
        <v>Warengruppe&gt;&gt;Getränke&gt;&gt;Tafelgetränke&gt;&gt;Tafelgetränke</v>
      </c>
      <c r="H166" s="31" t="s">
        <v>109</v>
      </c>
      <c r="I166" s="31" t="s">
        <v>121</v>
      </c>
      <c r="J166" s="31">
        <f>Migrationsartikel!B164</f>
        <v>914</v>
      </c>
      <c r="L166" t="str">
        <f>Migrationsartikel!F164&amp;" "&amp;Migrationsartikel!G164&amp;" "&amp;Migrationsartikel!H164</f>
        <v>Sirup aus der Region 1l</v>
      </c>
      <c r="M166" t="str">
        <f>Migrationsartikel!J164&amp;" "&amp;Migrationsartikel!K164&amp;" "&amp;Migrationsartikel!L164</f>
        <v>Sirop  de la région 1l</v>
      </c>
      <c r="N166" t="str">
        <f>Migrationsartikel!N164&amp;" "&amp;Migrationsartikel!O164&amp;" "&amp;Migrationsartikel!P164</f>
        <v>Sciroppo della regione 1l</v>
      </c>
      <c r="O166" t="str">
        <f>Migrationsartikel!F164</f>
        <v>Sirup</v>
      </c>
      <c r="P166" t="str">
        <f>Migrationsartikel!J164</f>
        <v xml:space="preserve">Sirop </v>
      </c>
      <c r="Q166" t="str">
        <f>Migrationsartikel!N164</f>
        <v>Sciroppo</v>
      </c>
      <c r="R166" t="str">
        <f>Migrationsartikel!G164</f>
        <v>aus der Region</v>
      </c>
      <c r="S166" t="str">
        <f>Migrationsartikel!K164</f>
        <v>de la région</v>
      </c>
      <c r="T166" t="str">
        <f>Migrationsartikel!O164</f>
        <v>della regione</v>
      </c>
      <c r="U166" s="31" t="str">
        <f>Migrationsartikel!H164</f>
        <v>1l</v>
      </c>
      <c r="V166" s="31" t="str">
        <f>Migrationsartikel!L164</f>
        <v>1l</v>
      </c>
      <c r="W166" s="31" t="str">
        <f>Migrationsartikel!P164</f>
        <v>1l</v>
      </c>
      <c r="X166" t="str">
        <f>Migrationsartikel!I164</f>
        <v>Sirup 1l</v>
      </c>
      <c r="Y166" t="str">
        <f>Migrationsartikel!M164</f>
        <v>Sirop 1l</v>
      </c>
      <c r="Z166" t="str">
        <f>Migrationsartikel!Q164</f>
        <v>Sciroppo 1l</v>
      </c>
      <c r="AA166" s="45">
        <f>Migrationsartikel!R164</f>
        <v>1</v>
      </c>
      <c r="AB166" s="46" t="str">
        <f>Migrationsartikel!T164</f>
        <v>Liter</v>
      </c>
      <c r="AC166">
        <f>Migrationsartikel!S164</f>
        <v>1</v>
      </c>
      <c r="AD166" t="str">
        <f>Migrationsartikel!U164</f>
        <v>(PCE) Stück</v>
      </c>
      <c r="AE166" s="31" t="s">
        <v>179</v>
      </c>
      <c r="AF166" s="31" t="s">
        <v>192</v>
      </c>
      <c r="AG166" t="str">
        <f>IF(Migrationsartikel!AB164="ja","true",FALSE)</f>
        <v>true</v>
      </c>
      <c r="AH166" t="str">
        <f>IF(Migrationsartikel!AC164="ja","true",FALSE)</f>
        <v>true</v>
      </c>
      <c r="AI166" t="str">
        <f>IF(Migrationsartikel!AD164="ja","true",FALSE)</f>
        <v>true</v>
      </c>
      <c r="AJ166" t="str">
        <f>IF(Migrationsartikel!AE164="ja","true",FALSE)</f>
        <v>true</v>
      </c>
      <c r="AK166" t="str">
        <f>IF(Migrationsartikel!AF164="ja","Denner Partner","")</f>
        <v/>
      </c>
      <c r="AL166" t="str">
        <f>IF(Migrationsartikel!AG164="ja","true","false")</f>
        <v>false</v>
      </c>
      <c r="AM166" t="str">
        <f t="shared" si="2"/>
        <v>PLU</v>
      </c>
      <c r="AN166" s="31" t="s">
        <v>219</v>
      </c>
      <c r="AO166" s="31" t="s">
        <v>217</v>
      </c>
    </row>
    <row r="167" spans="2:41" ht="21.75" customHeight="1" x14ac:dyDescent="0.45">
      <c r="B167" t="s">
        <v>99</v>
      </c>
      <c r="E167" s="31" t="s">
        <v>1577</v>
      </c>
      <c r="F167" t="str">
        <f>"Warengruppe&gt;&gt;"&amp;Migrationsartikel!V165&amp;"&gt;&gt;"&amp;Migrationsartikel!W165&amp;"&gt;&gt;"&amp;Migrationsartikel!X165</f>
        <v>Warengruppe&gt;&gt;Getränke&gt;&gt;Kaffee und Tee&gt;&gt;Tee</v>
      </c>
      <c r="H167" s="31" t="s">
        <v>109</v>
      </c>
      <c r="I167" s="31" t="s">
        <v>121</v>
      </c>
      <c r="J167" s="31">
        <f>Migrationsartikel!B165</f>
        <v>915</v>
      </c>
      <c r="L167" t="str">
        <f>Migrationsartikel!F165&amp;" "&amp;Migrationsartikel!G165&amp;" "&amp;Migrationsartikel!H165</f>
        <v>Tee  aus der Region 1Stk</v>
      </c>
      <c r="M167" t="str">
        <f>Migrationsartikel!J165&amp;" "&amp;Migrationsartikel!K165&amp;" "&amp;Migrationsartikel!L165</f>
        <v>Thé  de la région 1pce</v>
      </c>
      <c r="N167" t="str">
        <f>Migrationsartikel!N165&amp;" "&amp;Migrationsartikel!O165&amp;" "&amp;Migrationsartikel!P165</f>
        <v>Tè  della regione 1pz</v>
      </c>
      <c r="O167" t="str">
        <f>Migrationsartikel!F165</f>
        <v xml:space="preserve">Tee </v>
      </c>
      <c r="P167" t="str">
        <f>Migrationsartikel!J165</f>
        <v xml:space="preserve">Thé </v>
      </c>
      <c r="Q167" t="str">
        <f>Migrationsartikel!N165</f>
        <v xml:space="preserve">Tè </v>
      </c>
      <c r="R167" t="str">
        <f>Migrationsartikel!G165</f>
        <v>aus der Region</v>
      </c>
      <c r="S167" t="str">
        <f>Migrationsartikel!K165</f>
        <v>de la région</v>
      </c>
      <c r="T167" t="str">
        <f>Migrationsartikel!O165</f>
        <v>della regione</v>
      </c>
      <c r="U167" s="31" t="str">
        <f>Migrationsartikel!H165</f>
        <v>1Stk</v>
      </c>
      <c r="V167" s="31" t="str">
        <f>Migrationsartikel!L165</f>
        <v>1pce</v>
      </c>
      <c r="W167" s="31" t="str">
        <f>Migrationsartikel!P165</f>
        <v>1pz</v>
      </c>
      <c r="X167" t="str">
        <f>Migrationsartikel!I165</f>
        <v xml:space="preserve">Tee </v>
      </c>
      <c r="Y167" t="str">
        <f>Migrationsartikel!M165</f>
        <v xml:space="preserve">Thé </v>
      </c>
      <c r="Z167" t="str">
        <f>Migrationsartikel!Q165</f>
        <v xml:space="preserve">Tè </v>
      </c>
      <c r="AA167" s="45">
        <f>Migrationsartikel!R165</f>
        <v>1</v>
      </c>
      <c r="AB167" s="46" t="str">
        <f>Migrationsartikel!T165</f>
        <v>Stück</v>
      </c>
      <c r="AC167">
        <f>Migrationsartikel!S165</f>
        <v>1</v>
      </c>
      <c r="AD167" t="str">
        <f>Migrationsartikel!U165</f>
        <v>(PCE) Stück</v>
      </c>
      <c r="AE167" s="31" t="s">
        <v>179</v>
      </c>
      <c r="AF167" s="31" t="s">
        <v>192</v>
      </c>
      <c r="AG167" t="str">
        <f>IF(Migrationsartikel!AB165="ja","true",FALSE)</f>
        <v>true</v>
      </c>
      <c r="AH167" t="str">
        <f>IF(Migrationsartikel!AC165="ja","true",FALSE)</f>
        <v>true</v>
      </c>
      <c r="AI167" t="str">
        <f>IF(Migrationsartikel!AD165="ja","true",FALSE)</f>
        <v>true</v>
      </c>
      <c r="AJ167" t="str">
        <f>IF(Migrationsartikel!AE165="ja","true",FALSE)</f>
        <v>true</v>
      </c>
      <c r="AK167" t="str">
        <f>IF(Migrationsartikel!AF165="ja","Denner Partner","")</f>
        <v/>
      </c>
      <c r="AL167" t="str">
        <f>IF(Migrationsartikel!AG165="ja","true","false")</f>
        <v>false</v>
      </c>
      <c r="AM167" t="str">
        <f t="shared" si="2"/>
        <v>PLU</v>
      </c>
      <c r="AN167" s="31" t="s">
        <v>219</v>
      </c>
      <c r="AO167" s="31" t="s">
        <v>217</v>
      </c>
    </row>
    <row r="168" spans="2:41" ht="21.75" customHeight="1" x14ac:dyDescent="0.45">
      <c r="B168" t="s">
        <v>99</v>
      </c>
      <c r="E168" s="31" t="s">
        <v>1578</v>
      </c>
      <c r="F168" t="str">
        <f>"Warengruppe&gt;&gt;"&amp;Migrationsartikel!V166&amp;"&gt;&gt;"&amp;Migrationsartikel!W166&amp;"&gt;&gt;"&amp;Migrationsartikel!X166</f>
        <v>Warengruppe&gt;&gt;Near Food&gt;&gt;Gebrauchsartikel&gt;&gt;Gebrauchsartikel</v>
      </c>
      <c r="H168" s="31" t="s">
        <v>109</v>
      </c>
      <c r="I168" s="31" t="s">
        <v>121</v>
      </c>
      <c r="J168" s="31">
        <f>Migrationsartikel!B166</f>
        <v>950</v>
      </c>
      <c r="L168" t="str">
        <f>Migrationsartikel!F166&amp;" "&amp;Migrationsartikel!G166&amp;" "&amp;Migrationsartikel!H166</f>
        <v>Gasflasche  10.5kg</v>
      </c>
      <c r="M168" t="str">
        <f>Migrationsartikel!J166&amp;" "&amp;Migrationsartikel!K166&amp;" "&amp;Migrationsartikel!L166</f>
        <v>Bouteille de gaz  10.5kg</v>
      </c>
      <c r="N168" t="str">
        <f>Migrationsartikel!N166&amp;" "&amp;Migrationsartikel!O166&amp;" "&amp;Migrationsartikel!P166</f>
        <v>Bombola di gas  10.5kg</v>
      </c>
      <c r="O168" t="str">
        <f>Migrationsartikel!F166</f>
        <v>Gasflasche</v>
      </c>
      <c r="P168" t="str">
        <f>Migrationsartikel!J166</f>
        <v>Bouteille de gaz</v>
      </c>
      <c r="Q168" t="str">
        <f>Migrationsartikel!N166</f>
        <v>Bombola di gas</v>
      </c>
      <c r="R168">
        <f>Migrationsartikel!G166</f>
        <v>0</v>
      </c>
      <c r="S168">
        <f>Migrationsartikel!K166</f>
        <v>0</v>
      </c>
      <c r="T168">
        <f>Migrationsartikel!O166</f>
        <v>0</v>
      </c>
      <c r="U168" s="31" t="str">
        <f>Migrationsartikel!H166</f>
        <v>10.5kg</v>
      </c>
      <c r="V168" s="31" t="str">
        <f>Migrationsartikel!L166</f>
        <v>10.5kg</v>
      </c>
      <c r="W168" s="31" t="str">
        <f>Migrationsartikel!P166</f>
        <v>10.5kg</v>
      </c>
      <c r="X168" t="str">
        <f>Migrationsartikel!I166</f>
        <v>Gasflasche 10.5kg</v>
      </c>
      <c r="Y168" t="str">
        <f>Migrationsartikel!M166</f>
        <v>Bouteille gaz 10.5kg</v>
      </c>
      <c r="Z168" t="str">
        <f>Migrationsartikel!Q166</f>
        <v>Bombola gas 10.5kg</v>
      </c>
      <c r="AA168" s="45">
        <f>Migrationsartikel!R166</f>
        <v>10.5</v>
      </c>
      <c r="AB168" s="46" t="str">
        <f>Migrationsartikel!T166</f>
        <v>Kilogramm</v>
      </c>
      <c r="AC168">
        <f>Migrationsartikel!S166</f>
        <v>1</v>
      </c>
      <c r="AD168" t="str">
        <f>Migrationsartikel!U166</f>
        <v>(PCE) Stück</v>
      </c>
      <c r="AE168" s="31" t="s">
        <v>179</v>
      </c>
      <c r="AF168" s="31" t="s">
        <v>192</v>
      </c>
      <c r="AG168" t="str">
        <f>IF(Migrationsartikel!AB166="ja","true",FALSE)</f>
        <v>true</v>
      </c>
      <c r="AH168" t="str">
        <f>IF(Migrationsartikel!AC166="ja","true",FALSE)</f>
        <v>true</v>
      </c>
      <c r="AI168" t="str">
        <f>IF(Migrationsartikel!AD166="ja","true",FALSE)</f>
        <v>true</v>
      </c>
      <c r="AJ168" t="str">
        <f>IF(Migrationsartikel!AE166="ja","true",FALSE)</f>
        <v>true</v>
      </c>
      <c r="AK168" t="str">
        <f>IF(Migrationsartikel!AF166="ja","Denner Partner","")</f>
        <v/>
      </c>
      <c r="AL168" t="str">
        <f>IF(Migrationsartikel!AG166="ja","true","false")</f>
        <v>true</v>
      </c>
      <c r="AM168" t="str">
        <f t="shared" si="2"/>
        <v>PLU</v>
      </c>
      <c r="AN168" s="31" t="s">
        <v>219</v>
      </c>
      <c r="AO168" s="31" t="s">
        <v>217</v>
      </c>
    </row>
    <row r="169" spans="2:41" ht="21.75" customHeight="1" x14ac:dyDescent="0.45">
      <c r="B169" t="s">
        <v>99</v>
      </c>
      <c r="E169" s="31" t="s">
        <v>1579</v>
      </c>
      <c r="F169" t="str">
        <f>"Warengruppe&gt;&gt;"&amp;Migrationsartikel!V167&amp;"&gt;&gt;"&amp;Migrationsartikel!W167&amp;"&gt;&gt;"&amp;Migrationsartikel!X167</f>
        <v>Warengruppe&gt;&gt;Near Food&gt;&gt;Gebrauchsartikel&gt;&gt;Gebrauchsartikel</v>
      </c>
      <c r="H169" s="31" t="s">
        <v>109</v>
      </c>
      <c r="I169" s="31" t="s">
        <v>121</v>
      </c>
      <c r="J169" s="31">
        <f>Migrationsartikel!B167</f>
        <v>951</v>
      </c>
      <c r="L169" t="str">
        <f>Migrationsartikel!F167&amp;" "&amp;Migrationsartikel!G167&amp;" "&amp;Migrationsartikel!H167</f>
        <v>Gasflasche  5kg</v>
      </c>
      <c r="M169" t="str">
        <f>Migrationsartikel!J167&amp;" "&amp;Migrationsartikel!K167&amp;" "&amp;Migrationsartikel!L167</f>
        <v>Bouteille de gaz  5kg</v>
      </c>
      <c r="N169" t="str">
        <f>Migrationsartikel!N167&amp;" "&amp;Migrationsartikel!O167&amp;" "&amp;Migrationsartikel!P167</f>
        <v>Bombola di gas  5kg</v>
      </c>
      <c r="O169" t="str">
        <f>Migrationsartikel!F167</f>
        <v>Gasflasche</v>
      </c>
      <c r="P169" t="str">
        <f>Migrationsartikel!J167</f>
        <v>Bouteille de gaz</v>
      </c>
      <c r="Q169" t="str">
        <f>Migrationsartikel!N167</f>
        <v>Bombola di gas</v>
      </c>
      <c r="R169">
        <f>Migrationsartikel!G167</f>
        <v>0</v>
      </c>
      <c r="S169">
        <f>Migrationsartikel!K167</f>
        <v>0</v>
      </c>
      <c r="T169">
        <f>Migrationsartikel!O167</f>
        <v>0</v>
      </c>
      <c r="U169" s="31" t="str">
        <f>Migrationsartikel!H167</f>
        <v>5kg</v>
      </c>
      <c r="V169" s="31" t="str">
        <f>Migrationsartikel!L167</f>
        <v>5kg</v>
      </c>
      <c r="W169" s="31" t="str">
        <f>Migrationsartikel!P167</f>
        <v>5kg</v>
      </c>
      <c r="X169" t="str">
        <f>Migrationsartikel!I167</f>
        <v>Gasflasche 5kg</v>
      </c>
      <c r="Y169" t="str">
        <f>Migrationsartikel!M167</f>
        <v>Bouteille gaz 5kg</v>
      </c>
      <c r="Z169" t="str">
        <f>Migrationsartikel!Q167</f>
        <v>Bombola gas 5kg</v>
      </c>
      <c r="AA169" s="45">
        <f>Migrationsartikel!R167</f>
        <v>5</v>
      </c>
      <c r="AB169" s="46" t="str">
        <f>Migrationsartikel!T167</f>
        <v>Kilogramm</v>
      </c>
      <c r="AC169">
        <f>Migrationsartikel!S167</f>
        <v>1</v>
      </c>
      <c r="AD169" t="str">
        <f>Migrationsartikel!U167</f>
        <v>(PCE) Stück</v>
      </c>
      <c r="AE169" s="31" t="s">
        <v>179</v>
      </c>
      <c r="AF169" s="31" t="s">
        <v>192</v>
      </c>
      <c r="AG169" t="str">
        <f>IF(Migrationsartikel!AB167="ja","true",FALSE)</f>
        <v>true</v>
      </c>
      <c r="AH169" t="str">
        <f>IF(Migrationsartikel!AC167="ja","true",FALSE)</f>
        <v>true</v>
      </c>
      <c r="AI169" t="str">
        <f>IF(Migrationsartikel!AD167="ja","true",FALSE)</f>
        <v>true</v>
      </c>
      <c r="AJ169" t="str">
        <f>IF(Migrationsartikel!AE167="ja","true",FALSE)</f>
        <v>true</v>
      </c>
      <c r="AK169" t="str">
        <f>IF(Migrationsartikel!AF167="ja","Denner Partner","")</f>
        <v/>
      </c>
      <c r="AL169" t="str">
        <f>IF(Migrationsartikel!AG167="ja","true","false")</f>
        <v>true</v>
      </c>
      <c r="AM169" t="str">
        <f t="shared" si="2"/>
        <v>PLU</v>
      </c>
      <c r="AN169" s="31" t="s">
        <v>219</v>
      </c>
      <c r="AO169" s="31" t="s">
        <v>217</v>
      </c>
    </row>
    <row r="170" spans="2:41" ht="21.75" customHeight="1" x14ac:dyDescent="0.45">
      <c r="B170" t="s">
        <v>99</v>
      </c>
      <c r="E170" s="31" t="s">
        <v>1580</v>
      </c>
      <c r="F170" t="str">
        <f>"Warengruppe&gt;&gt;"&amp;Migrationsartikel!V168&amp;"&gt;&gt;"&amp;Migrationsartikel!W168&amp;"&gt;&gt;"&amp;Migrationsartikel!X168</f>
        <v>Warengruppe&gt;&gt;Near Food&gt;&gt;Gebrauchsartikel&gt;&gt;Gebrauchsartikel</v>
      </c>
      <c r="H170" s="31" t="s">
        <v>109</v>
      </c>
      <c r="I170" s="31" t="s">
        <v>121</v>
      </c>
      <c r="J170" s="31">
        <f>Migrationsartikel!B168</f>
        <v>952</v>
      </c>
      <c r="L170" t="str">
        <f>Migrationsartikel!F168&amp;" "&amp;Migrationsartikel!G168&amp;" "&amp;Migrationsartikel!H168</f>
        <v>Gasflasche   33kg</v>
      </c>
      <c r="M170" t="str">
        <f>Migrationsartikel!J168&amp;" "&amp;Migrationsartikel!K168&amp;" "&amp;Migrationsartikel!L168</f>
        <v>Bouteille de gaz  33kg</v>
      </c>
      <c r="N170" t="str">
        <f>Migrationsartikel!N168&amp;" "&amp;Migrationsartikel!O168&amp;" "&amp;Migrationsartikel!P168</f>
        <v>Bombola di gas  33kg</v>
      </c>
      <c r="O170" t="str">
        <f>Migrationsartikel!F168</f>
        <v xml:space="preserve">Gasflasche </v>
      </c>
      <c r="P170" t="str">
        <f>Migrationsartikel!J168</f>
        <v>Bouteille de gaz</v>
      </c>
      <c r="Q170" t="str">
        <f>Migrationsartikel!N168</f>
        <v>Bombola di gas</v>
      </c>
      <c r="R170">
        <f>Migrationsartikel!G168</f>
        <v>0</v>
      </c>
      <c r="S170">
        <f>Migrationsartikel!K168</f>
        <v>0</v>
      </c>
      <c r="T170">
        <f>Migrationsartikel!O168</f>
        <v>0</v>
      </c>
      <c r="U170" s="31" t="str">
        <f>Migrationsartikel!H168</f>
        <v>33kg</v>
      </c>
      <c r="V170" s="31" t="str">
        <f>Migrationsartikel!L168</f>
        <v>33kg</v>
      </c>
      <c r="W170" s="31" t="str">
        <f>Migrationsartikel!P168</f>
        <v>33kg</v>
      </c>
      <c r="X170" t="str">
        <f>Migrationsartikel!I168</f>
        <v>Gasflasche 33kg</v>
      </c>
      <c r="Y170" t="str">
        <f>Migrationsartikel!M168</f>
        <v>Bouteille gaz 33kg</v>
      </c>
      <c r="Z170" t="str">
        <f>Migrationsartikel!Q168</f>
        <v>Bombola gas 33kg</v>
      </c>
      <c r="AA170" s="45">
        <f>Migrationsartikel!R168</f>
        <v>33</v>
      </c>
      <c r="AB170" s="46" t="str">
        <f>Migrationsartikel!T168</f>
        <v>Kilogramm</v>
      </c>
      <c r="AC170">
        <f>Migrationsartikel!S168</f>
        <v>1</v>
      </c>
      <c r="AD170" t="str">
        <f>Migrationsartikel!U168</f>
        <v>(PCE) Stück</v>
      </c>
      <c r="AE170" s="31" t="s">
        <v>179</v>
      </c>
      <c r="AF170" s="31" t="s">
        <v>192</v>
      </c>
      <c r="AG170" t="str">
        <f>IF(Migrationsartikel!AB168="ja","true",FALSE)</f>
        <v>true</v>
      </c>
      <c r="AH170" t="str">
        <f>IF(Migrationsartikel!AC168="ja","true",FALSE)</f>
        <v>true</v>
      </c>
      <c r="AI170" t="str">
        <f>IF(Migrationsartikel!AD168="ja","true",FALSE)</f>
        <v>true</v>
      </c>
      <c r="AJ170" t="str">
        <f>IF(Migrationsartikel!AE168="ja","true",FALSE)</f>
        <v>true</v>
      </c>
      <c r="AK170" t="str">
        <f>IF(Migrationsartikel!AF168="ja","Denner Partner","")</f>
        <v/>
      </c>
      <c r="AL170" t="str">
        <f>IF(Migrationsartikel!AG168="ja","true","false")</f>
        <v>true</v>
      </c>
      <c r="AM170" t="str">
        <f t="shared" si="2"/>
        <v>PLU</v>
      </c>
      <c r="AN170" s="31" t="s">
        <v>219</v>
      </c>
      <c r="AO170" s="31" t="s">
        <v>217</v>
      </c>
    </row>
    <row r="171" spans="2:41" ht="21.75" customHeight="1" x14ac:dyDescent="0.45">
      <c r="B171" t="s">
        <v>99</v>
      </c>
      <c r="E171" s="31" t="s">
        <v>1581</v>
      </c>
      <c r="F171" t="str">
        <f>"Warengruppe&gt;&gt;"&amp;Migrationsartikel!V169&amp;"&gt;&gt;"&amp;Migrationsartikel!W169&amp;"&gt;&gt;"&amp;Migrationsartikel!X169</f>
        <v>Warengruppe&gt;&gt;Near Food&gt;&gt;Gebrauchsartikel&gt;&gt;Gebrauchsartikel</v>
      </c>
      <c r="H171" s="31" t="s">
        <v>109</v>
      </c>
      <c r="I171" s="31" t="s">
        <v>121</v>
      </c>
      <c r="J171" s="31">
        <f>Migrationsartikel!B169</f>
        <v>953</v>
      </c>
      <c r="L171" t="str">
        <f>Migrationsartikel!F169&amp;" "&amp;Migrationsartikel!G169&amp;" "&amp;Migrationsartikel!H169</f>
        <v>Gasflasche   35kg</v>
      </c>
      <c r="M171" t="str">
        <f>Migrationsartikel!J169&amp;" "&amp;Migrationsartikel!K169&amp;" "&amp;Migrationsartikel!L169</f>
        <v>Bouteille de gaz  35kg</v>
      </c>
      <c r="N171" t="str">
        <f>Migrationsartikel!N169&amp;" "&amp;Migrationsartikel!O169&amp;" "&amp;Migrationsartikel!P169</f>
        <v>Bombola di gas  35kg</v>
      </c>
      <c r="O171" t="str">
        <f>Migrationsartikel!F169</f>
        <v xml:space="preserve">Gasflasche </v>
      </c>
      <c r="P171" t="str">
        <f>Migrationsartikel!J169</f>
        <v>Bouteille de gaz</v>
      </c>
      <c r="Q171" t="str">
        <f>Migrationsartikel!N169</f>
        <v>Bombola di gas</v>
      </c>
      <c r="R171">
        <f>Migrationsartikel!G169</f>
        <v>0</v>
      </c>
      <c r="S171">
        <f>Migrationsartikel!K169</f>
        <v>0</v>
      </c>
      <c r="T171">
        <f>Migrationsartikel!O169</f>
        <v>0</v>
      </c>
      <c r="U171" s="31" t="str">
        <f>Migrationsartikel!H169</f>
        <v>35kg</v>
      </c>
      <c r="V171" s="31" t="str">
        <f>Migrationsartikel!L169</f>
        <v>35kg</v>
      </c>
      <c r="W171" s="31" t="str">
        <f>Migrationsartikel!P169</f>
        <v>35kg</v>
      </c>
      <c r="X171" t="str">
        <f>Migrationsartikel!I169</f>
        <v>Gasflasche 35kg</v>
      </c>
      <c r="Y171" t="str">
        <f>Migrationsartikel!M169</f>
        <v>Bouteille gaz 35kg</v>
      </c>
      <c r="Z171" t="str">
        <f>Migrationsartikel!Q169</f>
        <v>Bombola gas 35kg</v>
      </c>
      <c r="AA171" s="45">
        <f>Migrationsartikel!R169</f>
        <v>35</v>
      </c>
      <c r="AB171" s="46" t="str">
        <f>Migrationsartikel!T169</f>
        <v>Kilogramm</v>
      </c>
      <c r="AC171">
        <f>Migrationsartikel!S169</f>
        <v>1</v>
      </c>
      <c r="AD171" t="str">
        <f>Migrationsartikel!U169</f>
        <v>(PCE) Stück</v>
      </c>
      <c r="AE171" s="31" t="s">
        <v>179</v>
      </c>
      <c r="AF171" s="31" t="s">
        <v>192</v>
      </c>
      <c r="AG171" t="str">
        <f>IF(Migrationsartikel!AB169="ja","true",FALSE)</f>
        <v>true</v>
      </c>
      <c r="AH171" t="str">
        <f>IF(Migrationsartikel!AC169="ja","true",FALSE)</f>
        <v>true</v>
      </c>
      <c r="AI171" t="str">
        <f>IF(Migrationsartikel!AD169="ja","true",FALSE)</f>
        <v>true</v>
      </c>
      <c r="AJ171" t="str">
        <f>IF(Migrationsartikel!AE169="ja","true",FALSE)</f>
        <v>true</v>
      </c>
      <c r="AK171" t="str">
        <f>IF(Migrationsartikel!AF169="ja","Denner Partner","")</f>
        <v/>
      </c>
      <c r="AL171" t="str">
        <f>IF(Migrationsartikel!AG169="ja","true","false")</f>
        <v>true</v>
      </c>
      <c r="AM171" t="str">
        <f t="shared" si="2"/>
        <v>PLU</v>
      </c>
      <c r="AN171" s="31" t="s">
        <v>219</v>
      </c>
      <c r="AO171" s="31" t="s">
        <v>217</v>
      </c>
    </row>
    <row r="172" spans="2:41" ht="21.75" customHeight="1" x14ac:dyDescent="0.45">
      <c r="B172" t="s">
        <v>99</v>
      </c>
      <c r="E172" s="31" t="s">
        <v>1582</v>
      </c>
      <c r="F172" t="str">
        <f>"Warengruppe&gt;&gt;"&amp;Migrationsartikel!V170&amp;"&gt;&gt;"&amp;Migrationsartikel!W170&amp;"&gt;&gt;"&amp;Migrationsartikel!X170</f>
        <v>Warengruppe&gt;&gt;Near Food&gt;&gt;Gebrauchsartikel&gt;&gt;Gebrauchsartikel</v>
      </c>
      <c r="H172" s="31" t="s">
        <v>109</v>
      </c>
      <c r="I172" s="31" t="s">
        <v>121</v>
      </c>
      <c r="J172" s="31">
        <f>Migrationsartikel!B170</f>
        <v>954</v>
      </c>
      <c r="L172" t="str">
        <f>Migrationsartikel!F170&amp;" "&amp;Migrationsartikel!G170&amp;" "&amp;Migrationsartikel!H170</f>
        <v>Gasflasche   7.5kg</v>
      </c>
      <c r="M172" t="str">
        <f>Migrationsartikel!J170&amp;" "&amp;Migrationsartikel!K170&amp;" "&amp;Migrationsartikel!L170</f>
        <v>Bouteille de gaz  7.5kg</v>
      </c>
      <c r="N172" t="str">
        <f>Migrationsartikel!N170&amp;" "&amp;Migrationsartikel!O170&amp;" "&amp;Migrationsartikel!P170</f>
        <v>Bombola di gas  7.5kg</v>
      </c>
      <c r="O172" t="str">
        <f>Migrationsartikel!F170</f>
        <v xml:space="preserve">Gasflasche </v>
      </c>
      <c r="P172" t="str">
        <f>Migrationsartikel!J170</f>
        <v>Bouteille de gaz</v>
      </c>
      <c r="Q172" t="str">
        <f>Migrationsartikel!N170</f>
        <v>Bombola di gas</v>
      </c>
      <c r="R172">
        <f>Migrationsartikel!G170</f>
        <v>0</v>
      </c>
      <c r="S172">
        <f>Migrationsartikel!K170</f>
        <v>0</v>
      </c>
      <c r="T172">
        <f>Migrationsartikel!O170</f>
        <v>0</v>
      </c>
      <c r="U172" s="31" t="str">
        <f>Migrationsartikel!H170</f>
        <v>7.5kg</v>
      </c>
      <c r="V172" s="31" t="str">
        <f>Migrationsartikel!L170</f>
        <v>7.5kg</v>
      </c>
      <c r="W172" s="31" t="str">
        <f>Migrationsartikel!P170</f>
        <v>7.5kg</v>
      </c>
      <c r="X172" t="str">
        <f>Migrationsartikel!I170</f>
        <v>Gasflasche 7.5kg</v>
      </c>
      <c r="Y172" t="str">
        <f>Migrationsartikel!M170</f>
        <v>Bouteille gaz 7.5kg</v>
      </c>
      <c r="Z172" t="str">
        <f>Migrationsartikel!Q170</f>
        <v>Bombola gas 7.5kg</v>
      </c>
      <c r="AA172" s="45">
        <f>Migrationsartikel!R170</f>
        <v>7.5</v>
      </c>
      <c r="AB172" s="46" t="str">
        <f>Migrationsartikel!T170</f>
        <v>Kilogramm</v>
      </c>
      <c r="AC172">
        <f>Migrationsartikel!S170</f>
        <v>1</v>
      </c>
      <c r="AD172" t="str">
        <f>Migrationsartikel!U170</f>
        <v>(PCE) Stück</v>
      </c>
      <c r="AE172" s="31" t="s">
        <v>179</v>
      </c>
      <c r="AF172" s="31" t="s">
        <v>192</v>
      </c>
      <c r="AG172" t="str">
        <f>IF(Migrationsartikel!AB170="ja","true",FALSE)</f>
        <v>true</v>
      </c>
      <c r="AH172" t="str">
        <f>IF(Migrationsartikel!AC170="ja","true",FALSE)</f>
        <v>true</v>
      </c>
      <c r="AI172" t="str">
        <f>IF(Migrationsartikel!AD170="ja","true",FALSE)</f>
        <v>true</v>
      </c>
      <c r="AJ172" t="str">
        <f>IF(Migrationsartikel!AE170="ja","true",FALSE)</f>
        <v>true</v>
      </c>
      <c r="AK172" t="str">
        <f>IF(Migrationsartikel!AF170="ja","Denner Partner","")</f>
        <v/>
      </c>
      <c r="AL172" t="str">
        <f>IF(Migrationsartikel!AG170="ja","true","false")</f>
        <v>true</v>
      </c>
      <c r="AM172" t="str">
        <f t="shared" si="2"/>
        <v>PLU</v>
      </c>
      <c r="AN172" s="31" t="s">
        <v>219</v>
      </c>
      <c r="AO172" s="31" t="s">
        <v>217</v>
      </c>
    </row>
    <row r="173" spans="2:41" ht="21.75" customHeight="1" x14ac:dyDescent="0.45">
      <c r="B173" t="s">
        <v>99</v>
      </c>
      <c r="E173" s="31" t="s">
        <v>1583</v>
      </c>
      <c r="F173" t="str">
        <f>"Warengruppe&gt;&gt;"&amp;Migrationsartikel!V171&amp;"&gt;&gt;"&amp;Migrationsartikel!W171&amp;"&gt;&gt;"&amp;Migrationsartikel!X171</f>
        <v>Warengruppe&gt;&gt;Near Food&gt;&gt;Gebrauchsartikel&gt;&gt;Gebrauchsartikel</v>
      </c>
      <c r="H173" s="31" t="s">
        <v>109</v>
      </c>
      <c r="I173" s="31" t="s">
        <v>121</v>
      </c>
      <c r="J173" s="31">
        <f>Migrationsartikel!B171</f>
        <v>955</v>
      </c>
      <c r="L173" t="str">
        <f>Migrationsartikel!F171&amp;" "&amp;Migrationsartikel!G171&amp;" "&amp;Migrationsartikel!H171</f>
        <v>Holz  1Stk</v>
      </c>
      <c r="M173" t="str">
        <f>Migrationsartikel!J171&amp;" "&amp;Migrationsartikel!K171&amp;" "&amp;Migrationsartikel!L171</f>
        <v>Bois de chauffage  1pce</v>
      </c>
      <c r="N173" t="str">
        <f>Migrationsartikel!N171&amp;" "&amp;Migrationsartikel!O171&amp;" "&amp;Migrationsartikel!P171</f>
        <v>Legna da ardere  1pz</v>
      </c>
      <c r="O173" t="str">
        <f>Migrationsartikel!F171</f>
        <v>Holz</v>
      </c>
      <c r="P173" t="str">
        <f>Migrationsartikel!J171</f>
        <v>Bois de chauffage</v>
      </c>
      <c r="Q173" t="str">
        <f>Migrationsartikel!N171</f>
        <v>Legna da ardere</v>
      </c>
      <c r="R173">
        <f>Migrationsartikel!G171</f>
        <v>0</v>
      </c>
      <c r="S173">
        <f>Migrationsartikel!K171</f>
        <v>0</v>
      </c>
      <c r="T173">
        <f>Migrationsartikel!O171</f>
        <v>0</v>
      </c>
      <c r="U173" s="31" t="str">
        <f>Migrationsartikel!H171</f>
        <v>1Stk</v>
      </c>
      <c r="V173" s="31" t="str">
        <f>Migrationsartikel!L171</f>
        <v>1pce</v>
      </c>
      <c r="W173" s="31" t="str">
        <f>Migrationsartikel!P171</f>
        <v>1pz</v>
      </c>
      <c r="X173" t="str">
        <f>Migrationsartikel!I171</f>
        <v>Holz</v>
      </c>
      <c r="Y173" t="str">
        <f>Migrationsartikel!M171</f>
        <v>Bois de chauffage</v>
      </c>
      <c r="Z173" t="str">
        <f>Migrationsartikel!Q171</f>
        <v>Legna da ardere</v>
      </c>
      <c r="AA173" s="45">
        <f>Migrationsartikel!R171</f>
        <v>1</v>
      </c>
      <c r="AB173" s="46" t="str">
        <f>Migrationsartikel!T171</f>
        <v>Stück</v>
      </c>
      <c r="AC173">
        <f>Migrationsartikel!S171</f>
        <v>1</v>
      </c>
      <c r="AD173" t="str">
        <f>Migrationsartikel!U171</f>
        <v>(PCE) Stück</v>
      </c>
      <c r="AE173" s="31" t="s">
        <v>179</v>
      </c>
      <c r="AF173" s="31" t="s">
        <v>192</v>
      </c>
      <c r="AG173" t="str">
        <f>IF(Migrationsartikel!AB171="ja","true",FALSE)</f>
        <v>true</v>
      </c>
      <c r="AH173" t="str">
        <f>IF(Migrationsartikel!AC171="ja","true",FALSE)</f>
        <v>true</v>
      </c>
      <c r="AI173" t="str">
        <f>IF(Migrationsartikel!AD171="ja","true",FALSE)</f>
        <v>true</v>
      </c>
      <c r="AJ173" t="str">
        <f>IF(Migrationsartikel!AE171="ja","true",FALSE)</f>
        <v>true</v>
      </c>
      <c r="AK173" t="str">
        <f>IF(Migrationsartikel!AF171="ja","Denner Partner","")</f>
        <v/>
      </c>
      <c r="AL173" t="str">
        <f>IF(Migrationsartikel!AG171="ja","true","false")</f>
        <v>true</v>
      </c>
      <c r="AM173" t="str">
        <f t="shared" si="2"/>
        <v>PLU</v>
      </c>
      <c r="AN173" s="31" t="s">
        <v>219</v>
      </c>
      <c r="AO173" s="31" t="s">
        <v>217</v>
      </c>
    </row>
    <row r="174" spans="2:41" ht="21.75" customHeight="1" x14ac:dyDescent="0.45">
      <c r="B174" t="s">
        <v>99</v>
      </c>
      <c r="E174" s="31" t="s">
        <v>1584</v>
      </c>
      <c r="F174" t="str">
        <f>"Warengruppe&gt;&gt;"&amp;Migrationsartikel!V172&amp;"&gt;&gt;"&amp;Migrationsartikel!W172&amp;"&gt;&gt;"&amp;Migrationsartikel!X172</f>
        <v>Warengruppe&gt;&gt;Near Food&gt;&gt;Gebrauchsartikel&gt;&gt;Gebrauchsartikel</v>
      </c>
      <c r="H174" s="31" t="s">
        <v>109</v>
      </c>
      <c r="I174" s="31" t="s">
        <v>121</v>
      </c>
      <c r="J174" s="31">
        <f>Migrationsartikel!B172</f>
        <v>956</v>
      </c>
      <c r="L174" t="str">
        <f>Migrationsartikel!F172&amp;" "&amp;Migrationsartikel!G172&amp;" "&amp;Migrationsartikel!H172</f>
        <v>Holzkohle  1Stk</v>
      </c>
      <c r="M174" t="str">
        <f>Migrationsartikel!J172&amp;" "&amp;Migrationsartikel!K172&amp;" "&amp;Migrationsartikel!L172</f>
        <v>Charbon de bois  1pce</v>
      </c>
      <c r="N174" t="str">
        <f>Migrationsartikel!N172&amp;" "&amp;Migrationsartikel!O172&amp;" "&amp;Migrationsartikel!P172</f>
        <v>Carbone  1pz</v>
      </c>
      <c r="O174" t="str">
        <f>Migrationsartikel!F172</f>
        <v>Holzkohle</v>
      </c>
      <c r="P174" t="str">
        <f>Migrationsartikel!J172</f>
        <v>Charbon de bois</v>
      </c>
      <c r="Q174" t="str">
        <f>Migrationsartikel!N172</f>
        <v>Carbone</v>
      </c>
      <c r="R174">
        <f>Migrationsartikel!G172</f>
        <v>0</v>
      </c>
      <c r="S174">
        <f>Migrationsartikel!K172</f>
        <v>0</v>
      </c>
      <c r="T174">
        <f>Migrationsartikel!O172</f>
        <v>0</v>
      </c>
      <c r="U174" s="31" t="str">
        <f>Migrationsartikel!H172</f>
        <v>1Stk</v>
      </c>
      <c r="V174" s="31" t="str">
        <f>Migrationsartikel!L172</f>
        <v>1pce</v>
      </c>
      <c r="W174" s="31" t="str">
        <f>Migrationsartikel!P172</f>
        <v>1pz</v>
      </c>
      <c r="X174" t="str">
        <f>Migrationsartikel!I172</f>
        <v>Holzkohle</v>
      </c>
      <c r="Y174" t="str">
        <f>Migrationsartikel!M172</f>
        <v>Charbon de bois</v>
      </c>
      <c r="Z174" t="str">
        <f>Migrationsartikel!Q172</f>
        <v>Carbone</v>
      </c>
      <c r="AA174" s="45">
        <f>Migrationsartikel!R172</f>
        <v>1</v>
      </c>
      <c r="AB174" s="46" t="str">
        <f>Migrationsartikel!T172</f>
        <v>Stück</v>
      </c>
      <c r="AC174">
        <f>Migrationsartikel!S172</f>
        <v>1</v>
      </c>
      <c r="AD174" t="str">
        <f>Migrationsartikel!U172</f>
        <v>(PCE) Stück</v>
      </c>
      <c r="AE174" s="31" t="s">
        <v>179</v>
      </c>
      <c r="AF174" s="31" t="s">
        <v>192</v>
      </c>
      <c r="AG174" t="str">
        <f>IF(Migrationsartikel!AB172="ja","true",FALSE)</f>
        <v>true</v>
      </c>
      <c r="AH174" t="str">
        <f>IF(Migrationsartikel!AC172="ja","true",FALSE)</f>
        <v>true</v>
      </c>
      <c r="AI174" t="str">
        <f>IF(Migrationsartikel!AD172="ja","true",FALSE)</f>
        <v>true</v>
      </c>
      <c r="AJ174" t="str">
        <f>IF(Migrationsartikel!AE172="ja","true",FALSE)</f>
        <v>true</v>
      </c>
      <c r="AK174" t="str">
        <f>IF(Migrationsartikel!AF172="ja","Denner Partner","")</f>
        <v/>
      </c>
      <c r="AL174" t="str">
        <f>IF(Migrationsartikel!AG172="ja","true","false")</f>
        <v>true</v>
      </c>
      <c r="AM174" t="str">
        <f t="shared" si="2"/>
        <v>PLU</v>
      </c>
      <c r="AN174" s="31" t="s">
        <v>219</v>
      </c>
      <c r="AO174" s="31" t="s">
        <v>217</v>
      </c>
    </row>
    <row r="175" spans="2:41" ht="21.75" customHeight="1" x14ac:dyDescent="0.45">
      <c r="B175" t="s">
        <v>99</v>
      </c>
      <c r="E175" s="31" t="s">
        <v>1585</v>
      </c>
      <c r="F175" t="str">
        <f>"Warengruppe&gt;&gt;"&amp;Migrationsartikel!V173&amp;"&gt;&gt;"&amp;Migrationsartikel!W173&amp;"&gt;&gt;"&amp;Migrationsartikel!X173</f>
        <v>Warengruppe&gt;&gt;Near Food&gt;&gt;Gebrauchsartikel&gt;&gt;Gebrauchsartikel</v>
      </c>
      <c r="H175" s="31" t="s">
        <v>109</v>
      </c>
      <c r="I175" s="31" t="s">
        <v>121</v>
      </c>
      <c r="J175" s="31">
        <f>Migrationsartikel!B173</f>
        <v>957</v>
      </c>
      <c r="L175" t="str">
        <f>Migrationsartikel!F173&amp;" "&amp;Migrationsartikel!G173&amp;" "&amp;Migrationsartikel!H173</f>
        <v>Karten  1Stk</v>
      </c>
      <c r="M175" t="str">
        <f>Migrationsartikel!J173&amp;" "&amp;Migrationsartikel!K173&amp;" "&amp;Migrationsartikel!L173</f>
        <v>Cartes   1pce</v>
      </c>
      <c r="N175" t="str">
        <f>Migrationsartikel!N173&amp;" "&amp;Migrationsartikel!O173&amp;" "&amp;Migrationsartikel!P173</f>
        <v>Cartoline  1pz</v>
      </c>
      <c r="O175" t="str">
        <f>Migrationsartikel!F173</f>
        <v>Karten</v>
      </c>
      <c r="P175" t="str">
        <f>Migrationsartikel!J173</f>
        <v xml:space="preserve">Cartes </v>
      </c>
      <c r="Q175" t="str">
        <f>Migrationsartikel!N173</f>
        <v>Cartoline</v>
      </c>
      <c r="R175">
        <f>Migrationsartikel!G173</f>
        <v>0</v>
      </c>
      <c r="S175">
        <f>Migrationsartikel!K173</f>
        <v>0</v>
      </c>
      <c r="T175">
        <f>Migrationsartikel!O173</f>
        <v>0</v>
      </c>
      <c r="U175" s="31" t="str">
        <f>Migrationsartikel!H173</f>
        <v>1Stk</v>
      </c>
      <c r="V175" s="31" t="str">
        <f>Migrationsartikel!L173</f>
        <v>1pce</v>
      </c>
      <c r="W175" s="31" t="str">
        <f>Migrationsartikel!P173</f>
        <v>1pz</v>
      </c>
      <c r="X175" t="str">
        <f>Migrationsartikel!I173</f>
        <v>Karten</v>
      </c>
      <c r="Y175" t="str">
        <f>Migrationsartikel!M173</f>
        <v xml:space="preserve">Cartes </v>
      </c>
      <c r="Z175" t="str">
        <f>Migrationsartikel!Q173</f>
        <v>Cartoline</v>
      </c>
      <c r="AA175" s="45">
        <f>Migrationsartikel!R173</f>
        <v>1</v>
      </c>
      <c r="AB175" s="46" t="str">
        <f>Migrationsartikel!T173</f>
        <v>Stück</v>
      </c>
      <c r="AC175">
        <f>Migrationsartikel!S173</f>
        <v>1</v>
      </c>
      <c r="AD175" t="str">
        <f>Migrationsartikel!U173</f>
        <v>(PCE) Stück</v>
      </c>
      <c r="AE175" s="31" t="s">
        <v>179</v>
      </c>
      <c r="AF175" s="31" t="s">
        <v>192</v>
      </c>
      <c r="AG175" t="str">
        <f>IF(Migrationsartikel!AB173="ja","true",FALSE)</f>
        <v>true</v>
      </c>
      <c r="AH175" t="str">
        <f>IF(Migrationsartikel!AC173="ja","true",FALSE)</f>
        <v>true</v>
      </c>
      <c r="AI175" t="str">
        <f>IF(Migrationsartikel!AD173="ja","true",FALSE)</f>
        <v>true</v>
      </c>
      <c r="AJ175" t="str">
        <f>IF(Migrationsartikel!AE173="ja","true",FALSE)</f>
        <v>true</v>
      </c>
      <c r="AK175" t="str">
        <f>IF(Migrationsartikel!AF173="ja","Denner Partner","")</f>
        <v/>
      </c>
      <c r="AL175" t="str">
        <f>IF(Migrationsartikel!AG173="ja","true","false")</f>
        <v>true</v>
      </c>
      <c r="AM175" t="str">
        <f t="shared" si="2"/>
        <v>PLU</v>
      </c>
      <c r="AN175" s="31" t="s">
        <v>219</v>
      </c>
      <c r="AO175" s="31" t="s">
        <v>217</v>
      </c>
    </row>
    <row r="176" spans="2:41" ht="21.75" customHeight="1" x14ac:dyDescent="0.45">
      <c r="B176" t="s">
        <v>99</v>
      </c>
      <c r="E176" s="31" t="s">
        <v>1586</v>
      </c>
      <c r="F176" t="str">
        <f>"Warengruppe&gt;&gt;"&amp;Migrationsartikel!V174&amp;"&gt;&gt;"&amp;Migrationsartikel!W174&amp;"&gt;&gt;"&amp;Migrationsartikel!X174</f>
        <v>Warengruppe&gt;&gt;Near Food&gt;&gt;Gebrauchsartikel&gt;&gt;Gebrauchsartikel</v>
      </c>
      <c r="H176" s="31" t="s">
        <v>109</v>
      </c>
      <c r="I176" s="31" t="s">
        <v>121</v>
      </c>
      <c r="J176" s="31">
        <f>Migrationsartikel!B174</f>
        <v>958</v>
      </c>
      <c r="L176" t="str">
        <f>Migrationsartikel!F174&amp;" "&amp;Migrationsartikel!G174&amp;" "&amp;Migrationsartikel!H174</f>
        <v>Pellets  1Stk</v>
      </c>
      <c r="M176" t="str">
        <f>Migrationsartikel!J174&amp;" "&amp;Migrationsartikel!K174&amp;" "&amp;Migrationsartikel!L174</f>
        <v>Pellets  1pce</v>
      </c>
      <c r="N176" t="str">
        <f>Migrationsartikel!N174&amp;" "&amp;Migrationsartikel!O174&amp;" "&amp;Migrationsartikel!P174</f>
        <v>Pellet  1pz</v>
      </c>
      <c r="O176" t="str">
        <f>Migrationsartikel!F174</f>
        <v>Pellets</v>
      </c>
      <c r="P176" t="str">
        <f>Migrationsartikel!J174</f>
        <v>Pellets</v>
      </c>
      <c r="Q176" t="str">
        <f>Migrationsartikel!N174</f>
        <v>Pellet</v>
      </c>
      <c r="R176">
        <f>Migrationsartikel!G174</f>
        <v>0</v>
      </c>
      <c r="S176">
        <f>Migrationsartikel!K174</f>
        <v>0</v>
      </c>
      <c r="T176">
        <f>Migrationsartikel!O174</f>
        <v>0</v>
      </c>
      <c r="U176" s="31" t="str">
        <f>Migrationsartikel!H174</f>
        <v>1Stk</v>
      </c>
      <c r="V176" s="31" t="str">
        <f>Migrationsartikel!L174</f>
        <v>1pce</v>
      </c>
      <c r="W176" s="31" t="str">
        <f>Migrationsartikel!P174</f>
        <v>1pz</v>
      </c>
      <c r="X176" t="str">
        <f>Migrationsartikel!I174</f>
        <v>Pellets</v>
      </c>
      <c r="Y176" t="str">
        <f>Migrationsartikel!M174</f>
        <v>Pellets</v>
      </c>
      <c r="Z176" t="str">
        <f>Migrationsartikel!Q174</f>
        <v>Pellet</v>
      </c>
      <c r="AA176" s="45">
        <f>Migrationsartikel!R174</f>
        <v>1</v>
      </c>
      <c r="AB176" s="46" t="str">
        <f>Migrationsartikel!T174</f>
        <v>Stück</v>
      </c>
      <c r="AC176">
        <f>Migrationsartikel!S174</f>
        <v>1</v>
      </c>
      <c r="AD176" t="str">
        <f>Migrationsartikel!U174</f>
        <v>(PCE) Stück</v>
      </c>
      <c r="AE176" s="31" t="s">
        <v>179</v>
      </c>
      <c r="AF176" s="31" t="s">
        <v>192</v>
      </c>
      <c r="AG176" t="str">
        <f>IF(Migrationsartikel!AB174="ja","true",FALSE)</f>
        <v>true</v>
      </c>
      <c r="AH176" t="str">
        <f>IF(Migrationsartikel!AC174="ja","true",FALSE)</f>
        <v>true</v>
      </c>
      <c r="AI176" t="str">
        <f>IF(Migrationsartikel!AD174="ja","true",FALSE)</f>
        <v>true</v>
      </c>
      <c r="AJ176" t="str">
        <f>IF(Migrationsartikel!AE174="ja","true",FALSE)</f>
        <v>true</v>
      </c>
      <c r="AK176" t="str">
        <f>IF(Migrationsartikel!AF174="ja","Denner Partner","")</f>
        <v/>
      </c>
      <c r="AL176" t="str">
        <f>IF(Migrationsartikel!AG174="ja","true","false")</f>
        <v>true</v>
      </c>
      <c r="AM176" t="str">
        <f t="shared" si="2"/>
        <v>PLU</v>
      </c>
      <c r="AN176" s="31" t="s">
        <v>219</v>
      </c>
      <c r="AO176" s="31" t="s">
        <v>217</v>
      </c>
    </row>
    <row r="177" spans="2:41" ht="21.75" customHeight="1" x14ac:dyDescent="0.45">
      <c r="B177" t="s">
        <v>99</v>
      </c>
      <c r="E177" s="31" t="s">
        <v>1587</v>
      </c>
      <c r="F177" t="str">
        <f>"Warengruppe&gt;&gt;"&amp;Migrationsartikel!V175&amp;"&gt;&gt;"&amp;Migrationsartikel!W175&amp;"&gt;&gt;"&amp;Migrationsartikel!X175</f>
        <v>Warengruppe&gt;&gt;Near Food&gt;&gt;Gebrauchsartikel&gt;&gt;Gebrauchsartikel</v>
      </c>
      <c r="H177" s="31" t="s">
        <v>109</v>
      </c>
      <c r="I177" s="31" t="s">
        <v>121</v>
      </c>
      <c r="J177" s="31">
        <f>Migrationsartikel!B175</f>
        <v>959</v>
      </c>
      <c r="L177" t="str">
        <f>Migrationsartikel!F175&amp;" "&amp;Migrationsartikel!G175&amp;" "&amp;Migrationsartikel!H175</f>
        <v>Zeitschriften  1Stk</v>
      </c>
      <c r="M177" t="str">
        <f>Migrationsartikel!J175&amp;" "&amp;Migrationsartikel!K175&amp;" "&amp;Migrationsartikel!L175</f>
        <v>Magazines  1pce</v>
      </c>
      <c r="N177" t="str">
        <f>Migrationsartikel!N175&amp;" "&amp;Migrationsartikel!O175&amp;" "&amp;Migrationsartikel!P175</f>
        <v>Riviste  1pz</v>
      </c>
      <c r="O177" t="str">
        <f>Migrationsartikel!F175</f>
        <v>Zeitschriften</v>
      </c>
      <c r="P177" t="str">
        <f>Migrationsartikel!J175</f>
        <v>Magazines</v>
      </c>
      <c r="Q177" t="str">
        <f>Migrationsartikel!N175</f>
        <v>Riviste</v>
      </c>
      <c r="R177">
        <f>Migrationsartikel!G175</f>
        <v>0</v>
      </c>
      <c r="S177">
        <f>Migrationsartikel!K175</f>
        <v>0</v>
      </c>
      <c r="T177">
        <f>Migrationsartikel!O175</f>
        <v>0</v>
      </c>
      <c r="U177" s="31" t="str">
        <f>Migrationsartikel!H175</f>
        <v>1Stk</v>
      </c>
      <c r="V177" s="31" t="str">
        <f>Migrationsartikel!L175</f>
        <v>1pce</v>
      </c>
      <c r="W177" s="31" t="str">
        <f>Migrationsartikel!P175</f>
        <v>1pz</v>
      </c>
      <c r="X177" t="str">
        <f>Migrationsartikel!I175</f>
        <v>Zeitschriften</v>
      </c>
      <c r="Y177" t="str">
        <f>Migrationsartikel!M175</f>
        <v>Magazines</v>
      </c>
      <c r="Z177" t="str">
        <f>Migrationsartikel!Q175</f>
        <v>Riviste</v>
      </c>
      <c r="AA177" s="45">
        <f>Migrationsartikel!R175</f>
        <v>1</v>
      </c>
      <c r="AB177" s="46" t="str">
        <f>Migrationsartikel!T175</f>
        <v>Stück</v>
      </c>
      <c r="AC177">
        <f>Migrationsartikel!S175</f>
        <v>1</v>
      </c>
      <c r="AD177" t="str">
        <f>Migrationsartikel!U175</f>
        <v>(PCE) Stück</v>
      </c>
      <c r="AE177" s="31" t="s">
        <v>179</v>
      </c>
      <c r="AF177" s="31" t="s">
        <v>192</v>
      </c>
      <c r="AG177" t="str">
        <f>IF(Migrationsartikel!AB175="ja","true",FALSE)</f>
        <v>true</v>
      </c>
      <c r="AH177" t="str">
        <f>IF(Migrationsartikel!AC175="ja","true",FALSE)</f>
        <v>true</v>
      </c>
      <c r="AI177" t="str">
        <f>IF(Migrationsartikel!AD175="ja","true",FALSE)</f>
        <v>true</v>
      </c>
      <c r="AJ177" t="str">
        <f>IF(Migrationsartikel!AE175="ja","true",FALSE)</f>
        <v>true</v>
      </c>
      <c r="AK177" t="str">
        <f>IF(Migrationsartikel!AF175="ja","Denner Partner","")</f>
        <v/>
      </c>
      <c r="AL177" t="str">
        <f>IF(Migrationsartikel!AG175="ja","true","false")</f>
        <v>true</v>
      </c>
      <c r="AM177" t="str">
        <f t="shared" si="2"/>
        <v>PLU</v>
      </c>
      <c r="AN177" s="31" t="s">
        <v>219</v>
      </c>
      <c r="AO177" s="31" t="s">
        <v>217</v>
      </c>
    </row>
    <row r="178" spans="2:41" ht="21.75" customHeight="1" x14ac:dyDescent="0.45">
      <c r="B178" t="s">
        <v>99</v>
      </c>
      <c r="E178" s="31" t="s">
        <v>1588</v>
      </c>
      <c r="F178" t="str">
        <f>"Warengruppe&gt;&gt;"&amp;Migrationsartikel!V176&amp;"&gt;&gt;"&amp;Migrationsartikel!W176&amp;"&gt;&gt;"&amp;Migrationsartikel!X176</f>
        <v>Warengruppe&gt;&gt;Near Food&gt;&gt;Gebrauchsartikel&gt;&gt;Gebührensäcke und Marken</v>
      </c>
      <c r="H178" s="31" t="s">
        <v>109</v>
      </c>
      <c r="I178" s="31" t="s">
        <v>121</v>
      </c>
      <c r="J178" s="31">
        <f>Migrationsartikel!B176</f>
        <v>960</v>
      </c>
      <c r="L178" t="str">
        <f>Migrationsartikel!F176&amp;" "&amp;Migrationsartikel!G176&amp;" "&amp;Migrationsartikel!H176</f>
        <v>Bündelmarke  1Stk</v>
      </c>
      <c r="M178" t="str">
        <f>Migrationsartikel!J176&amp;" "&amp;Migrationsartikel!K176&amp;" "&amp;Migrationsartikel!L176</f>
        <v>Marque de regroupement  1pce</v>
      </c>
      <c r="N178" t="str">
        <f>Migrationsartikel!N176&amp;" "&amp;Migrationsartikel!O176&amp;" "&amp;Migrationsartikel!P176</f>
        <v>Tagliando tarif. fasci  1pz</v>
      </c>
      <c r="O178" t="str">
        <f>Migrationsartikel!F176</f>
        <v>Bündelmarke</v>
      </c>
      <c r="P178" t="str">
        <f>Migrationsartikel!J176</f>
        <v>Marque de regroupement</v>
      </c>
      <c r="Q178" t="str">
        <f>Migrationsartikel!N176</f>
        <v>Tagliando tarif. fasci</v>
      </c>
      <c r="R178">
        <f>Migrationsartikel!G176</f>
        <v>0</v>
      </c>
      <c r="S178">
        <f>Migrationsartikel!K176</f>
        <v>0</v>
      </c>
      <c r="T178">
        <f>Migrationsartikel!O176</f>
        <v>0</v>
      </c>
      <c r="U178" s="31" t="str">
        <f>Migrationsartikel!H176</f>
        <v>1Stk</v>
      </c>
      <c r="V178" s="31" t="str">
        <f>Migrationsartikel!L176</f>
        <v>1pce</v>
      </c>
      <c r="W178" s="31" t="str">
        <f>Migrationsartikel!P176</f>
        <v>1pz</v>
      </c>
      <c r="X178" t="str">
        <f>Migrationsartikel!I176</f>
        <v>Bündelmarke</v>
      </c>
      <c r="Y178" t="str">
        <f>Migrationsartikel!M176</f>
        <v>Marque de regroupement</v>
      </c>
      <c r="Z178" t="str">
        <f>Migrationsartikel!Q176</f>
        <v>Tagliando tarif. fasci</v>
      </c>
      <c r="AA178" s="45">
        <f>Migrationsartikel!R176</f>
        <v>1</v>
      </c>
      <c r="AB178" s="46" t="str">
        <f>Migrationsartikel!T176</f>
        <v>Stück</v>
      </c>
      <c r="AC178">
        <f>Migrationsartikel!S176</f>
        <v>1</v>
      </c>
      <c r="AD178" t="str">
        <f>Migrationsartikel!U176</f>
        <v>(PCE) Stück</v>
      </c>
      <c r="AE178" s="31" t="s">
        <v>179</v>
      </c>
      <c r="AF178" s="31" t="s">
        <v>192</v>
      </c>
      <c r="AG178" t="str">
        <f>IF(Migrationsartikel!AB176="ja","true",FALSE)</f>
        <v>true</v>
      </c>
      <c r="AH178" t="str">
        <f>IF(Migrationsartikel!AC176="ja","true",FALSE)</f>
        <v>true</v>
      </c>
      <c r="AI178" t="str">
        <f>IF(Migrationsartikel!AD176="ja","true",FALSE)</f>
        <v>true</v>
      </c>
      <c r="AJ178" t="str">
        <f>IF(Migrationsartikel!AE176="ja","true",FALSE)</f>
        <v>true</v>
      </c>
      <c r="AK178" t="str">
        <f>IF(Migrationsartikel!AF176="ja","Denner Partner","")</f>
        <v/>
      </c>
      <c r="AL178" t="str">
        <f>IF(Migrationsartikel!AG176="ja","true","false")</f>
        <v>false</v>
      </c>
      <c r="AM178" t="str">
        <f t="shared" si="2"/>
        <v>PLU</v>
      </c>
      <c r="AN178" s="31" t="s">
        <v>219</v>
      </c>
      <c r="AO178" s="31" t="s">
        <v>217</v>
      </c>
    </row>
    <row r="179" spans="2:41" ht="21.75" customHeight="1" x14ac:dyDescent="0.45">
      <c r="B179" t="s">
        <v>99</v>
      </c>
      <c r="E179" s="31" t="s">
        <v>1589</v>
      </c>
      <c r="F179" t="str">
        <f>"Warengruppe&gt;&gt;"&amp;Migrationsartikel!V177&amp;"&gt;&gt;"&amp;Migrationsartikel!W177&amp;"&gt;&gt;"&amp;Migrationsartikel!X177</f>
        <v>Warengruppe&gt;&gt;Near Food&gt;&gt;Gebrauchsartikel&gt;&gt;Gebührensäcke und Marken</v>
      </c>
      <c r="H179" s="31" t="s">
        <v>109</v>
      </c>
      <c r="I179" s="31" t="s">
        <v>121</v>
      </c>
      <c r="J179" s="31">
        <f>Migrationsartikel!B177</f>
        <v>961</v>
      </c>
      <c r="L179" t="str">
        <f>Migrationsartikel!F177&amp;" "&amp;Migrationsartikel!G177&amp;" "&amp;Migrationsartikel!H177</f>
        <v>Container Band  1Stk</v>
      </c>
      <c r="M179" t="str">
        <f>Migrationsartikel!J177&amp;" "&amp;Migrationsartikel!K177&amp;" "&amp;Migrationsartikel!L177</f>
        <v>Bande de conteneur  1pce</v>
      </c>
      <c r="N179" t="str">
        <f>Migrationsartikel!N177&amp;" "&amp;Migrationsartikel!O177&amp;" "&amp;Migrationsartikel!P177</f>
        <v>Fascia per contenitore  1pz</v>
      </c>
      <c r="O179" t="str">
        <f>Migrationsartikel!F177</f>
        <v>Container Band</v>
      </c>
      <c r="P179" t="str">
        <f>Migrationsartikel!J177</f>
        <v>Bande de conteneur</v>
      </c>
      <c r="Q179" t="str">
        <f>Migrationsartikel!N177</f>
        <v>Fascia per contenitore</v>
      </c>
      <c r="R179">
        <f>Migrationsartikel!G177</f>
        <v>0</v>
      </c>
      <c r="S179">
        <f>Migrationsartikel!K177</f>
        <v>0</v>
      </c>
      <c r="T179">
        <f>Migrationsartikel!O177</f>
        <v>0</v>
      </c>
      <c r="U179" s="31" t="str">
        <f>Migrationsartikel!H177</f>
        <v>1Stk</v>
      </c>
      <c r="V179" s="31" t="str">
        <f>Migrationsartikel!L177</f>
        <v>1pce</v>
      </c>
      <c r="W179" s="31" t="str">
        <f>Migrationsartikel!P177</f>
        <v>1pz</v>
      </c>
      <c r="X179" t="str">
        <f>Migrationsartikel!I177</f>
        <v>Container Band 1Stk</v>
      </c>
      <c r="Y179" t="str">
        <f>Migrationsartikel!M177</f>
        <v>Bande conteneur 1pce</v>
      </c>
      <c r="Z179" t="str">
        <f>Migrationsartikel!Q177</f>
        <v>Fascia contenitore 1pz</v>
      </c>
      <c r="AA179" s="45">
        <f>Migrationsartikel!R177</f>
        <v>1</v>
      </c>
      <c r="AB179" s="46" t="str">
        <f>Migrationsartikel!T177</f>
        <v>Stück</v>
      </c>
      <c r="AC179">
        <f>Migrationsartikel!S177</f>
        <v>1</v>
      </c>
      <c r="AD179" t="str">
        <f>Migrationsartikel!U177</f>
        <v>(PCE) Stück</v>
      </c>
      <c r="AE179" s="31" t="s">
        <v>179</v>
      </c>
      <c r="AF179" s="31" t="s">
        <v>192</v>
      </c>
      <c r="AG179" t="str">
        <f>IF(Migrationsartikel!AB177="ja","true",FALSE)</f>
        <v>true</v>
      </c>
      <c r="AH179" t="str">
        <f>IF(Migrationsartikel!AC177="ja","true",FALSE)</f>
        <v>true</v>
      </c>
      <c r="AI179" t="str">
        <f>IF(Migrationsartikel!AD177="ja","true",FALSE)</f>
        <v>true</v>
      </c>
      <c r="AJ179" t="str">
        <f>IF(Migrationsartikel!AE177="ja","true",FALSE)</f>
        <v>true</v>
      </c>
      <c r="AK179" t="str">
        <f>IF(Migrationsartikel!AF177="ja","Denner Partner","")</f>
        <v/>
      </c>
      <c r="AL179" t="str">
        <f>IF(Migrationsartikel!AG177="ja","true","false")</f>
        <v>false</v>
      </c>
      <c r="AM179" t="str">
        <f t="shared" si="2"/>
        <v>PLU</v>
      </c>
      <c r="AN179" s="31" t="s">
        <v>219</v>
      </c>
      <c r="AO179" s="31" t="s">
        <v>217</v>
      </c>
    </row>
    <row r="180" spans="2:41" ht="21.75" customHeight="1" x14ac:dyDescent="0.45">
      <c r="B180" t="s">
        <v>99</v>
      </c>
      <c r="E180" s="31" t="s">
        <v>1590</v>
      </c>
      <c r="F180" t="str">
        <f>"Warengruppe&gt;&gt;"&amp;Migrationsartikel!V178&amp;"&gt;&gt;"&amp;Migrationsartikel!W178&amp;"&gt;&gt;"&amp;Migrationsartikel!X178</f>
        <v>Warengruppe&gt;&gt;Near Food&gt;&gt;Gebrauchsartikel&gt;&gt;Gebührensäcke und Marken</v>
      </c>
      <c r="H180" s="31" t="s">
        <v>109</v>
      </c>
      <c r="I180" s="31" t="s">
        <v>121</v>
      </c>
      <c r="J180" s="31">
        <f>Migrationsartikel!B178</f>
        <v>962</v>
      </c>
      <c r="L180" t="str">
        <f>Migrationsartikel!F178&amp;" "&amp;Migrationsartikel!G178&amp;" "&amp;Migrationsartikel!H178</f>
        <v>Container Band  240L</v>
      </c>
      <c r="M180" t="str">
        <f>Migrationsartikel!J178&amp;" "&amp;Migrationsartikel!K178&amp;" "&amp;Migrationsartikel!L178</f>
        <v>Bande de conteneur  240l</v>
      </c>
      <c r="N180" t="str">
        <f>Migrationsartikel!N178&amp;" "&amp;Migrationsartikel!O178&amp;" "&amp;Migrationsartikel!P178</f>
        <v>Fascia per contenitore  240l</v>
      </c>
      <c r="O180" t="str">
        <f>Migrationsartikel!F178</f>
        <v>Container Band</v>
      </c>
      <c r="P180" t="str">
        <f>Migrationsartikel!J178</f>
        <v>Bande de conteneur</v>
      </c>
      <c r="Q180" t="str">
        <f>Migrationsartikel!N178</f>
        <v>Fascia per contenitore</v>
      </c>
      <c r="R180">
        <f>Migrationsartikel!G178</f>
        <v>0</v>
      </c>
      <c r="S180">
        <f>Migrationsartikel!K178</f>
        <v>0</v>
      </c>
      <c r="T180">
        <f>Migrationsartikel!O178</f>
        <v>0</v>
      </c>
      <c r="U180" s="31" t="str">
        <f>Migrationsartikel!H178</f>
        <v>240L</v>
      </c>
      <c r="V180" s="31" t="str">
        <f>Migrationsartikel!L178</f>
        <v>240l</v>
      </c>
      <c r="W180" s="31" t="str">
        <f>Migrationsartikel!P178</f>
        <v>240l</v>
      </c>
      <c r="X180" t="str">
        <f>Migrationsartikel!I178</f>
        <v>Container Band 240L</v>
      </c>
      <c r="Y180" t="str">
        <f>Migrationsartikel!M178</f>
        <v>Bande conteneur 240l</v>
      </c>
      <c r="Z180" t="str">
        <f>Migrationsartikel!Q178</f>
        <v>Fascia contenitore 240l</v>
      </c>
      <c r="AA180" s="45">
        <f>Migrationsartikel!R178</f>
        <v>1</v>
      </c>
      <c r="AB180" s="46" t="str">
        <f>Migrationsartikel!T178</f>
        <v>Stück</v>
      </c>
      <c r="AC180">
        <f>Migrationsartikel!S178</f>
        <v>1</v>
      </c>
      <c r="AD180" t="str">
        <f>Migrationsartikel!U178</f>
        <v>(PCE) Stück</v>
      </c>
      <c r="AE180" s="31" t="s">
        <v>179</v>
      </c>
      <c r="AF180" s="31" t="s">
        <v>192</v>
      </c>
      <c r="AG180" t="str">
        <f>IF(Migrationsartikel!AB178="ja","true",FALSE)</f>
        <v>true</v>
      </c>
      <c r="AH180" t="str">
        <f>IF(Migrationsartikel!AC178="ja","true",FALSE)</f>
        <v>true</v>
      </c>
      <c r="AI180" t="str">
        <f>IF(Migrationsartikel!AD178="ja","true",FALSE)</f>
        <v>true</v>
      </c>
      <c r="AJ180" t="str">
        <f>IF(Migrationsartikel!AE178="ja","true",FALSE)</f>
        <v>true</v>
      </c>
      <c r="AK180" t="str">
        <f>IF(Migrationsartikel!AF178="ja","Denner Partner","")</f>
        <v/>
      </c>
      <c r="AL180" t="str">
        <f>IF(Migrationsartikel!AG178="ja","true","false")</f>
        <v>false</v>
      </c>
      <c r="AM180" t="str">
        <f t="shared" si="2"/>
        <v>PLU</v>
      </c>
      <c r="AN180" s="31" t="s">
        <v>219</v>
      </c>
      <c r="AO180" s="31" t="s">
        <v>217</v>
      </c>
    </row>
    <row r="181" spans="2:41" ht="21.75" customHeight="1" x14ac:dyDescent="0.45">
      <c r="B181" t="s">
        <v>99</v>
      </c>
      <c r="E181" s="31" t="s">
        <v>1591</v>
      </c>
      <c r="F181" t="str">
        <f>"Warengruppe&gt;&gt;"&amp;Migrationsartikel!V179&amp;"&gt;&gt;"&amp;Migrationsartikel!W179&amp;"&gt;&gt;"&amp;Migrationsartikel!X179</f>
        <v>Warengruppe&gt;&gt;Near Food&gt;&gt;Gebrauchsartikel&gt;&gt;Gebührensäcke und Marken</v>
      </c>
      <c r="H181" s="31" t="s">
        <v>109</v>
      </c>
      <c r="I181" s="31" t="s">
        <v>121</v>
      </c>
      <c r="J181" s="31">
        <f>Migrationsartikel!B179</f>
        <v>963</v>
      </c>
      <c r="L181" t="str">
        <f>Migrationsartikel!F179&amp;" "&amp;Migrationsartikel!G179&amp;" "&amp;Migrationsartikel!H179</f>
        <v>Container Band  800L</v>
      </c>
      <c r="M181" t="str">
        <f>Migrationsartikel!J179&amp;" "&amp;Migrationsartikel!K179&amp;" "&amp;Migrationsartikel!L179</f>
        <v>Bande de conteneur  800l</v>
      </c>
      <c r="N181" t="str">
        <f>Migrationsartikel!N179&amp;" "&amp;Migrationsartikel!O179&amp;" "&amp;Migrationsartikel!P179</f>
        <v>Fascia per contenitore  800l</v>
      </c>
      <c r="O181" t="str">
        <f>Migrationsartikel!F179</f>
        <v>Container Band</v>
      </c>
      <c r="P181" t="str">
        <f>Migrationsartikel!J179</f>
        <v>Bande de conteneur</v>
      </c>
      <c r="Q181" t="str">
        <f>Migrationsartikel!N179</f>
        <v>Fascia per contenitore</v>
      </c>
      <c r="R181">
        <f>Migrationsartikel!G179</f>
        <v>0</v>
      </c>
      <c r="S181">
        <f>Migrationsartikel!K179</f>
        <v>0</v>
      </c>
      <c r="T181">
        <f>Migrationsartikel!O179</f>
        <v>0</v>
      </c>
      <c r="U181" s="31" t="str">
        <f>Migrationsartikel!H179</f>
        <v>800L</v>
      </c>
      <c r="V181" s="31" t="str">
        <f>Migrationsartikel!L179</f>
        <v>800l</v>
      </c>
      <c r="W181" s="31" t="str">
        <f>Migrationsartikel!P179</f>
        <v>800l</v>
      </c>
      <c r="X181" t="str">
        <f>Migrationsartikel!I179</f>
        <v>Container Band 800L</v>
      </c>
      <c r="Y181" t="str">
        <f>Migrationsartikel!M179</f>
        <v>Bande conteneur 800l</v>
      </c>
      <c r="Z181" t="str">
        <f>Migrationsartikel!Q179</f>
        <v>Fascia contenitore 800l</v>
      </c>
      <c r="AA181" s="45">
        <f>Migrationsartikel!R179</f>
        <v>1</v>
      </c>
      <c r="AB181" s="46" t="str">
        <f>Migrationsartikel!T179</f>
        <v>Stück</v>
      </c>
      <c r="AC181">
        <f>Migrationsartikel!S179</f>
        <v>1</v>
      </c>
      <c r="AD181" t="str">
        <f>Migrationsartikel!U179</f>
        <v>(PCE) Stück</v>
      </c>
      <c r="AE181" s="31" t="s">
        <v>179</v>
      </c>
      <c r="AF181" s="31" t="s">
        <v>192</v>
      </c>
      <c r="AG181" t="str">
        <f>IF(Migrationsartikel!AB179="ja","true",FALSE)</f>
        <v>true</v>
      </c>
      <c r="AH181" t="str">
        <f>IF(Migrationsartikel!AC179="ja","true",FALSE)</f>
        <v>true</v>
      </c>
      <c r="AI181" t="str">
        <f>IF(Migrationsartikel!AD179="ja","true",FALSE)</f>
        <v>true</v>
      </c>
      <c r="AJ181" t="str">
        <f>IF(Migrationsartikel!AE179="ja","true",FALSE)</f>
        <v>true</v>
      </c>
      <c r="AK181" t="str">
        <f>IF(Migrationsartikel!AF179="ja","Denner Partner","")</f>
        <v/>
      </c>
      <c r="AL181" t="str">
        <f>IF(Migrationsartikel!AG179="ja","true","false")</f>
        <v>false</v>
      </c>
      <c r="AM181" t="str">
        <f t="shared" si="2"/>
        <v>PLU</v>
      </c>
      <c r="AN181" s="31" t="s">
        <v>219</v>
      </c>
      <c r="AO181" s="31" t="s">
        <v>217</v>
      </c>
    </row>
    <row r="182" spans="2:41" ht="21.75" customHeight="1" x14ac:dyDescent="0.45">
      <c r="B182" t="s">
        <v>99</v>
      </c>
      <c r="E182" s="31" t="s">
        <v>1592</v>
      </c>
      <c r="F182" t="str">
        <f>"Warengruppe&gt;&gt;"&amp;Migrationsartikel!V180&amp;"&gt;&gt;"&amp;Migrationsartikel!W180&amp;"&gt;&gt;"&amp;Migrationsartikel!X180</f>
        <v>Warengruppe&gt;&gt;Near Food&gt;&gt;Gebrauchsartikel&gt;&gt;Gebührensäcke und Marken</v>
      </c>
      <c r="H182" s="31" t="s">
        <v>109</v>
      </c>
      <c r="I182" s="31" t="s">
        <v>121</v>
      </c>
      <c r="J182" s="31">
        <f>Migrationsartikel!B180</f>
        <v>964</v>
      </c>
      <c r="L182" t="str">
        <f>Migrationsartikel!F180&amp;" "&amp;Migrationsartikel!G180&amp;" "&amp;Migrationsartikel!H180</f>
        <v>Container Band   250L</v>
      </c>
      <c r="M182" t="str">
        <f>Migrationsartikel!J180&amp;" "&amp;Migrationsartikel!K180&amp;" "&amp;Migrationsartikel!L180</f>
        <v>Bande de conteneur  250l</v>
      </c>
      <c r="N182" t="str">
        <f>Migrationsartikel!N180&amp;" "&amp;Migrationsartikel!O180&amp;" "&amp;Migrationsartikel!P180</f>
        <v>Fascia per contenitore  250l</v>
      </c>
      <c r="O182" t="str">
        <f>Migrationsartikel!F180</f>
        <v xml:space="preserve">Container Band </v>
      </c>
      <c r="P182" t="str">
        <f>Migrationsartikel!J180</f>
        <v>Bande de conteneur</v>
      </c>
      <c r="Q182" t="str">
        <f>Migrationsartikel!N180</f>
        <v>Fascia per contenitore</v>
      </c>
      <c r="R182">
        <f>Migrationsartikel!G180</f>
        <v>0</v>
      </c>
      <c r="S182">
        <f>Migrationsartikel!K180</f>
        <v>0</v>
      </c>
      <c r="T182">
        <f>Migrationsartikel!O180</f>
        <v>0</v>
      </c>
      <c r="U182" s="31" t="str">
        <f>Migrationsartikel!H180</f>
        <v>250L</v>
      </c>
      <c r="V182" s="31" t="str">
        <f>Migrationsartikel!L180</f>
        <v>250l</v>
      </c>
      <c r="W182" s="31" t="str">
        <f>Migrationsartikel!P180</f>
        <v>250l</v>
      </c>
      <c r="X182" t="str">
        <f>Migrationsartikel!I180</f>
        <v>Container Band 250L</v>
      </c>
      <c r="Y182" t="str">
        <f>Migrationsartikel!M180</f>
        <v>Bande conteneur 250l</v>
      </c>
      <c r="Z182" t="str">
        <f>Migrationsartikel!Q180</f>
        <v>Fascia contenitore 250l</v>
      </c>
      <c r="AA182" s="45">
        <f>Migrationsartikel!R180</f>
        <v>1</v>
      </c>
      <c r="AB182" s="46" t="str">
        <f>Migrationsartikel!T180</f>
        <v>Stück</v>
      </c>
      <c r="AC182">
        <f>Migrationsartikel!S180</f>
        <v>1</v>
      </c>
      <c r="AD182" t="str">
        <f>Migrationsartikel!U180</f>
        <v>(PCE) Stück</v>
      </c>
      <c r="AE182" s="31" t="s">
        <v>179</v>
      </c>
      <c r="AF182" s="31" t="s">
        <v>192</v>
      </c>
      <c r="AG182" t="str">
        <f>IF(Migrationsartikel!AB180="ja","true",FALSE)</f>
        <v>true</v>
      </c>
      <c r="AH182" t="str">
        <f>IF(Migrationsartikel!AC180="ja","true",FALSE)</f>
        <v>true</v>
      </c>
      <c r="AI182" t="str">
        <f>IF(Migrationsartikel!AD180="ja","true",FALSE)</f>
        <v>true</v>
      </c>
      <c r="AJ182" t="str">
        <f>IF(Migrationsartikel!AE180="ja","true",FALSE)</f>
        <v>true</v>
      </c>
      <c r="AK182" t="str">
        <f>IF(Migrationsartikel!AF180="ja","Denner Partner","")</f>
        <v/>
      </c>
      <c r="AL182" t="str">
        <f>IF(Migrationsartikel!AG180="ja","true","false")</f>
        <v>false</v>
      </c>
      <c r="AM182" t="str">
        <f t="shared" si="2"/>
        <v>PLU</v>
      </c>
      <c r="AN182" s="31" t="s">
        <v>219</v>
      </c>
      <c r="AO182" s="31" t="s">
        <v>217</v>
      </c>
    </row>
    <row r="183" spans="2:41" ht="21.75" customHeight="1" x14ac:dyDescent="0.45">
      <c r="B183" t="s">
        <v>99</v>
      </c>
      <c r="E183" s="31" t="s">
        <v>1593</v>
      </c>
      <c r="F183" t="str">
        <f>"Warengruppe&gt;&gt;"&amp;Migrationsartikel!V181&amp;"&gt;&gt;"&amp;Migrationsartikel!W181&amp;"&gt;&gt;"&amp;Migrationsartikel!X181</f>
        <v>Warengruppe&gt;&gt;Near Food&gt;&gt;Gebrauchsartikel&gt;&gt;Gebührensäcke und Marken</v>
      </c>
      <c r="H183" s="31" t="s">
        <v>109</v>
      </c>
      <c r="I183" s="31" t="s">
        <v>121</v>
      </c>
      <c r="J183" s="31">
        <f>Migrationsartikel!B181</f>
        <v>965</v>
      </c>
      <c r="L183" t="str">
        <f>Migrationsartikel!F181&amp;" "&amp;Migrationsartikel!G181&amp;" "&amp;Migrationsartikel!H181</f>
        <v>Gebührenmarke Sperrgut  1Stk</v>
      </c>
      <c r="M183" t="str">
        <f>Migrationsartikel!J181&amp;" "&amp;Migrationsartikel!K181&amp;" "&amp;Migrationsartikel!L181</f>
        <v>Timbre-taxe encombr.  1pce</v>
      </c>
      <c r="N183" t="str">
        <f>Migrationsartikel!N181&amp;" "&amp;Migrationsartikel!O181&amp;" "&amp;Migrationsartikel!P181</f>
        <v>Tagliando tarif. ing.  1pz</v>
      </c>
      <c r="O183" t="str">
        <f>Migrationsartikel!F181</f>
        <v>Gebührenmarke Sperrgut</v>
      </c>
      <c r="P183" t="str">
        <f>Migrationsartikel!J181</f>
        <v>Timbre-taxe encombr.</v>
      </c>
      <c r="Q183" t="str">
        <f>Migrationsartikel!N181</f>
        <v>Tagliando tarif. ing.</v>
      </c>
      <c r="R183">
        <f>Migrationsartikel!G181</f>
        <v>0</v>
      </c>
      <c r="S183">
        <f>Migrationsartikel!K181</f>
        <v>0</v>
      </c>
      <c r="T183">
        <f>Migrationsartikel!O181</f>
        <v>0</v>
      </c>
      <c r="U183" s="31" t="str">
        <f>Migrationsartikel!H181</f>
        <v>1Stk</v>
      </c>
      <c r="V183" s="31" t="str">
        <f>Migrationsartikel!L181</f>
        <v>1pce</v>
      </c>
      <c r="W183" s="31" t="str">
        <f>Migrationsartikel!P181</f>
        <v>1pz</v>
      </c>
      <c r="X183" t="str">
        <f>Migrationsartikel!I181</f>
        <v>Gebührenmarke Sperrgut</v>
      </c>
      <c r="Y183" t="str">
        <f>Migrationsartikel!M181</f>
        <v>Timbre-taxe encombr.</v>
      </c>
      <c r="Z183" t="str">
        <f>Migrationsartikel!Q181</f>
        <v>Tagliando tarif. ing.</v>
      </c>
      <c r="AA183" s="45">
        <f>Migrationsartikel!R181</f>
        <v>1</v>
      </c>
      <c r="AB183" s="46" t="str">
        <f>Migrationsartikel!T181</f>
        <v>Stück</v>
      </c>
      <c r="AC183">
        <f>Migrationsartikel!S181</f>
        <v>1</v>
      </c>
      <c r="AD183" t="str">
        <f>Migrationsartikel!U181</f>
        <v>(PCE) Stück</v>
      </c>
      <c r="AE183" s="31" t="s">
        <v>179</v>
      </c>
      <c r="AF183" s="31" t="s">
        <v>192</v>
      </c>
      <c r="AG183" t="str">
        <f>IF(Migrationsartikel!AB181="ja","true",FALSE)</f>
        <v>true</v>
      </c>
      <c r="AH183" t="str">
        <f>IF(Migrationsartikel!AC181="ja","true",FALSE)</f>
        <v>true</v>
      </c>
      <c r="AI183" t="str">
        <f>IF(Migrationsartikel!AD181="ja","true",FALSE)</f>
        <v>true</v>
      </c>
      <c r="AJ183" t="str">
        <f>IF(Migrationsartikel!AE181="ja","true",FALSE)</f>
        <v>true</v>
      </c>
      <c r="AK183" t="str">
        <f>IF(Migrationsartikel!AF181="ja","Denner Partner","")</f>
        <v/>
      </c>
      <c r="AL183" t="str">
        <f>IF(Migrationsartikel!AG181="ja","true","false")</f>
        <v>false</v>
      </c>
      <c r="AM183" t="str">
        <f t="shared" si="2"/>
        <v>PLU</v>
      </c>
      <c r="AN183" s="31" t="s">
        <v>219</v>
      </c>
      <c r="AO183" s="31" t="s">
        <v>217</v>
      </c>
    </row>
    <row r="184" spans="2:41" ht="21.75" customHeight="1" x14ac:dyDescent="0.45">
      <c r="B184" t="s">
        <v>99</v>
      </c>
      <c r="E184" s="31" t="s">
        <v>1594</v>
      </c>
      <c r="F184" t="str">
        <f>"Warengruppe&gt;&gt;"&amp;Migrationsartikel!V182&amp;"&gt;&gt;"&amp;Migrationsartikel!W182&amp;"&gt;&gt;"&amp;Migrationsartikel!X182</f>
        <v>Warengruppe&gt;&gt;Near Food&gt;&gt;Gebrauchsartikel&gt;&gt;Gebührensäcke und Marken</v>
      </c>
      <c r="H184" s="31" t="s">
        <v>109</v>
      </c>
      <c r="I184" s="31" t="s">
        <v>121</v>
      </c>
      <c r="J184" s="31">
        <f>Migrationsartikel!B182</f>
        <v>966</v>
      </c>
      <c r="L184" t="str">
        <f>Migrationsartikel!F182&amp;" "&amp;Migrationsartikel!G182&amp;" "&amp;Migrationsartikel!H182</f>
        <v>Gebührensäcke   110L</v>
      </c>
      <c r="M184" t="str">
        <f>Migrationsartikel!J182&amp;" "&amp;Migrationsartikel!K182&amp;" "&amp;Migrationsartikel!L182</f>
        <v>Sacs poubelles taxés  110l</v>
      </c>
      <c r="N184" t="str">
        <f>Migrationsartikel!N182&amp;" "&amp;Migrationsartikel!O182&amp;" "&amp;Migrationsartikel!P182</f>
        <v>Sacchi rifiuti  110l</v>
      </c>
      <c r="O184" t="str">
        <f>Migrationsartikel!F182</f>
        <v xml:space="preserve">Gebührensäcke </v>
      </c>
      <c r="P184" t="str">
        <f>Migrationsartikel!J182</f>
        <v>Sacs poubelles taxés</v>
      </c>
      <c r="Q184" t="str">
        <f>Migrationsartikel!N182</f>
        <v>Sacchi rifiuti</v>
      </c>
      <c r="R184">
        <f>Migrationsartikel!G182</f>
        <v>0</v>
      </c>
      <c r="S184">
        <f>Migrationsartikel!K182</f>
        <v>0</v>
      </c>
      <c r="T184">
        <f>Migrationsartikel!O182</f>
        <v>0</v>
      </c>
      <c r="U184" s="31" t="str">
        <f>Migrationsartikel!H182</f>
        <v>110L</v>
      </c>
      <c r="V184" s="31" t="str">
        <f>Migrationsartikel!L182</f>
        <v>110l</v>
      </c>
      <c r="W184" s="31" t="str">
        <f>Migrationsartikel!P182</f>
        <v>110l</v>
      </c>
      <c r="X184" t="str">
        <f>Migrationsartikel!I182</f>
        <v>Gebührensäcke 110L</v>
      </c>
      <c r="Y184" t="str">
        <f>Migrationsartikel!M182</f>
        <v>Sacs poubelles 110l</v>
      </c>
      <c r="Z184" t="str">
        <f>Migrationsartikel!Q182</f>
        <v>Sacchi rifiuti 110l</v>
      </c>
      <c r="AA184" s="45">
        <f>Migrationsartikel!R182</f>
        <v>1</v>
      </c>
      <c r="AB184" s="46" t="str">
        <f>Migrationsartikel!T182</f>
        <v>Stück</v>
      </c>
      <c r="AC184">
        <f>Migrationsartikel!S182</f>
        <v>1</v>
      </c>
      <c r="AD184" t="str">
        <f>Migrationsartikel!U182</f>
        <v>(PCE) Stück</v>
      </c>
      <c r="AE184" s="31" t="s">
        <v>179</v>
      </c>
      <c r="AF184" s="31" t="s">
        <v>192</v>
      </c>
      <c r="AG184" t="str">
        <f>IF(Migrationsartikel!AB182="ja","true",FALSE)</f>
        <v>true</v>
      </c>
      <c r="AH184" t="str">
        <f>IF(Migrationsartikel!AC182="ja","true",FALSE)</f>
        <v>true</v>
      </c>
      <c r="AI184" t="str">
        <f>IF(Migrationsartikel!AD182="ja","true",FALSE)</f>
        <v>true</v>
      </c>
      <c r="AJ184" t="str">
        <f>IF(Migrationsartikel!AE182="ja","true",FALSE)</f>
        <v>true</v>
      </c>
      <c r="AK184" t="str">
        <f>IF(Migrationsartikel!AF182="ja","Denner Partner","")</f>
        <v/>
      </c>
      <c r="AL184" t="str">
        <f>IF(Migrationsartikel!AG182="ja","true","false")</f>
        <v>false</v>
      </c>
      <c r="AM184" t="str">
        <f t="shared" si="2"/>
        <v>PLU</v>
      </c>
      <c r="AN184" s="31" t="s">
        <v>219</v>
      </c>
      <c r="AO184" s="31" t="s">
        <v>217</v>
      </c>
    </row>
    <row r="185" spans="2:41" ht="21.75" customHeight="1" x14ac:dyDescent="0.45">
      <c r="B185" t="s">
        <v>99</v>
      </c>
      <c r="E185" s="31" t="s">
        <v>1595</v>
      </c>
      <c r="F185" t="str">
        <f>"Warengruppe&gt;&gt;"&amp;Migrationsartikel!V183&amp;"&gt;&gt;"&amp;Migrationsartikel!W183&amp;"&gt;&gt;"&amp;Migrationsartikel!X183</f>
        <v>Warengruppe&gt;&gt;Near Food&gt;&gt;Gebrauchsartikel&gt;&gt;Gebührensäcke und Marken</v>
      </c>
      <c r="H185" s="31" t="s">
        <v>109</v>
      </c>
      <c r="I185" s="31" t="s">
        <v>121</v>
      </c>
      <c r="J185" s="31">
        <f>Migrationsartikel!B183</f>
        <v>967</v>
      </c>
      <c r="L185" t="str">
        <f>Migrationsartikel!F183&amp;" "&amp;Migrationsartikel!G183&amp;" "&amp;Migrationsartikel!H183</f>
        <v>Gebührensäcke   17L</v>
      </c>
      <c r="M185" t="str">
        <f>Migrationsartikel!J183&amp;" "&amp;Migrationsartikel!K183&amp;" "&amp;Migrationsartikel!L183</f>
        <v>Sacs poubelles taxés  17l</v>
      </c>
      <c r="N185" t="str">
        <f>Migrationsartikel!N183&amp;" "&amp;Migrationsartikel!O183&amp;" "&amp;Migrationsartikel!P183</f>
        <v>Sacchi rifiuti  17l</v>
      </c>
      <c r="O185" t="str">
        <f>Migrationsartikel!F183</f>
        <v xml:space="preserve">Gebührensäcke </v>
      </c>
      <c r="P185" t="str">
        <f>Migrationsartikel!J183</f>
        <v>Sacs poubelles taxés</v>
      </c>
      <c r="Q185" t="str">
        <f>Migrationsartikel!N183</f>
        <v>Sacchi rifiuti</v>
      </c>
      <c r="R185">
        <f>Migrationsartikel!G183</f>
        <v>0</v>
      </c>
      <c r="S185">
        <f>Migrationsartikel!K183</f>
        <v>0</v>
      </c>
      <c r="T185">
        <f>Migrationsartikel!O183</f>
        <v>0</v>
      </c>
      <c r="U185" s="31" t="str">
        <f>Migrationsartikel!H183</f>
        <v>17L</v>
      </c>
      <c r="V185" s="31" t="str">
        <f>Migrationsartikel!L183</f>
        <v>17l</v>
      </c>
      <c r="W185" s="31" t="str">
        <f>Migrationsartikel!P183</f>
        <v>17l</v>
      </c>
      <c r="X185" t="str">
        <f>Migrationsartikel!I183</f>
        <v>Gebührensäcke 17L</v>
      </c>
      <c r="Y185" t="str">
        <f>Migrationsartikel!M183</f>
        <v>Sacs poubelles 17l</v>
      </c>
      <c r="Z185" t="str">
        <f>Migrationsartikel!Q183</f>
        <v>Sacchi rifiuti 17l</v>
      </c>
      <c r="AA185" s="45">
        <f>Migrationsartikel!R183</f>
        <v>1</v>
      </c>
      <c r="AB185" s="46" t="str">
        <f>Migrationsartikel!T183</f>
        <v>Stück</v>
      </c>
      <c r="AC185">
        <f>Migrationsartikel!S183</f>
        <v>1</v>
      </c>
      <c r="AD185" t="str">
        <f>Migrationsartikel!U183</f>
        <v>(PCE) Stück</v>
      </c>
      <c r="AE185" s="31" t="s">
        <v>179</v>
      </c>
      <c r="AF185" s="31" t="s">
        <v>192</v>
      </c>
      <c r="AG185" t="str">
        <f>IF(Migrationsartikel!AB183="ja","true",FALSE)</f>
        <v>true</v>
      </c>
      <c r="AH185" t="str">
        <f>IF(Migrationsartikel!AC183="ja","true",FALSE)</f>
        <v>true</v>
      </c>
      <c r="AI185" t="str">
        <f>IF(Migrationsartikel!AD183="ja","true",FALSE)</f>
        <v>true</v>
      </c>
      <c r="AJ185" t="str">
        <f>IF(Migrationsartikel!AE183="ja","true",FALSE)</f>
        <v>true</v>
      </c>
      <c r="AK185" t="str">
        <f>IF(Migrationsartikel!AF183="ja","Denner Partner","")</f>
        <v/>
      </c>
      <c r="AL185" t="str">
        <f>IF(Migrationsartikel!AG183="ja","true","false")</f>
        <v>false</v>
      </c>
      <c r="AM185" t="str">
        <f t="shared" si="2"/>
        <v>PLU</v>
      </c>
      <c r="AN185" s="31" t="s">
        <v>219</v>
      </c>
      <c r="AO185" s="31" t="s">
        <v>217</v>
      </c>
    </row>
    <row r="186" spans="2:41" ht="21.75" customHeight="1" x14ac:dyDescent="0.45">
      <c r="B186" t="s">
        <v>99</v>
      </c>
      <c r="E186" s="31" t="s">
        <v>1596</v>
      </c>
      <c r="F186" t="str">
        <f>"Warengruppe&gt;&gt;"&amp;Migrationsartikel!V184&amp;"&gt;&gt;"&amp;Migrationsartikel!W184&amp;"&gt;&gt;"&amp;Migrationsartikel!X184</f>
        <v>Warengruppe&gt;&gt;Near Food&gt;&gt;Gebrauchsartikel&gt;&gt;Gebührensäcke und Marken</v>
      </c>
      <c r="H186" s="31" t="s">
        <v>109</v>
      </c>
      <c r="I186" s="31" t="s">
        <v>121</v>
      </c>
      <c r="J186" s="31">
        <f>Migrationsartikel!B184</f>
        <v>968</v>
      </c>
      <c r="L186" t="str">
        <f>Migrationsartikel!F184&amp;" "&amp;Migrationsartikel!G184&amp;" "&amp;Migrationsartikel!H184</f>
        <v>Gebührensäcke   35L</v>
      </c>
      <c r="M186" t="str">
        <f>Migrationsartikel!J184&amp;" "&amp;Migrationsartikel!K184&amp;" "&amp;Migrationsartikel!L184</f>
        <v>Sacs poubelles taxés  35l</v>
      </c>
      <c r="N186" t="str">
        <f>Migrationsartikel!N184&amp;" "&amp;Migrationsartikel!O184&amp;" "&amp;Migrationsartikel!P184</f>
        <v>Sacchi rifiuti  35l</v>
      </c>
      <c r="O186" t="str">
        <f>Migrationsartikel!F184</f>
        <v xml:space="preserve">Gebührensäcke </v>
      </c>
      <c r="P186" t="str">
        <f>Migrationsartikel!J184</f>
        <v>Sacs poubelles taxés</v>
      </c>
      <c r="Q186" t="str">
        <f>Migrationsartikel!N184</f>
        <v>Sacchi rifiuti</v>
      </c>
      <c r="R186">
        <f>Migrationsartikel!G184</f>
        <v>0</v>
      </c>
      <c r="S186">
        <f>Migrationsartikel!K184</f>
        <v>0</v>
      </c>
      <c r="T186">
        <f>Migrationsartikel!O184</f>
        <v>0</v>
      </c>
      <c r="U186" s="31" t="str">
        <f>Migrationsartikel!H184</f>
        <v>35L</v>
      </c>
      <c r="V186" s="31" t="str">
        <f>Migrationsartikel!L184</f>
        <v>35l</v>
      </c>
      <c r="W186" s="31" t="str">
        <f>Migrationsartikel!P184</f>
        <v>35l</v>
      </c>
      <c r="X186" t="str">
        <f>Migrationsartikel!I184</f>
        <v>Gebührensäcke 35L</v>
      </c>
      <c r="Y186" t="str">
        <f>Migrationsartikel!M184</f>
        <v>Sacs poubelles 35l</v>
      </c>
      <c r="Z186" t="str">
        <f>Migrationsartikel!Q184</f>
        <v>Sacchi rifiuti 35l</v>
      </c>
      <c r="AA186" s="45">
        <f>Migrationsartikel!R184</f>
        <v>1</v>
      </c>
      <c r="AB186" s="46" t="str">
        <f>Migrationsartikel!T184</f>
        <v>Stück</v>
      </c>
      <c r="AC186">
        <f>Migrationsartikel!S184</f>
        <v>1</v>
      </c>
      <c r="AD186" t="str">
        <f>Migrationsartikel!U184</f>
        <v>(PCE) Stück</v>
      </c>
      <c r="AE186" s="31" t="s">
        <v>179</v>
      </c>
      <c r="AF186" s="31" t="s">
        <v>192</v>
      </c>
      <c r="AG186" t="str">
        <f>IF(Migrationsartikel!AB184="ja","true",FALSE)</f>
        <v>true</v>
      </c>
      <c r="AH186" t="str">
        <f>IF(Migrationsartikel!AC184="ja","true",FALSE)</f>
        <v>true</v>
      </c>
      <c r="AI186" t="str">
        <f>IF(Migrationsartikel!AD184="ja","true",FALSE)</f>
        <v>true</v>
      </c>
      <c r="AJ186" t="str">
        <f>IF(Migrationsartikel!AE184="ja","true",FALSE)</f>
        <v>true</v>
      </c>
      <c r="AK186" t="str">
        <f>IF(Migrationsartikel!AF184="ja","Denner Partner","")</f>
        <v/>
      </c>
      <c r="AL186" t="str">
        <f>IF(Migrationsartikel!AG184="ja","true","false")</f>
        <v>false</v>
      </c>
      <c r="AM186" t="str">
        <f t="shared" si="2"/>
        <v>PLU</v>
      </c>
      <c r="AN186" s="31" t="s">
        <v>219</v>
      </c>
      <c r="AO186" s="31" t="s">
        <v>217</v>
      </c>
    </row>
    <row r="187" spans="2:41" ht="21.75" customHeight="1" x14ac:dyDescent="0.45">
      <c r="B187" t="s">
        <v>99</v>
      </c>
      <c r="E187" s="31" t="s">
        <v>1597</v>
      </c>
      <c r="F187" t="str">
        <f>"Warengruppe&gt;&gt;"&amp;Migrationsartikel!V185&amp;"&gt;&gt;"&amp;Migrationsartikel!W185&amp;"&gt;&gt;"&amp;Migrationsartikel!X185</f>
        <v>Warengruppe&gt;&gt;Near Food&gt;&gt;Gebrauchsartikel&gt;&gt;Gebührensäcke und Marken</v>
      </c>
      <c r="H187" s="31" t="s">
        <v>109</v>
      </c>
      <c r="I187" s="31" t="s">
        <v>121</v>
      </c>
      <c r="J187" s="31">
        <f>Migrationsartikel!B185</f>
        <v>969</v>
      </c>
      <c r="L187" t="str">
        <f>Migrationsartikel!F185&amp;" "&amp;Migrationsartikel!G185&amp;" "&amp;Migrationsartikel!H185</f>
        <v>Gebührensäcke   60L</v>
      </c>
      <c r="M187" t="str">
        <f>Migrationsartikel!J185&amp;" "&amp;Migrationsartikel!K185&amp;" "&amp;Migrationsartikel!L185</f>
        <v>Sacs poubelles taxés  60l</v>
      </c>
      <c r="N187" t="str">
        <f>Migrationsartikel!N185&amp;" "&amp;Migrationsartikel!O185&amp;" "&amp;Migrationsartikel!P185</f>
        <v>Sacchi rifiuti  60l</v>
      </c>
      <c r="O187" t="str">
        <f>Migrationsartikel!F185</f>
        <v xml:space="preserve">Gebührensäcke </v>
      </c>
      <c r="P187" t="str">
        <f>Migrationsartikel!J185</f>
        <v>Sacs poubelles taxés</v>
      </c>
      <c r="Q187" t="str">
        <f>Migrationsartikel!N185</f>
        <v>Sacchi rifiuti</v>
      </c>
      <c r="R187">
        <f>Migrationsartikel!G185</f>
        <v>0</v>
      </c>
      <c r="S187">
        <f>Migrationsartikel!K185</f>
        <v>0</v>
      </c>
      <c r="T187">
        <f>Migrationsartikel!O185</f>
        <v>0</v>
      </c>
      <c r="U187" s="31" t="str">
        <f>Migrationsartikel!H185</f>
        <v>60L</v>
      </c>
      <c r="V187" s="31" t="str">
        <f>Migrationsartikel!L185</f>
        <v>60l</v>
      </c>
      <c r="W187" s="31" t="str">
        <f>Migrationsartikel!P185</f>
        <v>60l</v>
      </c>
      <c r="X187" t="str">
        <f>Migrationsartikel!I185</f>
        <v>Gebührensäcke 60L</v>
      </c>
      <c r="Y187" t="str">
        <f>Migrationsartikel!M185</f>
        <v>Sacs poubelles 60l</v>
      </c>
      <c r="Z187" t="str">
        <f>Migrationsartikel!Q185</f>
        <v>Sacchi rifiuti 60l</v>
      </c>
      <c r="AA187" s="45">
        <f>Migrationsartikel!R185</f>
        <v>1</v>
      </c>
      <c r="AB187" s="46" t="str">
        <f>Migrationsartikel!T185</f>
        <v>Stück</v>
      </c>
      <c r="AC187">
        <f>Migrationsartikel!S185</f>
        <v>1</v>
      </c>
      <c r="AD187" t="str">
        <f>Migrationsartikel!U185</f>
        <v>(PCE) Stück</v>
      </c>
      <c r="AE187" s="31" t="s">
        <v>179</v>
      </c>
      <c r="AF187" s="31" t="s">
        <v>192</v>
      </c>
      <c r="AG187" t="str">
        <f>IF(Migrationsartikel!AB185="ja","true",FALSE)</f>
        <v>true</v>
      </c>
      <c r="AH187" t="str">
        <f>IF(Migrationsartikel!AC185="ja","true",FALSE)</f>
        <v>true</v>
      </c>
      <c r="AI187" t="str">
        <f>IF(Migrationsartikel!AD185="ja","true",FALSE)</f>
        <v>true</v>
      </c>
      <c r="AJ187" t="str">
        <f>IF(Migrationsartikel!AE185="ja","true",FALSE)</f>
        <v>true</v>
      </c>
      <c r="AK187" t="str">
        <f>IF(Migrationsartikel!AF185="ja","Denner Partner","")</f>
        <v/>
      </c>
      <c r="AL187" t="str">
        <f>IF(Migrationsartikel!AG185="ja","true","false")</f>
        <v>false</v>
      </c>
      <c r="AM187" t="str">
        <f t="shared" si="2"/>
        <v>PLU</v>
      </c>
      <c r="AN187" s="31" t="s">
        <v>219</v>
      </c>
      <c r="AO187" s="31" t="s">
        <v>217</v>
      </c>
    </row>
    <row r="188" spans="2:41" ht="21.75" customHeight="1" x14ac:dyDescent="0.45">
      <c r="B188" t="s">
        <v>99</v>
      </c>
      <c r="E188" s="31" t="s">
        <v>1598</v>
      </c>
      <c r="F188" t="str">
        <f>"Warengruppe&gt;&gt;"&amp;Migrationsartikel!V186&amp;"&gt;&gt;"&amp;Migrationsartikel!W186&amp;"&gt;&gt;"&amp;Migrationsartikel!X186</f>
        <v>Warengruppe&gt;&gt;Near Food&gt;&gt;Gebrauchsartikel&gt;&gt;Gebührensäcke und Marken</v>
      </c>
      <c r="H188" s="31" t="s">
        <v>109</v>
      </c>
      <c r="I188" s="31" t="s">
        <v>121</v>
      </c>
      <c r="J188" s="31">
        <f>Migrationsartikel!B186</f>
        <v>970</v>
      </c>
      <c r="L188" t="str">
        <f>Migrationsartikel!F186&amp;" "&amp;Migrationsartikel!G186&amp;" "&amp;Migrationsartikel!H186</f>
        <v>Plastikmüllsäcke  1Stk</v>
      </c>
      <c r="M188" t="str">
        <f>Migrationsartikel!J186&amp;" "&amp;Migrationsartikel!K186&amp;" "&amp;Migrationsartikel!L186</f>
        <v>Sacs poubelles plast.  1pce</v>
      </c>
      <c r="N188" t="str">
        <f>Migrationsartikel!N186&amp;" "&amp;Migrationsartikel!O186&amp;" "&amp;Migrationsartikel!P186</f>
        <v>Sacchi rifiuti plast.  1pz</v>
      </c>
      <c r="O188" t="str">
        <f>Migrationsartikel!F186</f>
        <v>Plastikmüllsäcke</v>
      </c>
      <c r="P188" t="str">
        <f>Migrationsartikel!J186</f>
        <v>Sacs poubelles plast.</v>
      </c>
      <c r="Q188" t="str">
        <f>Migrationsartikel!N186</f>
        <v>Sacchi rifiuti plast.</v>
      </c>
      <c r="R188">
        <f>Migrationsartikel!G186</f>
        <v>0</v>
      </c>
      <c r="S188">
        <f>Migrationsartikel!K186</f>
        <v>0</v>
      </c>
      <c r="T188">
        <f>Migrationsartikel!O186</f>
        <v>0</v>
      </c>
      <c r="U188" s="31" t="str">
        <f>Migrationsartikel!H186</f>
        <v>1Stk</v>
      </c>
      <c r="V188" s="31" t="str">
        <f>Migrationsartikel!L186</f>
        <v>1pce</v>
      </c>
      <c r="W188" s="31" t="str">
        <f>Migrationsartikel!P186</f>
        <v>1pz</v>
      </c>
      <c r="X188" t="str">
        <f>Migrationsartikel!I186</f>
        <v>Plastikmüllsäcke</v>
      </c>
      <c r="Y188" t="str">
        <f>Migrationsartikel!M186</f>
        <v>Sacs poubelles plast.</v>
      </c>
      <c r="Z188" t="str">
        <f>Migrationsartikel!Q186</f>
        <v>Sacchi rifiuti plast.</v>
      </c>
      <c r="AA188" s="45">
        <f>Migrationsartikel!R186</f>
        <v>1</v>
      </c>
      <c r="AB188" s="46" t="str">
        <f>Migrationsartikel!T186</f>
        <v>Stück</v>
      </c>
      <c r="AC188">
        <f>Migrationsartikel!S186</f>
        <v>1</v>
      </c>
      <c r="AD188" t="str">
        <f>Migrationsartikel!U186</f>
        <v>(PCE) Stück</v>
      </c>
      <c r="AE188" s="31" t="s">
        <v>179</v>
      </c>
      <c r="AF188" s="31" t="s">
        <v>192</v>
      </c>
      <c r="AG188" t="str">
        <f>IF(Migrationsartikel!AB186="ja","true",FALSE)</f>
        <v>true</v>
      </c>
      <c r="AH188" t="str">
        <f>IF(Migrationsartikel!AC186="ja","true",FALSE)</f>
        <v>true</v>
      </c>
      <c r="AI188" t="str">
        <f>IF(Migrationsartikel!AD186="ja","true",FALSE)</f>
        <v>true</v>
      </c>
      <c r="AJ188" t="str">
        <f>IF(Migrationsartikel!AE186="ja","true",FALSE)</f>
        <v>true</v>
      </c>
      <c r="AK188" t="str">
        <f>IF(Migrationsartikel!AF186="ja","Denner Partner","")</f>
        <v/>
      </c>
      <c r="AL188" t="str">
        <f>IF(Migrationsartikel!AG186="ja","true","false")</f>
        <v>false</v>
      </c>
      <c r="AM188" t="str">
        <f t="shared" si="2"/>
        <v>PLU</v>
      </c>
      <c r="AN188" s="31" t="s">
        <v>219</v>
      </c>
      <c r="AO188" s="31" t="s">
        <v>217</v>
      </c>
    </row>
    <row r="189" spans="2:41" ht="21.75" customHeight="1" x14ac:dyDescent="0.45">
      <c r="B189" t="s">
        <v>99</v>
      </c>
      <c r="E189" s="31" t="s">
        <v>1599</v>
      </c>
      <c r="F189" t="str">
        <f>"Warengruppe&gt;&gt;"&amp;Migrationsartikel!V187&amp;"&gt;&gt;"&amp;Migrationsartikel!W187&amp;"&gt;&gt;"&amp;Migrationsartikel!X187</f>
        <v>Warengruppe&gt;&gt;Nicht-Handelsware&gt;&gt;Non-Merchandise&gt;&gt;Dienstleistungen</v>
      </c>
      <c r="H189" s="31" t="s">
        <v>109</v>
      </c>
      <c r="I189" s="31" t="s">
        <v>121</v>
      </c>
      <c r="J189" s="31">
        <f>Migrationsartikel!B187</f>
        <v>971</v>
      </c>
      <c r="L189" t="str">
        <f>Migrationsartikel!F187&amp;" "&amp;Migrationsartikel!G187&amp;" "&amp;Migrationsartikel!H187</f>
        <v>Lieferpauschale  1Stk</v>
      </c>
      <c r="M189" t="str">
        <f>Migrationsartikel!J187&amp;" "&amp;Migrationsartikel!K187&amp;" "&amp;Migrationsartikel!L187</f>
        <v>Frais de livraison  1pce</v>
      </c>
      <c r="N189" t="str">
        <f>Migrationsartikel!N187&amp;" "&amp;Migrationsartikel!O187&amp;" "&amp;Migrationsartikel!P187</f>
        <v>Costi di consegna  1pz</v>
      </c>
      <c r="O189" t="str">
        <f>Migrationsartikel!F187</f>
        <v>Lieferpauschale</v>
      </c>
      <c r="P189" t="str">
        <f>Migrationsartikel!J187</f>
        <v>Frais de livraison</v>
      </c>
      <c r="Q189" t="str">
        <f>Migrationsartikel!N187</f>
        <v>Costi di consegna</v>
      </c>
      <c r="R189">
        <f>Migrationsartikel!G187</f>
        <v>0</v>
      </c>
      <c r="S189">
        <f>Migrationsartikel!K187</f>
        <v>0</v>
      </c>
      <c r="T189">
        <f>Migrationsartikel!O187</f>
        <v>0</v>
      </c>
      <c r="U189" s="31" t="str">
        <f>Migrationsartikel!H187</f>
        <v>1Stk</v>
      </c>
      <c r="V189" s="31" t="str">
        <f>Migrationsartikel!L187</f>
        <v>1pce</v>
      </c>
      <c r="W189" s="31" t="str">
        <f>Migrationsartikel!P187</f>
        <v>1pz</v>
      </c>
      <c r="X189" t="str">
        <f>Migrationsartikel!I187</f>
        <v>Lieferpauschale</v>
      </c>
      <c r="Y189" t="str">
        <f>Migrationsartikel!M187</f>
        <v>Frais de livraison</v>
      </c>
      <c r="Z189" t="str">
        <f>Migrationsartikel!Q187</f>
        <v>Costi di consegna</v>
      </c>
      <c r="AA189" s="45">
        <f>Migrationsartikel!R187</f>
        <v>1</v>
      </c>
      <c r="AB189" s="46" t="str">
        <f>Migrationsartikel!T187</f>
        <v>Stück</v>
      </c>
      <c r="AC189">
        <f>Migrationsartikel!S187</f>
        <v>1</v>
      </c>
      <c r="AD189" t="str">
        <f>Migrationsartikel!U187</f>
        <v>(PCE) Stück</v>
      </c>
      <c r="AE189" s="31" t="s">
        <v>179</v>
      </c>
      <c r="AF189" s="31" t="s">
        <v>192</v>
      </c>
      <c r="AG189" t="str">
        <f>IF(Migrationsartikel!AB187="ja","true",FALSE)</f>
        <v>true</v>
      </c>
      <c r="AH189" t="str">
        <f>IF(Migrationsartikel!AC187="ja","true",FALSE)</f>
        <v>true</v>
      </c>
      <c r="AI189" t="str">
        <f>IF(Migrationsartikel!AD187="ja","true",FALSE)</f>
        <v>true</v>
      </c>
      <c r="AJ189" t="str">
        <f>IF(Migrationsartikel!AE187="ja","true",FALSE)</f>
        <v>true</v>
      </c>
      <c r="AK189" t="str">
        <f>IF(Migrationsartikel!AF187="ja","Denner Partner","")</f>
        <v/>
      </c>
      <c r="AL189" t="str">
        <f>IF(Migrationsartikel!AG187="ja","true","false")</f>
        <v>false</v>
      </c>
      <c r="AM189" t="str">
        <f t="shared" si="2"/>
        <v>PLU</v>
      </c>
      <c r="AN189" s="31" t="s">
        <v>219</v>
      </c>
      <c r="AO189" s="31" t="s">
        <v>217</v>
      </c>
    </row>
    <row r="190" spans="2:41" ht="21.75" customHeight="1" x14ac:dyDescent="0.45">
      <c r="B190" t="s">
        <v>99</v>
      </c>
      <c r="E190" s="31" t="s">
        <v>1600</v>
      </c>
      <c r="F190" t="str">
        <f>"Warengruppe&gt;&gt;"&amp;Migrationsartikel!V188&amp;"&gt;&gt;"&amp;Migrationsartikel!W188&amp;"&gt;&gt;"&amp;Migrationsartikel!X188</f>
        <v>Warengruppe&gt;&gt;Nicht-Handelsware&gt;&gt;Kasse&gt;&gt;Gutschein, Voucher</v>
      </c>
      <c r="H190" s="31" t="s">
        <v>109</v>
      </c>
      <c r="I190" s="31" t="s">
        <v>121</v>
      </c>
      <c r="J190" s="31">
        <f>Migrationsartikel!B188</f>
        <v>972</v>
      </c>
      <c r="L190" t="str">
        <f>Migrationsartikel!F188&amp;" "&amp;Migrationsartikel!G188&amp;" "&amp;Migrationsartikel!H188</f>
        <v>Gutschein  1Stk</v>
      </c>
      <c r="M190" t="str">
        <f>Migrationsartikel!J188&amp;" "&amp;Migrationsartikel!K188&amp;" "&amp;Migrationsartikel!L188</f>
        <v>Bon cadeau  1pce</v>
      </c>
      <c r="N190" t="str">
        <f>Migrationsartikel!N188&amp;" "&amp;Migrationsartikel!O188&amp;" "&amp;Migrationsartikel!P188</f>
        <v>Buono regalo   1pz</v>
      </c>
      <c r="O190" t="str">
        <f>Migrationsartikel!F188</f>
        <v>Gutschein</v>
      </c>
      <c r="P190" t="str">
        <f>Migrationsartikel!J188</f>
        <v>Bon cadeau</v>
      </c>
      <c r="Q190" t="str">
        <f>Migrationsartikel!N188</f>
        <v xml:space="preserve">Buono regalo </v>
      </c>
      <c r="R190">
        <f>Migrationsartikel!G188</f>
        <v>0</v>
      </c>
      <c r="S190">
        <f>Migrationsartikel!K188</f>
        <v>0</v>
      </c>
      <c r="T190">
        <f>Migrationsartikel!O188</f>
        <v>0</v>
      </c>
      <c r="U190" s="31" t="str">
        <f>Migrationsartikel!H188</f>
        <v>1Stk</v>
      </c>
      <c r="V190" s="31" t="str">
        <f>Migrationsartikel!L188</f>
        <v>1pce</v>
      </c>
      <c r="W190" s="31" t="str">
        <f>Migrationsartikel!P188</f>
        <v>1pz</v>
      </c>
      <c r="X190" t="str">
        <f>Migrationsartikel!I188</f>
        <v>Gutschein</v>
      </c>
      <c r="Y190" t="str">
        <f>Migrationsartikel!M188</f>
        <v>Bon cadeau</v>
      </c>
      <c r="Z190" t="str">
        <f>Migrationsartikel!Q188</f>
        <v xml:space="preserve">Buono regalo </v>
      </c>
      <c r="AA190" s="45">
        <f>Migrationsartikel!R188</f>
        <v>1</v>
      </c>
      <c r="AB190" s="46" t="str">
        <f>Migrationsartikel!T188</f>
        <v>Stück</v>
      </c>
      <c r="AC190">
        <f>Migrationsartikel!S188</f>
        <v>1</v>
      </c>
      <c r="AD190" t="str">
        <f>Migrationsartikel!U188</f>
        <v>(PCE) Stück</v>
      </c>
      <c r="AE190" s="31" t="s">
        <v>179</v>
      </c>
      <c r="AF190" s="31" t="s">
        <v>192</v>
      </c>
      <c r="AG190" t="str">
        <f>IF(Migrationsartikel!AB188="ja","true",FALSE)</f>
        <v>true</v>
      </c>
      <c r="AH190" t="str">
        <f>IF(Migrationsartikel!AC188="ja","true",FALSE)</f>
        <v>true</v>
      </c>
      <c r="AI190" t="str">
        <f>IF(Migrationsartikel!AD188="ja","true",FALSE)</f>
        <v>true</v>
      </c>
      <c r="AJ190" t="str">
        <f>IF(Migrationsartikel!AE188="ja","true",FALSE)</f>
        <v>true</v>
      </c>
      <c r="AK190" t="str">
        <f>IF(Migrationsartikel!AF188="ja","Denner Partner","")</f>
        <v/>
      </c>
      <c r="AL190" t="str">
        <f>IF(Migrationsartikel!AG188="ja","true","false")</f>
        <v>true</v>
      </c>
      <c r="AM190" t="str">
        <f t="shared" si="2"/>
        <v>PLU</v>
      </c>
      <c r="AN190" s="31" t="s">
        <v>219</v>
      </c>
      <c r="AO190" s="31" t="s">
        <v>217</v>
      </c>
    </row>
    <row r="191" spans="2:41" ht="21.75" customHeight="1" x14ac:dyDescent="0.45">
      <c r="B191" t="s">
        <v>99</v>
      </c>
      <c r="E191" s="31" t="s">
        <v>1601</v>
      </c>
      <c r="F191" t="str">
        <f>"Warengruppe&gt;&gt;"&amp;Migrationsartikel!V189&amp;"&gt;&gt;"&amp;Migrationsartikel!W189&amp;"&gt;&gt;"&amp;Migrationsartikel!X189</f>
        <v>Warengruppe&gt;&gt;Wein&gt;&gt;Weine&gt;&gt;Wein andere</v>
      </c>
      <c r="H191" s="31" t="s">
        <v>109</v>
      </c>
      <c r="I191" s="31" t="s">
        <v>121</v>
      </c>
      <c r="J191" s="31">
        <f>Migrationsartikel!B189</f>
        <v>916</v>
      </c>
      <c r="L191" t="str">
        <f>Migrationsartikel!F189&amp;" "&amp;Migrationsartikel!G189&amp;" "&amp;Migrationsartikel!H189</f>
        <v>Vin cuit aus der Region 50cl</v>
      </c>
      <c r="M191" t="str">
        <f>Migrationsartikel!J189&amp;" "&amp;Migrationsartikel!K189&amp;" "&amp;Migrationsartikel!L189</f>
        <v>Vin cuit  de la région 50cl</v>
      </c>
      <c r="N191" t="str">
        <f>Migrationsartikel!N189&amp;" "&amp;Migrationsartikel!O189&amp;" "&amp;Migrationsartikel!P189</f>
        <v>Vin cuit della regione 50cl</v>
      </c>
      <c r="O191" t="str">
        <f>Migrationsartikel!F189</f>
        <v>Vin cuit</v>
      </c>
      <c r="P191" t="str">
        <f>Migrationsartikel!J189</f>
        <v xml:space="preserve">Vin cuit </v>
      </c>
      <c r="Q191" t="str">
        <f>Migrationsartikel!N189</f>
        <v>Vin cuit</v>
      </c>
      <c r="R191" t="str">
        <f>Migrationsartikel!G189</f>
        <v>aus der Region</v>
      </c>
      <c r="S191" t="str">
        <f>Migrationsartikel!K189</f>
        <v>de la région</v>
      </c>
      <c r="T191" t="str">
        <f>Migrationsartikel!O189</f>
        <v>della regione</v>
      </c>
      <c r="U191" s="31" t="str">
        <f>Migrationsartikel!H189</f>
        <v>50cl</v>
      </c>
      <c r="V191" s="31" t="str">
        <f>Migrationsartikel!L189</f>
        <v>50cl</v>
      </c>
      <c r="W191" s="31" t="str">
        <f>Migrationsartikel!P189</f>
        <v>50cl</v>
      </c>
      <c r="X191" t="str">
        <f>Migrationsartikel!I189</f>
        <v>Vin cuit 50cl</v>
      </c>
      <c r="Y191" t="str">
        <f>Migrationsartikel!M189</f>
        <v>Vin cuit 50cl</v>
      </c>
      <c r="Z191" t="str">
        <f>Migrationsartikel!Q189</f>
        <v>Vin cuit 50cl</v>
      </c>
      <c r="AA191" s="45">
        <f>Migrationsartikel!R189</f>
        <v>0.5</v>
      </c>
      <c r="AB191" s="46" t="str">
        <f>Migrationsartikel!T189</f>
        <v>Stück</v>
      </c>
      <c r="AC191">
        <f>Migrationsartikel!S189</f>
        <v>1</v>
      </c>
      <c r="AD191" t="str">
        <f>Migrationsartikel!U189</f>
        <v>(PCE) Stück</v>
      </c>
      <c r="AE191" s="31" t="s">
        <v>179</v>
      </c>
      <c r="AF191" s="31" t="s">
        <v>192</v>
      </c>
      <c r="AG191" t="str">
        <f>IF(Migrationsartikel!AB189="ja","true",FALSE)</f>
        <v>true</v>
      </c>
      <c r="AH191" t="str">
        <f>IF(Migrationsartikel!AC189="ja","true",FALSE)</f>
        <v>true</v>
      </c>
      <c r="AI191" t="str">
        <f>IF(Migrationsartikel!AD189="ja","true",FALSE)</f>
        <v>true</v>
      </c>
      <c r="AJ191" t="str">
        <f>IF(Migrationsartikel!AE189="ja","true",FALSE)</f>
        <v>true</v>
      </c>
      <c r="AK191" t="str">
        <f>IF(Migrationsartikel!AF189="ja","Denner Partner","")</f>
        <v/>
      </c>
      <c r="AL191" t="str">
        <f>IF(Migrationsartikel!AG189="ja","true","false")</f>
        <v>false</v>
      </c>
      <c r="AM191" t="str">
        <f t="shared" si="2"/>
        <v>PLU</v>
      </c>
      <c r="AN191" s="31" t="s">
        <v>219</v>
      </c>
      <c r="AO191" s="31" t="s">
        <v>217</v>
      </c>
    </row>
    <row r="192" spans="2:41" ht="21.75" customHeight="1" x14ac:dyDescent="0.45">
      <c r="B192" t="s">
        <v>99</v>
      </c>
      <c r="E192" s="31" t="s">
        <v>1602</v>
      </c>
      <c r="F192" t="str">
        <f>"Warengruppe&gt;&gt;"&amp;Migrationsartikel!V190&amp;"&gt;&gt;"&amp;Migrationsartikel!W190&amp;"&gt;&gt;"&amp;Migrationsartikel!X190</f>
        <v>Warengruppe&gt;&gt;Wein&gt;&gt;Weine&gt;&gt;Wein andere</v>
      </c>
      <c r="H192" s="31" t="s">
        <v>109</v>
      </c>
      <c r="I192" s="31" t="s">
        <v>121</v>
      </c>
      <c r="J192" s="31">
        <f>Migrationsartikel!B190</f>
        <v>917</v>
      </c>
      <c r="L192" t="str">
        <f>Migrationsartikel!F190&amp;" "&amp;Migrationsartikel!G190&amp;" "&amp;Migrationsartikel!H190</f>
        <v>Vin cuit  aus der Region 75cl</v>
      </c>
      <c r="M192" t="str">
        <f>Migrationsartikel!J190&amp;" "&amp;Migrationsartikel!K190&amp;" "&amp;Migrationsartikel!L190</f>
        <v>Vin cuit  de la région 75cl</v>
      </c>
      <c r="N192" t="str">
        <f>Migrationsartikel!N190&amp;" "&amp;Migrationsartikel!O190&amp;" "&amp;Migrationsartikel!P190</f>
        <v>Vin cuit della regione 75cl</v>
      </c>
      <c r="O192" t="str">
        <f>Migrationsartikel!F190</f>
        <v xml:space="preserve">Vin cuit </v>
      </c>
      <c r="P192" t="str">
        <f>Migrationsartikel!J190</f>
        <v xml:space="preserve">Vin cuit </v>
      </c>
      <c r="Q192" t="str">
        <f>Migrationsartikel!N190</f>
        <v>Vin cuit</v>
      </c>
      <c r="R192" t="str">
        <f>Migrationsartikel!G190</f>
        <v>aus der Region</v>
      </c>
      <c r="S192" t="str">
        <f>Migrationsartikel!K190</f>
        <v>de la région</v>
      </c>
      <c r="T192" t="str">
        <f>Migrationsartikel!O190</f>
        <v>della regione</v>
      </c>
      <c r="U192" s="31" t="str">
        <f>Migrationsartikel!H190</f>
        <v>75cl</v>
      </c>
      <c r="V192" s="31" t="str">
        <f>Migrationsartikel!L190</f>
        <v>75cl</v>
      </c>
      <c r="W192" s="31" t="str">
        <f>Migrationsartikel!P190</f>
        <v>75cl</v>
      </c>
      <c r="X192" t="str">
        <f>Migrationsartikel!I190</f>
        <v>Vin cuit 75cl</v>
      </c>
      <c r="Y192" t="str">
        <f>Migrationsartikel!M190</f>
        <v>Vin cuit 75cl</v>
      </c>
      <c r="Z192" t="str">
        <f>Migrationsartikel!Q190</f>
        <v>Vin cuit 75cl</v>
      </c>
      <c r="AA192" s="45">
        <f>Migrationsartikel!R190</f>
        <v>0.75</v>
      </c>
      <c r="AB192" s="46" t="str">
        <f>Migrationsartikel!T190</f>
        <v>Stück</v>
      </c>
      <c r="AC192">
        <f>Migrationsartikel!S190</f>
        <v>1</v>
      </c>
      <c r="AD192" t="str">
        <f>Migrationsartikel!U190</f>
        <v>(PCE) Stück</v>
      </c>
      <c r="AE192" s="31" t="s">
        <v>179</v>
      </c>
      <c r="AF192" s="31" t="s">
        <v>192</v>
      </c>
      <c r="AG192" t="str">
        <f>IF(Migrationsartikel!AB190="ja","true",FALSE)</f>
        <v>true</v>
      </c>
      <c r="AH192" t="str">
        <f>IF(Migrationsartikel!AC190="ja","true",FALSE)</f>
        <v>true</v>
      </c>
      <c r="AI192" t="str">
        <f>IF(Migrationsartikel!AD190="ja","true",FALSE)</f>
        <v>true</v>
      </c>
      <c r="AJ192" t="str">
        <f>IF(Migrationsartikel!AE190="ja","true",FALSE)</f>
        <v>true</v>
      </c>
      <c r="AK192" t="str">
        <f>IF(Migrationsartikel!AF190="ja","Denner Partner","")</f>
        <v/>
      </c>
      <c r="AL192" t="str">
        <f>IF(Migrationsartikel!AG190="ja","true","false")</f>
        <v>false</v>
      </c>
      <c r="AM192" t="str">
        <f t="shared" si="2"/>
        <v>PLU</v>
      </c>
      <c r="AN192" s="31" t="s">
        <v>219</v>
      </c>
      <c r="AO192" s="31" t="s">
        <v>217</v>
      </c>
    </row>
    <row r="193" spans="2:41" ht="21.75" customHeight="1" x14ac:dyDescent="0.45">
      <c r="B193" t="s">
        <v>99</v>
      </c>
      <c r="E193" s="31" t="s">
        <v>1603</v>
      </c>
      <c r="F193" t="str">
        <f>"Warengruppe&gt;&gt;"&amp;Migrationsartikel!V191&amp;"&gt;&gt;"&amp;Migrationsartikel!W191&amp;"&gt;&gt;"&amp;Migrationsartikel!X191</f>
        <v>Warengruppe&gt;&gt;Wein&gt;&gt;Weine&gt;&gt;Wein andere</v>
      </c>
      <c r="H193" s="31" t="s">
        <v>109</v>
      </c>
      <c r="I193" s="31" t="s">
        <v>121</v>
      </c>
      <c r="J193" s="31">
        <f>Migrationsartikel!B191</f>
        <v>918</v>
      </c>
      <c r="L193" t="str">
        <f>Migrationsartikel!F191&amp;" "&amp;Migrationsartikel!G191&amp;" "&amp;Migrationsartikel!H191</f>
        <v>Vin cuit  aus der Region 1l</v>
      </c>
      <c r="M193" t="str">
        <f>Migrationsartikel!J191&amp;" "&amp;Migrationsartikel!K191&amp;" "&amp;Migrationsartikel!L191</f>
        <v>Vin cuit  de la région 1l</v>
      </c>
      <c r="N193" t="str">
        <f>Migrationsartikel!N191&amp;" "&amp;Migrationsartikel!O191&amp;" "&amp;Migrationsartikel!P191</f>
        <v>Vin cuit della regione 1l</v>
      </c>
      <c r="O193" t="str">
        <f>Migrationsartikel!F191</f>
        <v xml:space="preserve">Vin cuit </v>
      </c>
      <c r="P193" t="str">
        <f>Migrationsartikel!J191</f>
        <v xml:space="preserve">Vin cuit </v>
      </c>
      <c r="Q193" t="str">
        <f>Migrationsartikel!N191</f>
        <v>Vin cuit</v>
      </c>
      <c r="R193" t="str">
        <f>Migrationsartikel!G191</f>
        <v>aus der Region</v>
      </c>
      <c r="S193" t="str">
        <f>Migrationsartikel!K191</f>
        <v>de la région</v>
      </c>
      <c r="T193" t="str">
        <f>Migrationsartikel!O191</f>
        <v>della regione</v>
      </c>
      <c r="U193" s="31" t="str">
        <f>Migrationsartikel!H191</f>
        <v>1l</v>
      </c>
      <c r="V193" s="31" t="str">
        <f>Migrationsartikel!L191</f>
        <v>1l</v>
      </c>
      <c r="W193" s="31" t="str">
        <f>Migrationsartikel!P191</f>
        <v>1l</v>
      </c>
      <c r="X193" t="str">
        <f>Migrationsartikel!I191</f>
        <v>Vin cuit 1l</v>
      </c>
      <c r="Y193" t="str">
        <f>Migrationsartikel!M191</f>
        <v>Vin cuit 1l</v>
      </c>
      <c r="Z193" t="str">
        <f>Migrationsartikel!Q191</f>
        <v>Vin cuit 1l</v>
      </c>
      <c r="AA193" s="45">
        <f>Migrationsartikel!R191</f>
        <v>1</v>
      </c>
      <c r="AB193" s="46" t="str">
        <f>Migrationsartikel!T191</f>
        <v>Stück</v>
      </c>
      <c r="AC193">
        <f>Migrationsartikel!S191</f>
        <v>1</v>
      </c>
      <c r="AD193" t="str">
        <f>Migrationsartikel!U191</f>
        <v>(PCE) Stück</v>
      </c>
      <c r="AE193" s="31" t="s">
        <v>179</v>
      </c>
      <c r="AF193" s="31" t="s">
        <v>192</v>
      </c>
      <c r="AG193" t="str">
        <f>IF(Migrationsartikel!AB191="ja","true",FALSE)</f>
        <v>true</v>
      </c>
      <c r="AH193" t="str">
        <f>IF(Migrationsartikel!AC191="ja","true",FALSE)</f>
        <v>true</v>
      </c>
      <c r="AI193" t="str">
        <f>IF(Migrationsartikel!AD191="ja","true",FALSE)</f>
        <v>true</v>
      </c>
      <c r="AJ193" t="str">
        <f>IF(Migrationsartikel!AE191="ja","true",FALSE)</f>
        <v>true</v>
      </c>
      <c r="AK193" t="str">
        <f>IF(Migrationsartikel!AF191="ja","Denner Partner","")</f>
        <v/>
      </c>
      <c r="AL193" t="str">
        <f>IF(Migrationsartikel!AG191="ja","true","false")</f>
        <v>false</v>
      </c>
      <c r="AM193" t="str">
        <f t="shared" si="2"/>
        <v>PLU</v>
      </c>
      <c r="AN193" s="31" t="s">
        <v>219</v>
      </c>
      <c r="AO193" s="31" t="s">
        <v>217</v>
      </c>
    </row>
    <row r="194" spans="2:41" ht="21.75" customHeight="1" x14ac:dyDescent="0.45">
      <c r="B194" t="s">
        <v>99</v>
      </c>
      <c r="E194" s="31" t="s">
        <v>1604</v>
      </c>
      <c r="F194" t="str">
        <f>"Warengruppe&gt;&gt;"&amp;Migrationsartikel!V192&amp;"&gt;&gt;"&amp;Migrationsartikel!W192&amp;"&gt;&gt;"&amp;Migrationsartikel!X192</f>
        <v>Warengruppe&gt;&gt;Wein&gt;&gt;Weine&gt;&gt;Wein andere</v>
      </c>
      <c r="H194" s="31" t="s">
        <v>109</v>
      </c>
      <c r="I194" s="31" t="s">
        <v>121</v>
      </c>
      <c r="J194" s="31">
        <f>Migrationsartikel!B192</f>
        <v>919</v>
      </c>
      <c r="L194" t="str">
        <f>Migrationsartikel!F192&amp;" "&amp;Migrationsartikel!G192&amp;" "&amp;Migrationsartikel!H192</f>
        <v>Wein aus der Region 1l</v>
      </c>
      <c r="M194" t="str">
        <f>Migrationsartikel!J192&amp;" "&amp;Migrationsartikel!K192&amp;" "&amp;Migrationsartikel!L192</f>
        <v>Vin  de la région 1l</v>
      </c>
      <c r="N194" t="str">
        <f>Migrationsartikel!N192&amp;" "&amp;Migrationsartikel!O192&amp;" "&amp;Migrationsartikel!P192</f>
        <v>Vino della regione 1l</v>
      </c>
      <c r="O194" t="str">
        <f>Migrationsartikel!F192</f>
        <v>Wein</v>
      </c>
      <c r="P194" t="str">
        <f>Migrationsartikel!J192</f>
        <v xml:space="preserve">Vin </v>
      </c>
      <c r="Q194" t="str">
        <f>Migrationsartikel!N192</f>
        <v>Vino</v>
      </c>
      <c r="R194" t="str">
        <f>Migrationsartikel!G192</f>
        <v>aus der Region</v>
      </c>
      <c r="S194" t="str">
        <f>Migrationsartikel!K192</f>
        <v>de la région</v>
      </c>
      <c r="T194" t="str">
        <f>Migrationsartikel!O192</f>
        <v>della regione</v>
      </c>
      <c r="U194" s="31" t="str">
        <f>Migrationsartikel!H192</f>
        <v>1l</v>
      </c>
      <c r="V194" s="31" t="str">
        <f>Migrationsartikel!L192</f>
        <v>1l</v>
      </c>
      <c r="W194" s="31" t="str">
        <f>Migrationsartikel!P192</f>
        <v>1l</v>
      </c>
      <c r="X194" t="str">
        <f>Migrationsartikel!I192</f>
        <v>Wein 1l</v>
      </c>
      <c r="Y194" t="str">
        <f>Migrationsartikel!M192</f>
        <v>Vin 1l</v>
      </c>
      <c r="Z194" t="str">
        <f>Migrationsartikel!Q192</f>
        <v>Vino 1l</v>
      </c>
      <c r="AA194" s="45">
        <f>Migrationsartikel!R192</f>
        <v>1</v>
      </c>
      <c r="AB194" s="46" t="str">
        <f>Migrationsartikel!T192</f>
        <v>Stück</v>
      </c>
      <c r="AC194">
        <f>Migrationsartikel!S192</f>
        <v>1</v>
      </c>
      <c r="AD194" t="str">
        <f>Migrationsartikel!U192</f>
        <v>(PCE) Stück</v>
      </c>
      <c r="AE194" s="31" t="s">
        <v>179</v>
      </c>
      <c r="AF194" s="31" t="s">
        <v>192</v>
      </c>
      <c r="AG194" t="str">
        <f>IF(Migrationsartikel!AB192="ja","true",FALSE)</f>
        <v>true</v>
      </c>
      <c r="AH194" t="str">
        <f>IF(Migrationsartikel!AC192="ja","true",FALSE)</f>
        <v>true</v>
      </c>
      <c r="AI194" t="str">
        <f>IF(Migrationsartikel!AD192="ja","true",FALSE)</f>
        <v>true</v>
      </c>
      <c r="AJ194" t="str">
        <f>IF(Migrationsartikel!AE192="ja","true",FALSE)</f>
        <v>true</v>
      </c>
      <c r="AK194" t="str">
        <f>IF(Migrationsartikel!AF192="ja","Denner Partner","")</f>
        <v/>
      </c>
      <c r="AL194" t="str">
        <f>IF(Migrationsartikel!AG192="ja","true","false")</f>
        <v>false</v>
      </c>
      <c r="AM194" t="str">
        <f t="shared" si="2"/>
        <v>PLU</v>
      </c>
      <c r="AN194" s="31" t="s">
        <v>219</v>
      </c>
      <c r="AO194" s="31" t="s">
        <v>217</v>
      </c>
    </row>
    <row r="195" spans="2:41" ht="21.75" customHeight="1" x14ac:dyDescent="0.45">
      <c r="B195" t="s">
        <v>99</v>
      </c>
      <c r="E195" s="31" t="s">
        <v>1605</v>
      </c>
      <c r="F195" t="str">
        <f>"Warengruppe&gt;&gt;"&amp;Migrationsartikel!V193&amp;"&gt;&gt;"&amp;Migrationsartikel!W193&amp;"&gt;&gt;"&amp;Migrationsartikel!X193</f>
        <v>Warengruppe&gt;&gt;Wein&gt;&gt;Weine&gt;&gt;Wein andere</v>
      </c>
      <c r="H195" s="31" t="s">
        <v>109</v>
      </c>
      <c r="I195" s="31" t="s">
        <v>121</v>
      </c>
      <c r="J195" s="31">
        <f>Migrationsartikel!B193</f>
        <v>920</v>
      </c>
      <c r="L195" t="str">
        <f>Migrationsartikel!F193&amp;" "&amp;Migrationsartikel!G193&amp;" "&amp;Migrationsartikel!H193</f>
        <v>Wein  aus der Region 25cl</v>
      </c>
      <c r="M195" t="str">
        <f>Migrationsartikel!J193&amp;" "&amp;Migrationsartikel!K193&amp;" "&amp;Migrationsartikel!L193</f>
        <v>Vin  de la région 25cl</v>
      </c>
      <c r="N195" t="str">
        <f>Migrationsartikel!N193&amp;" "&amp;Migrationsartikel!O193&amp;" "&amp;Migrationsartikel!P193</f>
        <v>Vino della regione 25cl</v>
      </c>
      <c r="O195" t="str">
        <f>Migrationsartikel!F193</f>
        <v xml:space="preserve">Wein </v>
      </c>
      <c r="P195" t="str">
        <f>Migrationsartikel!J193</f>
        <v xml:space="preserve">Vin </v>
      </c>
      <c r="Q195" t="str">
        <f>Migrationsartikel!N193</f>
        <v>Vino</v>
      </c>
      <c r="R195" t="str">
        <f>Migrationsartikel!G193</f>
        <v>aus der Region</v>
      </c>
      <c r="S195" t="str">
        <f>Migrationsartikel!K193</f>
        <v>de la région</v>
      </c>
      <c r="T195" t="str">
        <f>Migrationsartikel!O193</f>
        <v>della regione</v>
      </c>
      <c r="U195" s="31" t="str">
        <f>Migrationsartikel!H193</f>
        <v>25cl</v>
      </c>
      <c r="V195" s="31" t="str">
        <f>Migrationsartikel!L193</f>
        <v>25cl</v>
      </c>
      <c r="W195" s="31" t="str">
        <f>Migrationsartikel!P193</f>
        <v>25cl</v>
      </c>
      <c r="X195" t="str">
        <f>Migrationsartikel!I193</f>
        <v>Wein 25cl</v>
      </c>
      <c r="Y195" t="str">
        <f>Migrationsartikel!M193</f>
        <v>Vin 25cl</v>
      </c>
      <c r="Z195" t="str">
        <f>Migrationsartikel!Q193</f>
        <v>Vino 25cl</v>
      </c>
      <c r="AA195" s="45">
        <f>Migrationsartikel!R193</f>
        <v>0.25</v>
      </c>
      <c r="AB195" s="46" t="str">
        <f>Migrationsartikel!T193</f>
        <v>Stück</v>
      </c>
      <c r="AC195">
        <f>Migrationsartikel!S193</f>
        <v>1</v>
      </c>
      <c r="AD195" t="str">
        <f>Migrationsartikel!U193</f>
        <v>(PCE) Stück</v>
      </c>
      <c r="AE195" s="31" t="s">
        <v>179</v>
      </c>
      <c r="AF195" s="31" t="s">
        <v>192</v>
      </c>
      <c r="AG195" t="str">
        <f>IF(Migrationsartikel!AB193="ja","true",FALSE)</f>
        <v>true</v>
      </c>
      <c r="AH195" t="str">
        <f>IF(Migrationsartikel!AC193="ja","true",FALSE)</f>
        <v>true</v>
      </c>
      <c r="AI195" t="str">
        <f>IF(Migrationsartikel!AD193="ja","true",FALSE)</f>
        <v>true</v>
      </c>
      <c r="AJ195" t="str">
        <f>IF(Migrationsartikel!AE193="ja","true",FALSE)</f>
        <v>true</v>
      </c>
      <c r="AK195" t="str">
        <f>IF(Migrationsartikel!AF193="ja","Denner Partner","")</f>
        <v/>
      </c>
      <c r="AL195" t="str">
        <f>IF(Migrationsartikel!AG193="ja","true","false")</f>
        <v>false</v>
      </c>
      <c r="AM195" t="str">
        <f t="shared" si="2"/>
        <v>PLU</v>
      </c>
      <c r="AN195" s="31" t="s">
        <v>219</v>
      </c>
      <c r="AO195" s="31" t="s">
        <v>217</v>
      </c>
    </row>
    <row r="196" spans="2:41" ht="21.75" customHeight="1" x14ac:dyDescent="0.45">
      <c r="B196" t="s">
        <v>99</v>
      </c>
      <c r="E196" s="31" t="s">
        <v>1606</v>
      </c>
      <c r="F196" t="str">
        <f>"Warengruppe&gt;&gt;"&amp;Migrationsartikel!V194&amp;"&gt;&gt;"&amp;Migrationsartikel!W194&amp;"&gt;&gt;"&amp;Migrationsartikel!X194</f>
        <v>Warengruppe&gt;&gt;Wein&gt;&gt;Weine&gt;&gt;Wein andere</v>
      </c>
      <c r="H196" s="31" t="s">
        <v>109</v>
      </c>
      <c r="I196" s="31" t="s">
        <v>121</v>
      </c>
      <c r="J196" s="31">
        <f>Migrationsartikel!B194</f>
        <v>921</v>
      </c>
      <c r="L196" t="str">
        <f>Migrationsartikel!F194&amp;" "&amp;Migrationsartikel!G194&amp;" "&amp;Migrationsartikel!H194</f>
        <v>Wein  aus der Region 50cl</v>
      </c>
      <c r="M196" t="str">
        <f>Migrationsartikel!J194&amp;" "&amp;Migrationsartikel!K194&amp;" "&amp;Migrationsartikel!L194</f>
        <v>Vin  de la région 50cl</v>
      </c>
      <c r="N196" t="str">
        <f>Migrationsartikel!N194&amp;" "&amp;Migrationsartikel!O194&amp;" "&amp;Migrationsartikel!P194</f>
        <v>Vino della regione 50cl</v>
      </c>
      <c r="O196" t="str">
        <f>Migrationsartikel!F194</f>
        <v xml:space="preserve">Wein </v>
      </c>
      <c r="P196" t="str">
        <f>Migrationsartikel!J194</f>
        <v xml:space="preserve">Vin </v>
      </c>
      <c r="Q196" t="str">
        <f>Migrationsartikel!N194</f>
        <v>Vino</v>
      </c>
      <c r="R196" t="str">
        <f>Migrationsartikel!G194</f>
        <v>aus der Region</v>
      </c>
      <c r="S196" t="str">
        <f>Migrationsartikel!K194</f>
        <v>de la région</v>
      </c>
      <c r="T196" t="str">
        <f>Migrationsartikel!O194</f>
        <v>della regione</v>
      </c>
      <c r="U196" s="31" t="str">
        <f>Migrationsartikel!H194</f>
        <v>50cl</v>
      </c>
      <c r="V196" s="31" t="str">
        <f>Migrationsartikel!L194</f>
        <v>50cl</v>
      </c>
      <c r="W196" s="31" t="str">
        <f>Migrationsartikel!P194</f>
        <v>50cl</v>
      </c>
      <c r="X196" t="str">
        <f>Migrationsartikel!I194</f>
        <v>Wein 50cl</v>
      </c>
      <c r="Y196" t="str">
        <f>Migrationsartikel!M194</f>
        <v>Vin 50cl</v>
      </c>
      <c r="Z196" t="str">
        <f>Migrationsartikel!Q194</f>
        <v>Vino 50cl</v>
      </c>
      <c r="AA196" s="45">
        <f>Migrationsartikel!R194</f>
        <v>0.5</v>
      </c>
      <c r="AB196" s="46" t="str">
        <f>Migrationsartikel!T194</f>
        <v>Stück</v>
      </c>
      <c r="AC196">
        <f>Migrationsartikel!S194</f>
        <v>1</v>
      </c>
      <c r="AD196" t="str">
        <f>Migrationsartikel!U194</f>
        <v>(PCE) Stück</v>
      </c>
      <c r="AE196" s="31" t="s">
        <v>179</v>
      </c>
      <c r="AF196" s="31" t="s">
        <v>192</v>
      </c>
      <c r="AG196" t="str">
        <f>IF(Migrationsartikel!AB194="ja","true",FALSE)</f>
        <v>true</v>
      </c>
      <c r="AH196" t="str">
        <f>IF(Migrationsartikel!AC194="ja","true",FALSE)</f>
        <v>true</v>
      </c>
      <c r="AI196" t="str">
        <f>IF(Migrationsartikel!AD194="ja","true",FALSE)</f>
        <v>true</v>
      </c>
      <c r="AJ196" t="str">
        <f>IF(Migrationsartikel!AE194="ja","true",FALSE)</f>
        <v>true</v>
      </c>
      <c r="AK196" t="str">
        <f>IF(Migrationsartikel!AF194="ja","Denner Partner","")</f>
        <v/>
      </c>
      <c r="AL196" t="str">
        <f>IF(Migrationsartikel!AG194="ja","true","false")</f>
        <v>false</v>
      </c>
      <c r="AM196" t="str">
        <f t="shared" ref="AM196:AM259" si="3">IF(J196&lt;&gt;"","PLU","Kassentastenbelegung (ohne GTIN/PLU)")</f>
        <v>PLU</v>
      </c>
      <c r="AN196" s="31" t="s">
        <v>219</v>
      </c>
      <c r="AO196" s="31" t="s">
        <v>217</v>
      </c>
    </row>
    <row r="197" spans="2:41" ht="21.75" customHeight="1" x14ac:dyDescent="0.45">
      <c r="B197" t="s">
        <v>99</v>
      </c>
      <c r="E197" s="31" t="s">
        <v>1607</v>
      </c>
      <c r="F197" t="str">
        <f>"Warengruppe&gt;&gt;"&amp;Migrationsartikel!V195&amp;"&gt;&gt;"&amp;Migrationsartikel!W195&amp;"&gt;&gt;"&amp;Migrationsartikel!X195</f>
        <v>Warengruppe&gt;&gt;Wein&gt;&gt;Weine&gt;&gt;Wein andere</v>
      </c>
      <c r="H197" s="31" t="s">
        <v>109</v>
      </c>
      <c r="I197" s="31" t="s">
        <v>121</v>
      </c>
      <c r="J197" s="31">
        <f>Migrationsartikel!B195</f>
        <v>922</v>
      </c>
      <c r="L197" t="str">
        <f>Migrationsartikel!F195&amp;" "&amp;Migrationsartikel!G195&amp;" "&amp;Migrationsartikel!H195</f>
        <v>Wein  aus der Region 75cl</v>
      </c>
      <c r="M197" t="str">
        <f>Migrationsartikel!J195&amp;" "&amp;Migrationsartikel!K195&amp;" "&amp;Migrationsartikel!L195</f>
        <v>Vin  de la région 75cl</v>
      </c>
      <c r="N197" t="str">
        <f>Migrationsartikel!N195&amp;" "&amp;Migrationsartikel!O195&amp;" "&amp;Migrationsartikel!P195</f>
        <v>Vino della regione 75cl</v>
      </c>
      <c r="O197" t="str">
        <f>Migrationsartikel!F195</f>
        <v xml:space="preserve">Wein </v>
      </c>
      <c r="P197" t="str">
        <f>Migrationsartikel!J195</f>
        <v xml:space="preserve">Vin </v>
      </c>
      <c r="Q197" t="str">
        <f>Migrationsartikel!N195</f>
        <v>Vino</v>
      </c>
      <c r="R197" t="str">
        <f>Migrationsartikel!G195</f>
        <v>aus der Region</v>
      </c>
      <c r="S197" t="str">
        <f>Migrationsartikel!K195</f>
        <v>de la région</v>
      </c>
      <c r="T197" t="str">
        <f>Migrationsartikel!O195</f>
        <v>della regione</v>
      </c>
      <c r="U197" s="31" t="str">
        <f>Migrationsartikel!H195</f>
        <v>75cl</v>
      </c>
      <c r="V197" s="31" t="str">
        <f>Migrationsartikel!L195</f>
        <v>75cl</v>
      </c>
      <c r="W197" s="31" t="str">
        <f>Migrationsartikel!P195</f>
        <v>75cl</v>
      </c>
      <c r="X197" t="str">
        <f>Migrationsartikel!I195</f>
        <v>Wein 75cl</v>
      </c>
      <c r="Y197" t="str">
        <f>Migrationsartikel!M195</f>
        <v>Vin 75cl</v>
      </c>
      <c r="Z197" t="str">
        <f>Migrationsartikel!Q195</f>
        <v>Vino 75cl</v>
      </c>
      <c r="AA197" s="45">
        <f>Migrationsartikel!R195</f>
        <v>0.75</v>
      </c>
      <c r="AB197" s="46" t="str">
        <f>Migrationsartikel!T195</f>
        <v>Stück</v>
      </c>
      <c r="AC197">
        <f>Migrationsartikel!S195</f>
        <v>1</v>
      </c>
      <c r="AD197" t="str">
        <f>Migrationsartikel!U195</f>
        <v>(PCE) Stück</v>
      </c>
      <c r="AE197" s="31" t="s">
        <v>179</v>
      </c>
      <c r="AF197" s="31" t="s">
        <v>192</v>
      </c>
      <c r="AG197" t="str">
        <f>IF(Migrationsartikel!AB195="ja","true",FALSE)</f>
        <v>true</v>
      </c>
      <c r="AH197" t="str">
        <f>IF(Migrationsartikel!AC195="ja","true",FALSE)</f>
        <v>true</v>
      </c>
      <c r="AI197" t="str">
        <f>IF(Migrationsartikel!AD195="ja","true",FALSE)</f>
        <v>true</v>
      </c>
      <c r="AJ197" t="str">
        <f>IF(Migrationsartikel!AE195="ja","true",FALSE)</f>
        <v>true</v>
      </c>
      <c r="AK197" t="str">
        <f>IF(Migrationsartikel!AF195="ja","Denner Partner","")</f>
        <v/>
      </c>
      <c r="AL197" t="str">
        <f>IF(Migrationsartikel!AG195="ja","true","false")</f>
        <v>false</v>
      </c>
      <c r="AM197" t="str">
        <f t="shared" si="3"/>
        <v>PLU</v>
      </c>
      <c r="AN197" s="31" t="s">
        <v>219</v>
      </c>
      <c r="AO197" s="31" t="s">
        <v>217</v>
      </c>
    </row>
    <row r="198" spans="2:41" ht="21.75" customHeight="1" x14ac:dyDescent="0.45">
      <c r="B198" t="s">
        <v>99</v>
      </c>
      <c r="E198" s="31" t="s">
        <v>1608</v>
      </c>
      <c r="F198" t="str">
        <f>"Warengruppe&gt;&gt;"&amp;Migrationsartikel!V196&amp;"&gt;&gt;"&amp;Migrationsartikel!W196&amp;"&gt;&gt;"&amp;Migrationsartikel!X196</f>
        <v>Warengruppe&gt;&gt;Früchte und Gemüse&gt;&gt;Früchte und Gemüse&gt;&gt;Früchte</v>
      </c>
      <c r="H198" s="31" t="s">
        <v>109</v>
      </c>
      <c r="I198" s="31" t="s">
        <v>121</v>
      </c>
      <c r="J198" s="31">
        <f>Migrationsartikel!B196</f>
        <v>135</v>
      </c>
      <c r="L198" t="str">
        <f>Migrationsartikel!F196&amp;" "&amp;Migrationsartikel!G196&amp;" "&amp;Migrationsartikel!H196</f>
        <v xml:space="preserve">Birnen Büscheli Offen Kl. 1 </v>
      </c>
      <c r="M198" t="str">
        <f>Migrationsartikel!J196&amp;" "&amp;Migrationsartikel!K196&amp;" "&amp;Migrationsartikel!L196</f>
        <v xml:space="preserve">Poires Büscheli En vrac, cl. 1 </v>
      </c>
      <c r="N198" t="str">
        <f>Migrationsartikel!N196&amp;" "&amp;Migrationsartikel!O196&amp;" "&amp;Migrationsartikel!P196</f>
        <v xml:space="preserve">Pere Büscheli Cl. 1 vendita sfusa </v>
      </c>
      <c r="O198" t="str">
        <f>Migrationsartikel!F196</f>
        <v>Birnen Büscheli</v>
      </c>
      <c r="P198" t="str">
        <f>Migrationsartikel!J196</f>
        <v>Poires Büscheli</v>
      </c>
      <c r="Q198" t="str">
        <f>Migrationsartikel!N196</f>
        <v>Pere Büscheli</v>
      </c>
      <c r="R198" t="str">
        <f>Migrationsartikel!G196</f>
        <v>Offen Kl. 1</v>
      </c>
      <c r="S198" t="str">
        <f>Migrationsartikel!K196</f>
        <v>En vrac, cl. 1</v>
      </c>
      <c r="T198" t="str">
        <f>Migrationsartikel!O196</f>
        <v>Cl. 1 vendita sfusa</v>
      </c>
      <c r="U198" s="31">
        <f>Migrationsartikel!H196</f>
        <v>0</v>
      </c>
      <c r="V198" s="31">
        <f>Migrationsartikel!L196</f>
        <v>0</v>
      </c>
      <c r="W198" s="31">
        <f>Migrationsartikel!P196</f>
        <v>0</v>
      </c>
      <c r="X198" t="str">
        <f>Migrationsartikel!I196</f>
        <v>Birnen Büscheli Offen Kl. 1</v>
      </c>
      <c r="Y198" t="str">
        <f>Migrationsartikel!M196</f>
        <v>Poires Büscheli</v>
      </c>
      <c r="Z198" t="str">
        <f>Migrationsartikel!Q196</f>
        <v>Pere Büscheli Cl. 1 v.s.</v>
      </c>
      <c r="AA198" s="45">
        <f>Migrationsartikel!R196</f>
        <v>1</v>
      </c>
      <c r="AB198" s="46" t="str">
        <f>Migrationsartikel!T196</f>
        <v>Kilogramm</v>
      </c>
      <c r="AC198">
        <f>Migrationsartikel!S196</f>
        <v>1</v>
      </c>
      <c r="AD198" t="str">
        <f>Migrationsartikel!U196</f>
        <v>(KGM) KG</v>
      </c>
      <c r="AE198" s="31" t="s">
        <v>179</v>
      </c>
      <c r="AF198" s="31" t="s">
        <v>192</v>
      </c>
      <c r="AG198" t="str">
        <f>IF(Migrationsartikel!AB196="ja","true",FALSE)</f>
        <v>true</v>
      </c>
      <c r="AH198" t="str">
        <f>IF(Migrationsartikel!AC196="ja","true",FALSE)</f>
        <v>true</v>
      </c>
      <c r="AI198" t="str">
        <f>IF(Migrationsartikel!AD196="ja","true",FALSE)</f>
        <v>true</v>
      </c>
      <c r="AJ198" t="str">
        <f>IF(Migrationsartikel!AE196="ja","true",FALSE)</f>
        <v>true</v>
      </c>
      <c r="AK198" t="str">
        <f>IF(Migrationsartikel!AF196="ja","Denner Partner","")</f>
        <v/>
      </c>
      <c r="AL198" t="str">
        <f>IF(Migrationsartikel!AG196="ja","true","false")</f>
        <v>false</v>
      </c>
      <c r="AM198" t="str">
        <f t="shared" si="3"/>
        <v>PLU</v>
      </c>
      <c r="AN198" s="31" t="s">
        <v>219</v>
      </c>
      <c r="AO198" s="31" t="s">
        <v>217</v>
      </c>
    </row>
    <row r="199" spans="2:41" ht="21.75" customHeight="1" x14ac:dyDescent="0.45">
      <c r="B199" t="s">
        <v>99</v>
      </c>
      <c r="E199" s="31" t="s">
        <v>1609</v>
      </c>
      <c r="F199" t="str">
        <f>"Warengruppe&gt;&gt;"&amp;Migrationsartikel!V197&amp;"&gt;&gt;"&amp;Migrationsartikel!W197&amp;"&gt;&gt;"&amp;Migrationsartikel!X197</f>
        <v>Warengruppe&gt;&gt;Früchte und Gemüse&gt;&gt;Früchte und Gemüse&gt;&gt;Früchte</v>
      </c>
      <c r="H199" s="31" t="s">
        <v>109</v>
      </c>
      <c r="I199" s="31" t="s">
        <v>121</v>
      </c>
      <c r="J199" s="31">
        <f>Migrationsartikel!B197</f>
        <v>180</v>
      </c>
      <c r="L199" t="str">
        <f>Migrationsartikel!F197&amp;" "&amp;Migrationsartikel!G197&amp;" "&amp;Migrationsartikel!H197</f>
        <v>Ananas Baby 1Stk</v>
      </c>
      <c r="M199" t="str">
        <f>Migrationsartikel!J197&amp;" "&amp;Migrationsartikel!K197&amp;" "&amp;Migrationsartikel!L197</f>
        <v>Ananas Baby 1pce</v>
      </c>
      <c r="N199" t="str">
        <f>Migrationsartikel!N197&amp;" "&amp;Migrationsartikel!O197&amp;" "&amp;Migrationsartikel!P197</f>
        <v>Ananas Baby 1pz</v>
      </c>
      <c r="O199" t="str">
        <f>Migrationsartikel!F197</f>
        <v>Ananas</v>
      </c>
      <c r="P199" t="str">
        <f>Migrationsartikel!J197</f>
        <v>Ananas</v>
      </c>
      <c r="Q199" t="str">
        <f>Migrationsartikel!N197</f>
        <v>Ananas</v>
      </c>
      <c r="R199" t="str">
        <f>Migrationsartikel!G197</f>
        <v>Baby</v>
      </c>
      <c r="S199" t="str">
        <f>Migrationsartikel!K197</f>
        <v>Baby</v>
      </c>
      <c r="T199" t="str">
        <f>Migrationsartikel!O197</f>
        <v>Baby</v>
      </c>
      <c r="U199" s="31" t="str">
        <f>Migrationsartikel!H197</f>
        <v>1Stk</v>
      </c>
      <c r="V199" s="31" t="str">
        <f>Migrationsartikel!L197</f>
        <v>1pce</v>
      </c>
      <c r="W199" s="31" t="str">
        <f>Migrationsartikel!P197</f>
        <v>1pz</v>
      </c>
      <c r="X199" t="str">
        <f>Migrationsartikel!I197</f>
        <v>Ananas Baby Stk</v>
      </c>
      <c r="Y199" t="str">
        <f>Migrationsartikel!M197</f>
        <v>Ananas Baby</v>
      </c>
      <c r="Z199" t="str">
        <f>Migrationsartikel!Q197</f>
        <v>Ananas Baby 1 pz</v>
      </c>
      <c r="AA199" s="45">
        <f>Migrationsartikel!R197</f>
        <v>1</v>
      </c>
      <c r="AB199" s="46" t="str">
        <f>Migrationsartikel!T197</f>
        <v>Stück</v>
      </c>
      <c r="AC199">
        <f>Migrationsartikel!S197</f>
        <v>1</v>
      </c>
      <c r="AD199" t="str">
        <f>Migrationsartikel!U197</f>
        <v>(PCE) Stück</v>
      </c>
      <c r="AE199" s="31" t="s">
        <v>179</v>
      </c>
      <c r="AF199" s="31" t="s">
        <v>192</v>
      </c>
      <c r="AG199" t="str">
        <f>IF(Migrationsartikel!AB197="ja","true",FALSE)</f>
        <v>true</v>
      </c>
      <c r="AH199" t="str">
        <f>IF(Migrationsartikel!AC197="ja","true",FALSE)</f>
        <v>true</v>
      </c>
      <c r="AI199" t="str">
        <f>IF(Migrationsartikel!AD197="ja","true",FALSE)</f>
        <v>true</v>
      </c>
      <c r="AJ199" t="str">
        <f>IF(Migrationsartikel!AE197="ja","true",FALSE)</f>
        <v>true</v>
      </c>
      <c r="AK199" t="str">
        <f>IF(Migrationsartikel!AF197="ja","Denner Partner","")</f>
        <v/>
      </c>
      <c r="AL199" t="str">
        <f>IF(Migrationsartikel!AG197="ja","true","false")</f>
        <v>false</v>
      </c>
      <c r="AM199" t="str">
        <f t="shared" si="3"/>
        <v>PLU</v>
      </c>
      <c r="AN199" s="31" t="s">
        <v>219</v>
      </c>
      <c r="AO199" s="31" t="s">
        <v>217</v>
      </c>
    </row>
    <row r="200" spans="2:41" ht="21.75" customHeight="1" x14ac:dyDescent="0.45">
      <c r="B200" t="s">
        <v>99</v>
      </c>
      <c r="E200" s="31" t="s">
        <v>1610</v>
      </c>
      <c r="F200" t="str">
        <f>"Warengruppe&gt;&gt;"&amp;Migrationsartikel!V198&amp;"&gt;&gt;"&amp;Migrationsartikel!W198&amp;"&gt;&gt;"&amp;Migrationsartikel!X198</f>
        <v>Warengruppe&gt;&gt;Früchte und Gemüse&gt;&gt;Früchte und Gemüse&gt;&gt;Früchte</v>
      </c>
      <c r="H200" s="31" t="s">
        <v>109</v>
      </c>
      <c r="I200" s="31" t="s">
        <v>121</v>
      </c>
      <c r="J200" s="31">
        <f>Migrationsartikel!B198</f>
        <v>0</v>
      </c>
      <c r="L200" t="str">
        <f>Migrationsartikel!F198&amp;" "&amp;Migrationsartikel!G198&amp;" "&amp;Migrationsartikel!H198</f>
        <v>Ananas Becher 200g</v>
      </c>
      <c r="M200" t="str">
        <f>Migrationsartikel!J198&amp;" "&amp;Migrationsartikel!K198&amp;" "&amp;Migrationsartikel!L198</f>
        <v>Ananas Gobelet 200g</v>
      </c>
      <c r="N200" t="str">
        <f>Migrationsartikel!N198&amp;" "&amp;Migrationsartikel!O198&amp;" "&amp;Migrationsartikel!P198</f>
        <v>Ananas bicchiere 200g</v>
      </c>
      <c r="O200" t="str">
        <f>Migrationsartikel!F198</f>
        <v>Ananas</v>
      </c>
      <c r="P200" t="str">
        <f>Migrationsartikel!J198</f>
        <v>Ananas</v>
      </c>
      <c r="Q200" t="str">
        <f>Migrationsartikel!N198</f>
        <v>Ananas</v>
      </c>
      <c r="R200" t="str">
        <f>Migrationsartikel!G198</f>
        <v>Becher</v>
      </c>
      <c r="S200" t="str">
        <f>Migrationsartikel!K198</f>
        <v>Gobelet</v>
      </c>
      <c r="T200" t="str">
        <f>Migrationsartikel!O198</f>
        <v>bicchiere</v>
      </c>
      <c r="U200" s="31" t="str">
        <f>Migrationsartikel!H198</f>
        <v>200g</v>
      </c>
      <c r="V200" s="31" t="str">
        <f>Migrationsartikel!L198</f>
        <v>200g</v>
      </c>
      <c r="W200" s="31" t="str">
        <f>Migrationsartikel!P198</f>
        <v>200g</v>
      </c>
      <c r="X200" t="str">
        <f>Migrationsartikel!I198</f>
        <v>Ananas Becher 200g</v>
      </c>
      <c r="Y200" t="str">
        <f>Migrationsartikel!M198</f>
        <v>Ananas gobelet 200g</v>
      </c>
      <c r="Z200" t="str">
        <f>Migrationsartikel!Q198</f>
        <v>Ananas bicchiere 200g</v>
      </c>
      <c r="AA200" s="45">
        <f>Migrationsartikel!R198</f>
        <v>0.2</v>
      </c>
      <c r="AB200" s="46" t="str">
        <f>Migrationsartikel!T198</f>
        <v>Gramm</v>
      </c>
      <c r="AC200">
        <f>Migrationsartikel!S198</f>
        <v>100</v>
      </c>
      <c r="AD200" t="str">
        <f>Migrationsartikel!U198</f>
        <v>(PCE) Stück</v>
      </c>
      <c r="AE200" s="31" t="s">
        <v>179</v>
      </c>
      <c r="AF200" s="31" t="s">
        <v>192</v>
      </c>
      <c r="AG200" t="str">
        <f>IF(Migrationsartikel!AB198="ja","true",FALSE)</f>
        <v>true</v>
      </c>
      <c r="AH200" t="str">
        <f>IF(Migrationsartikel!AC198="ja","true",FALSE)</f>
        <v>true</v>
      </c>
      <c r="AI200" t="str">
        <f>IF(Migrationsartikel!AD198="ja","true",FALSE)</f>
        <v>true</v>
      </c>
      <c r="AJ200" t="str">
        <f>IF(Migrationsartikel!AE198="ja","true",FALSE)</f>
        <v>true</v>
      </c>
      <c r="AK200" t="str">
        <f>IF(Migrationsartikel!AF198="ja","Denner Partner","")</f>
        <v/>
      </c>
      <c r="AL200" t="str">
        <f>IF(Migrationsartikel!AG198="ja","true","false")</f>
        <v>false</v>
      </c>
      <c r="AM200" t="str">
        <f t="shared" si="3"/>
        <v>PLU</v>
      </c>
      <c r="AN200" s="31" t="s">
        <v>219</v>
      </c>
      <c r="AO200" s="31" t="s">
        <v>217</v>
      </c>
    </row>
    <row r="201" spans="2:41" ht="21.75" customHeight="1" x14ac:dyDescent="0.45">
      <c r="B201" t="s">
        <v>99</v>
      </c>
      <c r="E201" s="31" t="s">
        <v>1611</v>
      </c>
      <c r="F201" t="str">
        <f>"Warengruppe&gt;&gt;"&amp;Migrationsartikel!V199&amp;"&gt;&gt;"&amp;Migrationsartikel!W199&amp;"&gt;&gt;"&amp;Migrationsartikel!X199</f>
        <v>Warengruppe&gt;&gt;Früchte und Gemüse&gt;&gt;Früchte und Gemüse&gt;&gt;Früchte</v>
      </c>
      <c r="H201" s="31" t="s">
        <v>109</v>
      </c>
      <c r="I201" s="31" t="s">
        <v>121</v>
      </c>
      <c r="J201" s="31">
        <f>Migrationsartikel!B199</f>
        <v>0</v>
      </c>
      <c r="L201" t="str">
        <f>Migrationsartikel!F199&amp;" "&amp;Migrationsartikel!G199&amp;" "&amp;Migrationsartikel!H199</f>
        <v xml:space="preserve">Äpfel Granny Smith gepackt </v>
      </c>
      <c r="M201" t="str">
        <f>Migrationsartikel!J199&amp;" "&amp;Migrationsartikel!K199&amp;" "&amp;Migrationsartikel!L199</f>
        <v xml:space="preserve">Pommes Granny Smith Emballé </v>
      </c>
      <c r="N201" t="str">
        <f>Migrationsartikel!N199&amp;" "&amp;Migrationsartikel!O199&amp;" "&amp;Migrationsartikel!P199</f>
        <v xml:space="preserve">Mele Granny Smith confezionato </v>
      </c>
      <c r="O201" t="str">
        <f>Migrationsartikel!F199</f>
        <v>Äpfel Granny Smith</v>
      </c>
      <c r="P201" t="str">
        <f>Migrationsartikel!J199</f>
        <v>Pommes Granny Smith</v>
      </c>
      <c r="Q201" t="str">
        <f>Migrationsartikel!N199</f>
        <v>Mele Granny Smith</v>
      </c>
      <c r="R201" t="str">
        <f>Migrationsartikel!G199</f>
        <v>gepackt</v>
      </c>
      <c r="S201" t="str">
        <f>Migrationsartikel!K199</f>
        <v>Emballé</v>
      </c>
      <c r="T201" t="str">
        <f>Migrationsartikel!O199</f>
        <v>confezionato</v>
      </c>
      <c r="U201" s="31">
        <f>Migrationsartikel!H199</f>
        <v>0</v>
      </c>
      <c r="V201" s="31">
        <f>Migrationsartikel!L199</f>
        <v>0</v>
      </c>
      <c r="W201" s="31">
        <f>Migrationsartikel!P199</f>
        <v>0</v>
      </c>
      <c r="X201" t="str">
        <f>Migrationsartikel!I199</f>
        <v>Äpfel Granny Smith gepackt</v>
      </c>
      <c r="Y201" t="str">
        <f>Migrationsartikel!M199</f>
        <v>Pommes Granny Smith, emballé</v>
      </c>
      <c r="Z201" t="str">
        <f>Migrationsartikel!Q199</f>
        <v>Mele Granny Smith confez.</v>
      </c>
      <c r="AA201" s="45">
        <f>Migrationsartikel!R199</f>
        <v>1</v>
      </c>
      <c r="AB201" s="46" t="str">
        <f>Migrationsartikel!T199</f>
        <v>Kilogramm</v>
      </c>
      <c r="AC201">
        <f>Migrationsartikel!S199</f>
        <v>1</v>
      </c>
      <c r="AD201" t="str">
        <f>Migrationsartikel!U199</f>
        <v>(PCE) Stück</v>
      </c>
      <c r="AE201" s="31" t="s">
        <v>179</v>
      </c>
      <c r="AF201" s="31" t="s">
        <v>192</v>
      </c>
      <c r="AG201" t="str">
        <f>IF(Migrationsartikel!AB199="ja","true",FALSE)</f>
        <v>true</v>
      </c>
      <c r="AH201" t="str">
        <f>IF(Migrationsartikel!AC199="ja","true",FALSE)</f>
        <v>true</v>
      </c>
      <c r="AI201" t="str">
        <f>IF(Migrationsartikel!AD199="ja","true",FALSE)</f>
        <v>true</v>
      </c>
      <c r="AJ201" t="str">
        <f>IF(Migrationsartikel!AE199="ja","true",FALSE)</f>
        <v>true</v>
      </c>
      <c r="AK201" t="str">
        <f>IF(Migrationsartikel!AF199="ja","Denner Partner","")</f>
        <v/>
      </c>
      <c r="AL201" t="str">
        <f>IF(Migrationsartikel!AG199="ja","true","false")</f>
        <v>false</v>
      </c>
      <c r="AM201" t="str">
        <f t="shared" si="3"/>
        <v>PLU</v>
      </c>
      <c r="AN201" s="31" t="s">
        <v>219</v>
      </c>
      <c r="AO201" s="31" t="s">
        <v>217</v>
      </c>
    </row>
    <row r="202" spans="2:41" ht="21.75" customHeight="1" x14ac:dyDescent="0.45">
      <c r="B202" t="s">
        <v>99</v>
      </c>
      <c r="E202" s="31" t="s">
        <v>1612</v>
      </c>
      <c r="F202" t="str">
        <f>"Warengruppe&gt;&gt;"&amp;Migrationsartikel!V200&amp;"&gt;&gt;"&amp;Migrationsartikel!W200&amp;"&gt;&gt;"&amp;Migrationsartikel!X200</f>
        <v>Warengruppe&gt;&gt;Früchte und Gemüse&gt;&gt;Früchte und Gemüse&gt;&gt;Früchte</v>
      </c>
      <c r="H202" s="31" t="s">
        <v>109</v>
      </c>
      <c r="I202" s="31" t="s">
        <v>121</v>
      </c>
      <c r="J202" s="31">
        <f>Migrationsartikel!B200</f>
        <v>0</v>
      </c>
      <c r="L202" t="str">
        <f>Migrationsartikel!F200&amp;" "&amp;Migrationsartikel!G200&amp;" "&amp;Migrationsartikel!H200</f>
        <v>Aprikosen  2kg</v>
      </c>
      <c r="M202" t="str">
        <f>Migrationsartikel!J200&amp;" "&amp;Migrationsartikel!K200&amp;" "&amp;Migrationsartikel!L200</f>
        <v>Abricots  2kg</v>
      </c>
      <c r="N202" t="str">
        <f>Migrationsartikel!N200&amp;" "&amp;Migrationsartikel!O200&amp;" "&amp;Migrationsartikel!P200</f>
        <v>Albicocche  2kg</v>
      </c>
      <c r="O202" t="str">
        <f>Migrationsartikel!F200</f>
        <v>Aprikosen</v>
      </c>
      <c r="P202" t="str">
        <f>Migrationsartikel!J200</f>
        <v>Abricots</v>
      </c>
      <c r="Q202" t="str">
        <f>Migrationsartikel!N200</f>
        <v>Albicocche</v>
      </c>
      <c r="R202">
        <f>Migrationsartikel!G200</f>
        <v>0</v>
      </c>
      <c r="S202">
        <f>Migrationsartikel!K200</f>
        <v>0</v>
      </c>
      <c r="T202">
        <f>Migrationsartikel!O200</f>
        <v>0</v>
      </c>
      <c r="U202" s="31" t="str">
        <f>Migrationsartikel!H200</f>
        <v>2kg</v>
      </c>
      <c r="V202" s="31" t="str">
        <f>Migrationsartikel!L200</f>
        <v>2kg</v>
      </c>
      <c r="W202" s="31" t="str">
        <f>Migrationsartikel!P200</f>
        <v>2kg</v>
      </c>
      <c r="X202" t="str">
        <f>Migrationsartikel!I200</f>
        <v>Aprikosen 2kg</v>
      </c>
      <c r="Y202" t="str">
        <f>Migrationsartikel!M200</f>
        <v>Abricots 2kg</v>
      </c>
      <c r="Z202" t="str">
        <f>Migrationsartikel!Q200</f>
        <v>Albicocche 2kg</v>
      </c>
      <c r="AA202" s="45">
        <f>Migrationsartikel!R200</f>
        <v>2</v>
      </c>
      <c r="AB202" s="46" t="str">
        <f>Migrationsartikel!T200</f>
        <v>Kilogramm</v>
      </c>
      <c r="AC202">
        <f>Migrationsartikel!S200</f>
        <v>1</v>
      </c>
      <c r="AD202" t="str">
        <f>Migrationsartikel!U200</f>
        <v>(PCE) Stück</v>
      </c>
      <c r="AE202" s="31" t="s">
        <v>179</v>
      </c>
      <c r="AF202" s="31" t="s">
        <v>192</v>
      </c>
      <c r="AG202" t="str">
        <f>IF(Migrationsartikel!AB200="ja","true",FALSE)</f>
        <v>true</v>
      </c>
      <c r="AH202" t="str">
        <f>IF(Migrationsartikel!AC200="ja","true",FALSE)</f>
        <v>true</v>
      </c>
      <c r="AI202" t="str">
        <f>IF(Migrationsartikel!AD200="ja","true",FALSE)</f>
        <v>true</v>
      </c>
      <c r="AJ202" t="str">
        <f>IF(Migrationsartikel!AE200="ja","true",FALSE)</f>
        <v>true</v>
      </c>
      <c r="AK202" t="str">
        <f>IF(Migrationsartikel!AF200="ja","Denner Partner","")</f>
        <v/>
      </c>
      <c r="AL202" t="str">
        <f>IF(Migrationsartikel!AG200="ja","true","false")</f>
        <v>false</v>
      </c>
      <c r="AM202" t="str">
        <f t="shared" si="3"/>
        <v>PLU</v>
      </c>
      <c r="AN202" s="31" t="s">
        <v>219</v>
      </c>
      <c r="AO202" s="31" t="s">
        <v>217</v>
      </c>
    </row>
    <row r="203" spans="2:41" ht="21.75" customHeight="1" x14ac:dyDescent="0.45">
      <c r="B203" t="s">
        <v>99</v>
      </c>
      <c r="E203" s="31" t="s">
        <v>1613</v>
      </c>
      <c r="F203" t="str">
        <f>"Warengruppe&gt;&gt;"&amp;Migrationsartikel!V201&amp;"&gt;&gt;"&amp;Migrationsartikel!W201&amp;"&gt;&gt;"&amp;Migrationsartikel!X201</f>
        <v>Warengruppe&gt;&gt;Früchte und Gemüse&gt;&gt;Früchte und Gemüse&gt;&gt;Früchte</v>
      </c>
      <c r="H203" s="31" t="s">
        <v>109</v>
      </c>
      <c r="I203" s="31" t="s">
        <v>121</v>
      </c>
      <c r="J203" s="31">
        <f>Migrationsartikel!B201</f>
        <v>122</v>
      </c>
      <c r="L203" t="str">
        <f>Migrationsartikel!F201&amp;" "&amp;Migrationsartikel!G201&amp;" "&amp;Migrationsartikel!H201</f>
        <v xml:space="preserve">Aprikosen  Offen AAA </v>
      </c>
      <c r="M203" t="str">
        <f>Migrationsartikel!J201&amp;" "&amp;Migrationsartikel!K201&amp;" "&amp;Migrationsartikel!L201</f>
        <v xml:space="preserve">Abricots  En vrac AAA </v>
      </c>
      <c r="N203" t="str">
        <f>Migrationsartikel!N201&amp;" "&amp;Migrationsartikel!O201&amp;" "&amp;Migrationsartikel!P201</f>
        <v xml:space="preserve">Albicocche  vendita sfusa AAA </v>
      </c>
      <c r="O203" t="str">
        <f>Migrationsartikel!F201</f>
        <v xml:space="preserve">Aprikosen </v>
      </c>
      <c r="P203" t="str">
        <f>Migrationsartikel!J201</f>
        <v xml:space="preserve">Abricots </v>
      </c>
      <c r="Q203" t="str">
        <f>Migrationsartikel!N201</f>
        <v xml:space="preserve">Albicocche </v>
      </c>
      <c r="R203" t="str">
        <f>Migrationsartikel!G201</f>
        <v>Offen AAA</v>
      </c>
      <c r="S203" t="str">
        <f>Migrationsartikel!K201</f>
        <v>En vrac AAA</v>
      </c>
      <c r="T203" t="str">
        <f>Migrationsartikel!O201</f>
        <v>vendita sfusa AAA</v>
      </c>
      <c r="U203" s="31">
        <f>Migrationsartikel!H201</f>
        <v>0</v>
      </c>
      <c r="V203" s="31">
        <f>Migrationsartikel!L201</f>
        <v>0</v>
      </c>
      <c r="W203" s="31">
        <f>Migrationsartikel!P201</f>
        <v>0</v>
      </c>
      <c r="X203" t="str">
        <f>Migrationsartikel!I201</f>
        <v>Aprikosen Offen AAA</v>
      </c>
      <c r="Y203" t="str">
        <f>Migrationsartikel!M201</f>
        <v>Abricosts en vrac AAA</v>
      </c>
      <c r="Z203" t="str">
        <f>Migrationsartikel!Q201</f>
        <v xml:space="preserve">Albicocche vend. sfus. AAA </v>
      </c>
      <c r="AA203" s="45">
        <f>Migrationsartikel!R201</f>
        <v>1</v>
      </c>
      <c r="AB203" s="46" t="str">
        <f>Migrationsartikel!T201</f>
        <v>Kilogramm</v>
      </c>
      <c r="AC203">
        <f>Migrationsartikel!S201</f>
        <v>1</v>
      </c>
      <c r="AD203" t="str">
        <f>Migrationsartikel!U201</f>
        <v>(KGM) KG</v>
      </c>
      <c r="AE203" s="31" t="s">
        <v>179</v>
      </c>
      <c r="AF203" s="31" t="s">
        <v>192</v>
      </c>
      <c r="AG203" t="str">
        <f>IF(Migrationsartikel!AB201="ja","true",FALSE)</f>
        <v>true</v>
      </c>
      <c r="AH203" t="str">
        <f>IF(Migrationsartikel!AC201="ja","true",FALSE)</f>
        <v>true</v>
      </c>
      <c r="AI203" t="str">
        <f>IF(Migrationsartikel!AD201="ja","true",FALSE)</f>
        <v>true</v>
      </c>
      <c r="AJ203" t="str">
        <f>IF(Migrationsartikel!AE201="ja","true",FALSE)</f>
        <v>true</v>
      </c>
      <c r="AK203" t="str">
        <f>IF(Migrationsartikel!AF201="ja","Denner Partner","")</f>
        <v/>
      </c>
      <c r="AL203" t="str">
        <f>IF(Migrationsartikel!AG201="ja","true","false")</f>
        <v>false</v>
      </c>
      <c r="AM203" t="str">
        <f t="shared" si="3"/>
        <v>PLU</v>
      </c>
      <c r="AN203" s="31" t="s">
        <v>219</v>
      </c>
      <c r="AO203" s="31" t="s">
        <v>217</v>
      </c>
    </row>
    <row r="204" spans="2:41" ht="21.75" customHeight="1" x14ac:dyDescent="0.45">
      <c r="B204" t="s">
        <v>99</v>
      </c>
      <c r="E204" s="31" t="s">
        <v>1614</v>
      </c>
      <c r="F204" t="str">
        <f>"Warengruppe&gt;&gt;"&amp;Migrationsartikel!V202&amp;"&gt;&gt;"&amp;Migrationsartikel!W202&amp;"&gt;&gt;"&amp;Migrationsartikel!X202</f>
        <v>Warengruppe&gt;&gt;Früchte und Gemüse&gt;&gt;Früchte und Gemüse&gt;&gt;Früchte</v>
      </c>
      <c r="H204" s="31" t="s">
        <v>109</v>
      </c>
      <c r="I204" s="31" t="s">
        <v>121</v>
      </c>
      <c r="J204" s="31">
        <f>Migrationsartikel!B202</f>
        <v>0</v>
      </c>
      <c r="L204" t="str">
        <f>Migrationsartikel!F202&amp;" "&amp;Migrationsartikel!G202&amp;" "&amp;Migrationsartikel!H202</f>
        <v>Aprikosen  ca. 800g</v>
      </c>
      <c r="M204" t="str">
        <f>Migrationsartikel!J202&amp;" "&amp;Migrationsartikel!K202&amp;" "&amp;Migrationsartikel!L202</f>
        <v>Abricots  env. 800g</v>
      </c>
      <c r="N204" t="str">
        <f>Migrationsartikel!N202&amp;" "&amp;Migrationsartikel!O202&amp;" "&amp;Migrationsartikel!P202</f>
        <v>Albicocche  ca. 800g</v>
      </c>
      <c r="O204" t="str">
        <f>Migrationsartikel!F202</f>
        <v>Aprikosen</v>
      </c>
      <c r="P204" t="str">
        <f>Migrationsartikel!J202</f>
        <v>Abricots</v>
      </c>
      <c r="Q204" t="str">
        <f>Migrationsartikel!N202</f>
        <v>Albicocche</v>
      </c>
      <c r="R204">
        <f>Migrationsartikel!G202</f>
        <v>0</v>
      </c>
      <c r="S204">
        <f>Migrationsartikel!K202</f>
        <v>0</v>
      </c>
      <c r="T204">
        <f>Migrationsartikel!O202</f>
        <v>0</v>
      </c>
      <c r="U204" s="31" t="str">
        <f>Migrationsartikel!H202</f>
        <v>ca. 800g</v>
      </c>
      <c r="V204" s="31" t="str">
        <f>Migrationsartikel!L202</f>
        <v>env. 800g</v>
      </c>
      <c r="W204" s="31" t="str">
        <f>Migrationsartikel!P202</f>
        <v>ca. 800g</v>
      </c>
      <c r="X204" t="str">
        <f>Migrationsartikel!I202</f>
        <v>Aprikosen ca. 800g</v>
      </c>
      <c r="Y204" t="str">
        <f>Migrationsartikel!M202</f>
        <v>Abricots env. 800g</v>
      </c>
      <c r="Z204" t="str">
        <f>Migrationsartikel!Q202</f>
        <v>Albicocche ca. 800g</v>
      </c>
      <c r="AA204" s="45">
        <f>Migrationsartikel!R202</f>
        <v>0.8</v>
      </c>
      <c r="AB204" s="46" t="str">
        <f>Migrationsartikel!T202</f>
        <v>Kilogramm</v>
      </c>
      <c r="AC204">
        <f>Migrationsartikel!S202</f>
        <v>1</v>
      </c>
      <c r="AD204" t="str">
        <f>Migrationsartikel!U202</f>
        <v>(PCE) Stück</v>
      </c>
      <c r="AE204" s="31" t="s">
        <v>179</v>
      </c>
      <c r="AF204" s="31" t="s">
        <v>192</v>
      </c>
      <c r="AG204" t="str">
        <f>IF(Migrationsartikel!AB202="ja","true",FALSE)</f>
        <v>true</v>
      </c>
      <c r="AH204" t="str">
        <f>IF(Migrationsartikel!AC202="ja","true",FALSE)</f>
        <v>true</v>
      </c>
      <c r="AI204" t="str">
        <f>IF(Migrationsartikel!AD202="ja","true",FALSE)</f>
        <v>true</v>
      </c>
      <c r="AJ204" t="str">
        <f>IF(Migrationsartikel!AE202="ja","true",FALSE)</f>
        <v>true</v>
      </c>
      <c r="AK204" t="str">
        <f>IF(Migrationsartikel!AF202="ja","Denner Partner","")</f>
        <v/>
      </c>
      <c r="AL204" t="str">
        <f>IF(Migrationsartikel!AG202="ja","true","false")</f>
        <v>false</v>
      </c>
      <c r="AM204" t="str">
        <f t="shared" si="3"/>
        <v>PLU</v>
      </c>
      <c r="AN204" s="31" t="s">
        <v>219</v>
      </c>
      <c r="AO204" s="31" t="s">
        <v>217</v>
      </c>
    </row>
    <row r="205" spans="2:41" ht="21.75" customHeight="1" x14ac:dyDescent="0.45">
      <c r="B205" t="s">
        <v>99</v>
      </c>
      <c r="E205" s="31" t="s">
        <v>1615</v>
      </c>
      <c r="F205" t="str">
        <f>"Warengruppe&gt;&gt;"&amp;Migrationsartikel!V203&amp;"&gt;&gt;"&amp;Migrationsartikel!W203&amp;"&gt;&gt;"&amp;Migrationsartikel!X203</f>
        <v>Warengruppe&gt;&gt;Früchte und Gemüse&gt;&gt;Früchte und Gemüse&gt;&gt;Früchte</v>
      </c>
      <c r="H205" s="31" t="s">
        <v>109</v>
      </c>
      <c r="I205" s="31" t="s">
        <v>121</v>
      </c>
      <c r="J205" s="31">
        <f>Migrationsartikel!B203</f>
        <v>124</v>
      </c>
      <c r="L205" t="str">
        <f>Migrationsartikel!F203&amp;" "&amp;Migrationsartikel!G203&amp;" "&amp;Migrationsartikel!H203</f>
        <v xml:space="preserve">Aprikosen Offen  </v>
      </c>
      <c r="M205" t="str">
        <f>Migrationsartikel!J203&amp;" "&amp;Migrationsartikel!K203&amp;" "&amp;Migrationsartikel!L203</f>
        <v xml:space="preserve">Abrivots En Vrac </v>
      </c>
      <c r="N205" t="str">
        <f>Migrationsartikel!N203&amp;" "&amp;Migrationsartikel!O203&amp;" "&amp;Migrationsartikel!P203</f>
        <v xml:space="preserve">Albicocche vendita sfusa </v>
      </c>
      <c r="O205" t="str">
        <f>Migrationsartikel!F203</f>
        <v>Aprikosen Offen</v>
      </c>
      <c r="P205" t="str">
        <f>Migrationsartikel!J203</f>
        <v>Abrivots</v>
      </c>
      <c r="Q205" t="str">
        <f>Migrationsartikel!N203</f>
        <v>Albicocche</v>
      </c>
      <c r="R205">
        <f>Migrationsartikel!G203</f>
        <v>0</v>
      </c>
      <c r="S205" t="str">
        <f>Migrationsartikel!K203</f>
        <v>En Vrac</v>
      </c>
      <c r="T205" t="str">
        <f>Migrationsartikel!O203</f>
        <v>vendita sfusa</v>
      </c>
      <c r="U205" s="31">
        <f>Migrationsartikel!H203</f>
        <v>0</v>
      </c>
      <c r="V205" s="31">
        <f>Migrationsartikel!L203</f>
        <v>0</v>
      </c>
      <c r="W205" s="31">
        <f>Migrationsartikel!P203</f>
        <v>0</v>
      </c>
      <c r="X205" t="str">
        <f>Migrationsartikel!I203</f>
        <v>Aprikosen Offen</v>
      </c>
      <c r="Y205" t="str">
        <f>Migrationsartikel!M203</f>
        <v>Abricots en vrac</v>
      </c>
      <c r="Z205" t="str">
        <f>Migrationsartikel!Q203</f>
        <v>Albicocche vend. sfusa</v>
      </c>
      <c r="AA205" s="45">
        <f>Migrationsartikel!R203</f>
        <v>1</v>
      </c>
      <c r="AB205" s="46" t="str">
        <f>Migrationsartikel!T203</f>
        <v>Kilogramm</v>
      </c>
      <c r="AC205">
        <f>Migrationsartikel!S203</f>
        <v>1</v>
      </c>
      <c r="AD205" t="str">
        <f>Migrationsartikel!U203</f>
        <v>(KGM) KG</v>
      </c>
      <c r="AE205" s="31" t="s">
        <v>179</v>
      </c>
      <c r="AF205" s="31" t="s">
        <v>192</v>
      </c>
      <c r="AG205" t="str">
        <f>IF(Migrationsartikel!AB203="ja","true",FALSE)</f>
        <v>true</v>
      </c>
      <c r="AH205" t="str">
        <f>IF(Migrationsartikel!AC203="ja","true",FALSE)</f>
        <v>true</v>
      </c>
      <c r="AI205" t="str">
        <f>IF(Migrationsartikel!AD203="ja","true",FALSE)</f>
        <v>true</v>
      </c>
      <c r="AJ205" t="str">
        <f>IF(Migrationsartikel!AE203="ja","true",FALSE)</f>
        <v>true</v>
      </c>
      <c r="AK205" t="str">
        <f>IF(Migrationsartikel!AF203="ja","Denner Partner","")</f>
        <v/>
      </c>
      <c r="AL205" t="str">
        <f>IF(Migrationsartikel!AG203="ja","true","false")</f>
        <v>false</v>
      </c>
      <c r="AM205" t="str">
        <f t="shared" si="3"/>
        <v>PLU</v>
      </c>
      <c r="AN205" s="31" t="s">
        <v>219</v>
      </c>
      <c r="AO205" s="31" t="s">
        <v>217</v>
      </c>
    </row>
    <row r="206" spans="2:41" ht="21.75" customHeight="1" x14ac:dyDescent="0.45">
      <c r="B206" t="s">
        <v>99</v>
      </c>
      <c r="E206" s="31" t="s">
        <v>1616</v>
      </c>
      <c r="F206" t="str">
        <f>"Warengruppe&gt;&gt;"&amp;Migrationsartikel!V204&amp;"&gt;&gt;"&amp;Migrationsartikel!W204&amp;"&gt;&gt;"&amp;Migrationsartikel!X204</f>
        <v>Warengruppe&gt;&gt;Früchte und Gemüse&gt;&gt;Früchte und Gemüse&gt;&gt;Früchte</v>
      </c>
      <c r="H206" s="31" t="s">
        <v>109</v>
      </c>
      <c r="I206" s="31" t="s">
        <v>121</v>
      </c>
      <c r="J206" s="31">
        <f>Migrationsartikel!B204</f>
        <v>0</v>
      </c>
      <c r="L206" t="str">
        <f>Migrationsartikel!F204&amp;" "&amp;Migrationsartikel!G204&amp;" "&amp;Migrationsartikel!H204</f>
        <v>Aprikosen Schale 650g</v>
      </c>
      <c r="M206" t="str">
        <f>Migrationsartikel!J204&amp;" "&amp;Migrationsartikel!K204&amp;" "&amp;Migrationsartikel!L204</f>
        <v>Abricots Barquette 650g</v>
      </c>
      <c r="N206" t="str">
        <f>Migrationsartikel!N204&amp;" "&amp;Migrationsartikel!O204&amp;" "&amp;Migrationsartikel!P204</f>
        <v>Albicocche vaschetta 650g</v>
      </c>
      <c r="O206" t="str">
        <f>Migrationsartikel!F204</f>
        <v>Aprikosen</v>
      </c>
      <c r="P206" t="str">
        <f>Migrationsartikel!J204</f>
        <v>Abricots</v>
      </c>
      <c r="Q206" t="str">
        <f>Migrationsartikel!N204</f>
        <v>Albicocche</v>
      </c>
      <c r="R206" t="str">
        <f>Migrationsartikel!G204</f>
        <v>Schale</v>
      </c>
      <c r="S206" t="str">
        <f>Migrationsartikel!K204</f>
        <v>Barquette</v>
      </c>
      <c r="T206" t="str">
        <f>Migrationsartikel!O204</f>
        <v>vaschetta</v>
      </c>
      <c r="U206" s="31" t="str">
        <f>Migrationsartikel!H204</f>
        <v>650g</v>
      </c>
      <c r="V206" s="31" t="str">
        <f>Migrationsartikel!L204</f>
        <v>650g</v>
      </c>
      <c r="W206" s="31" t="str">
        <f>Migrationsartikel!P204</f>
        <v>650g</v>
      </c>
      <c r="X206" t="str">
        <f>Migrationsartikel!I204</f>
        <v>Aprikosen Schale 650g</v>
      </c>
      <c r="Y206" t="str">
        <f>Migrationsartikel!M204</f>
        <v>Abricots barquette 650g</v>
      </c>
      <c r="Z206" t="str">
        <f>Migrationsartikel!Q204</f>
        <v>Albicocche vasch. 650g</v>
      </c>
      <c r="AA206" s="45">
        <f>Migrationsartikel!R204</f>
        <v>0.65</v>
      </c>
      <c r="AB206" s="46" t="str">
        <f>Migrationsartikel!T204</f>
        <v>Kilogramm</v>
      </c>
      <c r="AC206">
        <f>Migrationsartikel!S204</f>
        <v>1</v>
      </c>
      <c r="AD206" t="str">
        <f>Migrationsartikel!U204</f>
        <v>(PCE) Stück</v>
      </c>
      <c r="AE206" s="31" t="s">
        <v>179</v>
      </c>
      <c r="AF206" s="31" t="s">
        <v>192</v>
      </c>
      <c r="AG206" t="str">
        <f>IF(Migrationsartikel!AB204="ja","true",FALSE)</f>
        <v>true</v>
      </c>
      <c r="AH206" t="str">
        <f>IF(Migrationsartikel!AC204="ja","true",FALSE)</f>
        <v>true</v>
      </c>
      <c r="AI206" t="str">
        <f>IF(Migrationsartikel!AD204="ja","true",FALSE)</f>
        <v>true</v>
      </c>
      <c r="AJ206" t="str">
        <f>IF(Migrationsartikel!AE204="ja","true",FALSE)</f>
        <v>true</v>
      </c>
      <c r="AK206" t="str">
        <f>IF(Migrationsartikel!AF204="ja","Denner Partner","")</f>
        <v/>
      </c>
      <c r="AL206" t="str">
        <f>IF(Migrationsartikel!AG204="ja","true","false")</f>
        <v>false</v>
      </c>
      <c r="AM206" t="str">
        <f t="shared" si="3"/>
        <v>PLU</v>
      </c>
      <c r="AN206" s="31" t="s">
        <v>219</v>
      </c>
      <c r="AO206" s="31" t="s">
        <v>217</v>
      </c>
    </row>
    <row r="207" spans="2:41" ht="21.75" customHeight="1" x14ac:dyDescent="0.45">
      <c r="B207" t="s">
        <v>99</v>
      </c>
      <c r="E207" s="31" t="s">
        <v>1617</v>
      </c>
      <c r="F207" t="str">
        <f>"Warengruppe&gt;&gt;"&amp;Migrationsartikel!V205&amp;"&gt;&gt;"&amp;Migrationsartikel!W205&amp;"&gt;&gt;"&amp;Migrationsartikel!X205</f>
        <v>Warengruppe&gt;&gt;Früchte und Gemüse&gt;&gt;Früchte und Gemüse&gt;&gt;Früchte</v>
      </c>
      <c r="H207" s="31" t="s">
        <v>109</v>
      </c>
      <c r="I207" s="31" t="s">
        <v>121</v>
      </c>
      <c r="J207" s="31">
        <f>Migrationsartikel!B205</f>
        <v>0</v>
      </c>
      <c r="L207" t="str">
        <f>Migrationsartikel!F205&amp;" "&amp;Migrationsartikel!G205&amp;" "&amp;Migrationsartikel!H205</f>
        <v>Aprikosen getrocknet  200g</v>
      </c>
      <c r="M207" t="str">
        <f>Migrationsartikel!J205&amp;" "&amp;Migrationsartikel!K205&amp;" "&amp;Migrationsartikel!L205</f>
        <v>Abricots secs  200g</v>
      </c>
      <c r="N207" t="str">
        <f>Migrationsartikel!N205&amp;" "&amp;Migrationsartikel!O205&amp;" "&amp;Migrationsartikel!P205</f>
        <v>Albicocche secche  200g</v>
      </c>
      <c r="O207" t="str">
        <f>Migrationsartikel!F205</f>
        <v>Aprikosen getrocknet</v>
      </c>
      <c r="P207" t="str">
        <f>Migrationsartikel!J205</f>
        <v>Abricots secs</v>
      </c>
      <c r="Q207" t="str">
        <f>Migrationsartikel!N205</f>
        <v>Albicocche secche</v>
      </c>
      <c r="R207">
        <f>Migrationsartikel!G205</f>
        <v>0</v>
      </c>
      <c r="S207">
        <f>Migrationsartikel!K205</f>
        <v>0</v>
      </c>
      <c r="T207">
        <f>Migrationsartikel!O205</f>
        <v>0</v>
      </c>
      <c r="U207" s="31" t="str">
        <f>Migrationsartikel!H205</f>
        <v>200g</v>
      </c>
      <c r="V207" s="31" t="str">
        <f>Migrationsartikel!L205</f>
        <v>200g</v>
      </c>
      <c r="W207" s="31" t="str">
        <f>Migrationsartikel!P205</f>
        <v>200g</v>
      </c>
      <c r="X207" t="str">
        <f>Migrationsartikel!I205</f>
        <v>Aprikosen getrocknet 200g</v>
      </c>
      <c r="Y207" t="str">
        <f>Migrationsartikel!M205</f>
        <v>Abricots secs 200g</v>
      </c>
      <c r="Z207" t="str">
        <f>Migrationsartikel!Q205</f>
        <v>Albicocche secche 200g</v>
      </c>
      <c r="AA207" s="45">
        <f>Migrationsartikel!R205</f>
        <v>0.2</v>
      </c>
      <c r="AB207" s="46" t="str">
        <f>Migrationsartikel!T205</f>
        <v>Gramm</v>
      </c>
      <c r="AC207">
        <f>Migrationsartikel!S205</f>
        <v>100</v>
      </c>
      <c r="AD207" t="str">
        <f>Migrationsartikel!U205</f>
        <v>(PCE) Stück</v>
      </c>
      <c r="AE207" s="31" t="s">
        <v>179</v>
      </c>
      <c r="AF207" s="31" t="s">
        <v>192</v>
      </c>
      <c r="AG207" t="str">
        <f>IF(Migrationsartikel!AB205="ja","true",FALSE)</f>
        <v>true</v>
      </c>
      <c r="AH207" t="str">
        <f>IF(Migrationsartikel!AC205="ja","true",FALSE)</f>
        <v>true</v>
      </c>
      <c r="AI207" t="str">
        <f>IF(Migrationsartikel!AD205="ja","true",FALSE)</f>
        <v>true</v>
      </c>
      <c r="AJ207" t="str">
        <f>IF(Migrationsartikel!AE205="ja","true",FALSE)</f>
        <v>true</v>
      </c>
      <c r="AK207" t="str">
        <f>IF(Migrationsartikel!AF205="ja","Denner Partner","")</f>
        <v/>
      </c>
      <c r="AL207" t="str">
        <f>IF(Migrationsartikel!AG205="ja","true","false")</f>
        <v>false</v>
      </c>
      <c r="AM207" t="str">
        <f t="shared" si="3"/>
        <v>PLU</v>
      </c>
      <c r="AN207" s="31" t="s">
        <v>219</v>
      </c>
      <c r="AO207" s="31" t="s">
        <v>217</v>
      </c>
    </row>
    <row r="208" spans="2:41" ht="21.75" customHeight="1" x14ac:dyDescent="0.45">
      <c r="B208" t="s">
        <v>99</v>
      </c>
      <c r="E208" s="31" t="s">
        <v>1618</v>
      </c>
      <c r="F208" t="str">
        <f>"Warengruppe&gt;&gt;"&amp;Migrationsartikel!V206&amp;"&gt;&gt;"&amp;Migrationsartikel!W206&amp;"&gt;&gt;"&amp;Migrationsartikel!X206</f>
        <v>Warengruppe&gt;&gt;Früchte und Gemüse&gt;&gt;Früchte und Gemüse&gt;&gt;Früchte</v>
      </c>
      <c r="H208" s="31" t="s">
        <v>109</v>
      </c>
      <c r="I208" s="31" t="s">
        <v>121</v>
      </c>
      <c r="J208" s="31">
        <f>Migrationsartikel!B206</f>
        <v>126</v>
      </c>
      <c r="L208" t="str">
        <f>Migrationsartikel!F206&amp;" "&amp;Migrationsartikel!G206&amp;" "&amp;Migrationsartikel!H206</f>
        <v xml:space="preserve">Bananen Fyffes Offen </v>
      </c>
      <c r="M208" t="str">
        <f>Migrationsartikel!J206&amp;" "&amp;Migrationsartikel!K206&amp;" "&amp;Migrationsartikel!L206</f>
        <v xml:space="preserve">Bananes Fyffes En vrac </v>
      </c>
      <c r="N208" t="str">
        <f>Migrationsartikel!N206&amp;" "&amp;Migrationsartikel!O206&amp;" "&amp;Migrationsartikel!P206</f>
        <v xml:space="preserve">Banane Fyffes vendita sfusa </v>
      </c>
      <c r="O208" t="str">
        <f>Migrationsartikel!F206</f>
        <v>Bananen Fyffes</v>
      </c>
      <c r="P208" t="str">
        <f>Migrationsartikel!J206</f>
        <v>Bananes Fyffes</v>
      </c>
      <c r="Q208" t="str">
        <f>Migrationsartikel!N206</f>
        <v>Banane Fyffes</v>
      </c>
      <c r="R208" t="str">
        <f>Migrationsartikel!G206</f>
        <v>Offen</v>
      </c>
      <c r="S208" t="str">
        <f>Migrationsartikel!K206</f>
        <v>En vrac</v>
      </c>
      <c r="T208" t="str">
        <f>Migrationsartikel!O206</f>
        <v>vendita sfusa</v>
      </c>
      <c r="U208" s="31">
        <f>Migrationsartikel!H206</f>
        <v>0</v>
      </c>
      <c r="V208" s="31">
        <f>Migrationsartikel!L206</f>
        <v>0</v>
      </c>
      <c r="W208" s="31">
        <f>Migrationsartikel!P206</f>
        <v>0</v>
      </c>
      <c r="X208" t="str">
        <f>Migrationsartikel!I206</f>
        <v>Bananen Fyffes Offen</v>
      </c>
      <c r="Y208" t="str">
        <f>Migrationsartikel!M206</f>
        <v>Bananes Fyffes en vrac</v>
      </c>
      <c r="Z208" t="str">
        <f>Migrationsartikel!Q206</f>
        <v>Banane Fyffes vend. sfusa</v>
      </c>
      <c r="AA208" s="45">
        <f>Migrationsartikel!R206</f>
        <v>1</v>
      </c>
      <c r="AB208" s="46" t="str">
        <f>Migrationsartikel!T206</f>
        <v>Kilogramm</v>
      </c>
      <c r="AC208">
        <f>Migrationsartikel!S206</f>
        <v>1</v>
      </c>
      <c r="AD208" t="str">
        <f>Migrationsartikel!U206</f>
        <v>(KGM) KG</v>
      </c>
      <c r="AE208" s="31" t="s">
        <v>179</v>
      </c>
      <c r="AF208" s="31" t="s">
        <v>192</v>
      </c>
      <c r="AG208" t="str">
        <f>IF(Migrationsartikel!AB206="ja","true",FALSE)</f>
        <v>true</v>
      </c>
      <c r="AH208" t="str">
        <f>IF(Migrationsartikel!AC206="ja","true",FALSE)</f>
        <v>true</v>
      </c>
      <c r="AI208" t="str">
        <f>IF(Migrationsartikel!AD206="ja","true",FALSE)</f>
        <v>true</v>
      </c>
      <c r="AJ208" t="str">
        <f>IF(Migrationsartikel!AE206="ja","true",FALSE)</f>
        <v>true</v>
      </c>
      <c r="AK208" t="str">
        <f>IF(Migrationsartikel!AF206="ja","Denner Partner","")</f>
        <v/>
      </c>
      <c r="AL208" t="str">
        <f>IF(Migrationsartikel!AG206="ja","true","false")</f>
        <v>false</v>
      </c>
      <c r="AM208" t="str">
        <f t="shared" si="3"/>
        <v>PLU</v>
      </c>
      <c r="AN208" s="31" t="s">
        <v>219</v>
      </c>
      <c r="AO208" s="31" t="s">
        <v>217</v>
      </c>
    </row>
    <row r="209" spans="2:41" ht="21.75" customHeight="1" x14ac:dyDescent="0.45">
      <c r="B209" t="s">
        <v>99</v>
      </c>
      <c r="E209" s="31" t="s">
        <v>1619</v>
      </c>
      <c r="F209" t="str">
        <f>"Warengruppe&gt;&gt;"&amp;Migrationsartikel!V207&amp;"&gt;&gt;"&amp;Migrationsartikel!W207&amp;"&gt;&gt;"&amp;Migrationsartikel!X207</f>
        <v>Warengruppe&gt;&gt;Früchte und Gemüse&gt;&gt;Früchte und Gemüse&gt;&gt;Früchte</v>
      </c>
      <c r="H209" s="31" t="s">
        <v>109</v>
      </c>
      <c r="I209" s="31" t="s">
        <v>121</v>
      </c>
      <c r="J209" s="31">
        <f>Migrationsartikel!B207</f>
        <v>0</v>
      </c>
      <c r="L209" t="str">
        <f>Migrationsartikel!F207&amp;" "&amp;Migrationsartikel!G207&amp;" "&amp;Migrationsartikel!H207</f>
        <v xml:space="preserve">Bananen gepackt </v>
      </c>
      <c r="M209" t="str">
        <f>Migrationsartikel!J207&amp;" "&amp;Migrationsartikel!K207&amp;" "&amp;Migrationsartikel!L207</f>
        <v xml:space="preserve">Bananes Emballé </v>
      </c>
      <c r="N209" t="str">
        <f>Migrationsartikel!N207&amp;" "&amp;Migrationsartikel!O207&amp;" "&amp;Migrationsartikel!P207</f>
        <v xml:space="preserve">Banane confezionato </v>
      </c>
      <c r="O209" t="str">
        <f>Migrationsartikel!F207</f>
        <v>Bananen</v>
      </c>
      <c r="P209" t="str">
        <f>Migrationsartikel!J207</f>
        <v>Bananes</v>
      </c>
      <c r="Q209" t="str">
        <f>Migrationsartikel!N207</f>
        <v>Banane</v>
      </c>
      <c r="R209" t="str">
        <f>Migrationsartikel!G207</f>
        <v>gepackt</v>
      </c>
      <c r="S209" t="str">
        <f>Migrationsartikel!K207</f>
        <v>Emballé</v>
      </c>
      <c r="T209" t="str">
        <f>Migrationsartikel!O207</f>
        <v>confezionato</v>
      </c>
      <c r="U209" s="31">
        <f>Migrationsartikel!H207</f>
        <v>0</v>
      </c>
      <c r="V209" s="31">
        <f>Migrationsartikel!L207</f>
        <v>0</v>
      </c>
      <c r="W209" s="31">
        <f>Migrationsartikel!P207</f>
        <v>0</v>
      </c>
      <c r="X209" t="str">
        <f>Migrationsartikel!I207</f>
        <v>Bananen gepackt</v>
      </c>
      <c r="Y209" t="str">
        <f>Migrationsartikel!M207</f>
        <v>Bananes emballé</v>
      </c>
      <c r="Z209" t="str">
        <f>Migrationsartikel!Q207</f>
        <v>Banane confezionato</v>
      </c>
      <c r="AA209" s="45">
        <f>Migrationsartikel!R207</f>
        <v>1</v>
      </c>
      <c r="AB209" s="46" t="str">
        <f>Migrationsartikel!T207</f>
        <v>Kilogramm</v>
      </c>
      <c r="AC209">
        <f>Migrationsartikel!S207</f>
        <v>1</v>
      </c>
      <c r="AD209" t="str">
        <f>Migrationsartikel!U207</f>
        <v>(PCE) Stück</v>
      </c>
      <c r="AE209" s="31" t="s">
        <v>179</v>
      </c>
      <c r="AF209" s="31" t="s">
        <v>192</v>
      </c>
      <c r="AG209" t="str">
        <f>IF(Migrationsartikel!AB207="ja","true",FALSE)</f>
        <v>true</v>
      </c>
      <c r="AH209" t="str">
        <f>IF(Migrationsartikel!AC207="ja","true",FALSE)</f>
        <v>true</v>
      </c>
      <c r="AI209" t="str">
        <f>IF(Migrationsartikel!AD207="ja","true",FALSE)</f>
        <v>true</v>
      </c>
      <c r="AJ209" t="str">
        <f>IF(Migrationsartikel!AE207="ja","true",FALSE)</f>
        <v>true</v>
      </c>
      <c r="AK209" t="str">
        <f>IF(Migrationsartikel!AF207="ja","Denner Partner","")</f>
        <v/>
      </c>
      <c r="AL209" t="str">
        <f>IF(Migrationsartikel!AG207="ja","true","false")</f>
        <v>false</v>
      </c>
      <c r="AM209" t="str">
        <f t="shared" si="3"/>
        <v>PLU</v>
      </c>
      <c r="AN209" s="31" t="s">
        <v>219</v>
      </c>
      <c r="AO209" s="31" t="s">
        <v>217</v>
      </c>
    </row>
    <row r="210" spans="2:41" ht="21.75" customHeight="1" x14ac:dyDescent="0.45">
      <c r="B210" t="s">
        <v>99</v>
      </c>
      <c r="E210" s="31" t="s">
        <v>1620</v>
      </c>
      <c r="F210" t="str">
        <f>"Warengruppe&gt;&gt;"&amp;Migrationsartikel!V208&amp;"&gt;&gt;"&amp;Migrationsartikel!W208&amp;"&gt;&gt;"&amp;Migrationsartikel!X208</f>
        <v>Warengruppe&gt;&gt;Früchte und Gemüse&gt;&gt;Früchte und Gemüse&gt;&gt;Früchte</v>
      </c>
      <c r="H210" s="31" t="s">
        <v>109</v>
      </c>
      <c r="I210" s="31" t="s">
        <v>121</v>
      </c>
      <c r="J210" s="31">
        <f>Migrationsartikel!B208</f>
        <v>0</v>
      </c>
      <c r="L210" t="str">
        <f>Migrationsartikel!F208&amp;" "&amp;Migrationsartikel!G208&amp;" "&amp;Migrationsartikel!H208</f>
        <v>Beerenmischung Schale 250g</v>
      </c>
      <c r="M210" t="str">
        <f>Migrationsartikel!J208&amp;" "&amp;Migrationsartikel!K208&amp;" "&amp;Migrationsartikel!L208</f>
        <v>Mélange de baies Barquette 250g</v>
      </c>
      <c r="N210" t="str">
        <f>Migrationsartikel!N208&amp;" "&amp;Migrationsartikel!O208&amp;" "&amp;Migrationsartikel!P208</f>
        <v>Bacche miste vaschetta 250g</v>
      </c>
      <c r="O210" t="str">
        <f>Migrationsartikel!F208</f>
        <v>Beerenmischung</v>
      </c>
      <c r="P210" t="str">
        <f>Migrationsartikel!J208</f>
        <v>Mélange de baies</v>
      </c>
      <c r="Q210" t="str">
        <f>Migrationsartikel!N208</f>
        <v>Bacche miste</v>
      </c>
      <c r="R210" t="str">
        <f>Migrationsartikel!G208</f>
        <v>Schale</v>
      </c>
      <c r="S210" t="str">
        <f>Migrationsartikel!K208</f>
        <v>Barquette</v>
      </c>
      <c r="T210" t="str">
        <f>Migrationsartikel!O208</f>
        <v>vaschetta</v>
      </c>
      <c r="U210" s="31" t="str">
        <f>Migrationsartikel!H208</f>
        <v>250g</v>
      </c>
      <c r="V210" s="31" t="str">
        <f>Migrationsartikel!L208</f>
        <v>250g</v>
      </c>
      <c r="W210" s="31" t="str">
        <f>Migrationsartikel!P208</f>
        <v>250g</v>
      </c>
      <c r="X210" t="str">
        <f>Migrationsartikel!I208</f>
        <v>Beerenmischung Schale 250g</v>
      </c>
      <c r="Y210" t="str">
        <f>Migrationsartikel!M208</f>
        <v>Melange de baies 250g</v>
      </c>
      <c r="Z210" t="str">
        <f>Migrationsartikel!Q208</f>
        <v>Bacche miste 250g</v>
      </c>
      <c r="AA210" s="45">
        <f>Migrationsartikel!R208</f>
        <v>0.25</v>
      </c>
      <c r="AB210" s="46" t="str">
        <f>Migrationsartikel!T208</f>
        <v>Gramm</v>
      </c>
      <c r="AC210">
        <f>Migrationsartikel!S208</f>
        <v>100</v>
      </c>
      <c r="AD210" t="str">
        <f>Migrationsartikel!U208</f>
        <v>(PCE) Stück</v>
      </c>
      <c r="AE210" s="31" t="s">
        <v>179</v>
      </c>
      <c r="AF210" s="31" t="s">
        <v>192</v>
      </c>
      <c r="AG210" t="str">
        <f>IF(Migrationsartikel!AB208="ja","true",FALSE)</f>
        <v>true</v>
      </c>
      <c r="AH210" t="str">
        <f>IF(Migrationsartikel!AC208="ja","true",FALSE)</f>
        <v>true</v>
      </c>
      <c r="AI210" t="str">
        <f>IF(Migrationsartikel!AD208="ja","true",FALSE)</f>
        <v>true</v>
      </c>
      <c r="AJ210" t="str">
        <f>IF(Migrationsartikel!AE208="ja","true",FALSE)</f>
        <v>true</v>
      </c>
      <c r="AK210" t="str">
        <f>IF(Migrationsartikel!AF208="ja","Denner Partner","")</f>
        <v/>
      </c>
      <c r="AL210" t="str">
        <f>IF(Migrationsartikel!AG208="ja","true","false")</f>
        <v>false</v>
      </c>
      <c r="AM210" t="str">
        <f t="shared" si="3"/>
        <v>PLU</v>
      </c>
      <c r="AN210" s="31" t="s">
        <v>219</v>
      </c>
      <c r="AO210" s="31" t="s">
        <v>217</v>
      </c>
    </row>
    <row r="211" spans="2:41" ht="21.75" customHeight="1" x14ac:dyDescent="0.45">
      <c r="B211" t="s">
        <v>99</v>
      </c>
      <c r="E211" s="31" t="s">
        <v>1621</v>
      </c>
      <c r="F211" t="str">
        <f>"Warengruppe&gt;&gt;"&amp;Migrationsartikel!V209&amp;"&gt;&gt;"&amp;Migrationsartikel!W209&amp;"&gt;&gt;"&amp;Migrationsartikel!X209</f>
        <v>Warengruppe&gt;&gt;Früchte und Gemüse&gt;&gt;Früchte und Gemüse&gt;&gt;Früchte</v>
      </c>
      <c r="H211" s="31" t="s">
        <v>109</v>
      </c>
      <c r="I211" s="31" t="s">
        <v>121</v>
      </c>
      <c r="J211" s="31">
        <f>Migrationsartikel!B209</f>
        <v>128</v>
      </c>
      <c r="L211" t="str">
        <f>Migrationsartikel!F209&amp;" "&amp;Migrationsartikel!G209&amp;" "&amp;Migrationsartikel!H209</f>
        <v xml:space="preserve">Bio Bananen Offen  </v>
      </c>
      <c r="M211" t="str">
        <f>Migrationsartikel!J209&amp;" "&amp;Migrationsartikel!K209&amp;" "&amp;Migrationsartikel!L209</f>
        <v xml:space="preserve">Bio Bananes En vrac </v>
      </c>
      <c r="N211" t="str">
        <f>Migrationsartikel!N209&amp;" "&amp;Migrationsartikel!O209&amp;" "&amp;Migrationsartikel!P209</f>
        <v xml:space="preserve">Bio Banane vendita sfusa </v>
      </c>
      <c r="O211" t="str">
        <f>Migrationsartikel!F209</f>
        <v>Bio Bananen Offen</v>
      </c>
      <c r="P211" t="str">
        <f>Migrationsartikel!J209</f>
        <v>Bio Bananes</v>
      </c>
      <c r="Q211" t="str">
        <f>Migrationsartikel!N209</f>
        <v>Bio Banane</v>
      </c>
      <c r="R211">
        <f>Migrationsartikel!G209</f>
        <v>0</v>
      </c>
      <c r="S211" t="str">
        <f>Migrationsartikel!K209</f>
        <v>En vrac</v>
      </c>
      <c r="T211" t="str">
        <f>Migrationsartikel!O209</f>
        <v>vendita sfusa</v>
      </c>
      <c r="U211" s="31">
        <f>Migrationsartikel!H209</f>
        <v>0</v>
      </c>
      <c r="V211" s="31">
        <f>Migrationsartikel!L209</f>
        <v>0</v>
      </c>
      <c r="W211" s="31">
        <f>Migrationsartikel!P209</f>
        <v>0</v>
      </c>
      <c r="X211" t="str">
        <f>Migrationsartikel!I209</f>
        <v>Bio Bananen Offen</v>
      </c>
      <c r="Y211" t="str">
        <f>Migrationsartikel!M209</f>
        <v>Bio Bananes en vrac</v>
      </c>
      <c r="Z211" t="str">
        <f>Migrationsartikel!Q209</f>
        <v>Bio Banane vendita sfusa</v>
      </c>
      <c r="AA211" s="45">
        <f>Migrationsartikel!R209</f>
        <v>1</v>
      </c>
      <c r="AB211" s="46" t="str">
        <f>Migrationsartikel!T209</f>
        <v>Kilogramm</v>
      </c>
      <c r="AC211">
        <f>Migrationsartikel!S209</f>
        <v>1</v>
      </c>
      <c r="AD211" t="str">
        <f>Migrationsartikel!U209</f>
        <v>(KGM) KG</v>
      </c>
      <c r="AE211" s="31" t="s">
        <v>179</v>
      </c>
      <c r="AF211" s="31" t="s">
        <v>192</v>
      </c>
      <c r="AG211" t="str">
        <f>IF(Migrationsartikel!AB209="ja","true",FALSE)</f>
        <v>true</v>
      </c>
      <c r="AH211" t="str">
        <f>IF(Migrationsartikel!AC209="ja","true",FALSE)</f>
        <v>true</v>
      </c>
      <c r="AI211" t="str">
        <f>IF(Migrationsartikel!AD209="ja","true",FALSE)</f>
        <v>true</v>
      </c>
      <c r="AJ211" t="str">
        <f>IF(Migrationsartikel!AE209="ja","true",FALSE)</f>
        <v>true</v>
      </c>
      <c r="AK211" t="str">
        <f>IF(Migrationsartikel!AF209="ja","Denner Partner","")</f>
        <v/>
      </c>
      <c r="AL211" t="str">
        <f>IF(Migrationsartikel!AG209="ja","true","false")</f>
        <v>false</v>
      </c>
      <c r="AM211" t="str">
        <f t="shared" si="3"/>
        <v>PLU</v>
      </c>
      <c r="AN211" s="31" t="s">
        <v>219</v>
      </c>
      <c r="AO211" s="31" t="s">
        <v>217</v>
      </c>
    </row>
    <row r="212" spans="2:41" ht="21.75" customHeight="1" x14ac:dyDescent="0.45">
      <c r="B212" t="s">
        <v>99</v>
      </c>
      <c r="E212" s="31" t="s">
        <v>1622</v>
      </c>
      <c r="F212" t="str">
        <f>"Warengruppe&gt;&gt;"&amp;Migrationsartikel!V210&amp;"&gt;&gt;"&amp;Migrationsartikel!W210&amp;"&gt;&gt;"&amp;Migrationsartikel!X210</f>
        <v>Warengruppe&gt;&gt;Früchte und Gemüse&gt;&gt;Früchte und Gemüse&gt;&gt;Früchte</v>
      </c>
      <c r="H212" s="31" t="s">
        <v>109</v>
      </c>
      <c r="I212" s="31" t="s">
        <v>121</v>
      </c>
      <c r="J212" s="31">
        <f>Migrationsartikel!B210</f>
        <v>171</v>
      </c>
      <c r="L212" t="str">
        <f>Migrationsartikel!F210&amp;" "&amp;Migrationsartikel!G210&amp;" "&amp;Migrationsartikel!H210</f>
        <v xml:space="preserve">Bio Wassermelone Mini  </v>
      </c>
      <c r="M212" t="str">
        <f>Migrationsartikel!J210&amp;" "&amp;Migrationsartikel!K210&amp;" "&amp;Migrationsartikel!L210</f>
        <v xml:space="preserve">Bio Pastèques Mini </v>
      </c>
      <c r="N212" t="str">
        <f>Migrationsartikel!N210&amp;" "&amp;Migrationsartikel!O210&amp;" "&amp;Migrationsartikel!P210</f>
        <v xml:space="preserve">Bio Angurie mini  </v>
      </c>
      <c r="O212" t="str">
        <f>Migrationsartikel!F210</f>
        <v>Bio Wassermelone Mini</v>
      </c>
      <c r="P212" t="str">
        <f>Migrationsartikel!J210</f>
        <v>Bio Pastèques</v>
      </c>
      <c r="Q212" t="str">
        <f>Migrationsartikel!N210</f>
        <v>Bio Angurie mini</v>
      </c>
      <c r="R212">
        <f>Migrationsartikel!G210</f>
        <v>0</v>
      </c>
      <c r="S212" t="str">
        <f>Migrationsartikel!K210</f>
        <v>Mini</v>
      </c>
      <c r="T212">
        <f>Migrationsartikel!O210</f>
        <v>0</v>
      </c>
      <c r="U212" s="31">
        <f>Migrationsartikel!H210</f>
        <v>0</v>
      </c>
      <c r="V212" s="31">
        <f>Migrationsartikel!L210</f>
        <v>0</v>
      </c>
      <c r="W212" s="31">
        <f>Migrationsartikel!P210</f>
        <v>0</v>
      </c>
      <c r="X212" t="str">
        <f>Migrationsartikel!I210</f>
        <v>Bio Wassermelone Mini</v>
      </c>
      <c r="Y212" t="str">
        <f>Migrationsartikel!M210</f>
        <v>Bio Pastèques Mini</v>
      </c>
      <c r="Z212" t="str">
        <f>Migrationsartikel!Q210</f>
        <v>Bio Angurie mini</v>
      </c>
      <c r="AA212" s="45">
        <f>Migrationsartikel!R210</f>
        <v>1</v>
      </c>
      <c r="AB212" s="46" t="str">
        <f>Migrationsartikel!T210</f>
        <v>Kilogramm</v>
      </c>
      <c r="AC212">
        <f>Migrationsartikel!S210</f>
        <v>1</v>
      </c>
      <c r="AD212" t="str">
        <f>Migrationsartikel!U210</f>
        <v>(KGM) KG</v>
      </c>
      <c r="AE212" s="31" t="s">
        <v>179</v>
      </c>
      <c r="AF212" s="31" t="s">
        <v>192</v>
      </c>
      <c r="AG212" t="str">
        <f>IF(Migrationsartikel!AB210="ja","true",FALSE)</f>
        <v>true</v>
      </c>
      <c r="AH212" t="str">
        <f>IF(Migrationsartikel!AC210="ja","true",FALSE)</f>
        <v>true</v>
      </c>
      <c r="AI212" t="str">
        <f>IF(Migrationsartikel!AD210="ja","true",FALSE)</f>
        <v>true</v>
      </c>
      <c r="AJ212" t="str">
        <f>IF(Migrationsartikel!AE210="ja","true",FALSE)</f>
        <v>true</v>
      </c>
      <c r="AK212" t="str">
        <f>IF(Migrationsartikel!AF210="ja","Denner Partner","")</f>
        <v/>
      </c>
      <c r="AL212" t="str">
        <f>IF(Migrationsartikel!AG210="ja","true","false")</f>
        <v>false</v>
      </c>
      <c r="AM212" t="str">
        <f t="shared" si="3"/>
        <v>PLU</v>
      </c>
      <c r="AN212" s="31" t="s">
        <v>219</v>
      </c>
      <c r="AO212" s="31" t="s">
        <v>217</v>
      </c>
    </row>
    <row r="213" spans="2:41" ht="21.75" customHeight="1" x14ac:dyDescent="0.45">
      <c r="B213" t="s">
        <v>99</v>
      </c>
      <c r="E213" s="31" t="s">
        <v>1623</v>
      </c>
      <c r="F213" t="str">
        <f>"Warengruppe&gt;&gt;"&amp;Migrationsartikel!V211&amp;"&gt;&gt;"&amp;Migrationsartikel!W211&amp;"&gt;&gt;"&amp;Migrationsartikel!X211</f>
        <v>Warengruppe&gt;&gt;Früchte und Gemüse&gt;&gt;Früchte und Gemüse&gt;&gt;Früchte</v>
      </c>
      <c r="H213" s="31" t="s">
        <v>109</v>
      </c>
      <c r="I213" s="31" t="s">
        <v>121</v>
      </c>
      <c r="J213" s="31">
        <f>Migrationsartikel!B211</f>
        <v>159</v>
      </c>
      <c r="L213" t="str">
        <f>Migrationsartikel!F211&amp;" "&amp;Migrationsartikel!G211&amp;" "&amp;Migrationsartikel!H211</f>
        <v xml:space="preserve">Bio Orangen Offen  </v>
      </c>
      <c r="M213" t="str">
        <f>Migrationsartikel!J211&amp;" "&amp;Migrationsartikel!K211&amp;" "&amp;Migrationsartikel!L211</f>
        <v xml:space="preserve">Bio Oranges En vrac </v>
      </c>
      <c r="N213" t="str">
        <f>Migrationsartikel!N211&amp;" "&amp;Migrationsartikel!O211&amp;" "&amp;Migrationsartikel!P211</f>
        <v xml:space="preserve">Bio Arance vendita sfusa </v>
      </c>
      <c r="O213" t="str">
        <f>Migrationsartikel!F211</f>
        <v>Bio Orangen Offen</v>
      </c>
      <c r="P213" t="str">
        <f>Migrationsartikel!J211</f>
        <v>Bio Oranges</v>
      </c>
      <c r="Q213" t="str">
        <f>Migrationsartikel!N211</f>
        <v>Bio Arance</v>
      </c>
      <c r="R213">
        <f>Migrationsartikel!G211</f>
        <v>0</v>
      </c>
      <c r="S213" t="str">
        <f>Migrationsartikel!K211</f>
        <v>En vrac</v>
      </c>
      <c r="T213" t="str">
        <f>Migrationsartikel!O211</f>
        <v>vendita sfusa</v>
      </c>
      <c r="U213" s="31">
        <f>Migrationsartikel!H211</f>
        <v>0</v>
      </c>
      <c r="V213" s="31">
        <f>Migrationsartikel!L211</f>
        <v>0</v>
      </c>
      <c r="W213" s="31">
        <f>Migrationsartikel!P211</f>
        <v>0</v>
      </c>
      <c r="X213" t="str">
        <f>Migrationsartikel!I211</f>
        <v>Bio Orangen Offen</v>
      </c>
      <c r="Y213" t="str">
        <f>Migrationsartikel!M211</f>
        <v>Bio Oranges en vrac</v>
      </c>
      <c r="Z213" t="str">
        <f>Migrationsartikel!Q211</f>
        <v>Bio Arance vendita sfusa</v>
      </c>
      <c r="AA213" s="45">
        <f>Migrationsartikel!R211</f>
        <v>1</v>
      </c>
      <c r="AB213" s="46" t="str">
        <f>Migrationsartikel!T211</f>
        <v>Kilogramm</v>
      </c>
      <c r="AC213">
        <f>Migrationsartikel!S211</f>
        <v>1</v>
      </c>
      <c r="AD213" t="str">
        <f>Migrationsartikel!U211</f>
        <v>(KGM) KG</v>
      </c>
      <c r="AE213" s="31" t="s">
        <v>179</v>
      </c>
      <c r="AF213" s="31" t="s">
        <v>192</v>
      </c>
      <c r="AG213" t="str">
        <f>IF(Migrationsartikel!AB211="ja","true",FALSE)</f>
        <v>true</v>
      </c>
      <c r="AH213" t="str">
        <f>IF(Migrationsartikel!AC211="ja","true",FALSE)</f>
        <v>true</v>
      </c>
      <c r="AI213" t="str">
        <f>IF(Migrationsartikel!AD211="ja","true",FALSE)</f>
        <v>true</v>
      </c>
      <c r="AJ213" t="str">
        <f>IF(Migrationsartikel!AE211="ja","true",FALSE)</f>
        <v>true</v>
      </c>
      <c r="AK213" t="str">
        <f>IF(Migrationsartikel!AF211="ja","Denner Partner","")</f>
        <v/>
      </c>
      <c r="AL213" t="str">
        <f>IF(Migrationsartikel!AG211="ja","true","false")</f>
        <v>false</v>
      </c>
      <c r="AM213" t="str">
        <f t="shared" si="3"/>
        <v>PLU</v>
      </c>
      <c r="AN213" s="31" t="s">
        <v>219</v>
      </c>
      <c r="AO213" s="31" t="s">
        <v>217</v>
      </c>
    </row>
    <row r="214" spans="2:41" ht="21.75" customHeight="1" x14ac:dyDescent="0.45">
      <c r="B214" t="s">
        <v>99</v>
      </c>
      <c r="E214" s="31" t="s">
        <v>1624</v>
      </c>
      <c r="F214" t="str">
        <f>"Warengruppe&gt;&gt;"&amp;Migrationsartikel!V212&amp;"&gt;&gt;"&amp;Migrationsartikel!W212&amp;"&gt;&gt;"&amp;Migrationsartikel!X212</f>
        <v>Warengruppe&gt;&gt;Früchte und Gemüse&gt;&gt;Früchte und Gemüse&gt;&gt;Früchte</v>
      </c>
      <c r="H214" s="31" t="s">
        <v>109</v>
      </c>
      <c r="I214" s="31" t="s">
        <v>121</v>
      </c>
      <c r="J214" s="31">
        <f>Migrationsartikel!B212</f>
        <v>137</v>
      </c>
      <c r="L214" t="str">
        <f>Migrationsartikel!F212&amp;" "&amp;Migrationsartikel!G212&amp;" "&amp;Migrationsartikel!H212</f>
        <v xml:space="preserve">Birnen Ercolini Offen Kl. 1 </v>
      </c>
      <c r="M214" t="str">
        <f>Migrationsartikel!J212&amp;" "&amp;Migrationsartikel!K212&amp;" "&amp;Migrationsartikel!L212</f>
        <v xml:space="preserve">Poires Ercolini En vrac, cl. 1 </v>
      </c>
      <c r="N214" t="str">
        <f>Migrationsartikel!N212&amp;" "&amp;Migrationsartikel!O212&amp;" "&amp;Migrationsartikel!P212</f>
        <v xml:space="preserve">Pere Ercolini Cl. 1 vendita sfusa </v>
      </c>
      <c r="O214" t="str">
        <f>Migrationsartikel!F212</f>
        <v>Birnen Ercolini</v>
      </c>
      <c r="P214" t="str">
        <f>Migrationsartikel!J212</f>
        <v>Poires Ercolini</v>
      </c>
      <c r="Q214" t="str">
        <f>Migrationsartikel!N212</f>
        <v>Pere Ercolini</v>
      </c>
      <c r="R214" t="str">
        <f>Migrationsartikel!G212</f>
        <v>Offen Kl. 1</v>
      </c>
      <c r="S214" t="str">
        <f>Migrationsartikel!K212</f>
        <v>En vrac, cl. 1</v>
      </c>
      <c r="T214" t="str">
        <f>Migrationsartikel!O212</f>
        <v>Cl. 1 vendita sfusa</v>
      </c>
      <c r="U214" s="31">
        <f>Migrationsartikel!H212</f>
        <v>0</v>
      </c>
      <c r="V214" s="31">
        <f>Migrationsartikel!L212</f>
        <v>0</v>
      </c>
      <c r="W214" s="31">
        <f>Migrationsartikel!P212</f>
        <v>0</v>
      </c>
      <c r="X214" t="str">
        <f>Migrationsartikel!I212</f>
        <v>Birnen Ercolini Offen Kl. 1</v>
      </c>
      <c r="Y214" t="str">
        <f>Migrationsartikel!M212</f>
        <v>Poire Ercolini en vrac cl. 1</v>
      </c>
      <c r="Z214" t="str">
        <f>Migrationsartikel!Q212</f>
        <v>Pere Ercolini cl.1 vend. Sf.</v>
      </c>
      <c r="AA214" s="45">
        <f>Migrationsartikel!R212</f>
        <v>1</v>
      </c>
      <c r="AB214" s="46" t="str">
        <f>Migrationsartikel!T212</f>
        <v>Kilogramm</v>
      </c>
      <c r="AC214">
        <f>Migrationsartikel!S212</f>
        <v>1</v>
      </c>
      <c r="AD214" t="str">
        <f>Migrationsartikel!U212</f>
        <v>(KGM) KG</v>
      </c>
      <c r="AE214" s="31" t="s">
        <v>179</v>
      </c>
      <c r="AF214" s="31" t="s">
        <v>192</v>
      </c>
      <c r="AG214" t="str">
        <f>IF(Migrationsartikel!AB212="ja","true",FALSE)</f>
        <v>true</v>
      </c>
      <c r="AH214" t="str">
        <f>IF(Migrationsartikel!AC212="ja","true",FALSE)</f>
        <v>true</v>
      </c>
      <c r="AI214" t="str">
        <f>IF(Migrationsartikel!AD212="ja","true",FALSE)</f>
        <v>true</v>
      </c>
      <c r="AJ214" t="str">
        <f>IF(Migrationsartikel!AE212="ja","true",FALSE)</f>
        <v>true</v>
      </c>
      <c r="AK214" t="str">
        <f>IF(Migrationsartikel!AF212="ja","Denner Partner","")</f>
        <v/>
      </c>
      <c r="AL214" t="str">
        <f>IF(Migrationsartikel!AG212="ja","true","false")</f>
        <v>false</v>
      </c>
      <c r="AM214" t="str">
        <f t="shared" si="3"/>
        <v>PLU</v>
      </c>
      <c r="AN214" s="31" t="s">
        <v>219</v>
      </c>
      <c r="AO214" s="31" t="s">
        <v>217</v>
      </c>
    </row>
    <row r="215" spans="2:41" ht="21.75" customHeight="1" x14ac:dyDescent="0.45">
      <c r="B215" t="s">
        <v>99</v>
      </c>
      <c r="E215" s="31" t="s">
        <v>1625</v>
      </c>
      <c r="F215" t="str">
        <f>"Warengruppe&gt;&gt;"&amp;Migrationsartikel!V213&amp;"&gt;&gt;"&amp;Migrationsartikel!W213&amp;"&gt;&gt;"&amp;Migrationsartikel!X213</f>
        <v>Warengruppe&gt;&gt;Früchte und Gemüse&gt;&gt;Früchte und Gemüse&gt;&gt;Früchte</v>
      </c>
      <c r="H215" s="31" t="s">
        <v>109</v>
      </c>
      <c r="I215" s="31" t="s">
        <v>121</v>
      </c>
      <c r="J215" s="31">
        <f>Migrationsartikel!B213</f>
        <v>142</v>
      </c>
      <c r="L215" t="str">
        <f>Migrationsartikel!F213&amp;" "&amp;Migrationsartikel!G213&amp;" "&amp;Migrationsartikel!H213</f>
        <v xml:space="preserve">Birnen Kaiser Offen Kl. 1 </v>
      </c>
      <c r="M215" t="str">
        <f>Migrationsartikel!J213&amp;" "&amp;Migrationsartikel!K213&amp;" "&amp;Migrationsartikel!L213</f>
        <v xml:space="preserve">Poires Beurré Bosc En vrac, cl. 1 </v>
      </c>
      <c r="N215" t="str">
        <f>Migrationsartikel!N213&amp;" "&amp;Migrationsartikel!O213&amp;" "&amp;Migrationsartikel!P213</f>
        <v xml:space="preserve">Pere Kaiser Cl. 1 vendita sfusa </v>
      </c>
      <c r="O215" t="str">
        <f>Migrationsartikel!F213</f>
        <v>Birnen Kaiser</v>
      </c>
      <c r="P215" t="str">
        <f>Migrationsartikel!J213</f>
        <v>Poires Beurré Bosc</v>
      </c>
      <c r="Q215" t="str">
        <f>Migrationsartikel!N213</f>
        <v>Pere Kaiser</v>
      </c>
      <c r="R215" t="str">
        <f>Migrationsartikel!G213</f>
        <v>Offen Kl. 1</v>
      </c>
      <c r="S215" t="str">
        <f>Migrationsartikel!K213</f>
        <v>En vrac, cl. 1</v>
      </c>
      <c r="T215" t="str">
        <f>Migrationsartikel!O213</f>
        <v>Cl. 1 vendita sfusa</v>
      </c>
      <c r="U215" s="31">
        <f>Migrationsartikel!H213</f>
        <v>0</v>
      </c>
      <c r="V215" s="31">
        <f>Migrationsartikel!L213</f>
        <v>0</v>
      </c>
      <c r="W215" s="31">
        <f>Migrationsartikel!P213</f>
        <v>0</v>
      </c>
      <c r="X215" t="str">
        <f>Migrationsartikel!I213</f>
        <v>Birnen Kaiser Offen Kl.1</v>
      </c>
      <c r="Y215" t="str">
        <f>Migrationsartikel!M213</f>
        <v>Poire Beurré Bosc en v. cl1</v>
      </c>
      <c r="Z215" t="str">
        <f>Migrationsartikel!Q213</f>
        <v>Pere Kaiser cl. 1 vendta sf.</v>
      </c>
      <c r="AA215" s="45">
        <f>Migrationsartikel!R213</f>
        <v>1</v>
      </c>
      <c r="AB215" s="46" t="str">
        <f>Migrationsartikel!T213</f>
        <v>Kilogramm</v>
      </c>
      <c r="AC215">
        <f>Migrationsartikel!S213</f>
        <v>1</v>
      </c>
      <c r="AD215" t="str">
        <f>Migrationsartikel!U213</f>
        <v>(KGM) KG</v>
      </c>
      <c r="AE215" s="31" t="s">
        <v>179</v>
      </c>
      <c r="AF215" s="31" t="s">
        <v>192</v>
      </c>
      <c r="AG215" t="str">
        <f>IF(Migrationsartikel!AB213="ja","true",FALSE)</f>
        <v>true</v>
      </c>
      <c r="AH215" t="str">
        <f>IF(Migrationsartikel!AC213="ja","true",FALSE)</f>
        <v>true</v>
      </c>
      <c r="AI215" t="str">
        <f>IF(Migrationsartikel!AD213="ja","true",FALSE)</f>
        <v>true</v>
      </c>
      <c r="AJ215" t="str">
        <f>IF(Migrationsartikel!AE213="ja","true",FALSE)</f>
        <v>true</v>
      </c>
      <c r="AK215" t="str">
        <f>IF(Migrationsartikel!AF213="ja","Denner Partner","")</f>
        <v/>
      </c>
      <c r="AL215" t="str">
        <f>IF(Migrationsartikel!AG213="ja","true","false")</f>
        <v>false</v>
      </c>
      <c r="AM215" t="str">
        <f t="shared" si="3"/>
        <v>PLU</v>
      </c>
      <c r="AN215" s="31" t="s">
        <v>219</v>
      </c>
      <c r="AO215" s="31" t="s">
        <v>217</v>
      </c>
    </row>
    <row r="216" spans="2:41" ht="21.75" customHeight="1" x14ac:dyDescent="0.45">
      <c r="B216" t="s">
        <v>99</v>
      </c>
      <c r="E216" s="31" t="s">
        <v>1626</v>
      </c>
      <c r="F216" t="str">
        <f>"Warengruppe&gt;&gt;"&amp;Migrationsartikel!V214&amp;"&gt;&gt;"&amp;Migrationsartikel!W214&amp;"&gt;&gt;"&amp;Migrationsartikel!X214</f>
        <v>Warengruppe&gt;&gt;Früchte und Gemüse&gt;&gt;Früchte und Gemüse&gt;&gt;Früchte</v>
      </c>
      <c r="H216" s="31" t="s">
        <v>109</v>
      </c>
      <c r="I216" s="31" t="s">
        <v>121</v>
      </c>
      <c r="J216" s="31">
        <f>Migrationsartikel!B214</f>
        <v>0</v>
      </c>
      <c r="L216" t="str">
        <f>Migrationsartikel!F214&amp;" "&amp;Migrationsartikel!G214&amp;" "&amp;Migrationsartikel!H214</f>
        <v xml:space="preserve">Birnen Abate Kl. 1 gepackt </v>
      </c>
      <c r="M216" t="str">
        <f>Migrationsartikel!J214&amp;" "&amp;Migrationsartikel!K214&amp;" "&amp;Migrationsartikel!L214</f>
        <v xml:space="preserve">Poires Abate Cl. 1 emballé </v>
      </c>
      <c r="N216" t="str">
        <f>Migrationsartikel!N214&amp;" "&amp;Migrationsartikel!O214&amp;" "&amp;Migrationsartikel!P214</f>
        <v xml:space="preserve">Pere Abate Cl. 1 confezionato </v>
      </c>
      <c r="O216" t="str">
        <f>Migrationsartikel!F214</f>
        <v>Birnen Abate</v>
      </c>
      <c r="P216" t="str">
        <f>Migrationsartikel!J214</f>
        <v>Poires Abate</v>
      </c>
      <c r="Q216" t="str">
        <f>Migrationsartikel!N214</f>
        <v>Pere Abate</v>
      </c>
      <c r="R216" t="str">
        <f>Migrationsartikel!G214</f>
        <v>Kl. 1 gepackt</v>
      </c>
      <c r="S216" t="str">
        <f>Migrationsartikel!K214</f>
        <v>Cl. 1 emballé</v>
      </c>
      <c r="T216" t="str">
        <f>Migrationsartikel!O214</f>
        <v>Cl. 1 confezionato</v>
      </c>
      <c r="U216" s="31">
        <f>Migrationsartikel!H214</f>
        <v>0</v>
      </c>
      <c r="V216" s="31">
        <f>Migrationsartikel!L214</f>
        <v>0</v>
      </c>
      <c r="W216" s="31">
        <f>Migrationsartikel!P214</f>
        <v>0</v>
      </c>
      <c r="X216" t="str">
        <f>Migrationsartikel!I214</f>
        <v>Birnen Abate Kl. 1 gepackt</v>
      </c>
      <c r="Y216" t="str">
        <f>Migrationsartikel!M214</f>
        <v>Poires Abate cl. 1 emballé</v>
      </c>
      <c r="Z216" t="str">
        <f>Migrationsartikel!Q214</f>
        <v>Pere Abate cl.1 confezionato</v>
      </c>
      <c r="AA216" s="45">
        <f>Migrationsartikel!R214</f>
        <v>1</v>
      </c>
      <c r="AB216" s="46" t="str">
        <f>Migrationsartikel!T214</f>
        <v>Kilogramm</v>
      </c>
      <c r="AC216">
        <f>Migrationsartikel!S214</f>
        <v>1</v>
      </c>
      <c r="AD216" t="str">
        <f>Migrationsartikel!U214</f>
        <v>(PCE) Stück</v>
      </c>
      <c r="AE216" s="31" t="s">
        <v>179</v>
      </c>
      <c r="AF216" s="31" t="s">
        <v>192</v>
      </c>
      <c r="AG216" t="str">
        <f>IF(Migrationsartikel!AB214="ja","true",FALSE)</f>
        <v>true</v>
      </c>
      <c r="AH216" t="str">
        <f>IF(Migrationsartikel!AC214="ja","true",FALSE)</f>
        <v>true</v>
      </c>
      <c r="AI216" t="str">
        <f>IF(Migrationsartikel!AD214="ja","true",FALSE)</f>
        <v>true</v>
      </c>
      <c r="AJ216" t="str">
        <f>IF(Migrationsartikel!AE214="ja","true",FALSE)</f>
        <v>true</v>
      </c>
      <c r="AK216" t="str">
        <f>IF(Migrationsartikel!AF214="ja","Denner Partner","")</f>
        <v/>
      </c>
      <c r="AL216" t="str">
        <f>IF(Migrationsartikel!AG214="ja","true","false")</f>
        <v>false</v>
      </c>
      <c r="AM216" t="str">
        <f t="shared" si="3"/>
        <v>PLU</v>
      </c>
      <c r="AN216" s="31" t="s">
        <v>219</v>
      </c>
      <c r="AO216" s="31" t="s">
        <v>217</v>
      </c>
    </row>
    <row r="217" spans="2:41" ht="21.75" customHeight="1" x14ac:dyDescent="0.45">
      <c r="B217" t="s">
        <v>99</v>
      </c>
      <c r="E217" s="31" t="s">
        <v>1627</v>
      </c>
      <c r="F217" t="str">
        <f>"Warengruppe&gt;&gt;"&amp;Migrationsartikel!V215&amp;"&gt;&gt;"&amp;Migrationsartikel!W215&amp;"&gt;&gt;"&amp;Migrationsartikel!X215</f>
        <v>Warengruppe&gt;&gt;Früchte und Gemüse&gt;&gt;Früchte und Gemüse&gt;&gt;Früchte</v>
      </c>
      <c r="H217" s="31" t="s">
        <v>109</v>
      </c>
      <c r="I217" s="31" t="s">
        <v>121</v>
      </c>
      <c r="J217" s="31">
        <f>Migrationsartikel!B215</f>
        <v>0</v>
      </c>
      <c r="L217" t="str">
        <f>Migrationsartikel!F215&amp;" "&amp;Migrationsartikel!G215&amp;" "&amp;Migrationsartikel!H215</f>
        <v xml:space="preserve">Bio Birnen Abate Kl. 1 gepackt </v>
      </c>
      <c r="M217" t="str">
        <f>Migrationsartikel!J215&amp;" "&amp;Migrationsartikel!K215&amp;" "&amp;Migrationsartikel!L215</f>
        <v xml:space="preserve">Bio Poires Abate Cl. 1 emballé </v>
      </c>
      <c r="N217" t="str">
        <f>Migrationsartikel!N215&amp;" "&amp;Migrationsartikel!O215&amp;" "&amp;Migrationsartikel!P215</f>
        <v xml:space="preserve">Bio Pere Abate Cl. 1 confezionato </v>
      </c>
      <c r="O217" t="str">
        <f>Migrationsartikel!F215</f>
        <v>Bio Birnen Abate</v>
      </c>
      <c r="P217" t="str">
        <f>Migrationsartikel!J215</f>
        <v>Bio Poires Abate</v>
      </c>
      <c r="Q217" t="str">
        <f>Migrationsartikel!N215</f>
        <v>Bio Pere Abate</v>
      </c>
      <c r="R217" t="str">
        <f>Migrationsartikel!G215</f>
        <v>Kl. 1 gepackt</v>
      </c>
      <c r="S217" t="str">
        <f>Migrationsartikel!K215</f>
        <v>Cl. 1 emballé</v>
      </c>
      <c r="T217" t="str">
        <f>Migrationsartikel!O215</f>
        <v>Cl. 1 confezionato</v>
      </c>
      <c r="U217" s="31">
        <f>Migrationsartikel!H215</f>
        <v>0</v>
      </c>
      <c r="V217" s="31">
        <f>Migrationsartikel!L215</f>
        <v>0</v>
      </c>
      <c r="W217" s="31">
        <f>Migrationsartikel!P215</f>
        <v>0</v>
      </c>
      <c r="X217" t="str">
        <f>Migrationsartikel!I215</f>
        <v>Bio Birnen Abate Kl. 1 gep.</v>
      </c>
      <c r="Y217" t="str">
        <f>Migrationsartikel!M215</f>
        <v>Bio Poires Abate cl1 emballé</v>
      </c>
      <c r="Z217" t="str">
        <f>Migrationsartikel!Q215</f>
        <v>Bio Pere Abate cl. 1 confez.</v>
      </c>
      <c r="AA217" s="45">
        <f>Migrationsartikel!R215</f>
        <v>1</v>
      </c>
      <c r="AB217" s="46" t="str">
        <f>Migrationsartikel!T215</f>
        <v>Kilogramm</v>
      </c>
      <c r="AC217">
        <f>Migrationsartikel!S215</f>
        <v>1</v>
      </c>
      <c r="AD217" t="str">
        <f>Migrationsartikel!U215</f>
        <v>(PCE) Stück</v>
      </c>
      <c r="AE217" s="31" t="s">
        <v>179</v>
      </c>
      <c r="AF217" s="31" t="s">
        <v>192</v>
      </c>
      <c r="AG217" t="str">
        <f>IF(Migrationsartikel!AB215="ja","true",FALSE)</f>
        <v>true</v>
      </c>
      <c r="AH217" t="str">
        <f>IF(Migrationsartikel!AC215="ja","true",FALSE)</f>
        <v>true</v>
      </c>
      <c r="AI217" t="str">
        <f>IF(Migrationsartikel!AD215="ja","true",FALSE)</f>
        <v>true</v>
      </c>
      <c r="AJ217" t="str">
        <f>IF(Migrationsartikel!AE215="ja","true",FALSE)</f>
        <v>true</v>
      </c>
      <c r="AK217" t="str">
        <f>IF(Migrationsartikel!AF215="ja","Denner Partner","")</f>
        <v/>
      </c>
      <c r="AL217" t="str">
        <f>IF(Migrationsartikel!AG215="ja","true","false")</f>
        <v>false</v>
      </c>
      <c r="AM217" t="str">
        <f t="shared" si="3"/>
        <v>PLU</v>
      </c>
      <c r="AN217" s="31" t="s">
        <v>219</v>
      </c>
      <c r="AO217" s="31" t="s">
        <v>217</v>
      </c>
    </row>
    <row r="218" spans="2:41" ht="21.75" customHeight="1" x14ac:dyDescent="0.45">
      <c r="B218" t="s">
        <v>99</v>
      </c>
      <c r="E218" s="31" t="s">
        <v>1628</v>
      </c>
      <c r="F218" t="str">
        <f>"Warengruppe&gt;&gt;"&amp;Migrationsartikel!V216&amp;"&gt;&gt;"&amp;Migrationsartikel!W216&amp;"&gt;&gt;"&amp;Migrationsartikel!X216</f>
        <v>Warengruppe&gt;&gt;Früchte und Gemüse&gt;&gt;Früchte und Gemüse&gt;&gt;Früchte</v>
      </c>
      <c r="H218" s="31" t="s">
        <v>109</v>
      </c>
      <c r="I218" s="31" t="s">
        <v>121</v>
      </c>
      <c r="J218" s="31">
        <f>Migrationsartikel!B216</f>
        <v>134</v>
      </c>
      <c r="L218" t="str">
        <f>Migrationsartikel!F216&amp;" "&amp;Migrationsartikel!G216&amp;" "&amp;Migrationsartikel!H216</f>
        <v xml:space="preserve">Birnen Boscop Offen Kl. 1 </v>
      </c>
      <c r="M218" t="str">
        <f>Migrationsartikel!J216&amp;" "&amp;Migrationsartikel!K216&amp;" "&amp;Migrationsartikel!L216</f>
        <v xml:space="preserve">Poires Boscop En vrac, cl. 1 </v>
      </c>
      <c r="N218" t="str">
        <f>Migrationsartikel!N216&amp;" "&amp;Migrationsartikel!O216&amp;" "&amp;Migrationsartikel!P216</f>
        <v xml:space="preserve">Pere Boscop Cl. 1 vendita sfusa </v>
      </c>
      <c r="O218" t="str">
        <f>Migrationsartikel!F216</f>
        <v>Birnen Boscop</v>
      </c>
      <c r="P218" t="str">
        <f>Migrationsartikel!J216</f>
        <v>Poires Boscop</v>
      </c>
      <c r="Q218" t="str">
        <f>Migrationsartikel!N216</f>
        <v>Pere Boscop</v>
      </c>
      <c r="R218" t="str">
        <f>Migrationsartikel!G216</f>
        <v>Offen Kl. 1</v>
      </c>
      <c r="S218" t="str">
        <f>Migrationsartikel!K216</f>
        <v>En vrac, cl. 1</v>
      </c>
      <c r="T218" t="str">
        <f>Migrationsartikel!O216</f>
        <v>Cl. 1 vendita sfusa</v>
      </c>
      <c r="U218" s="31">
        <f>Migrationsartikel!H216</f>
        <v>0</v>
      </c>
      <c r="V218" s="31">
        <f>Migrationsartikel!L216</f>
        <v>0</v>
      </c>
      <c r="W218" s="31">
        <f>Migrationsartikel!P216</f>
        <v>0</v>
      </c>
      <c r="X218" t="str">
        <f>Migrationsartikel!I216</f>
        <v>Birnen Boscop Offen Kl. 1</v>
      </c>
      <c r="Y218" t="str">
        <f>Migrationsartikel!M216</f>
        <v>Poires Boscop en vrac cl. 1</v>
      </c>
      <c r="Z218" t="str">
        <f>Migrationsartikel!Q216</f>
        <v>Pere Boscop cl.1 vend. sfusa</v>
      </c>
      <c r="AA218" s="45">
        <f>Migrationsartikel!R216</f>
        <v>1</v>
      </c>
      <c r="AB218" s="46" t="str">
        <f>Migrationsartikel!T216</f>
        <v>Kilogramm</v>
      </c>
      <c r="AC218">
        <f>Migrationsartikel!S216</f>
        <v>1</v>
      </c>
      <c r="AD218" t="str">
        <f>Migrationsartikel!U216</f>
        <v>(KGM) KG</v>
      </c>
      <c r="AE218" s="31" t="s">
        <v>179</v>
      </c>
      <c r="AF218" s="31" t="s">
        <v>192</v>
      </c>
      <c r="AG218" t="str">
        <f>IF(Migrationsartikel!AB216="ja","true",FALSE)</f>
        <v>true</v>
      </c>
      <c r="AH218" t="str">
        <f>IF(Migrationsartikel!AC216="ja","true",FALSE)</f>
        <v>true</v>
      </c>
      <c r="AI218" t="str">
        <f>IF(Migrationsartikel!AD216="ja","true",FALSE)</f>
        <v>true</v>
      </c>
      <c r="AJ218" t="str">
        <f>IF(Migrationsartikel!AE216="ja","true",FALSE)</f>
        <v>true</v>
      </c>
      <c r="AK218" t="str">
        <f>IF(Migrationsartikel!AF216="ja","Denner Partner","")</f>
        <v/>
      </c>
      <c r="AL218" t="str">
        <f>IF(Migrationsartikel!AG216="ja","true","false")</f>
        <v>false</v>
      </c>
      <c r="AM218" t="str">
        <f t="shared" si="3"/>
        <v>PLU</v>
      </c>
      <c r="AN218" s="31" t="s">
        <v>219</v>
      </c>
      <c r="AO218" s="31" t="s">
        <v>217</v>
      </c>
    </row>
    <row r="219" spans="2:41" ht="21.75" customHeight="1" x14ac:dyDescent="0.45">
      <c r="B219" t="s">
        <v>99</v>
      </c>
      <c r="E219" s="31" t="s">
        <v>1629</v>
      </c>
      <c r="F219" t="str">
        <f>"Warengruppe&gt;&gt;"&amp;Migrationsartikel!V217&amp;"&gt;&gt;"&amp;Migrationsartikel!W217&amp;"&gt;&gt;"&amp;Migrationsartikel!X217</f>
        <v>Warengruppe&gt;&gt;Früchte und Gemüse&gt;&gt;Früchte und Gemüse&gt;&gt;Früchte</v>
      </c>
      <c r="H219" s="31" t="s">
        <v>109</v>
      </c>
      <c r="I219" s="31" t="s">
        <v>121</v>
      </c>
      <c r="J219" s="31">
        <f>Migrationsartikel!B217</f>
        <v>0</v>
      </c>
      <c r="L219" t="str">
        <f>Migrationsartikel!F217&amp;" "&amp;Migrationsartikel!G217&amp;" "&amp;Migrationsartikel!H217</f>
        <v xml:space="preserve">Birnen Boscop Kl. 1 gepackt </v>
      </c>
      <c r="M219" t="str">
        <f>Migrationsartikel!J217&amp;" "&amp;Migrationsartikel!K217&amp;" "&amp;Migrationsartikel!L217</f>
        <v xml:space="preserve">Poires Boscop Cl. 1 emballé </v>
      </c>
      <c r="N219" t="str">
        <f>Migrationsartikel!N217&amp;" "&amp;Migrationsartikel!O217&amp;" "&amp;Migrationsartikel!P217</f>
        <v xml:space="preserve">Pere Boscop Cl. 1 confezionato </v>
      </c>
      <c r="O219" t="str">
        <f>Migrationsartikel!F217</f>
        <v>Birnen Boscop</v>
      </c>
      <c r="P219" t="str">
        <f>Migrationsartikel!J217</f>
        <v>Poires Boscop</v>
      </c>
      <c r="Q219" t="str">
        <f>Migrationsartikel!N217</f>
        <v>Pere Boscop</v>
      </c>
      <c r="R219" t="str">
        <f>Migrationsartikel!G217</f>
        <v>Kl. 1 gepackt</v>
      </c>
      <c r="S219" t="str">
        <f>Migrationsartikel!K217</f>
        <v>Cl. 1 emballé</v>
      </c>
      <c r="T219" t="str">
        <f>Migrationsartikel!O217</f>
        <v>Cl. 1 confezionato</v>
      </c>
      <c r="U219" s="31">
        <f>Migrationsartikel!H217</f>
        <v>0</v>
      </c>
      <c r="V219" s="31">
        <f>Migrationsartikel!L217</f>
        <v>0</v>
      </c>
      <c r="W219" s="31">
        <f>Migrationsartikel!P217</f>
        <v>0</v>
      </c>
      <c r="X219" t="str">
        <f>Migrationsartikel!I217</f>
        <v>Birnen Boscop Kl. 1 gepackt</v>
      </c>
      <c r="Y219" t="str">
        <f>Migrationsartikel!M217</f>
        <v>Poires Boscop cl. 1 emballé</v>
      </c>
      <c r="Z219" t="str">
        <f>Migrationsartikel!Q217</f>
        <v>Pere Boscop cl. 1 confez.</v>
      </c>
      <c r="AA219" s="45">
        <f>Migrationsartikel!R217</f>
        <v>1</v>
      </c>
      <c r="AB219" s="46" t="str">
        <f>Migrationsartikel!T217</f>
        <v>Kilogramm</v>
      </c>
      <c r="AC219">
        <f>Migrationsartikel!S217</f>
        <v>1</v>
      </c>
      <c r="AD219" t="str">
        <f>Migrationsartikel!U217</f>
        <v>(PCE) Stück</v>
      </c>
      <c r="AE219" s="31" t="s">
        <v>179</v>
      </c>
      <c r="AF219" s="31" t="s">
        <v>192</v>
      </c>
      <c r="AG219" t="str">
        <f>IF(Migrationsartikel!AB217="ja","true",FALSE)</f>
        <v>true</v>
      </c>
      <c r="AH219" t="str">
        <f>IF(Migrationsartikel!AC217="ja","true",FALSE)</f>
        <v>true</v>
      </c>
      <c r="AI219" t="str">
        <f>IF(Migrationsartikel!AD217="ja","true",FALSE)</f>
        <v>true</v>
      </c>
      <c r="AJ219" t="str">
        <f>IF(Migrationsartikel!AE217="ja","true",FALSE)</f>
        <v>true</v>
      </c>
      <c r="AK219" t="str">
        <f>IF(Migrationsartikel!AF217="ja","Denner Partner","")</f>
        <v/>
      </c>
      <c r="AL219" t="str">
        <f>IF(Migrationsartikel!AG217="ja","true","false")</f>
        <v>false</v>
      </c>
      <c r="AM219" t="str">
        <f t="shared" si="3"/>
        <v>PLU</v>
      </c>
      <c r="AN219" s="31" t="s">
        <v>219</v>
      </c>
      <c r="AO219" s="31" t="s">
        <v>217</v>
      </c>
    </row>
    <row r="220" spans="2:41" ht="21.75" customHeight="1" x14ac:dyDescent="0.45">
      <c r="B220" t="s">
        <v>99</v>
      </c>
      <c r="E220" s="31" t="s">
        <v>1630</v>
      </c>
      <c r="F220" t="str">
        <f>"Warengruppe&gt;&gt;"&amp;Migrationsartikel!V218&amp;"&gt;&gt;"&amp;Migrationsartikel!W218&amp;"&gt;&gt;"&amp;Migrationsartikel!X218</f>
        <v>Warengruppe&gt;&gt;Früchte und Gemüse&gt;&gt;Früchte und Gemüse&gt;&gt;Früchte</v>
      </c>
      <c r="H220" s="31" t="s">
        <v>109</v>
      </c>
      <c r="I220" s="31" t="s">
        <v>121</v>
      </c>
      <c r="J220" s="31">
        <f>Migrationsartikel!B218</f>
        <v>0</v>
      </c>
      <c r="L220" t="str">
        <f>Migrationsartikel!F218&amp;" "&amp;Migrationsartikel!G218&amp;" "&amp;Migrationsartikel!H218</f>
        <v xml:space="preserve">Birnen Carmen Kl. 1 gepackt </v>
      </c>
      <c r="M220" t="str">
        <f>Migrationsartikel!J218&amp;" "&amp;Migrationsartikel!K218&amp;" "&amp;Migrationsartikel!L218</f>
        <v xml:space="preserve">Poires Carmen Cl. 1 emballé </v>
      </c>
      <c r="N220" t="str">
        <f>Migrationsartikel!N218&amp;" "&amp;Migrationsartikel!O218&amp;" "&amp;Migrationsartikel!P218</f>
        <v xml:space="preserve">Pere Carmen Cl. 1 confezionato </v>
      </c>
      <c r="O220" t="str">
        <f>Migrationsartikel!F218</f>
        <v>Birnen Carmen</v>
      </c>
      <c r="P220" t="str">
        <f>Migrationsartikel!J218</f>
        <v>Poires Carmen</v>
      </c>
      <c r="Q220" t="str">
        <f>Migrationsartikel!N218</f>
        <v>Pere Carmen</v>
      </c>
      <c r="R220" t="str">
        <f>Migrationsartikel!G218</f>
        <v>Kl. 1 gepackt</v>
      </c>
      <c r="S220" t="str">
        <f>Migrationsartikel!K218</f>
        <v>Cl. 1 emballé</v>
      </c>
      <c r="T220" t="str">
        <f>Migrationsartikel!O218</f>
        <v>Cl. 1 confezionato</v>
      </c>
      <c r="U220" s="31">
        <f>Migrationsartikel!H218</f>
        <v>0</v>
      </c>
      <c r="V220" s="31">
        <f>Migrationsartikel!L218</f>
        <v>0</v>
      </c>
      <c r="W220" s="31">
        <f>Migrationsartikel!P218</f>
        <v>0</v>
      </c>
      <c r="X220" t="str">
        <f>Migrationsartikel!I218</f>
        <v>Birnen Carmen Kl. 1 gepackt</v>
      </c>
      <c r="Y220" t="str">
        <f>Migrationsartikel!M218</f>
        <v>Poires Carmen cl. 1 emballé</v>
      </c>
      <c r="Z220" t="str">
        <f>Migrationsartikel!Q218</f>
        <v>Pere Carmen cl. 1 confez.</v>
      </c>
      <c r="AA220" s="45">
        <f>Migrationsartikel!R218</f>
        <v>1</v>
      </c>
      <c r="AB220" s="46" t="str">
        <f>Migrationsartikel!T218</f>
        <v>Kilogramm</v>
      </c>
      <c r="AC220">
        <f>Migrationsartikel!S218</f>
        <v>1</v>
      </c>
      <c r="AD220" t="str">
        <f>Migrationsartikel!U218</f>
        <v>(PCE) Stück</v>
      </c>
      <c r="AE220" s="31" t="s">
        <v>179</v>
      </c>
      <c r="AF220" s="31" t="s">
        <v>192</v>
      </c>
      <c r="AG220" t="str">
        <f>IF(Migrationsartikel!AB218="ja","true",FALSE)</f>
        <v>true</v>
      </c>
      <c r="AH220" t="str">
        <f>IF(Migrationsartikel!AC218="ja","true",FALSE)</f>
        <v>true</v>
      </c>
      <c r="AI220" t="str">
        <f>IF(Migrationsartikel!AD218="ja","true",FALSE)</f>
        <v>true</v>
      </c>
      <c r="AJ220" t="str">
        <f>IF(Migrationsartikel!AE218="ja","true",FALSE)</f>
        <v>true</v>
      </c>
      <c r="AK220" t="str">
        <f>IF(Migrationsartikel!AF218="ja","Denner Partner","")</f>
        <v/>
      </c>
      <c r="AL220" t="str">
        <f>IF(Migrationsartikel!AG218="ja","true","false")</f>
        <v>false</v>
      </c>
      <c r="AM220" t="str">
        <f t="shared" si="3"/>
        <v>PLU</v>
      </c>
      <c r="AN220" s="31" t="s">
        <v>219</v>
      </c>
      <c r="AO220" s="31" t="s">
        <v>217</v>
      </c>
    </row>
    <row r="221" spans="2:41" ht="21.75" customHeight="1" x14ac:dyDescent="0.45">
      <c r="B221" t="s">
        <v>99</v>
      </c>
      <c r="E221" s="31" t="s">
        <v>1631</v>
      </c>
      <c r="F221" t="str">
        <f>"Warengruppe&gt;&gt;"&amp;Migrationsartikel!V219&amp;"&gt;&gt;"&amp;Migrationsartikel!W219&amp;"&gt;&gt;"&amp;Migrationsartikel!X219</f>
        <v>Warengruppe&gt;&gt;Früchte und Gemüse&gt;&gt;Früchte und Gemüse&gt;&gt;Früchte</v>
      </c>
      <c r="H221" s="31" t="s">
        <v>109</v>
      </c>
      <c r="I221" s="31" t="s">
        <v>121</v>
      </c>
      <c r="J221" s="31">
        <f>Migrationsartikel!B219</f>
        <v>136</v>
      </c>
      <c r="L221" t="str">
        <f>Migrationsartikel!F219&amp;" "&amp;Migrationsartikel!G219&amp;" "&amp;Migrationsartikel!H219</f>
        <v xml:space="preserve">Birnen Conférence Offen Kl. 1 </v>
      </c>
      <c r="M221" t="str">
        <f>Migrationsartikel!J219&amp;" "&amp;Migrationsartikel!K219&amp;" "&amp;Migrationsartikel!L219</f>
        <v xml:space="preserve">Poires Conférence En vrac, cl. 1 </v>
      </c>
      <c r="N221" t="str">
        <f>Migrationsartikel!N219&amp;" "&amp;Migrationsartikel!O219&amp;" "&amp;Migrationsartikel!P219</f>
        <v xml:space="preserve">Pere Conférence Cl. 1 vendita sfusa </v>
      </c>
      <c r="O221" t="str">
        <f>Migrationsartikel!F219</f>
        <v>Birnen Conférence</v>
      </c>
      <c r="P221" t="str">
        <f>Migrationsartikel!J219</f>
        <v>Poires Conférence</v>
      </c>
      <c r="Q221" t="str">
        <f>Migrationsartikel!N219</f>
        <v>Pere Conférence</v>
      </c>
      <c r="R221" t="str">
        <f>Migrationsartikel!G219</f>
        <v>Offen Kl. 1</v>
      </c>
      <c r="S221" t="str">
        <f>Migrationsartikel!K219</f>
        <v>En vrac, cl. 1</v>
      </c>
      <c r="T221" t="str">
        <f>Migrationsartikel!O219</f>
        <v>Cl. 1 vendita sfusa</v>
      </c>
      <c r="U221" s="31">
        <f>Migrationsartikel!H219</f>
        <v>0</v>
      </c>
      <c r="V221" s="31">
        <f>Migrationsartikel!L219</f>
        <v>0</v>
      </c>
      <c r="W221" s="31">
        <f>Migrationsartikel!P219</f>
        <v>0</v>
      </c>
      <c r="X221" t="str">
        <f>Migrationsartikel!I219</f>
        <v>Birnen Conférence Offen Kl.1</v>
      </c>
      <c r="Y221" t="str">
        <f>Migrationsartikel!M219</f>
        <v>Poires Conférence cl.1 en vr</v>
      </c>
      <c r="Z221" t="str">
        <f>Migrationsartikel!Q219</f>
        <v>Pere Conférence cl. 1 ve. Sf</v>
      </c>
      <c r="AA221" s="45">
        <f>Migrationsartikel!R219</f>
        <v>1</v>
      </c>
      <c r="AB221" s="46" t="str">
        <f>Migrationsartikel!T219</f>
        <v>Kilogramm</v>
      </c>
      <c r="AC221">
        <f>Migrationsartikel!S219</f>
        <v>1</v>
      </c>
      <c r="AD221" t="str">
        <f>Migrationsartikel!U219</f>
        <v>(KGM) KG</v>
      </c>
      <c r="AE221" s="31" t="s">
        <v>179</v>
      </c>
      <c r="AF221" s="31" t="s">
        <v>192</v>
      </c>
      <c r="AG221" t="str">
        <f>IF(Migrationsartikel!AB219="ja","true",FALSE)</f>
        <v>true</v>
      </c>
      <c r="AH221" t="str">
        <f>IF(Migrationsartikel!AC219="ja","true",FALSE)</f>
        <v>true</v>
      </c>
      <c r="AI221" t="str">
        <f>IF(Migrationsartikel!AD219="ja","true",FALSE)</f>
        <v>true</v>
      </c>
      <c r="AJ221" t="str">
        <f>IF(Migrationsartikel!AE219="ja","true",FALSE)</f>
        <v>true</v>
      </c>
      <c r="AK221" t="str">
        <f>IF(Migrationsartikel!AF219="ja","Denner Partner","")</f>
        <v/>
      </c>
      <c r="AL221" t="str">
        <f>IF(Migrationsartikel!AG219="ja","true","false")</f>
        <v>false</v>
      </c>
      <c r="AM221" t="str">
        <f t="shared" si="3"/>
        <v>PLU</v>
      </c>
      <c r="AN221" s="31" t="s">
        <v>219</v>
      </c>
      <c r="AO221" s="31" t="s">
        <v>217</v>
      </c>
    </row>
    <row r="222" spans="2:41" ht="21.75" customHeight="1" x14ac:dyDescent="0.45">
      <c r="B222" t="s">
        <v>99</v>
      </c>
      <c r="E222" s="31" t="s">
        <v>1632</v>
      </c>
      <c r="F222" t="str">
        <f>"Warengruppe&gt;&gt;"&amp;Migrationsartikel!V220&amp;"&gt;&gt;"&amp;Migrationsartikel!W220&amp;"&gt;&gt;"&amp;Migrationsartikel!X220</f>
        <v>Warengruppe&gt;&gt;Früchte und Gemüse&gt;&gt;Früchte und Gemüse&gt;&gt;Früchte</v>
      </c>
      <c r="H222" s="31" t="s">
        <v>109</v>
      </c>
      <c r="I222" s="31" t="s">
        <v>121</v>
      </c>
      <c r="J222" s="31">
        <f>Migrationsartikel!B220</f>
        <v>0</v>
      </c>
      <c r="L222" t="str">
        <f>Migrationsartikel!F220&amp;" "&amp;Migrationsartikel!G220&amp;" "&amp;Migrationsartikel!H220</f>
        <v xml:space="preserve">Birnen Conférence Kl. 1 gepackt </v>
      </c>
      <c r="M222" t="str">
        <f>Migrationsartikel!J220&amp;" "&amp;Migrationsartikel!K220&amp;" "&amp;Migrationsartikel!L220</f>
        <v xml:space="preserve">Poires Conférence Cl. 1 emballé </v>
      </c>
      <c r="N222" t="str">
        <f>Migrationsartikel!N220&amp;" "&amp;Migrationsartikel!O220&amp;" "&amp;Migrationsartikel!P220</f>
        <v xml:space="preserve">Pere Conférence Cl. 1 confezionato </v>
      </c>
      <c r="O222" t="str">
        <f>Migrationsartikel!F220</f>
        <v>Birnen Conférence</v>
      </c>
      <c r="P222" t="str">
        <f>Migrationsartikel!J220</f>
        <v>Poires Conférence</v>
      </c>
      <c r="Q222" t="str">
        <f>Migrationsartikel!N220</f>
        <v>Pere Conférence</v>
      </c>
      <c r="R222" t="str">
        <f>Migrationsartikel!G220</f>
        <v>Kl. 1 gepackt</v>
      </c>
      <c r="S222" t="str">
        <f>Migrationsartikel!K220</f>
        <v>Cl. 1 emballé</v>
      </c>
      <c r="T222" t="str">
        <f>Migrationsartikel!O220</f>
        <v>Cl. 1 confezionato</v>
      </c>
      <c r="U222" s="31">
        <f>Migrationsartikel!H220</f>
        <v>0</v>
      </c>
      <c r="V222" s="31">
        <f>Migrationsartikel!L220</f>
        <v>0</v>
      </c>
      <c r="W222" s="31">
        <f>Migrationsartikel!P220</f>
        <v>0</v>
      </c>
      <c r="X222" t="str">
        <f>Migrationsartikel!I220</f>
        <v>Birnen Conférence Kl. 2 gep.</v>
      </c>
      <c r="Y222" t="str">
        <f>Migrationsartikel!M220</f>
        <v>Poires Conférence cl. 1 emb.</v>
      </c>
      <c r="Z222" t="str">
        <f>Migrationsartikel!Q220</f>
        <v>Pere Conférence cl. 1 conf</v>
      </c>
      <c r="AA222" s="45">
        <f>Migrationsartikel!R220</f>
        <v>1</v>
      </c>
      <c r="AB222" s="46" t="str">
        <f>Migrationsartikel!T220</f>
        <v>Kilogramm</v>
      </c>
      <c r="AC222">
        <f>Migrationsartikel!S220</f>
        <v>1</v>
      </c>
      <c r="AD222" t="str">
        <f>Migrationsartikel!U220</f>
        <v>(PCE) Stück</v>
      </c>
      <c r="AE222" s="31" t="s">
        <v>179</v>
      </c>
      <c r="AF222" s="31" t="s">
        <v>192</v>
      </c>
      <c r="AG222" t="str">
        <f>IF(Migrationsartikel!AB220="ja","true",FALSE)</f>
        <v>true</v>
      </c>
      <c r="AH222" t="str">
        <f>IF(Migrationsartikel!AC220="ja","true",FALSE)</f>
        <v>true</v>
      </c>
      <c r="AI222" t="str">
        <f>IF(Migrationsartikel!AD220="ja","true",FALSE)</f>
        <v>true</v>
      </c>
      <c r="AJ222" t="str">
        <f>IF(Migrationsartikel!AE220="ja","true",FALSE)</f>
        <v>true</v>
      </c>
      <c r="AK222" t="str">
        <f>IF(Migrationsartikel!AF220="ja","Denner Partner","")</f>
        <v/>
      </c>
      <c r="AL222" t="str">
        <f>IF(Migrationsartikel!AG220="ja","true","false")</f>
        <v>false</v>
      </c>
      <c r="AM222" t="str">
        <f t="shared" si="3"/>
        <v>PLU</v>
      </c>
      <c r="AN222" s="31" t="s">
        <v>219</v>
      </c>
      <c r="AO222" s="31" t="s">
        <v>217</v>
      </c>
    </row>
    <row r="223" spans="2:41" ht="21.75" customHeight="1" x14ac:dyDescent="0.45">
      <c r="B223" t="s">
        <v>99</v>
      </c>
      <c r="E223" s="31" t="s">
        <v>1633</v>
      </c>
      <c r="F223" t="str">
        <f>"Warengruppe&gt;&gt;"&amp;Migrationsartikel!V221&amp;"&gt;&gt;"&amp;Migrationsartikel!W221&amp;"&gt;&gt;"&amp;Migrationsartikel!X221</f>
        <v>Warengruppe&gt;&gt;Früchte und Gemüse&gt;&gt;Früchte und Gemüse&gt;&gt;Früchte</v>
      </c>
      <c r="H223" s="31" t="s">
        <v>109</v>
      </c>
      <c r="I223" s="31" t="s">
        <v>121</v>
      </c>
      <c r="J223" s="31">
        <f>Migrationsartikel!B221</f>
        <v>0</v>
      </c>
      <c r="L223" t="str">
        <f>Migrationsartikel!F221&amp;" "&amp;Migrationsartikel!G221&amp;" "&amp;Migrationsartikel!H221</f>
        <v xml:space="preserve">Bio Birnen Conférence Kl. 1 gepackt </v>
      </c>
      <c r="M223" t="str">
        <f>Migrationsartikel!J221&amp;" "&amp;Migrationsartikel!K221&amp;" "&amp;Migrationsartikel!L221</f>
        <v xml:space="preserve">Bio Poires Conférence Cl. 1 emballé </v>
      </c>
      <c r="N223" t="str">
        <f>Migrationsartikel!N221&amp;" "&amp;Migrationsartikel!O221&amp;" "&amp;Migrationsartikel!P221</f>
        <v xml:space="preserve">Bio Pere Conférence Cl. 1 confezionato </v>
      </c>
      <c r="O223" t="str">
        <f>Migrationsartikel!F221</f>
        <v>Bio Birnen Conférence</v>
      </c>
      <c r="P223" t="str">
        <f>Migrationsartikel!J221</f>
        <v>Bio Poires Conférence</v>
      </c>
      <c r="Q223" t="str">
        <f>Migrationsartikel!N221</f>
        <v>Bio Pere Conférence</v>
      </c>
      <c r="R223" t="str">
        <f>Migrationsartikel!G221</f>
        <v>Kl. 1 gepackt</v>
      </c>
      <c r="S223" t="str">
        <f>Migrationsartikel!K221</f>
        <v>Cl. 1 emballé</v>
      </c>
      <c r="T223" t="str">
        <f>Migrationsartikel!O221</f>
        <v>Cl. 1 confezionato</v>
      </c>
      <c r="U223" s="31">
        <f>Migrationsartikel!H221</f>
        <v>0</v>
      </c>
      <c r="V223" s="31">
        <f>Migrationsartikel!L221</f>
        <v>0</v>
      </c>
      <c r="W223" s="31">
        <f>Migrationsartikel!P221</f>
        <v>0</v>
      </c>
      <c r="X223" t="str">
        <f>Migrationsartikel!I221</f>
        <v>Bio Birnen Conf. Kl.1 gep.</v>
      </c>
      <c r="Y223" t="str">
        <f>Migrationsartikel!M221</f>
        <v>Bio Poires Confér. cl.1 emb.</v>
      </c>
      <c r="Z223" t="str">
        <f>Migrationsartikel!Q221</f>
        <v>Bio Pere Conf. cl. 1 conf.</v>
      </c>
      <c r="AA223" s="45">
        <f>Migrationsartikel!R221</f>
        <v>1</v>
      </c>
      <c r="AB223" s="46" t="str">
        <f>Migrationsartikel!T221</f>
        <v>Kilogramm</v>
      </c>
      <c r="AC223">
        <f>Migrationsartikel!S221</f>
        <v>1</v>
      </c>
      <c r="AD223" t="str">
        <f>Migrationsartikel!U221</f>
        <v>(PCE) Stück</v>
      </c>
      <c r="AE223" s="31" t="s">
        <v>179</v>
      </c>
      <c r="AF223" s="31" t="s">
        <v>192</v>
      </c>
      <c r="AG223" t="str">
        <f>IF(Migrationsartikel!AB221="ja","true",FALSE)</f>
        <v>true</v>
      </c>
      <c r="AH223" t="str">
        <f>IF(Migrationsartikel!AC221="ja","true",FALSE)</f>
        <v>true</v>
      </c>
      <c r="AI223" t="str">
        <f>IF(Migrationsartikel!AD221="ja","true",FALSE)</f>
        <v>true</v>
      </c>
      <c r="AJ223" t="str">
        <f>IF(Migrationsartikel!AE221="ja","true",FALSE)</f>
        <v>true</v>
      </c>
      <c r="AK223" t="str">
        <f>IF(Migrationsartikel!AF221="ja","Denner Partner","")</f>
        <v/>
      </c>
      <c r="AL223" t="str">
        <f>IF(Migrationsartikel!AG221="ja","true","false")</f>
        <v>false</v>
      </c>
      <c r="AM223" t="str">
        <f t="shared" si="3"/>
        <v>PLU</v>
      </c>
      <c r="AN223" s="31" t="s">
        <v>219</v>
      </c>
      <c r="AO223" s="31" t="s">
        <v>217</v>
      </c>
    </row>
    <row r="224" spans="2:41" ht="21.75" customHeight="1" x14ac:dyDescent="0.45">
      <c r="B224" t="s">
        <v>99</v>
      </c>
      <c r="E224" s="31" t="s">
        <v>1634</v>
      </c>
      <c r="F224" t="str">
        <f>"Warengruppe&gt;&gt;"&amp;Migrationsartikel!V222&amp;"&gt;&gt;"&amp;Migrationsartikel!W222&amp;"&gt;&gt;"&amp;Migrationsartikel!X222</f>
        <v>Warengruppe&gt;&gt;Früchte und Gemüse&gt;&gt;Früchte und Gemüse&gt;&gt;Früchte</v>
      </c>
      <c r="H224" s="31" t="s">
        <v>109</v>
      </c>
      <c r="I224" s="31" t="s">
        <v>121</v>
      </c>
      <c r="J224" s="31">
        <f>Migrationsartikel!B222</f>
        <v>138</v>
      </c>
      <c r="L224" t="str">
        <f>Migrationsartikel!F222&amp;" "&amp;Migrationsartikel!G222&amp;" "&amp;Migrationsartikel!H222</f>
        <v xml:space="preserve">Birnen Forellen  Offen Kl. 1 </v>
      </c>
      <c r="M224" t="str">
        <f>Migrationsartikel!J222&amp;" "&amp;Migrationsartikel!K222&amp;" "&amp;Migrationsartikel!L222</f>
        <v xml:space="preserve">Poires Forelle  En vrac, cl. 1 </v>
      </c>
      <c r="N224" t="str">
        <f>Migrationsartikel!N222&amp;" "&amp;Migrationsartikel!O222&amp;" "&amp;Migrationsartikel!P222</f>
        <v xml:space="preserve">Pere Forelle  Cl. 1 vendita sfusa </v>
      </c>
      <c r="O224" t="str">
        <f>Migrationsartikel!F222</f>
        <v xml:space="preserve">Birnen Forellen </v>
      </c>
      <c r="P224" t="str">
        <f>Migrationsartikel!J222</f>
        <v xml:space="preserve">Poires Forelle </v>
      </c>
      <c r="Q224" t="str">
        <f>Migrationsartikel!N222</f>
        <v xml:space="preserve">Pere Forelle </v>
      </c>
      <c r="R224" t="str">
        <f>Migrationsartikel!G222</f>
        <v>Offen Kl. 1</v>
      </c>
      <c r="S224" t="str">
        <f>Migrationsartikel!K222</f>
        <v>En vrac, cl. 1</v>
      </c>
      <c r="T224" t="str">
        <f>Migrationsartikel!O222</f>
        <v>Cl. 1 vendita sfusa</v>
      </c>
      <c r="U224" s="31">
        <f>Migrationsartikel!H222</f>
        <v>0</v>
      </c>
      <c r="V224" s="31">
        <f>Migrationsartikel!L222</f>
        <v>0</v>
      </c>
      <c r="W224" s="31">
        <f>Migrationsartikel!P222</f>
        <v>0</v>
      </c>
      <c r="X224" t="str">
        <f>Migrationsartikel!I222</f>
        <v>Birnen Forellen Offen Kl. 1</v>
      </c>
      <c r="Y224" t="str">
        <f>Migrationsartikel!M222</f>
        <v>Poires Forelle cl. 1 en vrac</v>
      </c>
      <c r="Z224" t="str">
        <f>Migrationsartikel!Q222</f>
        <v>Pere Forelle cl. 1 vend. Sf.</v>
      </c>
      <c r="AA224" s="45">
        <f>Migrationsartikel!R222</f>
        <v>1</v>
      </c>
      <c r="AB224" s="46" t="str">
        <f>Migrationsartikel!T222</f>
        <v>Kilogramm</v>
      </c>
      <c r="AC224">
        <f>Migrationsartikel!S222</f>
        <v>1</v>
      </c>
      <c r="AD224" t="str">
        <f>Migrationsartikel!U222</f>
        <v>(KGM) KG</v>
      </c>
      <c r="AE224" s="31" t="s">
        <v>179</v>
      </c>
      <c r="AF224" s="31" t="s">
        <v>192</v>
      </c>
      <c r="AG224" t="str">
        <f>IF(Migrationsartikel!AB222="ja","true",FALSE)</f>
        <v>true</v>
      </c>
      <c r="AH224" t="str">
        <f>IF(Migrationsartikel!AC222="ja","true",FALSE)</f>
        <v>true</v>
      </c>
      <c r="AI224" t="str">
        <f>IF(Migrationsartikel!AD222="ja","true",FALSE)</f>
        <v>true</v>
      </c>
      <c r="AJ224" t="str">
        <f>IF(Migrationsartikel!AE222="ja","true",FALSE)</f>
        <v>true</v>
      </c>
      <c r="AK224" t="str">
        <f>IF(Migrationsartikel!AF222="ja","Denner Partner","")</f>
        <v/>
      </c>
      <c r="AL224" t="str">
        <f>IF(Migrationsartikel!AG222="ja","true","false")</f>
        <v>false</v>
      </c>
      <c r="AM224" t="str">
        <f t="shared" si="3"/>
        <v>PLU</v>
      </c>
      <c r="AN224" s="31" t="s">
        <v>219</v>
      </c>
      <c r="AO224" s="31" t="s">
        <v>217</v>
      </c>
    </row>
    <row r="225" spans="2:41" ht="21.75" customHeight="1" x14ac:dyDescent="0.45">
      <c r="B225" t="s">
        <v>99</v>
      </c>
      <c r="E225" s="31" t="s">
        <v>1635</v>
      </c>
      <c r="F225" t="str">
        <f>"Warengruppe&gt;&gt;"&amp;Migrationsartikel!V223&amp;"&gt;&gt;"&amp;Migrationsartikel!W223&amp;"&gt;&gt;"&amp;Migrationsartikel!X223</f>
        <v>Warengruppe&gt;&gt;Früchte und Gemüse&gt;&gt;Früchte und Gemüse&gt;&gt;Früchte</v>
      </c>
      <c r="H225" s="31" t="s">
        <v>109</v>
      </c>
      <c r="I225" s="31" t="s">
        <v>121</v>
      </c>
      <c r="J225" s="31">
        <f>Migrationsartikel!B223</f>
        <v>0</v>
      </c>
      <c r="L225" t="str">
        <f>Migrationsartikel!F223&amp;" "&amp;Migrationsartikel!G223&amp;" "&amp;Migrationsartikel!H223</f>
        <v xml:space="preserve">Birnen Forellen  Kl. 1 gepackt </v>
      </c>
      <c r="M225" t="str">
        <f>Migrationsartikel!J223&amp;" "&amp;Migrationsartikel!K223&amp;" "&amp;Migrationsartikel!L223</f>
        <v xml:space="preserve">Poires Forelle  Cl. 1 emballé </v>
      </c>
      <c r="N225" t="str">
        <f>Migrationsartikel!N223&amp;" "&amp;Migrationsartikel!O223&amp;" "&amp;Migrationsartikel!P223</f>
        <v xml:space="preserve">Pere Forelle  Cl. 1 confezionato </v>
      </c>
      <c r="O225" t="str">
        <f>Migrationsartikel!F223</f>
        <v xml:space="preserve">Birnen Forellen </v>
      </c>
      <c r="P225" t="str">
        <f>Migrationsartikel!J223</f>
        <v xml:space="preserve">Poires Forelle </v>
      </c>
      <c r="Q225" t="str">
        <f>Migrationsartikel!N223</f>
        <v xml:space="preserve">Pere Forelle </v>
      </c>
      <c r="R225" t="str">
        <f>Migrationsartikel!G223</f>
        <v>Kl. 1 gepackt</v>
      </c>
      <c r="S225" t="str">
        <f>Migrationsartikel!K223</f>
        <v>Cl. 1 emballé</v>
      </c>
      <c r="T225" t="str">
        <f>Migrationsartikel!O223</f>
        <v>Cl. 1 confezionato</v>
      </c>
      <c r="U225" s="31">
        <f>Migrationsartikel!H223</f>
        <v>0</v>
      </c>
      <c r="V225" s="31">
        <f>Migrationsartikel!L223</f>
        <v>0</v>
      </c>
      <c r="W225" s="31">
        <f>Migrationsartikel!P223</f>
        <v>0</v>
      </c>
      <c r="X225" t="str">
        <f>Migrationsartikel!I223</f>
        <v>Birnen Forellen Kl.1 gepackt</v>
      </c>
      <c r="Y225" t="str">
        <f>Migrationsartikel!M223</f>
        <v>Poires Forelle cl. 1 emballé</v>
      </c>
      <c r="Z225" t="str">
        <f>Migrationsartikel!Q223</f>
        <v>Pere Forelle cl. 1 confez.</v>
      </c>
      <c r="AA225" s="45">
        <f>Migrationsartikel!R223</f>
        <v>1</v>
      </c>
      <c r="AB225" s="46" t="str">
        <f>Migrationsartikel!T223</f>
        <v>Kilogramm</v>
      </c>
      <c r="AC225">
        <f>Migrationsartikel!S223</f>
        <v>1</v>
      </c>
      <c r="AD225" t="str">
        <f>Migrationsartikel!U223</f>
        <v>(PCE) Stück</v>
      </c>
      <c r="AE225" s="31" t="s">
        <v>179</v>
      </c>
      <c r="AF225" s="31" t="s">
        <v>192</v>
      </c>
      <c r="AG225" t="str">
        <f>IF(Migrationsartikel!AB223="ja","true",FALSE)</f>
        <v>true</v>
      </c>
      <c r="AH225" t="str">
        <f>IF(Migrationsartikel!AC223="ja","true",FALSE)</f>
        <v>true</v>
      </c>
      <c r="AI225" t="str">
        <f>IF(Migrationsartikel!AD223="ja","true",FALSE)</f>
        <v>true</v>
      </c>
      <c r="AJ225" t="str">
        <f>IF(Migrationsartikel!AE223="ja","true",FALSE)</f>
        <v>true</v>
      </c>
      <c r="AK225" t="str">
        <f>IF(Migrationsartikel!AF223="ja","Denner Partner","")</f>
        <v/>
      </c>
      <c r="AL225" t="str">
        <f>IF(Migrationsartikel!AG223="ja","true","false")</f>
        <v>false</v>
      </c>
      <c r="AM225" t="str">
        <f t="shared" si="3"/>
        <v>PLU</v>
      </c>
      <c r="AN225" s="31" t="s">
        <v>219</v>
      </c>
      <c r="AO225" s="31" t="s">
        <v>217</v>
      </c>
    </row>
    <row r="226" spans="2:41" ht="21.75" customHeight="1" x14ac:dyDescent="0.45">
      <c r="B226" t="s">
        <v>99</v>
      </c>
      <c r="E226" s="31" t="s">
        <v>1636</v>
      </c>
      <c r="F226" t="str">
        <f>"Warengruppe&gt;&gt;"&amp;Migrationsartikel!V224&amp;"&gt;&gt;"&amp;Migrationsartikel!W224&amp;"&gt;&gt;"&amp;Migrationsartikel!X224</f>
        <v>Warengruppe&gt;&gt;Früchte und Gemüse&gt;&gt;Früchte und Gemüse&gt;&gt;Früchte</v>
      </c>
      <c r="H226" s="31" t="s">
        <v>109</v>
      </c>
      <c r="I226" s="31" t="s">
        <v>121</v>
      </c>
      <c r="J226" s="31">
        <f>Migrationsartikel!B224</f>
        <v>139</v>
      </c>
      <c r="L226" t="str">
        <f>Migrationsartikel!F224&amp;" "&amp;Migrationsartikel!G224&amp;" "&amp;Migrationsartikel!H224</f>
        <v xml:space="preserve">Birnen Fred Offen Kl. 1 </v>
      </c>
      <c r="M226" t="str">
        <f>Migrationsartikel!J224&amp;" "&amp;Migrationsartikel!K224&amp;" "&amp;Migrationsartikel!L224</f>
        <v xml:space="preserve">Poires Fred En vrac, cl. 1 </v>
      </c>
      <c r="N226" t="str">
        <f>Migrationsartikel!N224&amp;" "&amp;Migrationsartikel!O224&amp;" "&amp;Migrationsartikel!P224</f>
        <v xml:space="preserve">Pere Fred Cl. 1 vendita sfusa </v>
      </c>
      <c r="O226" t="str">
        <f>Migrationsartikel!F224</f>
        <v>Birnen Fred</v>
      </c>
      <c r="P226" t="str">
        <f>Migrationsartikel!J224</f>
        <v>Poires Fred</v>
      </c>
      <c r="Q226" t="str">
        <f>Migrationsartikel!N224</f>
        <v>Pere Fred</v>
      </c>
      <c r="R226" t="str">
        <f>Migrationsartikel!G224</f>
        <v>Offen Kl. 1</v>
      </c>
      <c r="S226" t="str">
        <f>Migrationsartikel!K224</f>
        <v>En vrac, cl. 1</v>
      </c>
      <c r="T226" t="str">
        <f>Migrationsartikel!O224</f>
        <v>Cl. 1 vendita sfusa</v>
      </c>
      <c r="U226" s="31">
        <f>Migrationsartikel!H224</f>
        <v>0</v>
      </c>
      <c r="V226" s="31">
        <f>Migrationsartikel!L224</f>
        <v>0</v>
      </c>
      <c r="W226" s="31">
        <f>Migrationsartikel!P224</f>
        <v>0</v>
      </c>
      <c r="X226" t="str">
        <f>Migrationsartikel!I224</f>
        <v>Birnen Fred Offen Kl. 1</v>
      </c>
      <c r="Y226" t="str">
        <f>Migrationsartikel!M224</f>
        <v>Poires Fred cl. 1 en vrac</v>
      </c>
      <c r="Z226" t="str">
        <f>Migrationsartikel!Q224</f>
        <v>Pere Fred cl. 1 vend sfusa</v>
      </c>
      <c r="AA226" s="45">
        <f>Migrationsartikel!R224</f>
        <v>1</v>
      </c>
      <c r="AB226" s="46" t="str">
        <f>Migrationsartikel!T224</f>
        <v>Kilogramm</v>
      </c>
      <c r="AC226">
        <f>Migrationsartikel!S224</f>
        <v>1</v>
      </c>
      <c r="AD226" t="str">
        <f>Migrationsartikel!U224</f>
        <v>(KGM) KG</v>
      </c>
      <c r="AE226" s="31" t="s">
        <v>179</v>
      </c>
      <c r="AF226" s="31" t="s">
        <v>192</v>
      </c>
      <c r="AG226" t="str">
        <f>IF(Migrationsartikel!AB224="ja","true",FALSE)</f>
        <v>true</v>
      </c>
      <c r="AH226" t="str">
        <f>IF(Migrationsartikel!AC224="ja","true",FALSE)</f>
        <v>true</v>
      </c>
      <c r="AI226" t="str">
        <f>IF(Migrationsartikel!AD224="ja","true",FALSE)</f>
        <v>true</v>
      </c>
      <c r="AJ226" t="str">
        <f>IF(Migrationsartikel!AE224="ja","true",FALSE)</f>
        <v>true</v>
      </c>
      <c r="AK226" t="str">
        <f>IF(Migrationsartikel!AF224="ja","Denner Partner","")</f>
        <v/>
      </c>
      <c r="AL226" t="str">
        <f>IF(Migrationsartikel!AG224="ja","true","false")</f>
        <v>false</v>
      </c>
      <c r="AM226" t="str">
        <f t="shared" si="3"/>
        <v>PLU</v>
      </c>
      <c r="AN226" s="31" t="s">
        <v>219</v>
      </c>
      <c r="AO226" s="31" t="s">
        <v>217</v>
      </c>
    </row>
    <row r="227" spans="2:41" ht="21.75" customHeight="1" x14ac:dyDescent="0.45">
      <c r="B227" t="s">
        <v>99</v>
      </c>
      <c r="E227" s="31" t="s">
        <v>1637</v>
      </c>
      <c r="F227" t="str">
        <f>"Warengruppe&gt;&gt;"&amp;Migrationsartikel!V225&amp;"&gt;&gt;"&amp;Migrationsartikel!W225&amp;"&gt;&gt;"&amp;Migrationsartikel!X225</f>
        <v>Warengruppe&gt;&gt;Früchte und Gemüse&gt;&gt;Früchte und Gemüse&gt;&gt;Früchte</v>
      </c>
      <c r="H227" s="31" t="s">
        <v>109</v>
      </c>
      <c r="I227" s="31" t="s">
        <v>121</v>
      </c>
      <c r="J227" s="31">
        <f>Migrationsartikel!B225</f>
        <v>0</v>
      </c>
      <c r="L227" t="str">
        <f>Migrationsartikel!F225&amp;" "&amp;Migrationsartikel!G225&amp;" "&amp;Migrationsartikel!H225</f>
        <v xml:space="preserve">Birnen Fred Kl. 1 gepackt </v>
      </c>
      <c r="M227" t="str">
        <f>Migrationsartikel!J225&amp;" "&amp;Migrationsartikel!K225&amp;" "&amp;Migrationsartikel!L225</f>
        <v xml:space="preserve">Poires Fred Cl. 1 emballé </v>
      </c>
      <c r="N227" t="str">
        <f>Migrationsartikel!N225&amp;" "&amp;Migrationsartikel!O225&amp;" "&amp;Migrationsartikel!P225</f>
        <v xml:space="preserve">Pere Fred Cl. 1 confezionato </v>
      </c>
      <c r="O227" t="str">
        <f>Migrationsartikel!F225</f>
        <v>Birnen Fred</v>
      </c>
      <c r="P227" t="str">
        <f>Migrationsartikel!J225</f>
        <v>Poires Fred</v>
      </c>
      <c r="Q227" t="str">
        <f>Migrationsartikel!N225</f>
        <v>Pere Fred</v>
      </c>
      <c r="R227" t="str">
        <f>Migrationsartikel!G225</f>
        <v>Kl. 1 gepackt</v>
      </c>
      <c r="S227" t="str">
        <f>Migrationsartikel!K225</f>
        <v>Cl. 1 emballé</v>
      </c>
      <c r="T227" t="str">
        <f>Migrationsartikel!O225</f>
        <v>Cl. 1 confezionato</v>
      </c>
      <c r="U227" s="31">
        <f>Migrationsartikel!H225</f>
        <v>0</v>
      </c>
      <c r="V227" s="31">
        <f>Migrationsartikel!L225</f>
        <v>0</v>
      </c>
      <c r="W227" s="31">
        <f>Migrationsartikel!P225</f>
        <v>0</v>
      </c>
      <c r="X227" t="str">
        <f>Migrationsartikel!I225</f>
        <v>Birnen Fred Kl. 1 gepackt</v>
      </c>
      <c r="Y227" t="str">
        <f>Migrationsartikel!M225</f>
        <v>Poires Fred cl. 1 emballé</v>
      </c>
      <c r="Z227" t="str">
        <f>Migrationsartikel!Q225</f>
        <v>Pere Fred cl. 1 confez.</v>
      </c>
      <c r="AA227" s="45">
        <f>Migrationsartikel!R225</f>
        <v>1</v>
      </c>
      <c r="AB227" s="46" t="str">
        <f>Migrationsartikel!T225</f>
        <v>Kilogramm</v>
      </c>
      <c r="AC227">
        <f>Migrationsartikel!S225</f>
        <v>1</v>
      </c>
      <c r="AD227" t="str">
        <f>Migrationsartikel!U225</f>
        <v>(PCE) Stück</v>
      </c>
      <c r="AE227" s="31" t="s">
        <v>179</v>
      </c>
      <c r="AF227" s="31" t="s">
        <v>192</v>
      </c>
      <c r="AG227" t="str">
        <f>IF(Migrationsartikel!AB225="ja","true",FALSE)</f>
        <v>true</v>
      </c>
      <c r="AH227" t="str">
        <f>IF(Migrationsartikel!AC225="ja","true",FALSE)</f>
        <v>true</v>
      </c>
      <c r="AI227" t="str">
        <f>IF(Migrationsartikel!AD225="ja","true",FALSE)</f>
        <v>true</v>
      </c>
      <c r="AJ227" t="str">
        <f>IF(Migrationsartikel!AE225="ja","true",FALSE)</f>
        <v>true</v>
      </c>
      <c r="AK227" t="str">
        <f>IF(Migrationsartikel!AF225="ja","Denner Partner","")</f>
        <v/>
      </c>
      <c r="AL227" t="str">
        <f>IF(Migrationsartikel!AG225="ja","true","false")</f>
        <v>false</v>
      </c>
      <c r="AM227" t="str">
        <f t="shared" si="3"/>
        <v>PLU</v>
      </c>
      <c r="AN227" s="31" t="s">
        <v>219</v>
      </c>
      <c r="AO227" s="31" t="s">
        <v>217</v>
      </c>
    </row>
    <row r="228" spans="2:41" ht="21.75" customHeight="1" x14ac:dyDescent="0.45">
      <c r="B228" t="s">
        <v>99</v>
      </c>
      <c r="E228" s="31" t="s">
        <v>1638</v>
      </c>
      <c r="F228" t="str">
        <f>"Warengruppe&gt;&gt;"&amp;Migrationsartikel!V226&amp;"&gt;&gt;"&amp;Migrationsartikel!W226&amp;"&gt;&gt;"&amp;Migrationsartikel!X226</f>
        <v>Warengruppe&gt;&gt;Früchte und Gemüse&gt;&gt;Früchte und Gemüse&gt;&gt;Früchte</v>
      </c>
      <c r="H228" s="31" t="s">
        <v>109</v>
      </c>
      <c r="I228" s="31" t="s">
        <v>121</v>
      </c>
      <c r="J228" s="31">
        <f>Migrationsartikel!B226</f>
        <v>140</v>
      </c>
      <c r="L228" t="str">
        <f>Migrationsartikel!F226&amp;" "&amp;Migrationsartikel!G226&amp;" "&amp;Migrationsartikel!H226</f>
        <v xml:space="preserve">Birnen Gute Louise Offen Kl. 1 </v>
      </c>
      <c r="M228" t="str">
        <f>Migrationsartikel!J226&amp;" "&amp;Migrationsartikel!K226&amp;" "&amp;Migrationsartikel!L226</f>
        <v xml:space="preserve">Poires Bonne Louise En vrac, cl. 1 </v>
      </c>
      <c r="N228" t="str">
        <f>Migrationsartikel!N226&amp;" "&amp;Migrationsartikel!O226&amp;" "&amp;Migrationsartikel!P226</f>
        <v xml:space="preserve">Pere Gute Luise Cl. 1 vendita sfusa </v>
      </c>
      <c r="O228" t="str">
        <f>Migrationsartikel!F226</f>
        <v>Birnen Gute Louise</v>
      </c>
      <c r="P228" t="str">
        <f>Migrationsartikel!J226</f>
        <v>Poires Bonne Louise</v>
      </c>
      <c r="Q228" t="str">
        <f>Migrationsartikel!N226</f>
        <v>Pere Gute Luise</v>
      </c>
      <c r="R228" t="str">
        <f>Migrationsartikel!G226</f>
        <v>Offen Kl. 1</v>
      </c>
      <c r="S228" t="str">
        <f>Migrationsartikel!K226</f>
        <v>En vrac, cl. 1</v>
      </c>
      <c r="T228" t="str">
        <f>Migrationsartikel!O226</f>
        <v>Cl. 1 vendita sfusa</v>
      </c>
      <c r="U228" s="31">
        <f>Migrationsartikel!H226</f>
        <v>0</v>
      </c>
      <c r="V228" s="31">
        <f>Migrationsartikel!L226</f>
        <v>0</v>
      </c>
      <c r="W228" s="31">
        <f>Migrationsartikel!P226</f>
        <v>0</v>
      </c>
      <c r="X228" t="str">
        <f>Migrationsartikel!I226</f>
        <v>Birnen Gute Louise Off. Kl.1</v>
      </c>
      <c r="Y228" t="str">
        <f>Migrationsartikel!M226</f>
        <v>Poires Bonn. Lou. cl.1 en v.</v>
      </c>
      <c r="Z228" t="str">
        <f>Migrationsartikel!Q226</f>
        <v>Pere Gute Luise cl. 1 v. sf.</v>
      </c>
      <c r="AA228" s="45">
        <f>Migrationsartikel!R226</f>
        <v>1</v>
      </c>
      <c r="AB228" s="46" t="str">
        <f>Migrationsartikel!T226</f>
        <v>Kilogramm</v>
      </c>
      <c r="AC228">
        <f>Migrationsartikel!S226</f>
        <v>1</v>
      </c>
      <c r="AD228" t="str">
        <f>Migrationsartikel!U226</f>
        <v>(KGM) KG</v>
      </c>
      <c r="AE228" s="31" t="s">
        <v>179</v>
      </c>
      <c r="AF228" s="31" t="s">
        <v>192</v>
      </c>
      <c r="AG228" t="str">
        <f>IF(Migrationsartikel!AB226="ja","true",FALSE)</f>
        <v>true</v>
      </c>
      <c r="AH228" t="str">
        <f>IF(Migrationsartikel!AC226="ja","true",FALSE)</f>
        <v>true</v>
      </c>
      <c r="AI228" t="str">
        <f>IF(Migrationsartikel!AD226="ja","true",FALSE)</f>
        <v>true</v>
      </c>
      <c r="AJ228" t="str">
        <f>IF(Migrationsartikel!AE226="ja","true",FALSE)</f>
        <v>true</v>
      </c>
      <c r="AK228" t="str">
        <f>IF(Migrationsartikel!AF226="ja","Denner Partner","")</f>
        <v/>
      </c>
      <c r="AL228" t="str">
        <f>IF(Migrationsartikel!AG226="ja","true","false")</f>
        <v>false</v>
      </c>
      <c r="AM228" t="str">
        <f t="shared" si="3"/>
        <v>PLU</v>
      </c>
      <c r="AN228" s="31" t="s">
        <v>219</v>
      </c>
      <c r="AO228" s="31" t="s">
        <v>217</v>
      </c>
    </row>
    <row r="229" spans="2:41" ht="21.75" customHeight="1" x14ac:dyDescent="0.45">
      <c r="B229" t="s">
        <v>99</v>
      </c>
      <c r="E229" s="31" t="s">
        <v>1639</v>
      </c>
      <c r="F229" t="str">
        <f>"Warengruppe&gt;&gt;"&amp;Migrationsartikel!V227&amp;"&gt;&gt;"&amp;Migrationsartikel!W227&amp;"&gt;&gt;"&amp;Migrationsartikel!X227</f>
        <v>Warengruppe&gt;&gt;Früchte und Gemüse&gt;&gt;Früchte und Gemüse&gt;&gt;Früchte</v>
      </c>
      <c r="H229" s="31" t="s">
        <v>109</v>
      </c>
      <c r="I229" s="31" t="s">
        <v>121</v>
      </c>
      <c r="J229" s="31">
        <f>Migrationsartikel!B227</f>
        <v>0</v>
      </c>
      <c r="L229" t="str">
        <f>Migrationsartikel!F227&amp;" "&amp;Migrationsartikel!G227&amp;" "&amp;Migrationsartikel!H227</f>
        <v xml:space="preserve">Birnen Gute Louise Kl. 1 gepackt </v>
      </c>
      <c r="M229" t="str">
        <f>Migrationsartikel!J227&amp;" "&amp;Migrationsartikel!K227&amp;" "&amp;Migrationsartikel!L227</f>
        <v xml:space="preserve">Poires Bonne Louise Cl. 1 emballé </v>
      </c>
      <c r="N229" t="str">
        <f>Migrationsartikel!N227&amp;" "&amp;Migrationsartikel!O227&amp;" "&amp;Migrationsartikel!P227</f>
        <v xml:space="preserve">Pere Gute Luise Cl. 1 confezionato </v>
      </c>
      <c r="O229" t="str">
        <f>Migrationsartikel!F227</f>
        <v>Birnen Gute Louise</v>
      </c>
      <c r="P229" t="str">
        <f>Migrationsartikel!J227</f>
        <v>Poires Bonne Louise</v>
      </c>
      <c r="Q229" t="str">
        <f>Migrationsartikel!N227</f>
        <v>Pere Gute Luise</v>
      </c>
      <c r="R229" t="str">
        <f>Migrationsartikel!G227</f>
        <v>Kl. 1 gepackt</v>
      </c>
      <c r="S229" t="str">
        <f>Migrationsartikel!K227</f>
        <v>Cl. 1 emballé</v>
      </c>
      <c r="T229" t="str">
        <f>Migrationsartikel!O227</f>
        <v>Cl. 1 confezionato</v>
      </c>
      <c r="U229" s="31">
        <f>Migrationsartikel!H227</f>
        <v>0</v>
      </c>
      <c r="V229" s="31">
        <f>Migrationsartikel!L227</f>
        <v>0</v>
      </c>
      <c r="W229" s="31">
        <f>Migrationsartikel!P227</f>
        <v>0</v>
      </c>
      <c r="X229" t="str">
        <f>Migrationsartikel!I227</f>
        <v>Birnen Gute Louise Kl.1 gep.</v>
      </c>
      <c r="Y229" t="str">
        <f>Migrationsartikel!M227</f>
        <v>Poires Bonn. Lou. cl.1 emb.</v>
      </c>
      <c r="Z229" t="str">
        <f>Migrationsartikel!Q227</f>
        <v>Pere Gute Luise cl. 1 confez</v>
      </c>
      <c r="AA229" s="45">
        <f>Migrationsartikel!R227</f>
        <v>1</v>
      </c>
      <c r="AB229" s="46" t="str">
        <f>Migrationsartikel!T227</f>
        <v>Kilogramm</v>
      </c>
      <c r="AC229">
        <f>Migrationsartikel!S227</f>
        <v>1</v>
      </c>
      <c r="AD229" t="str">
        <f>Migrationsartikel!U227</f>
        <v>(PCE) Stück</v>
      </c>
      <c r="AE229" s="31" t="s">
        <v>179</v>
      </c>
      <c r="AF229" s="31" t="s">
        <v>192</v>
      </c>
      <c r="AG229" t="str">
        <f>IF(Migrationsartikel!AB227="ja","true",FALSE)</f>
        <v>true</v>
      </c>
      <c r="AH229" t="str">
        <f>IF(Migrationsartikel!AC227="ja","true",FALSE)</f>
        <v>true</v>
      </c>
      <c r="AI229" t="str">
        <f>IF(Migrationsartikel!AD227="ja","true",FALSE)</f>
        <v>true</v>
      </c>
      <c r="AJ229" t="str">
        <f>IF(Migrationsartikel!AE227="ja","true",FALSE)</f>
        <v>true</v>
      </c>
      <c r="AK229" t="str">
        <f>IF(Migrationsartikel!AF227="ja","Denner Partner","")</f>
        <v/>
      </c>
      <c r="AL229" t="str">
        <f>IF(Migrationsartikel!AG227="ja","true","false")</f>
        <v>false</v>
      </c>
      <c r="AM229" t="str">
        <f t="shared" si="3"/>
        <v>PLU</v>
      </c>
      <c r="AN229" s="31" t="s">
        <v>219</v>
      </c>
      <c r="AO229" s="31" t="s">
        <v>217</v>
      </c>
    </row>
    <row r="230" spans="2:41" ht="21.75" customHeight="1" x14ac:dyDescent="0.45">
      <c r="B230" t="s">
        <v>99</v>
      </c>
      <c r="E230" s="31" t="s">
        <v>1640</v>
      </c>
      <c r="F230" t="str">
        <f>"Warengruppe&gt;&gt;"&amp;Migrationsartikel!V228&amp;"&gt;&gt;"&amp;Migrationsartikel!W228&amp;"&gt;&gt;"&amp;Migrationsartikel!X228</f>
        <v>Warengruppe&gt;&gt;Früchte und Gemüse&gt;&gt;Früchte und Gemüse&gt;&gt;Früchte</v>
      </c>
      <c r="H230" s="31" t="s">
        <v>109</v>
      </c>
      <c r="I230" s="31" t="s">
        <v>121</v>
      </c>
      <c r="J230" s="31">
        <f>Migrationsartikel!B228</f>
        <v>141</v>
      </c>
      <c r="L230" t="str">
        <f>Migrationsartikel!F228&amp;" "&amp;Migrationsartikel!G228&amp;" "&amp;Migrationsartikel!H228</f>
        <v xml:space="preserve">Birnen Guyot Offen Kl. 1 </v>
      </c>
      <c r="M230" t="str">
        <f>Migrationsartikel!J228&amp;" "&amp;Migrationsartikel!K228&amp;" "&amp;Migrationsartikel!L228</f>
        <v xml:space="preserve">Poires Guyot En vrac, cl. 1 </v>
      </c>
      <c r="N230" t="str">
        <f>Migrationsartikel!N228&amp;" "&amp;Migrationsartikel!O228&amp;" "&amp;Migrationsartikel!P228</f>
        <v xml:space="preserve">Pere Guyot Cl. 1 vendita sfusa </v>
      </c>
      <c r="O230" t="str">
        <f>Migrationsartikel!F228</f>
        <v>Birnen Guyot</v>
      </c>
      <c r="P230" t="str">
        <f>Migrationsartikel!J228</f>
        <v>Poires Guyot</v>
      </c>
      <c r="Q230" t="str">
        <f>Migrationsartikel!N228</f>
        <v>Pere Guyot</v>
      </c>
      <c r="R230" t="str">
        <f>Migrationsartikel!G228</f>
        <v>Offen Kl. 1</v>
      </c>
      <c r="S230" t="str">
        <f>Migrationsartikel!K228</f>
        <v>En vrac, cl. 1</v>
      </c>
      <c r="T230" t="str">
        <f>Migrationsartikel!O228</f>
        <v>Cl. 1 vendita sfusa</v>
      </c>
      <c r="U230" s="31">
        <f>Migrationsartikel!H228</f>
        <v>0</v>
      </c>
      <c r="V230" s="31">
        <f>Migrationsartikel!L228</f>
        <v>0</v>
      </c>
      <c r="W230" s="31">
        <f>Migrationsartikel!P228</f>
        <v>0</v>
      </c>
      <c r="X230" t="str">
        <f>Migrationsartikel!I228</f>
        <v>Birnen Guyot Offen Kl. 1</v>
      </c>
      <c r="Y230" t="str">
        <f>Migrationsartikel!M228</f>
        <v>Poires Guyot cl. 1 en vrac</v>
      </c>
      <c r="Z230" t="str">
        <f>Migrationsartikel!Q228</f>
        <v>Pere Guyot cl. 1 vend. sfusa</v>
      </c>
      <c r="AA230" s="45">
        <f>Migrationsartikel!R228</f>
        <v>1</v>
      </c>
      <c r="AB230" s="46" t="str">
        <f>Migrationsartikel!T228</f>
        <v>Kilogramm</v>
      </c>
      <c r="AC230">
        <f>Migrationsartikel!S228</f>
        <v>1</v>
      </c>
      <c r="AD230" t="str">
        <f>Migrationsartikel!U228</f>
        <v>(KGM) KG</v>
      </c>
      <c r="AE230" s="31" t="s">
        <v>179</v>
      </c>
      <c r="AF230" s="31" t="s">
        <v>192</v>
      </c>
      <c r="AG230" t="str">
        <f>IF(Migrationsartikel!AB228="ja","true",FALSE)</f>
        <v>true</v>
      </c>
      <c r="AH230" t="str">
        <f>IF(Migrationsartikel!AC228="ja","true",FALSE)</f>
        <v>true</v>
      </c>
      <c r="AI230" t="str">
        <f>IF(Migrationsartikel!AD228="ja","true",FALSE)</f>
        <v>true</v>
      </c>
      <c r="AJ230" t="str">
        <f>IF(Migrationsartikel!AE228="ja","true",FALSE)</f>
        <v>true</v>
      </c>
      <c r="AK230" t="str">
        <f>IF(Migrationsartikel!AF228="ja","Denner Partner","")</f>
        <v/>
      </c>
      <c r="AL230" t="str">
        <f>IF(Migrationsartikel!AG228="ja","true","false")</f>
        <v>false</v>
      </c>
      <c r="AM230" t="str">
        <f t="shared" si="3"/>
        <v>PLU</v>
      </c>
      <c r="AN230" s="31" t="s">
        <v>219</v>
      </c>
      <c r="AO230" s="31" t="s">
        <v>217</v>
      </c>
    </row>
    <row r="231" spans="2:41" ht="21.75" customHeight="1" x14ac:dyDescent="0.45">
      <c r="B231" t="s">
        <v>99</v>
      </c>
      <c r="E231" s="31" t="s">
        <v>1641</v>
      </c>
      <c r="F231" t="str">
        <f>"Warengruppe&gt;&gt;"&amp;Migrationsartikel!V229&amp;"&gt;&gt;"&amp;Migrationsartikel!W229&amp;"&gt;&gt;"&amp;Migrationsartikel!X229</f>
        <v>Warengruppe&gt;&gt;Früchte und Gemüse&gt;&gt;Früchte und Gemüse&gt;&gt;Früchte</v>
      </c>
      <c r="H231" s="31" t="s">
        <v>109</v>
      </c>
      <c r="I231" s="31" t="s">
        <v>121</v>
      </c>
      <c r="J231" s="31">
        <f>Migrationsartikel!B229</f>
        <v>0</v>
      </c>
      <c r="L231" t="str">
        <f>Migrationsartikel!F229&amp;" "&amp;Migrationsartikel!G229&amp;" "&amp;Migrationsartikel!H229</f>
        <v xml:space="preserve">Birnen Guyot  Kl. 1 gepackt </v>
      </c>
      <c r="M231" t="str">
        <f>Migrationsartikel!J229&amp;" "&amp;Migrationsartikel!K229&amp;" "&amp;Migrationsartikel!L229</f>
        <v xml:space="preserve">Poires Guyot  Cl. 1 emballé </v>
      </c>
      <c r="N231" t="str">
        <f>Migrationsartikel!N229&amp;" "&amp;Migrationsartikel!O229&amp;" "&amp;Migrationsartikel!P229</f>
        <v xml:space="preserve">Pere Guyot  Cl. 1 confezionato </v>
      </c>
      <c r="O231" t="str">
        <f>Migrationsartikel!F229</f>
        <v xml:space="preserve">Birnen Guyot </v>
      </c>
      <c r="P231" t="str">
        <f>Migrationsartikel!J229</f>
        <v xml:space="preserve">Poires Guyot </v>
      </c>
      <c r="Q231" t="str">
        <f>Migrationsartikel!N229</f>
        <v xml:space="preserve">Pere Guyot </v>
      </c>
      <c r="R231" t="str">
        <f>Migrationsartikel!G229</f>
        <v>Kl. 1 gepackt</v>
      </c>
      <c r="S231" t="str">
        <f>Migrationsartikel!K229</f>
        <v>Cl. 1 emballé</v>
      </c>
      <c r="T231" t="str">
        <f>Migrationsartikel!O229</f>
        <v>Cl. 1 confezionato</v>
      </c>
      <c r="U231" s="31">
        <f>Migrationsartikel!H229</f>
        <v>0</v>
      </c>
      <c r="V231" s="31">
        <f>Migrationsartikel!L229</f>
        <v>0</v>
      </c>
      <c r="W231" s="31">
        <f>Migrationsartikel!P229</f>
        <v>0</v>
      </c>
      <c r="X231" t="str">
        <f>Migrationsartikel!I229</f>
        <v>Birnen Guyot Kl. 1 gepackt</v>
      </c>
      <c r="Y231" t="str">
        <f>Migrationsartikel!M229</f>
        <v>Poires Guyot cl. 1 emballé</v>
      </c>
      <c r="Z231" t="str">
        <f>Migrationsartikel!Q229</f>
        <v>Pere Guyot cl. 1 confez.</v>
      </c>
      <c r="AA231" s="45">
        <f>Migrationsartikel!R229</f>
        <v>1</v>
      </c>
      <c r="AB231" s="46" t="str">
        <f>Migrationsartikel!T229</f>
        <v>Kilogramm</v>
      </c>
      <c r="AC231">
        <f>Migrationsartikel!S229</f>
        <v>1</v>
      </c>
      <c r="AD231" t="str">
        <f>Migrationsartikel!U229</f>
        <v>(PCE) Stück</v>
      </c>
      <c r="AE231" s="31" t="s">
        <v>179</v>
      </c>
      <c r="AF231" s="31" t="s">
        <v>192</v>
      </c>
      <c r="AG231" t="str">
        <f>IF(Migrationsartikel!AB229="ja","true",FALSE)</f>
        <v>true</v>
      </c>
      <c r="AH231" t="str">
        <f>IF(Migrationsartikel!AC229="ja","true",FALSE)</f>
        <v>true</v>
      </c>
      <c r="AI231" t="str">
        <f>IF(Migrationsartikel!AD229="ja","true",FALSE)</f>
        <v>true</v>
      </c>
      <c r="AJ231" t="str">
        <f>IF(Migrationsartikel!AE229="ja","true",FALSE)</f>
        <v>true</v>
      </c>
      <c r="AK231" t="str">
        <f>IF(Migrationsartikel!AF229="ja","Denner Partner","")</f>
        <v/>
      </c>
      <c r="AL231" t="str">
        <f>IF(Migrationsartikel!AG229="ja","true","false")</f>
        <v>false</v>
      </c>
      <c r="AM231" t="str">
        <f t="shared" si="3"/>
        <v>PLU</v>
      </c>
      <c r="AN231" s="31" t="s">
        <v>219</v>
      </c>
      <c r="AO231" s="31" t="s">
        <v>217</v>
      </c>
    </row>
    <row r="232" spans="2:41" ht="21.75" customHeight="1" x14ac:dyDescent="0.45">
      <c r="B232" t="s">
        <v>99</v>
      </c>
      <c r="E232" s="31" t="s">
        <v>1642</v>
      </c>
      <c r="F232" t="str">
        <f>"Warengruppe&gt;&gt;"&amp;Migrationsartikel!V230&amp;"&gt;&gt;"&amp;Migrationsartikel!W230&amp;"&gt;&gt;"&amp;Migrationsartikel!X230</f>
        <v>Warengruppe&gt;&gt;Früchte und Gemüse&gt;&gt;Früchte und Gemüse&gt;&gt;Früchte</v>
      </c>
      <c r="H232" s="31" t="s">
        <v>109</v>
      </c>
      <c r="I232" s="31" t="s">
        <v>121</v>
      </c>
      <c r="J232" s="31">
        <f>Migrationsartikel!B230</f>
        <v>147</v>
      </c>
      <c r="L232" t="str">
        <f>Migrationsartikel!F230&amp;" "&amp;Migrationsartikel!G230&amp;" "&amp;Migrationsartikel!H230</f>
        <v xml:space="preserve">Birnen Offen  </v>
      </c>
      <c r="M232" t="str">
        <f>Migrationsartikel!J230&amp;" "&amp;Migrationsartikel!K230&amp;" "&amp;Migrationsartikel!L230</f>
        <v xml:space="preserve">Poires En vrac </v>
      </c>
      <c r="N232" t="str">
        <f>Migrationsartikel!N230&amp;" "&amp;Migrationsartikel!O230&amp;" "&amp;Migrationsartikel!P230</f>
        <v xml:space="preserve">Pere vendita sfusa </v>
      </c>
      <c r="O232" t="str">
        <f>Migrationsartikel!F230</f>
        <v>Birnen Offen</v>
      </c>
      <c r="P232" t="str">
        <f>Migrationsartikel!J230</f>
        <v>Poires</v>
      </c>
      <c r="Q232" t="str">
        <f>Migrationsartikel!N230</f>
        <v>Pere</v>
      </c>
      <c r="R232">
        <f>Migrationsartikel!G230</f>
        <v>0</v>
      </c>
      <c r="S232" t="str">
        <f>Migrationsartikel!K230</f>
        <v>En vrac</v>
      </c>
      <c r="T232" t="str">
        <f>Migrationsartikel!O230</f>
        <v>vendita sfusa</v>
      </c>
      <c r="U232" s="31">
        <f>Migrationsartikel!H230</f>
        <v>0</v>
      </c>
      <c r="V232" s="31">
        <f>Migrationsartikel!L230</f>
        <v>0</v>
      </c>
      <c r="W232" s="31">
        <f>Migrationsartikel!P230</f>
        <v>0</v>
      </c>
      <c r="X232" t="str">
        <f>Migrationsartikel!I230</f>
        <v>Birnen Offen</v>
      </c>
      <c r="Y232" t="str">
        <f>Migrationsartikel!M230</f>
        <v>Poires en vrac</v>
      </c>
      <c r="Z232" t="str">
        <f>Migrationsartikel!Q230</f>
        <v>Pere vendita sfusa</v>
      </c>
      <c r="AA232" s="45">
        <f>Migrationsartikel!R230</f>
        <v>1</v>
      </c>
      <c r="AB232" s="46" t="str">
        <f>Migrationsartikel!T230</f>
        <v>Kilogramm</v>
      </c>
      <c r="AC232">
        <f>Migrationsartikel!S230</f>
        <v>1</v>
      </c>
      <c r="AD232" t="str">
        <f>Migrationsartikel!U230</f>
        <v>(KGM) KG</v>
      </c>
      <c r="AE232" s="31" t="s">
        <v>179</v>
      </c>
      <c r="AF232" s="31" t="s">
        <v>192</v>
      </c>
      <c r="AG232" t="str">
        <f>IF(Migrationsartikel!AB230="ja","true",FALSE)</f>
        <v>true</v>
      </c>
      <c r="AH232" t="str">
        <f>IF(Migrationsartikel!AC230="ja","true",FALSE)</f>
        <v>true</v>
      </c>
      <c r="AI232" t="str">
        <f>IF(Migrationsartikel!AD230="ja","true",FALSE)</f>
        <v>true</v>
      </c>
      <c r="AJ232" t="str">
        <f>IF(Migrationsartikel!AE230="ja","true",FALSE)</f>
        <v>true</v>
      </c>
      <c r="AK232" t="str">
        <f>IF(Migrationsartikel!AF230="ja","Denner Partner","")</f>
        <v/>
      </c>
      <c r="AL232" t="str">
        <f>IF(Migrationsartikel!AG230="ja","true","false")</f>
        <v>false</v>
      </c>
      <c r="AM232" t="str">
        <f t="shared" si="3"/>
        <v>PLU</v>
      </c>
      <c r="AN232" s="31" t="s">
        <v>219</v>
      </c>
      <c r="AO232" s="31" t="s">
        <v>217</v>
      </c>
    </row>
    <row r="233" spans="2:41" ht="21.75" customHeight="1" x14ac:dyDescent="0.45">
      <c r="B233" t="s">
        <v>99</v>
      </c>
      <c r="E233" s="31" t="s">
        <v>1643</v>
      </c>
      <c r="F233" t="str">
        <f>"Warengruppe&gt;&gt;"&amp;Migrationsartikel!V231&amp;"&gt;&gt;"&amp;Migrationsartikel!W231&amp;"&gt;&gt;"&amp;Migrationsartikel!X231</f>
        <v>Warengruppe&gt;&gt;Früchte und Gemüse&gt;&gt;Früchte und Gemüse&gt;&gt;Früchte</v>
      </c>
      <c r="H233" s="31" t="s">
        <v>109</v>
      </c>
      <c r="I233" s="31" t="s">
        <v>121</v>
      </c>
      <c r="J233" s="31">
        <f>Migrationsartikel!B231</f>
        <v>144</v>
      </c>
      <c r="L233" t="str">
        <f>Migrationsartikel!F231&amp;" "&amp;Migrationsartikel!G231&amp;" "&amp;Migrationsartikel!H231</f>
        <v xml:space="preserve">Birnen Packhams Offen Kl. 1 </v>
      </c>
      <c r="M233" t="str">
        <f>Migrationsartikel!J231&amp;" "&amp;Migrationsartikel!K231&amp;" "&amp;Migrationsartikel!L231</f>
        <v xml:space="preserve">Poires Packhams En vrac, cl. 1 </v>
      </c>
      <c r="N233" t="str">
        <f>Migrationsartikel!N231&amp;" "&amp;Migrationsartikel!O231&amp;" "&amp;Migrationsartikel!P231</f>
        <v xml:space="preserve">Pere Packhams Cl. 1 vendita sfusa </v>
      </c>
      <c r="O233" t="str">
        <f>Migrationsartikel!F231</f>
        <v>Birnen Packhams</v>
      </c>
      <c r="P233" t="str">
        <f>Migrationsartikel!J231</f>
        <v>Poires Packhams</v>
      </c>
      <c r="Q233" t="str">
        <f>Migrationsartikel!N231</f>
        <v>Pere Packhams</v>
      </c>
      <c r="R233" t="str">
        <f>Migrationsartikel!G231</f>
        <v>Offen Kl. 1</v>
      </c>
      <c r="S233" t="str">
        <f>Migrationsartikel!K231</f>
        <v>En vrac, cl. 1</v>
      </c>
      <c r="T233" t="str">
        <f>Migrationsartikel!O231</f>
        <v>Cl. 1 vendita sfusa</v>
      </c>
      <c r="U233" s="31">
        <f>Migrationsartikel!H231</f>
        <v>0</v>
      </c>
      <c r="V233" s="31">
        <f>Migrationsartikel!L231</f>
        <v>0</v>
      </c>
      <c r="W233" s="31">
        <f>Migrationsartikel!P231</f>
        <v>0</v>
      </c>
      <c r="X233" t="str">
        <f>Migrationsartikel!I231</f>
        <v>Birnen Packhams Offen Kl. 1</v>
      </c>
      <c r="Y233" t="str">
        <f>Migrationsartikel!M231</f>
        <v>Poires Packhams cl.1 en vrac</v>
      </c>
      <c r="Z233" t="str">
        <f>Migrationsartikel!Q231</f>
        <v>Pere Packhams cl. 1 v.sfusa</v>
      </c>
      <c r="AA233" s="45">
        <f>Migrationsartikel!R231</f>
        <v>1</v>
      </c>
      <c r="AB233" s="46" t="str">
        <f>Migrationsartikel!T231</f>
        <v>Kilogramm</v>
      </c>
      <c r="AC233">
        <f>Migrationsartikel!S231</f>
        <v>1</v>
      </c>
      <c r="AD233" t="str">
        <f>Migrationsartikel!U231</f>
        <v>(KGM) KG</v>
      </c>
      <c r="AE233" s="31" t="s">
        <v>179</v>
      </c>
      <c r="AF233" s="31" t="s">
        <v>192</v>
      </c>
      <c r="AG233" t="str">
        <f>IF(Migrationsartikel!AB231="ja","true",FALSE)</f>
        <v>true</v>
      </c>
      <c r="AH233" t="str">
        <f>IF(Migrationsartikel!AC231="ja","true",FALSE)</f>
        <v>true</v>
      </c>
      <c r="AI233" t="str">
        <f>IF(Migrationsartikel!AD231="ja","true",FALSE)</f>
        <v>true</v>
      </c>
      <c r="AJ233" t="str">
        <f>IF(Migrationsartikel!AE231="ja","true",FALSE)</f>
        <v>true</v>
      </c>
      <c r="AK233" t="str">
        <f>IF(Migrationsartikel!AF231="ja","Denner Partner","")</f>
        <v/>
      </c>
      <c r="AL233" t="str">
        <f>IF(Migrationsartikel!AG231="ja","true","false")</f>
        <v>false</v>
      </c>
      <c r="AM233" t="str">
        <f t="shared" si="3"/>
        <v>PLU</v>
      </c>
      <c r="AN233" s="31" t="s">
        <v>219</v>
      </c>
      <c r="AO233" s="31" t="s">
        <v>217</v>
      </c>
    </row>
    <row r="234" spans="2:41" ht="21.75" customHeight="1" x14ac:dyDescent="0.45">
      <c r="B234" t="s">
        <v>99</v>
      </c>
      <c r="E234" s="31" t="s">
        <v>1644</v>
      </c>
      <c r="F234" t="str">
        <f>"Warengruppe&gt;&gt;"&amp;Migrationsartikel!V232&amp;"&gt;&gt;"&amp;Migrationsartikel!W232&amp;"&gt;&gt;"&amp;Migrationsartikel!X232</f>
        <v>Warengruppe&gt;&gt;Früchte und Gemüse&gt;&gt;Früchte und Gemüse&gt;&gt;Früchte</v>
      </c>
      <c r="H234" s="31" t="s">
        <v>109</v>
      </c>
      <c r="I234" s="31" t="s">
        <v>121</v>
      </c>
      <c r="J234" s="31">
        <f>Migrationsartikel!B232</f>
        <v>0</v>
      </c>
      <c r="L234" t="str">
        <f>Migrationsartikel!F232&amp;" "&amp;Migrationsartikel!G232&amp;" "&amp;Migrationsartikel!H232</f>
        <v xml:space="preserve">Birnen Packhams Kl. 1 gepackt </v>
      </c>
      <c r="M234" t="str">
        <f>Migrationsartikel!J232&amp;" "&amp;Migrationsartikel!K232&amp;" "&amp;Migrationsartikel!L232</f>
        <v xml:space="preserve">Poires Packhams Cl. 1 emballé </v>
      </c>
      <c r="N234" t="str">
        <f>Migrationsartikel!N232&amp;" "&amp;Migrationsartikel!O232&amp;" "&amp;Migrationsartikel!P232</f>
        <v xml:space="preserve">Pere Packhams Cl. 1 confezionato </v>
      </c>
      <c r="O234" t="str">
        <f>Migrationsartikel!F232</f>
        <v>Birnen Packhams</v>
      </c>
      <c r="P234" t="str">
        <f>Migrationsartikel!J232</f>
        <v>Poires Packhams</v>
      </c>
      <c r="Q234" t="str">
        <f>Migrationsartikel!N232</f>
        <v>Pere Packhams</v>
      </c>
      <c r="R234" t="str">
        <f>Migrationsartikel!G232</f>
        <v>Kl. 1 gepackt</v>
      </c>
      <c r="S234" t="str">
        <f>Migrationsartikel!K232</f>
        <v>Cl. 1 emballé</v>
      </c>
      <c r="T234" t="str">
        <f>Migrationsartikel!O232</f>
        <v>Cl. 1 confezionato</v>
      </c>
      <c r="U234" s="31">
        <f>Migrationsartikel!H232</f>
        <v>0</v>
      </c>
      <c r="V234" s="31">
        <f>Migrationsartikel!L232</f>
        <v>0</v>
      </c>
      <c r="W234" s="31">
        <f>Migrationsartikel!P232</f>
        <v>0</v>
      </c>
      <c r="X234" t="str">
        <f>Migrationsartikel!I232</f>
        <v>Birnen Packhams Kl.1 gepackt</v>
      </c>
      <c r="Y234" t="str">
        <f>Migrationsartikel!M232</f>
        <v>Poires Packhams cl. 1 emb.</v>
      </c>
      <c r="Z234" t="str">
        <f>Migrationsartikel!Q232</f>
        <v>Pere Packhams cl. 1 convez.</v>
      </c>
      <c r="AA234" s="45">
        <f>Migrationsartikel!R232</f>
        <v>1</v>
      </c>
      <c r="AB234" s="46" t="str">
        <f>Migrationsartikel!T232</f>
        <v>Kilogramm</v>
      </c>
      <c r="AC234">
        <f>Migrationsartikel!S232</f>
        <v>1</v>
      </c>
      <c r="AD234" t="str">
        <f>Migrationsartikel!U232</f>
        <v>(PCE) Stück</v>
      </c>
      <c r="AE234" s="31" t="s">
        <v>179</v>
      </c>
      <c r="AF234" s="31" t="s">
        <v>192</v>
      </c>
      <c r="AG234" t="str">
        <f>IF(Migrationsartikel!AB232="ja","true",FALSE)</f>
        <v>true</v>
      </c>
      <c r="AH234" t="str">
        <f>IF(Migrationsartikel!AC232="ja","true",FALSE)</f>
        <v>true</v>
      </c>
      <c r="AI234" t="str">
        <f>IF(Migrationsartikel!AD232="ja","true",FALSE)</f>
        <v>true</v>
      </c>
      <c r="AJ234" t="str">
        <f>IF(Migrationsartikel!AE232="ja","true",FALSE)</f>
        <v>true</v>
      </c>
      <c r="AK234" t="str">
        <f>IF(Migrationsartikel!AF232="ja","Denner Partner","")</f>
        <v/>
      </c>
      <c r="AL234" t="str">
        <f>IF(Migrationsartikel!AG232="ja","true","false")</f>
        <v>false</v>
      </c>
      <c r="AM234" t="str">
        <f t="shared" si="3"/>
        <v>PLU</v>
      </c>
      <c r="AN234" s="31" t="s">
        <v>219</v>
      </c>
      <c r="AO234" s="31" t="s">
        <v>217</v>
      </c>
    </row>
    <row r="235" spans="2:41" ht="21.75" customHeight="1" x14ac:dyDescent="0.45">
      <c r="B235" t="s">
        <v>99</v>
      </c>
      <c r="E235" s="31" t="s">
        <v>1645</v>
      </c>
      <c r="F235" t="str">
        <f>"Warengruppe&gt;&gt;"&amp;Migrationsartikel!V233&amp;"&gt;&gt;"&amp;Migrationsartikel!W233&amp;"&gt;&gt;"&amp;Migrationsartikel!X233</f>
        <v>Warengruppe&gt;&gt;Früchte und Gemüse&gt;&gt;Früchte und Gemüse&gt;&gt;Früchte</v>
      </c>
      <c r="H235" s="31" t="s">
        <v>109</v>
      </c>
      <c r="I235" s="31" t="s">
        <v>121</v>
      </c>
      <c r="J235" s="31">
        <f>Migrationsartikel!B233</f>
        <v>145</v>
      </c>
      <c r="L235" t="str">
        <f>Migrationsartikel!F233&amp;" "&amp;Migrationsartikel!G233&amp;" "&amp;Migrationsartikel!H233</f>
        <v xml:space="preserve">Birnen Rocha Offen Kl. 1 </v>
      </c>
      <c r="M235" t="str">
        <f>Migrationsartikel!J233&amp;" "&amp;Migrationsartikel!K233&amp;" "&amp;Migrationsartikel!L233</f>
        <v xml:space="preserve">Poires Rocha En vrac, cl. 1 </v>
      </c>
      <c r="N235" t="str">
        <f>Migrationsartikel!N233&amp;" "&amp;Migrationsartikel!O233&amp;" "&amp;Migrationsartikel!P233</f>
        <v xml:space="preserve">Pere Rocha Cl. 1 vendita sfusa </v>
      </c>
      <c r="O235" t="str">
        <f>Migrationsartikel!F233</f>
        <v>Birnen Rocha</v>
      </c>
      <c r="P235" t="str">
        <f>Migrationsartikel!J233</f>
        <v>Poires Rocha</v>
      </c>
      <c r="Q235" t="str">
        <f>Migrationsartikel!N233</f>
        <v>Pere Rocha</v>
      </c>
      <c r="R235" t="str">
        <f>Migrationsartikel!G233</f>
        <v>Offen Kl. 1</v>
      </c>
      <c r="S235" t="str">
        <f>Migrationsartikel!K233</f>
        <v>En vrac, cl. 1</v>
      </c>
      <c r="T235" t="str">
        <f>Migrationsartikel!O233</f>
        <v>Cl. 1 vendita sfusa</v>
      </c>
      <c r="U235" s="31">
        <f>Migrationsartikel!H233</f>
        <v>0</v>
      </c>
      <c r="V235" s="31">
        <f>Migrationsartikel!L233</f>
        <v>0</v>
      </c>
      <c r="W235" s="31">
        <f>Migrationsartikel!P233</f>
        <v>0</v>
      </c>
      <c r="X235" t="str">
        <f>Migrationsartikel!I233</f>
        <v>Birnen Rocha Offen Kl. 1</v>
      </c>
      <c r="Y235" t="str">
        <f>Migrationsartikel!M233</f>
        <v>Poires Rocha cl.1 en vrac</v>
      </c>
      <c r="Z235" t="str">
        <f>Migrationsartikel!Q233</f>
        <v>Pere Rocha cl. 1 v. sfusa</v>
      </c>
      <c r="AA235" s="45">
        <f>Migrationsartikel!R233</f>
        <v>1</v>
      </c>
      <c r="AB235" s="46" t="str">
        <f>Migrationsartikel!T233</f>
        <v>Kilogramm</v>
      </c>
      <c r="AC235">
        <f>Migrationsartikel!S233</f>
        <v>1</v>
      </c>
      <c r="AD235" t="str">
        <f>Migrationsartikel!U233</f>
        <v>(KGM) KG</v>
      </c>
      <c r="AE235" s="31" t="s">
        <v>179</v>
      </c>
      <c r="AF235" s="31" t="s">
        <v>192</v>
      </c>
      <c r="AG235" t="str">
        <f>IF(Migrationsartikel!AB233="ja","true",FALSE)</f>
        <v>true</v>
      </c>
      <c r="AH235" t="str">
        <f>IF(Migrationsartikel!AC233="ja","true",FALSE)</f>
        <v>true</v>
      </c>
      <c r="AI235" t="str">
        <f>IF(Migrationsartikel!AD233="ja","true",FALSE)</f>
        <v>true</v>
      </c>
      <c r="AJ235" t="str">
        <f>IF(Migrationsartikel!AE233="ja","true",FALSE)</f>
        <v>true</v>
      </c>
      <c r="AK235" t="str">
        <f>IF(Migrationsartikel!AF233="ja","Denner Partner","")</f>
        <v/>
      </c>
      <c r="AL235" t="str">
        <f>IF(Migrationsartikel!AG233="ja","true","false")</f>
        <v>false</v>
      </c>
      <c r="AM235" t="str">
        <f t="shared" si="3"/>
        <v>PLU</v>
      </c>
      <c r="AN235" s="31" t="s">
        <v>219</v>
      </c>
      <c r="AO235" s="31" t="s">
        <v>217</v>
      </c>
    </row>
    <row r="236" spans="2:41" ht="21.75" customHeight="1" x14ac:dyDescent="0.45">
      <c r="B236" t="s">
        <v>99</v>
      </c>
      <c r="E236" s="31" t="s">
        <v>1646</v>
      </c>
      <c r="F236" t="str">
        <f>"Warengruppe&gt;&gt;"&amp;Migrationsartikel!V234&amp;"&gt;&gt;"&amp;Migrationsartikel!W234&amp;"&gt;&gt;"&amp;Migrationsartikel!X234</f>
        <v>Warengruppe&gt;&gt;Früchte und Gemüse&gt;&gt;Früchte und Gemüse&gt;&gt;Früchte</v>
      </c>
      <c r="H236" s="31" t="s">
        <v>109</v>
      </c>
      <c r="I236" s="31" t="s">
        <v>121</v>
      </c>
      <c r="J236" s="31">
        <f>Migrationsartikel!B234</f>
        <v>0</v>
      </c>
      <c r="L236" t="str">
        <f>Migrationsartikel!F234&amp;" "&amp;Migrationsartikel!G234&amp;" "&amp;Migrationsartikel!H234</f>
        <v xml:space="preserve">Birnen Rosmarie Kl. 1 gepackt </v>
      </c>
      <c r="M236" t="str">
        <f>Migrationsartikel!J234&amp;" "&amp;Migrationsartikel!K234&amp;" "&amp;Migrationsartikel!L234</f>
        <v xml:space="preserve">Poires Rosemarie Cl. 1 emballé </v>
      </c>
      <c r="N236" t="str">
        <f>Migrationsartikel!N234&amp;" "&amp;Migrationsartikel!O234&amp;" "&amp;Migrationsartikel!P234</f>
        <v xml:space="preserve">Pere Rosmarie Cl. 1 confezionato </v>
      </c>
      <c r="O236" t="str">
        <f>Migrationsartikel!F234</f>
        <v>Birnen Rosmarie</v>
      </c>
      <c r="P236" t="str">
        <f>Migrationsartikel!J234</f>
        <v>Poires Rosemarie</v>
      </c>
      <c r="Q236" t="str">
        <f>Migrationsartikel!N234</f>
        <v>Pere Rosmarie</v>
      </c>
      <c r="R236" t="str">
        <f>Migrationsartikel!G234</f>
        <v>Kl. 1 gepackt</v>
      </c>
      <c r="S236" t="str">
        <f>Migrationsartikel!K234</f>
        <v>Cl. 1 emballé</v>
      </c>
      <c r="T236" t="str">
        <f>Migrationsartikel!O234</f>
        <v>Cl. 1 confezionato</v>
      </c>
      <c r="U236" s="31">
        <f>Migrationsartikel!H234</f>
        <v>0</v>
      </c>
      <c r="V236" s="31">
        <f>Migrationsartikel!L234</f>
        <v>0</v>
      </c>
      <c r="W236" s="31">
        <f>Migrationsartikel!P234</f>
        <v>0</v>
      </c>
      <c r="X236" t="str">
        <f>Migrationsartikel!I234</f>
        <v>Birnen Rosmarei Kl.1 gepackt</v>
      </c>
      <c r="Y236" t="str">
        <f>Migrationsartikel!M234</f>
        <v>Poires Rosemarie cl. 1 emb.</v>
      </c>
      <c r="Z236" t="str">
        <f>Migrationsartikel!Q234</f>
        <v>Pere Rosmarie cl. 1 confez.</v>
      </c>
      <c r="AA236" s="45">
        <f>Migrationsartikel!R234</f>
        <v>1</v>
      </c>
      <c r="AB236" s="46" t="str">
        <f>Migrationsartikel!T234</f>
        <v>Kilogramm</v>
      </c>
      <c r="AC236">
        <f>Migrationsartikel!S234</f>
        <v>1</v>
      </c>
      <c r="AD236" t="str">
        <f>Migrationsartikel!U234</f>
        <v>(PCE) Stück</v>
      </c>
      <c r="AE236" s="31" t="s">
        <v>179</v>
      </c>
      <c r="AF236" s="31" t="s">
        <v>192</v>
      </c>
      <c r="AG236" t="str">
        <f>IF(Migrationsartikel!AB234="ja","true",FALSE)</f>
        <v>true</v>
      </c>
      <c r="AH236" t="str">
        <f>IF(Migrationsartikel!AC234="ja","true",FALSE)</f>
        <v>true</v>
      </c>
      <c r="AI236" t="str">
        <f>IF(Migrationsartikel!AD234="ja","true",FALSE)</f>
        <v>true</v>
      </c>
      <c r="AJ236" t="str">
        <f>IF(Migrationsartikel!AE234="ja","true",FALSE)</f>
        <v>true</v>
      </c>
      <c r="AK236" t="str">
        <f>IF(Migrationsartikel!AF234="ja","Denner Partner","")</f>
        <v/>
      </c>
      <c r="AL236" t="str">
        <f>IF(Migrationsartikel!AG234="ja","true","false")</f>
        <v>false</v>
      </c>
      <c r="AM236" t="str">
        <f t="shared" si="3"/>
        <v>PLU</v>
      </c>
      <c r="AN236" s="31" t="s">
        <v>219</v>
      </c>
      <c r="AO236" s="31" t="s">
        <v>217</v>
      </c>
    </row>
    <row r="237" spans="2:41" ht="21.75" customHeight="1" x14ac:dyDescent="0.45">
      <c r="B237" t="s">
        <v>99</v>
      </c>
      <c r="E237" s="31" t="s">
        <v>1647</v>
      </c>
      <c r="F237" t="str">
        <f>"Warengruppe&gt;&gt;"&amp;Migrationsartikel!V235&amp;"&gt;&gt;"&amp;Migrationsartikel!W235&amp;"&gt;&gt;"&amp;Migrationsartikel!X235</f>
        <v>Warengruppe&gt;&gt;Früchte und Gemüse&gt;&gt;Früchte und Gemüse&gt;&gt;Früchte</v>
      </c>
      <c r="H237" s="31" t="s">
        <v>109</v>
      </c>
      <c r="I237" s="31" t="s">
        <v>121</v>
      </c>
      <c r="J237" s="31">
        <f>Migrationsartikel!B235</f>
        <v>0</v>
      </c>
      <c r="L237" t="str">
        <f>Migrationsartikel!F235&amp;" "&amp;Migrationsartikel!G235&amp;" "&amp;Migrationsartikel!H235</f>
        <v xml:space="preserve">Birnen Trévoux Kl. 1 gepackt </v>
      </c>
      <c r="M237" t="str">
        <f>Migrationsartikel!J235&amp;" "&amp;Migrationsartikel!K235&amp;" "&amp;Migrationsartikel!L235</f>
        <v xml:space="preserve">Poires Trévoux Cl. 1 emballé </v>
      </c>
      <c r="N237" t="str">
        <f>Migrationsartikel!N235&amp;" "&amp;Migrationsartikel!O235&amp;" "&amp;Migrationsartikel!P235</f>
        <v xml:space="preserve">Pere Trévoux Cl. 1 confezionato </v>
      </c>
      <c r="O237" t="str">
        <f>Migrationsartikel!F235</f>
        <v>Birnen Trévoux</v>
      </c>
      <c r="P237" t="str">
        <f>Migrationsartikel!J235</f>
        <v>Poires Trévoux</v>
      </c>
      <c r="Q237" t="str">
        <f>Migrationsartikel!N235</f>
        <v>Pere Trévoux</v>
      </c>
      <c r="R237" t="str">
        <f>Migrationsartikel!G235</f>
        <v>Kl. 1 gepackt</v>
      </c>
      <c r="S237" t="str">
        <f>Migrationsartikel!K235</f>
        <v>Cl. 1 emballé</v>
      </c>
      <c r="T237" t="str">
        <f>Migrationsartikel!O235</f>
        <v>Cl. 1 confezionato</v>
      </c>
      <c r="U237" s="31">
        <f>Migrationsartikel!H235</f>
        <v>0</v>
      </c>
      <c r="V237" s="31">
        <f>Migrationsartikel!L235</f>
        <v>0</v>
      </c>
      <c r="W237" s="31">
        <f>Migrationsartikel!P235</f>
        <v>0</v>
      </c>
      <c r="X237" t="str">
        <f>Migrationsartikel!I235</f>
        <v>Birnen Trévoux Kl. 1 gepackt</v>
      </c>
      <c r="Y237" t="str">
        <f>Migrationsartikel!M235</f>
        <v>Poires Trévoux cl. 1 emballé</v>
      </c>
      <c r="Z237" t="str">
        <f>Migrationsartikel!Q235</f>
        <v xml:space="preserve">Pere Trévoux cl. 1 confez. </v>
      </c>
      <c r="AA237" s="45">
        <f>Migrationsartikel!R235</f>
        <v>1</v>
      </c>
      <c r="AB237" s="46" t="str">
        <f>Migrationsartikel!T235</f>
        <v>Kilogramm</v>
      </c>
      <c r="AC237">
        <f>Migrationsartikel!S235</f>
        <v>1</v>
      </c>
      <c r="AD237" t="str">
        <f>Migrationsartikel!U235</f>
        <v>(PCE) Stück</v>
      </c>
      <c r="AE237" s="31" t="s">
        <v>179</v>
      </c>
      <c r="AF237" s="31" t="s">
        <v>192</v>
      </c>
      <c r="AG237" t="str">
        <f>IF(Migrationsartikel!AB235="ja","true",FALSE)</f>
        <v>true</v>
      </c>
      <c r="AH237" t="str">
        <f>IF(Migrationsartikel!AC235="ja","true",FALSE)</f>
        <v>true</v>
      </c>
      <c r="AI237" t="str">
        <f>IF(Migrationsartikel!AD235="ja","true",FALSE)</f>
        <v>true</v>
      </c>
      <c r="AJ237" t="str">
        <f>IF(Migrationsartikel!AE235="ja","true",FALSE)</f>
        <v>true</v>
      </c>
      <c r="AK237" t="str">
        <f>IF(Migrationsartikel!AF235="ja","Denner Partner","")</f>
        <v/>
      </c>
      <c r="AL237" t="str">
        <f>IF(Migrationsartikel!AG235="ja","true","false")</f>
        <v>false</v>
      </c>
      <c r="AM237" t="str">
        <f t="shared" si="3"/>
        <v>PLU</v>
      </c>
      <c r="AN237" s="31" t="s">
        <v>219</v>
      </c>
      <c r="AO237" s="31" t="s">
        <v>217</v>
      </c>
    </row>
    <row r="238" spans="2:41" ht="21.75" customHeight="1" x14ac:dyDescent="0.45">
      <c r="B238" t="s">
        <v>99</v>
      </c>
      <c r="E238" s="31" t="s">
        <v>1648</v>
      </c>
      <c r="F238" t="str">
        <f>"Warengruppe&gt;&gt;"&amp;Migrationsartikel!V236&amp;"&gt;&gt;"&amp;Migrationsartikel!W236&amp;"&gt;&gt;"&amp;Migrationsartikel!X236</f>
        <v>Warengruppe&gt;&gt;Früchte und Gemüse&gt;&gt;Früchte und Gemüse&gt;&gt;Früchte</v>
      </c>
      <c r="H238" s="31" t="s">
        <v>109</v>
      </c>
      <c r="I238" s="31" t="s">
        <v>121</v>
      </c>
      <c r="J238" s="31">
        <f>Migrationsartikel!B236</f>
        <v>146</v>
      </c>
      <c r="L238" t="str">
        <f>Migrationsartikel!F236&amp;" "&amp;Migrationsartikel!G236&amp;" "&amp;Migrationsartikel!H236</f>
        <v xml:space="preserve">Birnen Williams Offen Kl. 1 </v>
      </c>
      <c r="M238" t="str">
        <f>Migrationsartikel!J236&amp;" "&amp;Migrationsartikel!K236&amp;" "&amp;Migrationsartikel!L236</f>
        <v xml:space="preserve">Poires Williams En vrac, cl. 1 </v>
      </c>
      <c r="N238" t="str">
        <f>Migrationsartikel!N236&amp;" "&amp;Migrationsartikel!O236&amp;" "&amp;Migrationsartikel!P236</f>
        <v xml:space="preserve">Pere Williams Cl. 1 vendita sfusa </v>
      </c>
      <c r="O238" t="str">
        <f>Migrationsartikel!F236</f>
        <v>Birnen Williams</v>
      </c>
      <c r="P238" t="str">
        <f>Migrationsartikel!J236</f>
        <v>Poires Williams</v>
      </c>
      <c r="Q238" t="str">
        <f>Migrationsartikel!N236</f>
        <v>Pere Williams</v>
      </c>
      <c r="R238" t="str">
        <f>Migrationsartikel!G236</f>
        <v>Offen Kl. 1</v>
      </c>
      <c r="S238" t="str">
        <f>Migrationsartikel!K236</f>
        <v>En vrac, cl. 1</v>
      </c>
      <c r="T238" t="str">
        <f>Migrationsartikel!O236</f>
        <v>Cl. 1 vendita sfusa</v>
      </c>
      <c r="U238" s="31">
        <f>Migrationsartikel!H236</f>
        <v>0</v>
      </c>
      <c r="V238" s="31">
        <f>Migrationsartikel!L236</f>
        <v>0</v>
      </c>
      <c r="W238" s="31">
        <f>Migrationsartikel!P236</f>
        <v>0</v>
      </c>
      <c r="X238" t="str">
        <f>Migrationsartikel!I236</f>
        <v>Birnen Williams Offen Kl. 1</v>
      </c>
      <c r="Y238" t="str">
        <f>Migrationsartikel!M236</f>
        <v>Poires Williams cl.1 en vrac</v>
      </c>
      <c r="Z238" t="str">
        <f>Migrationsartikel!Q236</f>
        <v>Pere Williams cl. 1 v. sfusa</v>
      </c>
      <c r="AA238" s="45">
        <f>Migrationsartikel!R236</f>
        <v>1</v>
      </c>
      <c r="AB238" s="46" t="str">
        <f>Migrationsartikel!T236</f>
        <v>Kilogramm</v>
      </c>
      <c r="AC238">
        <f>Migrationsartikel!S236</f>
        <v>1</v>
      </c>
      <c r="AD238" t="str">
        <f>Migrationsartikel!U236</f>
        <v>(KGM) KG</v>
      </c>
      <c r="AE238" s="31" t="s">
        <v>179</v>
      </c>
      <c r="AF238" s="31" t="s">
        <v>192</v>
      </c>
      <c r="AG238" t="str">
        <f>IF(Migrationsartikel!AB236="ja","true",FALSE)</f>
        <v>true</v>
      </c>
      <c r="AH238" t="str">
        <f>IF(Migrationsartikel!AC236="ja","true",FALSE)</f>
        <v>true</v>
      </c>
      <c r="AI238" t="str">
        <f>IF(Migrationsartikel!AD236="ja","true",FALSE)</f>
        <v>true</v>
      </c>
      <c r="AJ238" t="str">
        <f>IF(Migrationsartikel!AE236="ja","true",FALSE)</f>
        <v>true</v>
      </c>
      <c r="AK238" t="str">
        <f>IF(Migrationsartikel!AF236="ja","Denner Partner","")</f>
        <v/>
      </c>
      <c r="AL238" t="str">
        <f>IF(Migrationsartikel!AG236="ja","true","false")</f>
        <v>false</v>
      </c>
      <c r="AM238" t="str">
        <f t="shared" si="3"/>
        <v>PLU</v>
      </c>
      <c r="AN238" s="31" t="s">
        <v>219</v>
      </c>
      <c r="AO238" s="31" t="s">
        <v>217</v>
      </c>
    </row>
    <row r="239" spans="2:41" ht="21.75" customHeight="1" x14ac:dyDescent="0.45">
      <c r="B239" t="s">
        <v>99</v>
      </c>
      <c r="E239" s="31" t="s">
        <v>1649</v>
      </c>
      <c r="F239" t="str">
        <f>"Warengruppe&gt;&gt;"&amp;Migrationsartikel!V237&amp;"&gt;&gt;"&amp;Migrationsartikel!W237&amp;"&gt;&gt;"&amp;Migrationsartikel!X237</f>
        <v>Warengruppe&gt;&gt;Früchte und Gemüse&gt;&gt;Früchte und Gemüse&gt;&gt;Früchte</v>
      </c>
      <c r="H239" s="31" t="s">
        <v>109</v>
      </c>
      <c r="I239" s="31" t="s">
        <v>121</v>
      </c>
      <c r="J239" s="31">
        <f>Migrationsartikel!B237</f>
        <v>0</v>
      </c>
      <c r="L239" t="str">
        <f>Migrationsartikel!F237&amp;" "&amp;Migrationsartikel!G237&amp;" "&amp;Migrationsartikel!H237</f>
        <v xml:space="preserve">Birnen Williams Kl. 1 gepackt </v>
      </c>
      <c r="M239" t="str">
        <f>Migrationsartikel!J237&amp;" "&amp;Migrationsartikel!K237&amp;" "&amp;Migrationsartikel!L237</f>
        <v xml:space="preserve">Poires Williams Cl. 1 emballé </v>
      </c>
      <c r="N239" t="str">
        <f>Migrationsartikel!N237&amp;" "&amp;Migrationsartikel!O237&amp;" "&amp;Migrationsartikel!P237</f>
        <v xml:space="preserve">Pere Williams Cl. 1 confezionato </v>
      </c>
      <c r="O239" t="str">
        <f>Migrationsartikel!F237</f>
        <v>Birnen Williams</v>
      </c>
      <c r="P239" t="str">
        <f>Migrationsartikel!J237</f>
        <v>Poires Williams</v>
      </c>
      <c r="Q239" t="str">
        <f>Migrationsartikel!N237</f>
        <v>Pere Williams</v>
      </c>
      <c r="R239" t="str">
        <f>Migrationsartikel!G237</f>
        <v>Kl. 1 gepackt</v>
      </c>
      <c r="S239" t="str">
        <f>Migrationsartikel!K237</f>
        <v>Cl. 1 emballé</v>
      </c>
      <c r="T239" t="str">
        <f>Migrationsartikel!O237</f>
        <v>Cl. 1 confezionato</v>
      </c>
      <c r="U239" s="31">
        <f>Migrationsartikel!H237</f>
        <v>0</v>
      </c>
      <c r="V239" s="31">
        <f>Migrationsartikel!L237</f>
        <v>0</v>
      </c>
      <c r="W239" s="31">
        <f>Migrationsartikel!P237</f>
        <v>0</v>
      </c>
      <c r="X239" t="str">
        <f>Migrationsartikel!I237</f>
        <v>Birnen Williams Kl.1 gepackt</v>
      </c>
      <c r="Y239" t="str">
        <f>Migrationsartikel!M237</f>
        <v>Poires Williams cl.1 emballé</v>
      </c>
      <c r="Z239" t="str">
        <f>Migrationsartikel!Q237</f>
        <v>Pere Williams cl. 1 confez.</v>
      </c>
      <c r="AA239" s="45">
        <f>Migrationsartikel!R237</f>
        <v>1</v>
      </c>
      <c r="AB239" s="46" t="str">
        <f>Migrationsartikel!T237</f>
        <v>Kilogramm</v>
      </c>
      <c r="AC239">
        <f>Migrationsartikel!S237</f>
        <v>1</v>
      </c>
      <c r="AD239" t="str">
        <f>Migrationsartikel!U237</f>
        <v>(PCE) Stück</v>
      </c>
      <c r="AE239" s="31" t="s">
        <v>179</v>
      </c>
      <c r="AF239" s="31" t="s">
        <v>192</v>
      </c>
      <c r="AG239" t="str">
        <f>IF(Migrationsartikel!AB237="ja","true",FALSE)</f>
        <v>true</v>
      </c>
      <c r="AH239" t="str">
        <f>IF(Migrationsartikel!AC237="ja","true",FALSE)</f>
        <v>true</v>
      </c>
      <c r="AI239" t="str">
        <f>IF(Migrationsartikel!AD237="ja","true",FALSE)</f>
        <v>true</v>
      </c>
      <c r="AJ239" t="str">
        <f>IF(Migrationsartikel!AE237="ja","true",FALSE)</f>
        <v>true</v>
      </c>
      <c r="AK239" t="str">
        <f>IF(Migrationsartikel!AF237="ja","Denner Partner","")</f>
        <v/>
      </c>
      <c r="AL239" t="str">
        <f>IF(Migrationsartikel!AG237="ja","true","false")</f>
        <v>false</v>
      </c>
      <c r="AM239" t="str">
        <f t="shared" si="3"/>
        <v>PLU</v>
      </c>
      <c r="AN239" s="31" t="s">
        <v>219</v>
      </c>
      <c r="AO239" s="31" t="s">
        <v>217</v>
      </c>
    </row>
    <row r="240" spans="2:41" ht="21.75" customHeight="1" x14ac:dyDescent="0.45">
      <c r="B240" t="s">
        <v>99</v>
      </c>
      <c r="E240" s="31" t="s">
        <v>1650</v>
      </c>
      <c r="F240" t="str">
        <f>"Warengruppe&gt;&gt;"&amp;Migrationsartikel!V238&amp;"&gt;&gt;"&amp;Migrationsartikel!W238&amp;"&gt;&gt;"&amp;Migrationsartikel!X238</f>
        <v>Warengruppe&gt;&gt;Früchte und Gemüse&gt;&gt;Früchte und Gemüse&gt;&gt;Früchte</v>
      </c>
      <c r="H240" s="31" t="s">
        <v>109</v>
      </c>
      <c r="I240" s="31" t="s">
        <v>121</v>
      </c>
      <c r="J240" s="31">
        <f>Migrationsartikel!B238</f>
        <v>0</v>
      </c>
      <c r="L240" t="str">
        <f>Migrationsartikel!F238&amp;" "&amp;Migrationsartikel!G238&amp;" "&amp;Migrationsartikel!H238</f>
        <v>Bio Birnen Williams Offen Kl. 1 500g</v>
      </c>
      <c r="M240" t="str">
        <f>Migrationsartikel!J238&amp;" "&amp;Migrationsartikel!K238&amp;" "&amp;Migrationsartikel!L238</f>
        <v>Bio Poires Williams En vrac, cl. 1 500g</v>
      </c>
      <c r="N240" t="str">
        <f>Migrationsartikel!N238&amp;" "&amp;Migrationsartikel!O238&amp;" "&amp;Migrationsartikel!P238</f>
        <v>Bio Pere Williams Cl. 1 vendita sfusa 500g</v>
      </c>
      <c r="O240" t="str">
        <f>Migrationsartikel!F238</f>
        <v>Bio Birnen Williams</v>
      </c>
      <c r="P240" t="str">
        <f>Migrationsartikel!J238</f>
        <v>Bio Poires Williams</v>
      </c>
      <c r="Q240" t="str">
        <f>Migrationsartikel!N238</f>
        <v>Bio Pere Williams</v>
      </c>
      <c r="R240" t="str">
        <f>Migrationsartikel!G238</f>
        <v>Offen Kl. 1</v>
      </c>
      <c r="S240" t="str">
        <f>Migrationsartikel!K238</f>
        <v>En vrac, cl. 1</v>
      </c>
      <c r="T240" t="str">
        <f>Migrationsartikel!O238</f>
        <v>Cl. 1 vendita sfusa</v>
      </c>
      <c r="U240" s="31" t="str">
        <f>Migrationsartikel!H238</f>
        <v>500g</v>
      </c>
      <c r="V240" s="31" t="str">
        <f>Migrationsartikel!L238</f>
        <v>500g</v>
      </c>
      <c r="W240" s="31" t="str">
        <f>Migrationsartikel!P238</f>
        <v>500g</v>
      </c>
      <c r="X240" t="str">
        <f>Migrationsartikel!I238</f>
        <v>Bio Birne Will. Off Kl1 500g</v>
      </c>
      <c r="Y240" t="str">
        <f>Migrationsartikel!M238</f>
        <v>Bio Poires Will. cl1 en vrac</v>
      </c>
      <c r="Z240" t="str">
        <f>Migrationsartikel!Q238</f>
        <v>Bio Pere Williams cl. 1 500g</v>
      </c>
      <c r="AA240" s="45">
        <f>Migrationsartikel!R238</f>
        <v>0.5</v>
      </c>
      <c r="AB240" s="46" t="str">
        <f>Migrationsartikel!T238</f>
        <v>Kilogramm</v>
      </c>
      <c r="AC240">
        <f>Migrationsartikel!S238</f>
        <v>1</v>
      </c>
      <c r="AD240" t="str">
        <f>Migrationsartikel!U238</f>
        <v>(PCE) Stück</v>
      </c>
      <c r="AE240" s="31" t="s">
        <v>179</v>
      </c>
      <c r="AF240" s="31" t="s">
        <v>192</v>
      </c>
      <c r="AG240" t="str">
        <f>IF(Migrationsartikel!AB238="ja","true",FALSE)</f>
        <v>true</v>
      </c>
      <c r="AH240" t="str">
        <f>IF(Migrationsartikel!AC238="ja","true",FALSE)</f>
        <v>true</v>
      </c>
      <c r="AI240" t="str">
        <f>IF(Migrationsartikel!AD238="ja","true",FALSE)</f>
        <v>true</v>
      </c>
      <c r="AJ240" t="str">
        <f>IF(Migrationsartikel!AE238="ja","true",FALSE)</f>
        <v>true</v>
      </c>
      <c r="AK240" t="str">
        <f>IF(Migrationsartikel!AF238="ja","Denner Partner","")</f>
        <v/>
      </c>
      <c r="AL240" t="str">
        <f>IF(Migrationsartikel!AG238="ja","true","false")</f>
        <v>false</v>
      </c>
      <c r="AM240" t="str">
        <f t="shared" si="3"/>
        <v>PLU</v>
      </c>
      <c r="AN240" s="31" t="s">
        <v>219</v>
      </c>
      <c r="AO240" s="31" t="s">
        <v>217</v>
      </c>
    </row>
    <row r="241" spans="2:41" ht="21.75" customHeight="1" x14ac:dyDescent="0.45">
      <c r="B241" t="s">
        <v>99</v>
      </c>
      <c r="E241" s="31" t="s">
        <v>1651</v>
      </c>
      <c r="F241" t="str">
        <f>"Warengruppe&gt;&gt;"&amp;Migrationsartikel!V239&amp;"&gt;&gt;"&amp;Migrationsartikel!W239&amp;"&gt;&gt;"&amp;Migrationsartikel!X239</f>
        <v>Warengruppe&gt;&gt;Früchte und Gemüse&gt;&gt;Früchte und Gemüse&gt;&gt;Früchte</v>
      </c>
      <c r="H241" s="31" t="s">
        <v>109</v>
      </c>
      <c r="I241" s="31" t="s">
        <v>121</v>
      </c>
      <c r="J241" s="31">
        <f>Migrationsartikel!B239</f>
        <v>158</v>
      </c>
      <c r="L241" t="str">
        <f>Migrationsartikel!F239&amp;" "&amp;Migrationsartikel!G239&amp;" "&amp;Migrationsartikel!H239</f>
        <v xml:space="preserve">Orangen Tarocco Offen  </v>
      </c>
      <c r="M241" t="str">
        <f>Migrationsartikel!J239&amp;" "&amp;Migrationsartikel!K239&amp;" "&amp;Migrationsartikel!L239</f>
        <v xml:space="preserve">Oranges Tarocco En vrac  </v>
      </c>
      <c r="N241" t="str">
        <f>Migrationsartikel!N239&amp;" "&amp;Migrationsartikel!O239&amp;" "&amp;Migrationsartikel!P239</f>
        <v xml:space="preserve">Arance Tarocco vendita sfusa  </v>
      </c>
      <c r="O241" t="str">
        <f>Migrationsartikel!F239</f>
        <v>Orangen Tarocco</v>
      </c>
      <c r="P241" t="str">
        <f>Migrationsartikel!J239</f>
        <v>Oranges Tarocco</v>
      </c>
      <c r="Q241" t="str">
        <f>Migrationsartikel!N239</f>
        <v>Arance Tarocco</v>
      </c>
      <c r="R241" t="str">
        <f>Migrationsartikel!G239</f>
        <v xml:space="preserve">Offen </v>
      </c>
      <c r="S241" t="str">
        <f>Migrationsartikel!K239</f>
        <v xml:space="preserve">En vrac </v>
      </c>
      <c r="T241" t="str">
        <f>Migrationsartikel!O239</f>
        <v xml:space="preserve">vendita sfusa </v>
      </c>
      <c r="U241" s="31">
        <f>Migrationsartikel!H239</f>
        <v>0</v>
      </c>
      <c r="V241" s="31">
        <f>Migrationsartikel!L239</f>
        <v>0</v>
      </c>
      <c r="W241" s="31">
        <f>Migrationsartikel!P239</f>
        <v>0</v>
      </c>
      <c r="X241" t="str">
        <f>Migrationsartikel!I239</f>
        <v>Orangen Tarocco Offen</v>
      </c>
      <c r="Y241" t="str">
        <f>Migrationsartikel!M239</f>
        <v>Oranges Tarocco en vrac</v>
      </c>
      <c r="Z241" t="str">
        <f>Migrationsartikel!Q239</f>
        <v>Arance Tarocco vendita sfusa</v>
      </c>
      <c r="AA241" s="45">
        <f>Migrationsartikel!R239</f>
        <v>1</v>
      </c>
      <c r="AB241" s="46" t="str">
        <f>Migrationsartikel!T239</f>
        <v>Kilogramm</v>
      </c>
      <c r="AC241">
        <f>Migrationsartikel!S239</f>
        <v>1</v>
      </c>
      <c r="AD241" t="str">
        <f>Migrationsartikel!U239</f>
        <v>(KGM) KG</v>
      </c>
      <c r="AE241" s="31" t="s">
        <v>179</v>
      </c>
      <c r="AF241" s="31" t="s">
        <v>192</v>
      </c>
      <c r="AG241" t="str">
        <f>IF(Migrationsartikel!AB239="ja","true",FALSE)</f>
        <v>true</v>
      </c>
      <c r="AH241" t="str">
        <f>IF(Migrationsartikel!AC239="ja","true",FALSE)</f>
        <v>true</v>
      </c>
      <c r="AI241" t="str">
        <f>IF(Migrationsartikel!AD239="ja","true",FALSE)</f>
        <v>true</v>
      </c>
      <c r="AJ241" t="str">
        <f>IF(Migrationsartikel!AE239="ja","true",FALSE)</f>
        <v>true</v>
      </c>
      <c r="AK241" t="str">
        <f>IF(Migrationsartikel!AF239="ja","Denner Partner","")</f>
        <v/>
      </c>
      <c r="AL241" t="str">
        <f>IF(Migrationsartikel!AG239="ja","true","false")</f>
        <v>false</v>
      </c>
      <c r="AM241" t="str">
        <f t="shared" si="3"/>
        <v>PLU</v>
      </c>
      <c r="AN241" s="31" t="s">
        <v>219</v>
      </c>
      <c r="AO241" s="31" t="s">
        <v>217</v>
      </c>
    </row>
    <row r="242" spans="2:41" ht="21.75" customHeight="1" x14ac:dyDescent="0.45">
      <c r="B242" t="s">
        <v>99</v>
      </c>
      <c r="E242" s="31" t="s">
        <v>1652</v>
      </c>
      <c r="F242" t="str">
        <f>"Warengruppe&gt;&gt;"&amp;Migrationsartikel!V240&amp;"&gt;&gt;"&amp;Migrationsartikel!W240&amp;"&gt;&gt;"&amp;Migrationsartikel!X240</f>
        <v>Warengruppe&gt;&gt;Früchte und Gemüse&gt;&gt;Früchte und Gemüse&gt;&gt;Früchte</v>
      </c>
      <c r="H242" s="31" t="s">
        <v>109</v>
      </c>
      <c r="I242" s="31" t="s">
        <v>121</v>
      </c>
      <c r="J242" s="31">
        <f>Migrationsartikel!B240</f>
        <v>100</v>
      </c>
      <c r="L242" t="str">
        <f>Migrationsartikel!F240&amp;" "&amp;Migrationsartikel!G240&amp;" "&amp;Migrationsartikel!H240</f>
        <v xml:space="preserve">Äpfel Boskoop Offen Kl. 1 </v>
      </c>
      <c r="M242" t="str">
        <f>Migrationsartikel!J240&amp;" "&amp;Migrationsartikel!K240&amp;" "&amp;Migrationsartikel!L240</f>
        <v xml:space="preserve">Pommes Boskoop En vrac, cl. 1 </v>
      </c>
      <c r="N242" t="str">
        <f>Migrationsartikel!N240&amp;" "&amp;Migrationsartikel!O240&amp;" "&amp;Migrationsartikel!P240</f>
        <v xml:space="preserve">Mele Boskoop Cl. 1 vendita sfusa </v>
      </c>
      <c r="O242" t="str">
        <f>Migrationsartikel!F240</f>
        <v>Äpfel Boskoop</v>
      </c>
      <c r="P242" t="str">
        <f>Migrationsartikel!J240</f>
        <v>Pommes Boskoop</v>
      </c>
      <c r="Q242" t="str">
        <f>Migrationsartikel!N240</f>
        <v>Mele Boskoop</v>
      </c>
      <c r="R242" t="str">
        <f>Migrationsartikel!G240</f>
        <v>Offen Kl. 1</v>
      </c>
      <c r="S242" t="str">
        <f>Migrationsartikel!K240</f>
        <v>En vrac, cl. 1</v>
      </c>
      <c r="T242" t="str">
        <f>Migrationsartikel!O240</f>
        <v>Cl. 1 vendita sfusa</v>
      </c>
      <c r="U242" s="31">
        <f>Migrationsartikel!H240</f>
        <v>0</v>
      </c>
      <c r="V242" s="31">
        <f>Migrationsartikel!L240</f>
        <v>0</v>
      </c>
      <c r="W242" s="31">
        <f>Migrationsartikel!P240</f>
        <v>0</v>
      </c>
      <c r="X242" t="str">
        <f>Migrationsartikel!I240</f>
        <v>Äpel Boskoop Offen Kl. 1</v>
      </c>
      <c r="Y242" t="str">
        <f>Migrationsartikel!M240</f>
        <v>Pommes Boskoop cl.1 en vrac</v>
      </c>
      <c r="Z242" t="str">
        <f>Migrationsartikel!Q240</f>
        <v>Mele Boskoop cl. 1 v. sfusa</v>
      </c>
      <c r="AA242" s="45">
        <f>Migrationsartikel!R240</f>
        <v>1</v>
      </c>
      <c r="AB242" s="46" t="str">
        <f>Migrationsartikel!T240</f>
        <v>Kilogramm</v>
      </c>
      <c r="AC242">
        <f>Migrationsartikel!S240</f>
        <v>1</v>
      </c>
      <c r="AD242" t="str">
        <f>Migrationsartikel!U240</f>
        <v>(KGM) KG</v>
      </c>
      <c r="AE242" s="31" t="s">
        <v>179</v>
      </c>
      <c r="AF242" s="31" t="s">
        <v>192</v>
      </c>
      <c r="AG242" t="str">
        <f>IF(Migrationsartikel!AB240="ja","true",FALSE)</f>
        <v>true</v>
      </c>
      <c r="AH242" t="str">
        <f>IF(Migrationsartikel!AC240="ja","true",FALSE)</f>
        <v>true</v>
      </c>
      <c r="AI242" t="str">
        <f>IF(Migrationsartikel!AD240="ja","true",FALSE)</f>
        <v>true</v>
      </c>
      <c r="AJ242" t="str">
        <f>IF(Migrationsartikel!AE240="ja","true",FALSE)</f>
        <v>true</v>
      </c>
      <c r="AK242" t="str">
        <f>IF(Migrationsartikel!AF240="ja","Denner Partner","")</f>
        <v/>
      </c>
      <c r="AL242" t="str">
        <f>IF(Migrationsartikel!AG240="ja","true","false")</f>
        <v>false</v>
      </c>
      <c r="AM242" t="str">
        <f t="shared" si="3"/>
        <v>PLU</v>
      </c>
      <c r="AN242" s="31" t="s">
        <v>219</v>
      </c>
      <c r="AO242" s="31" t="s">
        <v>217</v>
      </c>
    </row>
    <row r="243" spans="2:41" ht="21.75" customHeight="1" x14ac:dyDescent="0.45">
      <c r="B243" t="s">
        <v>99</v>
      </c>
      <c r="E243" s="31" t="s">
        <v>1653</v>
      </c>
      <c r="F243" t="str">
        <f>"Warengruppe&gt;&gt;"&amp;Migrationsartikel!V241&amp;"&gt;&gt;"&amp;Migrationsartikel!W241&amp;"&gt;&gt;"&amp;Migrationsartikel!X241</f>
        <v>Warengruppe&gt;&gt;Früchte und Gemüse&gt;&gt;Früchte und Gemüse&gt;&gt;Früchte</v>
      </c>
      <c r="H243" s="31" t="s">
        <v>109</v>
      </c>
      <c r="I243" s="31" t="s">
        <v>121</v>
      </c>
      <c r="J243" s="31">
        <f>Migrationsartikel!B241</f>
        <v>0</v>
      </c>
      <c r="L243" t="str">
        <f>Migrationsartikel!F241&amp;" "&amp;Migrationsartikel!G241&amp;" "&amp;Migrationsartikel!H241</f>
        <v xml:space="preserve">Äpfel Boskoop Kl. 1 gepackt </v>
      </c>
      <c r="M243" t="str">
        <f>Migrationsartikel!J241&amp;" "&amp;Migrationsartikel!K241&amp;" "&amp;Migrationsartikel!L241</f>
        <v xml:space="preserve">Pommes Boskoop Cl. 1 emballé </v>
      </c>
      <c r="N243" t="str">
        <f>Migrationsartikel!N241&amp;" "&amp;Migrationsartikel!O241&amp;" "&amp;Migrationsartikel!P241</f>
        <v xml:space="preserve">Mele Boskoop Cl. 1 confezionato </v>
      </c>
      <c r="O243" t="str">
        <f>Migrationsartikel!F241</f>
        <v>Äpfel Boskoop</v>
      </c>
      <c r="P243" t="str">
        <f>Migrationsartikel!J241</f>
        <v>Pommes Boskoop</v>
      </c>
      <c r="Q243" t="str">
        <f>Migrationsartikel!N241</f>
        <v>Mele Boskoop</v>
      </c>
      <c r="R243" t="str">
        <f>Migrationsartikel!G241</f>
        <v>Kl. 1 gepackt</v>
      </c>
      <c r="S243" t="str">
        <f>Migrationsartikel!K241</f>
        <v>Cl. 1 emballé</v>
      </c>
      <c r="T243" t="str">
        <f>Migrationsartikel!O241</f>
        <v>Cl. 1 confezionato</v>
      </c>
      <c r="U243" s="31">
        <f>Migrationsartikel!H241</f>
        <v>0</v>
      </c>
      <c r="V243" s="31">
        <f>Migrationsartikel!L241</f>
        <v>0</v>
      </c>
      <c r="W243" s="31">
        <f>Migrationsartikel!P241</f>
        <v>0</v>
      </c>
      <c r="X243" t="str">
        <f>Migrationsartikel!I241</f>
        <v>Äpfel Boskoop Kl. 1 gepackt</v>
      </c>
      <c r="Y243" t="str">
        <f>Migrationsartikel!M241</f>
        <v>Pommes Boskoop cl.1 emball.</v>
      </c>
      <c r="Z243" t="str">
        <f>Migrationsartikel!Q241</f>
        <v>Mele Boskoop cl. 1 confez.</v>
      </c>
      <c r="AA243" s="45">
        <f>Migrationsartikel!R241</f>
        <v>1</v>
      </c>
      <c r="AB243" s="46" t="str">
        <f>Migrationsartikel!T241</f>
        <v>Kilogramm</v>
      </c>
      <c r="AC243">
        <f>Migrationsartikel!S241</f>
        <v>1</v>
      </c>
      <c r="AD243" t="str">
        <f>Migrationsartikel!U241</f>
        <v>(PCE) Stück</v>
      </c>
      <c r="AE243" s="31" t="s">
        <v>179</v>
      </c>
      <c r="AF243" s="31" t="s">
        <v>192</v>
      </c>
      <c r="AG243" t="str">
        <f>IF(Migrationsartikel!AB241="ja","true",FALSE)</f>
        <v>true</v>
      </c>
      <c r="AH243" t="str">
        <f>IF(Migrationsartikel!AC241="ja","true",FALSE)</f>
        <v>true</v>
      </c>
      <c r="AI243" t="str">
        <f>IF(Migrationsartikel!AD241="ja","true",FALSE)</f>
        <v>true</v>
      </c>
      <c r="AJ243" t="str">
        <f>IF(Migrationsartikel!AE241="ja","true",FALSE)</f>
        <v>true</v>
      </c>
      <c r="AK243" t="str">
        <f>IF(Migrationsartikel!AF241="ja","Denner Partner","")</f>
        <v/>
      </c>
      <c r="AL243" t="str">
        <f>IF(Migrationsartikel!AG241="ja","true","false")</f>
        <v>false</v>
      </c>
      <c r="AM243" t="str">
        <f t="shared" si="3"/>
        <v>PLU</v>
      </c>
      <c r="AN243" s="31" t="s">
        <v>219</v>
      </c>
      <c r="AO243" s="31" t="s">
        <v>217</v>
      </c>
    </row>
    <row r="244" spans="2:41" ht="21.75" customHeight="1" x14ac:dyDescent="0.45">
      <c r="B244" t="s">
        <v>99</v>
      </c>
      <c r="E244" s="31" t="s">
        <v>1654</v>
      </c>
      <c r="F244" t="str">
        <f>"Warengruppe&gt;&gt;"&amp;Migrationsartikel!V242&amp;"&gt;&gt;"&amp;Migrationsartikel!W242&amp;"&gt;&gt;"&amp;Migrationsartikel!X242</f>
        <v>Warengruppe&gt;&gt;Früchte und Gemüse&gt;&gt;Früchte und Gemüse&gt;&gt;Früchte</v>
      </c>
      <c r="H244" s="31" t="s">
        <v>109</v>
      </c>
      <c r="I244" s="31" t="s">
        <v>121</v>
      </c>
      <c r="J244" s="31">
        <f>Migrationsartikel!B242</f>
        <v>101</v>
      </c>
      <c r="L244" t="str">
        <f>Migrationsartikel!F242&amp;" "&amp;Migrationsartikel!G242&amp;" "&amp;Migrationsartikel!H242</f>
        <v xml:space="preserve">Äpfel Braeburn Offen Kl. 1 </v>
      </c>
      <c r="M244" t="str">
        <f>Migrationsartikel!J242&amp;" "&amp;Migrationsartikel!K242&amp;" "&amp;Migrationsartikel!L242</f>
        <v xml:space="preserve">Pommes Braeburn En vrac, cl. 1 </v>
      </c>
      <c r="N244" t="str">
        <f>Migrationsartikel!N242&amp;" "&amp;Migrationsartikel!O242&amp;" "&amp;Migrationsartikel!P242</f>
        <v xml:space="preserve">Mele Braeburn Cl. 1 vendita sfusa </v>
      </c>
      <c r="O244" t="str">
        <f>Migrationsartikel!F242</f>
        <v>Äpfel Braeburn</v>
      </c>
      <c r="P244" t="str">
        <f>Migrationsartikel!J242</f>
        <v>Pommes Braeburn</v>
      </c>
      <c r="Q244" t="str">
        <f>Migrationsartikel!N242</f>
        <v>Mele Braeburn</v>
      </c>
      <c r="R244" t="str">
        <f>Migrationsartikel!G242</f>
        <v>Offen Kl. 1</v>
      </c>
      <c r="S244" t="str">
        <f>Migrationsartikel!K242</f>
        <v>En vrac, cl. 1</v>
      </c>
      <c r="T244" t="str">
        <f>Migrationsartikel!O242</f>
        <v>Cl. 1 vendita sfusa</v>
      </c>
      <c r="U244" s="31">
        <f>Migrationsartikel!H242</f>
        <v>0</v>
      </c>
      <c r="V244" s="31">
        <f>Migrationsartikel!L242</f>
        <v>0</v>
      </c>
      <c r="W244" s="31">
        <f>Migrationsartikel!P242</f>
        <v>0</v>
      </c>
      <c r="X244" t="str">
        <f>Migrationsartikel!I242</f>
        <v>Äpfel Braeburn Offen Kl. 1</v>
      </c>
      <c r="Y244" t="str">
        <f>Migrationsartikel!M242</f>
        <v>Pommes Braeburn cl.1 en vrac</v>
      </c>
      <c r="Z244" t="str">
        <f>Migrationsartikel!Q242</f>
        <v>Mele Braeburn cl. 1 v. sfusa</v>
      </c>
      <c r="AA244" s="45">
        <f>Migrationsartikel!R242</f>
        <v>1</v>
      </c>
      <c r="AB244" s="46" t="str">
        <f>Migrationsartikel!T242</f>
        <v>Kilogramm</v>
      </c>
      <c r="AC244">
        <f>Migrationsartikel!S242</f>
        <v>1</v>
      </c>
      <c r="AD244" t="str">
        <f>Migrationsartikel!U242</f>
        <v>(KGM) KG</v>
      </c>
      <c r="AE244" s="31" t="s">
        <v>179</v>
      </c>
      <c r="AF244" s="31" t="s">
        <v>192</v>
      </c>
      <c r="AG244" t="str">
        <f>IF(Migrationsartikel!AB242="ja","true",FALSE)</f>
        <v>true</v>
      </c>
      <c r="AH244" t="str">
        <f>IF(Migrationsartikel!AC242="ja","true",FALSE)</f>
        <v>true</v>
      </c>
      <c r="AI244" t="str">
        <f>IF(Migrationsartikel!AD242="ja","true",FALSE)</f>
        <v>true</v>
      </c>
      <c r="AJ244" t="str">
        <f>IF(Migrationsartikel!AE242="ja","true",FALSE)</f>
        <v>true</v>
      </c>
      <c r="AK244" t="str">
        <f>IF(Migrationsartikel!AF242="ja","Denner Partner","")</f>
        <v/>
      </c>
      <c r="AL244" t="str">
        <f>IF(Migrationsartikel!AG242="ja","true","false")</f>
        <v>false</v>
      </c>
      <c r="AM244" t="str">
        <f t="shared" si="3"/>
        <v>PLU</v>
      </c>
      <c r="AN244" s="31" t="s">
        <v>219</v>
      </c>
      <c r="AO244" s="31" t="s">
        <v>217</v>
      </c>
    </row>
    <row r="245" spans="2:41" ht="21.75" customHeight="1" x14ac:dyDescent="0.45">
      <c r="B245" t="s">
        <v>99</v>
      </c>
      <c r="E245" s="31" t="s">
        <v>1655</v>
      </c>
      <c r="F245" t="str">
        <f>"Warengruppe&gt;&gt;"&amp;Migrationsartikel!V243&amp;"&gt;&gt;"&amp;Migrationsartikel!W243&amp;"&gt;&gt;"&amp;Migrationsartikel!X243</f>
        <v>Warengruppe&gt;&gt;Früchte und Gemüse&gt;&gt;Früchte und Gemüse&gt;&gt;Früchte</v>
      </c>
      <c r="H245" s="31" t="s">
        <v>109</v>
      </c>
      <c r="I245" s="31" t="s">
        <v>121</v>
      </c>
      <c r="J245" s="31">
        <f>Migrationsartikel!B243</f>
        <v>0</v>
      </c>
      <c r="L245" t="str">
        <f>Migrationsartikel!F243&amp;" "&amp;Migrationsartikel!G243&amp;" "&amp;Migrationsartikel!H243</f>
        <v xml:space="preserve">Äpfel Braeburn Kl. 1 gepackt </v>
      </c>
      <c r="M245" t="str">
        <f>Migrationsartikel!J243&amp;" "&amp;Migrationsartikel!K243&amp;" "&amp;Migrationsartikel!L243</f>
        <v xml:space="preserve">Pommes Braeburn Cl. 1 emballé </v>
      </c>
      <c r="N245" t="str">
        <f>Migrationsartikel!N243&amp;" "&amp;Migrationsartikel!O243&amp;" "&amp;Migrationsartikel!P243</f>
        <v xml:space="preserve">Mele Braeburn Cl. 1 confezionato </v>
      </c>
      <c r="O245" t="str">
        <f>Migrationsartikel!F243</f>
        <v>Äpfel Braeburn</v>
      </c>
      <c r="P245" t="str">
        <f>Migrationsartikel!J243</f>
        <v>Pommes Braeburn</v>
      </c>
      <c r="Q245" t="str">
        <f>Migrationsartikel!N243</f>
        <v>Mele Braeburn</v>
      </c>
      <c r="R245" t="str">
        <f>Migrationsartikel!G243</f>
        <v>Kl. 1 gepackt</v>
      </c>
      <c r="S245" t="str">
        <f>Migrationsartikel!K243</f>
        <v>Cl. 1 emballé</v>
      </c>
      <c r="T245" t="str">
        <f>Migrationsartikel!O243</f>
        <v>Cl. 1 confezionato</v>
      </c>
      <c r="U245" s="31">
        <f>Migrationsartikel!H243</f>
        <v>0</v>
      </c>
      <c r="V245" s="31">
        <f>Migrationsartikel!L243</f>
        <v>0</v>
      </c>
      <c r="W245" s="31">
        <f>Migrationsartikel!P243</f>
        <v>0</v>
      </c>
      <c r="X245" t="str">
        <f>Migrationsartikel!I243</f>
        <v>Äpfel Braeburn Kl. 1 gepackt</v>
      </c>
      <c r="Y245" t="str">
        <f>Migrationsartikel!M243</f>
        <v>Pommes Braeburn cl.1 emball.</v>
      </c>
      <c r="Z245" t="str">
        <f>Migrationsartikel!Q243</f>
        <v>Mele Braeburn cl. 1 confez.</v>
      </c>
      <c r="AA245" s="45">
        <f>Migrationsartikel!R243</f>
        <v>1</v>
      </c>
      <c r="AB245" s="46" t="str">
        <f>Migrationsartikel!T243</f>
        <v>Kilogramm</v>
      </c>
      <c r="AC245">
        <f>Migrationsartikel!S243</f>
        <v>1</v>
      </c>
      <c r="AD245" t="str">
        <f>Migrationsartikel!U243</f>
        <v>(PCE) Stück</v>
      </c>
      <c r="AE245" s="31" t="s">
        <v>179</v>
      </c>
      <c r="AF245" s="31" t="s">
        <v>192</v>
      </c>
      <c r="AG245" t="str">
        <f>IF(Migrationsartikel!AB243="ja","true",FALSE)</f>
        <v>true</v>
      </c>
      <c r="AH245" t="str">
        <f>IF(Migrationsartikel!AC243="ja","true",FALSE)</f>
        <v>true</v>
      </c>
      <c r="AI245" t="str">
        <f>IF(Migrationsartikel!AD243="ja","true",FALSE)</f>
        <v>true</v>
      </c>
      <c r="AJ245" t="str">
        <f>IF(Migrationsartikel!AE243="ja","true",FALSE)</f>
        <v>true</v>
      </c>
      <c r="AK245" t="str">
        <f>IF(Migrationsartikel!AF243="ja","Denner Partner","")</f>
        <v/>
      </c>
      <c r="AL245" t="str">
        <f>IF(Migrationsartikel!AG243="ja","true","false")</f>
        <v>false</v>
      </c>
      <c r="AM245" t="str">
        <f t="shared" si="3"/>
        <v>PLU</v>
      </c>
      <c r="AN245" s="31" t="s">
        <v>219</v>
      </c>
      <c r="AO245" s="31" t="s">
        <v>217</v>
      </c>
    </row>
    <row r="246" spans="2:41" ht="21.75" customHeight="1" x14ac:dyDescent="0.45">
      <c r="B246" t="s">
        <v>99</v>
      </c>
      <c r="E246" s="31" t="s">
        <v>1656</v>
      </c>
      <c r="F246" t="str">
        <f>"Warengruppe&gt;&gt;"&amp;Migrationsartikel!V244&amp;"&gt;&gt;"&amp;Migrationsartikel!W244&amp;"&gt;&gt;"&amp;Migrationsartikel!X244</f>
        <v>Warengruppe&gt;&gt;Früchte und Gemüse&gt;&gt;Früchte und Gemüse&gt;&gt;Früchte</v>
      </c>
      <c r="H246" s="31" t="s">
        <v>109</v>
      </c>
      <c r="I246" s="31" t="s">
        <v>121</v>
      </c>
      <c r="J246" s="31">
        <f>Migrationsartikel!B244</f>
        <v>102</v>
      </c>
      <c r="L246" t="str">
        <f>Migrationsartikel!F244&amp;" "&amp;Migrationsartikel!G244&amp;" "&amp;Migrationsartikel!H244</f>
        <v xml:space="preserve">Äpfel Braeburn Offen Kl. 2 </v>
      </c>
      <c r="M246" t="str">
        <f>Migrationsartikel!J244&amp;" "&amp;Migrationsartikel!K244&amp;" "&amp;Migrationsartikel!L244</f>
        <v xml:space="preserve">Pommes Braeburn En vrac, cl. 2 </v>
      </c>
      <c r="N246" t="str">
        <f>Migrationsartikel!N244&amp;" "&amp;Migrationsartikel!O244&amp;" "&amp;Migrationsartikel!P244</f>
        <v xml:space="preserve">Mele Braeburn Cl. 2 vendita sfusa </v>
      </c>
      <c r="O246" t="str">
        <f>Migrationsartikel!F244</f>
        <v>Äpfel Braeburn</v>
      </c>
      <c r="P246" t="str">
        <f>Migrationsartikel!J244</f>
        <v>Pommes Braeburn</v>
      </c>
      <c r="Q246" t="str">
        <f>Migrationsartikel!N244</f>
        <v>Mele Braeburn</v>
      </c>
      <c r="R246" t="str">
        <f>Migrationsartikel!G244</f>
        <v>Offen Kl. 2</v>
      </c>
      <c r="S246" t="str">
        <f>Migrationsartikel!K244</f>
        <v>En vrac, cl. 2</v>
      </c>
      <c r="T246" t="str">
        <f>Migrationsartikel!O244</f>
        <v>Cl. 2 vendita sfusa</v>
      </c>
      <c r="U246" s="31">
        <f>Migrationsartikel!H244</f>
        <v>0</v>
      </c>
      <c r="V246" s="31">
        <f>Migrationsartikel!L244</f>
        <v>0</v>
      </c>
      <c r="W246" s="31">
        <f>Migrationsartikel!P244</f>
        <v>0</v>
      </c>
      <c r="X246" t="str">
        <f>Migrationsartikel!I244</f>
        <v>Äpfel Braeburn Offen Kl. 2</v>
      </c>
      <c r="Y246" t="str">
        <f>Migrationsartikel!M244</f>
        <v>Pommes Braeburn cl.2 en vrac</v>
      </c>
      <c r="Z246" t="str">
        <f>Migrationsartikel!Q244</f>
        <v>Mele Braeburn cl. 2 v. sfusa</v>
      </c>
      <c r="AA246" s="45">
        <f>Migrationsartikel!R244</f>
        <v>1</v>
      </c>
      <c r="AB246" s="46" t="str">
        <f>Migrationsartikel!T244</f>
        <v>Kilogramm</v>
      </c>
      <c r="AC246">
        <f>Migrationsartikel!S244</f>
        <v>1</v>
      </c>
      <c r="AD246" t="str">
        <f>Migrationsartikel!U244</f>
        <v>(KGM) KG</v>
      </c>
      <c r="AE246" s="31" t="s">
        <v>179</v>
      </c>
      <c r="AF246" s="31" t="s">
        <v>192</v>
      </c>
      <c r="AG246" t="str">
        <f>IF(Migrationsartikel!AB244="ja","true",FALSE)</f>
        <v>true</v>
      </c>
      <c r="AH246" t="str">
        <f>IF(Migrationsartikel!AC244="ja","true",FALSE)</f>
        <v>true</v>
      </c>
      <c r="AI246" t="str">
        <f>IF(Migrationsartikel!AD244="ja","true",FALSE)</f>
        <v>true</v>
      </c>
      <c r="AJ246" t="str">
        <f>IF(Migrationsartikel!AE244="ja","true",FALSE)</f>
        <v>true</v>
      </c>
      <c r="AK246" t="str">
        <f>IF(Migrationsartikel!AF244="ja","Denner Partner","")</f>
        <v/>
      </c>
      <c r="AL246" t="str">
        <f>IF(Migrationsartikel!AG244="ja","true","false")</f>
        <v>false</v>
      </c>
      <c r="AM246" t="str">
        <f t="shared" si="3"/>
        <v>PLU</v>
      </c>
      <c r="AN246" s="31" t="s">
        <v>219</v>
      </c>
      <c r="AO246" s="31" t="s">
        <v>217</v>
      </c>
    </row>
    <row r="247" spans="2:41" ht="21.75" customHeight="1" x14ac:dyDescent="0.45">
      <c r="B247" t="s">
        <v>99</v>
      </c>
      <c r="E247" s="31" t="s">
        <v>1657</v>
      </c>
      <c r="F247" t="str">
        <f>"Warengruppe&gt;&gt;"&amp;Migrationsartikel!V245&amp;"&gt;&gt;"&amp;Migrationsartikel!W245&amp;"&gt;&gt;"&amp;Migrationsartikel!X245</f>
        <v>Warengruppe&gt;&gt;Früchte und Gemüse&gt;&gt;Früchte und Gemüse&gt;&gt;Früchte</v>
      </c>
      <c r="H247" s="31" t="s">
        <v>109</v>
      </c>
      <c r="I247" s="31" t="s">
        <v>121</v>
      </c>
      <c r="J247" s="31">
        <f>Migrationsartikel!B245</f>
        <v>0</v>
      </c>
      <c r="L247" t="str">
        <f>Migrationsartikel!F245&amp;" "&amp;Migrationsartikel!G245&amp;" "&amp;Migrationsartikel!H245</f>
        <v>Brombeeren  Schale 125g</v>
      </c>
      <c r="M247" t="str">
        <f>Migrationsartikel!J245&amp;" "&amp;Migrationsartikel!K245&amp;" "&amp;Migrationsartikel!L245</f>
        <v>Mûres  Barquette 125g</v>
      </c>
      <c r="N247" t="str">
        <f>Migrationsartikel!N245&amp;" "&amp;Migrationsartikel!O245&amp;" "&amp;Migrationsartikel!P245</f>
        <v>More  vaschetta 125g</v>
      </c>
      <c r="O247" t="str">
        <f>Migrationsartikel!F245</f>
        <v xml:space="preserve">Brombeeren </v>
      </c>
      <c r="P247" t="str">
        <f>Migrationsartikel!J245</f>
        <v xml:space="preserve">Mûres </v>
      </c>
      <c r="Q247" t="str">
        <f>Migrationsartikel!N245</f>
        <v xml:space="preserve">More </v>
      </c>
      <c r="R247" t="str">
        <f>Migrationsartikel!G245</f>
        <v>Schale</v>
      </c>
      <c r="S247" t="str">
        <f>Migrationsartikel!K245</f>
        <v>Barquette</v>
      </c>
      <c r="T247" t="str">
        <f>Migrationsartikel!O245</f>
        <v>vaschetta</v>
      </c>
      <c r="U247" s="31" t="str">
        <f>Migrationsartikel!H245</f>
        <v>125g</v>
      </c>
      <c r="V247" s="31" t="str">
        <f>Migrationsartikel!L245</f>
        <v>125g</v>
      </c>
      <c r="W247" s="31" t="str">
        <f>Migrationsartikel!P245</f>
        <v>125g</v>
      </c>
      <c r="X247" t="str">
        <f>Migrationsartikel!I245</f>
        <v>Brombeeren Schale 125g</v>
      </c>
      <c r="Y247" t="str">
        <f>Migrationsartikel!M245</f>
        <v>Mûres barquette 125g</v>
      </c>
      <c r="Z247" t="str">
        <f>Migrationsartikel!Q245</f>
        <v>More vaschetta 125g</v>
      </c>
      <c r="AA247" s="45">
        <f>Migrationsartikel!R245</f>
        <v>0.125</v>
      </c>
      <c r="AB247" s="46" t="str">
        <f>Migrationsartikel!T245</f>
        <v>Gramm</v>
      </c>
      <c r="AC247">
        <f>Migrationsartikel!S245</f>
        <v>100</v>
      </c>
      <c r="AD247" t="str">
        <f>Migrationsartikel!U245</f>
        <v>(PCE) Stück</v>
      </c>
      <c r="AE247" s="31" t="s">
        <v>179</v>
      </c>
      <c r="AF247" s="31" t="s">
        <v>192</v>
      </c>
      <c r="AG247" t="str">
        <f>IF(Migrationsartikel!AB245="ja","true",FALSE)</f>
        <v>true</v>
      </c>
      <c r="AH247" t="str">
        <f>IF(Migrationsartikel!AC245="ja","true",FALSE)</f>
        <v>true</v>
      </c>
      <c r="AI247" t="str">
        <f>IF(Migrationsartikel!AD245="ja","true",FALSE)</f>
        <v>true</v>
      </c>
      <c r="AJ247" t="str">
        <f>IF(Migrationsartikel!AE245="ja","true",FALSE)</f>
        <v>true</v>
      </c>
      <c r="AK247" t="str">
        <f>IF(Migrationsartikel!AF245="ja","Denner Partner","")</f>
        <v/>
      </c>
      <c r="AL247" t="str">
        <f>IF(Migrationsartikel!AG245="ja","true","false")</f>
        <v>false</v>
      </c>
      <c r="AM247" t="str">
        <f t="shared" si="3"/>
        <v>PLU</v>
      </c>
      <c r="AN247" s="31" t="s">
        <v>219</v>
      </c>
      <c r="AO247" s="31" t="s">
        <v>217</v>
      </c>
    </row>
    <row r="248" spans="2:41" ht="21.75" customHeight="1" x14ac:dyDescent="0.45">
      <c r="B248" t="s">
        <v>99</v>
      </c>
      <c r="E248" s="31" t="s">
        <v>1658</v>
      </c>
      <c r="F248" t="str">
        <f>"Warengruppe&gt;&gt;"&amp;Migrationsartikel!V246&amp;"&gt;&gt;"&amp;Migrationsartikel!W246&amp;"&gt;&gt;"&amp;Migrationsartikel!X246</f>
        <v>Warengruppe&gt;&gt;Früchte und Gemüse&gt;&gt;Früchte und Gemüse&gt;&gt;Früchte</v>
      </c>
      <c r="H248" s="31" t="s">
        <v>109</v>
      </c>
      <c r="I248" s="31" t="s">
        <v>121</v>
      </c>
      <c r="J248" s="31">
        <f>Migrationsartikel!B246</f>
        <v>0</v>
      </c>
      <c r="L248" t="str">
        <f>Migrationsartikel!F246&amp;" "&amp;Migrationsartikel!G246&amp;" "&amp;Migrationsartikel!H246</f>
        <v>Brombeeren  Schale 250g</v>
      </c>
      <c r="M248" t="str">
        <f>Migrationsartikel!J246&amp;" "&amp;Migrationsartikel!K246&amp;" "&amp;Migrationsartikel!L246</f>
        <v>Mûres  Barquette 250g</v>
      </c>
      <c r="N248" t="str">
        <f>Migrationsartikel!N246&amp;" "&amp;Migrationsartikel!O246&amp;" "&amp;Migrationsartikel!P246</f>
        <v>More  vaschetta 250g</v>
      </c>
      <c r="O248" t="str">
        <f>Migrationsartikel!F246</f>
        <v xml:space="preserve">Brombeeren </v>
      </c>
      <c r="P248" t="str">
        <f>Migrationsartikel!J246</f>
        <v xml:space="preserve">Mûres </v>
      </c>
      <c r="Q248" t="str">
        <f>Migrationsartikel!N246</f>
        <v xml:space="preserve">More </v>
      </c>
      <c r="R248" t="str">
        <f>Migrationsartikel!G246</f>
        <v>Schale</v>
      </c>
      <c r="S248" t="str">
        <f>Migrationsartikel!K246</f>
        <v>Barquette</v>
      </c>
      <c r="T248" t="str">
        <f>Migrationsartikel!O246</f>
        <v>vaschetta</v>
      </c>
      <c r="U248" s="31" t="str">
        <f>Migrationsartikel!H246</f>
        <v>250g</v>
      </c>
      <c r="V248" s="31" t="str">
        <f>Migrationsartikel!L246</f>
        <v>250g</v>
      </c>
      <c r="W248" s="31" t="str">
        <f>Migrationsartikel!P246</f>
        <v>250g</v>
      </c>
      <c r="X248" t="str">
        <f>Migrationsartikel!I246</f>
        <v>Brombeeren Schale 250g</v>
      </c>
      <c r="Y248" t="str">
        <f>Migrationsartikel!M246</f>
        <v>Mûres barquette 250g</v>
      </c>
      <c r="Z248" t="str">
        <f>Migrationsartikel!Q246</f>
        <v>More vaschetta 250g</v>
      </c>
      <c r="AA248" s="45">
        <f>Migrationsartikel!R246</f>
        <v>0.25</v>
      </c>
      <c r="AB248" s="46" t="str">
        <f>Migrationsartikel!T246</f>
        <v>Gramm</v>
      </c>
      <c r="AC248">
        <f>Migrationsartikel!S246</f>
        <v>100</v>
      </c>
      <c r="AD248" t="str">
        <f>Migrationsartikel!U246</f>
        <v>(PCE) Stück</v>
      </c>
      <c r="AE248" s="31" t="s">
        <v>179</v>
      </c>
      <c r="AF248" s="31" t="s">
        <v>192</v>
      </c>
      <c r="AG248" t="str">
        <f>IF(Migrationsartikel!AB246="ja","true",FALSE)</f>
        <v>true</v>
      </c>
      <c r="AH248" t="str">
        <f>IF(Migrationsartikel!AC246="ja","true",FALSE)</f>
        <v>true</v>
      </c>
      <c r="AI248" t="str">
        <f>IF(Migrationsartikel!AD246="ja","true",FALSE)</f>
        <v>true</v>
      </c>
      <c r="AJ248" t="str">
        <f>IF(Migrationsartikel!AE246="ja","true",FALSE)</f>
        <v>true</v>
      </c>
      <c r="AK248" t="str">
        <f>IF(Migrationsartikel!AF246="ja","Denner Partner","")</f>
        <v/>
      </c>
      <c r="AL248" t="str">
        <f>IF(Migrationsartikel!AG246="ja","true","false")</f>
        <v>false</v>
      </c>
      <c r="AM248" t="str">
        <f t="shared" si="3"/>
        <v>PLU</v>
      </c>
      <c r="AN248" s="31" t="s">
        <v>219</v>
      </c>
      <c r="AO248" s="31" t="s">
        <v>217</v>
      </c>
    </row>
    <row r="249" spans="2:41" ht="21.75" customHeight="1" x14ac:dyDescent="0.45">
      <c r="B249" t="s">
        <v>99</v>
      </c>
      <c r="E249" s="31" t="s">
        <v>1659</v>
      </c>
      <c r="F249" t="str">
        <f>"Warengruppe&gt;&gt;"&amp;Migrationsartikel!V247&amp;"&gt;&gt;"&amp;Migrationsartikel!W247&amp;"&gt;&gt;"&amp;Migrationsartikel!X247</f>
        <v>Warengruppe&gt;&gt;Früchte und Gemüse&gt;&gt;Früchte und Gemüse&gt;&gt;Früchte</v>
      </c>
      <c r="H249" s="31" t="s">
        <v>109</v>
      </c>
      <c r="I249" s="31" t="s">
        <v>121</v>
      </c>
      <c r="J249" s="31">
        <f>Migrationsartikel!B247</f>
        <v>127</v>
      </c>
      <c r="L249" t="str">
        <f>Migrationsartikel!F247&amp;" "&amp;Migrationsartikel!G247&amp;" "&amp;Migrationsartikel!H247</f>
        <v xml:space="preserve">Bananen Chiquita Offen  </v>
      </c>
      <c r="M249" t="str">
        <f>Migrationsartikel!J247&amp;" "&amp;Migrationsartikel!K247&amp;" "&amp;Migrationsartikel!L247</f>
        <v xml:space="preserve">Bananes Chiquita En vrac </v>
      </c>
      <c r="N249" t="str">
        <f>Migrationsartikel!N247&amp;" "&amp;Migrationsartikel!O247&amp;" "&amp;Migrationsartikel!P247</f>
        <v xml:space="preserve">Banane Chiquita vendita sfusa </v>
      </c>
      <c r="O249" t="str">
        <f>Migrationsartikel!F247</f>
        <v>Bananen Chiquita Offen</v>
      </c>
      <c r="P249" t="str">
        <f>Migrationsartikel!J247</f>
        <v>Bananes Chiquita</v>
      </c>
      <c r="Q249" t="str">
        <f>Migrationsartikel!N247</f>
        <v>Banane Chiquita</v>
      </c>
      <c r="R249">
        <f>Migrationsartikel!G247</f>
        <v>0</v>
      </c>
      <c r="S249" t="str">
        <f>Migrationsartikel!K247</f>
        <v>En vrac</v>
      </c>
      <c r="T249" t="str">
        <f>Migrationsartikel!O247</f>
        <v>vendita sfusa</v>
      </c>
      <c r="U249" s="31">
        <f>Migrationsartikel!H247</f>
        <v>0</v>
      </c>
      <c r="V249" s="31">
        <f>Migrationsartikel!L247</f>
        <v>0</v>
      </c>
      <c r="W249" s="31">
        <f>Migrationsartikel!P247</f>
        <v>0</v>
      </c>
      <c r="X249" t="str">
        <f>Migrationsartikel!I247</f>
        <v>Bananen Chiquita Offen</v>
      </c>
      <c r="Y249" t="str">
        <f>Migrationsartikel!M247</f>
        <v>Bananes Chiquita en vrac</v>
      </c>
      <c r="Z249" t="str">
        <f>Migrationsartikel!Q247</f>
        <v>Banane Chiquita v. sfusa</v>
      </c>
      <c r="AA249" s="45">
        <f>Migrationsartikel!R247</f>
        <v>1</v>
      </c>
      <c r="AB249" s="46" t="str">
        <f>Migrationsartikel!T247</f>
        <v>Kilogramm</v>
      </c>
      <c r="AC249">
        <f>Migrationsartikel!S247</f>
        <v>1</v>
      </c>
      <c r="AD249" t="str">
        <f>Migrationsartikel!U247</f>
        <v>(KGM) KG</v>
      </c>
      <c r="AE249" s="31" t="s">
        <v>179</v>
      </c>
      <c r="AF249" s="31" t="s">
        <v>192</v>
      </c>
      <c r="AG249" t="str">
        <f>IF(Migrationsartikel!AB247="ja","true",FALSE)</f>
        <v>true</v>
      </c>
      <c r="AH249" t="str">
        <f>IF(Migrationsartikel!AC247="ja","true",FALSE)</f>
        <v>true</v>
      </c>
      <c r="AI249" t="str">
        <f>IF(Migrationsartikel!AD247="ja","true",FALSE)</f>
        <v>true</v>
      </c>
      <c r="AJ249" t="str">
        <f>IF(Migrationsartikel!AE247="ja","true",FALSE)</f>
        <v>true</v>
      </c>
      <c r="AK249" t="str">
        <f>IF(Migrationsartikel!AF247="ja","Denner Partner","")</f>
        <v/>
      </c>
      <c r="AL249" t="str">
        <f>IF(Migrationsartikel!AG247="ja","true","false")</f>
        <v>false</v>
      </c>
      <c r="AM249" t="str">
        <f t="shared" si="3"/>
        <v>PLU</v>
      </c>
      <c r="AN249" s="31" t="s">
        <v>219</v>
      </c>
      <c r="AO249" s="31" t="s">
        <v>217</v>
      </c>
    </row>
    <row r="250" spans="2:41" ht="21.75" customHeight="1" x14ac:dyDescent="0.45">
      <c r="B250" t="s">
        <v>99</v>
      </c>
      <c r="E250" s="31" t="s">
        <v>1660</v>
      </c>
      <c r="F250" t="str">
        <f>"Warengruppe&gt;&gt;"&amp;Migrationsartikel!V248&amp;"&gt;&gt;"&amp;Migrationsartikel!W248&amp;"&gt;&gt;"&amp;Migrationsartikel!X248</f>
        <v>Warengruppe&gt;&gt;Früchte und Gemüse&gt;&gt;Früchte und Gemüse&gt;&gt;Früchte</v>
      </c>
      <c r="H250" s="31" t="s">
        <v>109</v>
      </c>
      <c r="I250" s="31" t="s">
        <v>121</v>
      </c>
      <c r="J250" s="31">
        <f>Migrationsartikel!B248</f>
        <v>129</v>
      </c>
      <c r="L250" t="str">
        <f>Migrationsartikel!F248&amp;" "&amp;Migrationsartikel!G248&amp;" "&amp;Migrationsartikel!H248</f>
        <v xml:space="preserve">Bio Clementinen Offen </v>
      </c>
      <c r="M250" t="str">
        <f>Migrationsartikel!J248&amp;" "&amp;Migrationsartikel!K248&amp;" "&amp;Migrationsartikel!L248</f>
        <v xml:space="preserve">Bio Clémentines En vrac </v>
      </c>
      <c r="N250" t="str">
        <f>Migrationsartikel!N248&amp;" "&amp;Migrationsartikel!O248&amp;" "&amp;Migrationsartikel!P248</f>
        <v xml:space="preserve">Bio Clementine vendita sfusa </v>
      </c>
      <c r="O250" t="str">
        <f>Migrationsartikel!F248</f>
        <v>Bio Clementinen</v>
      </c>
      <c r="P250" t="str">
        <f>Migrationsartikel!J248</f>
        <v>Bio Clémentines</v>
      </c>
      <c r="Q250" t="str">
        <f>Migrationsartikel!N248</f>
        <v>Bio Clementine</v>
      </c>
      <c r="R250" t="str">
        <f>Migrationsartikel!G248</f>
        <v>Offen</v>
      </c>
      <c r="S250" t="str">
        <f>Migrationsartikel!K248</f>
        <v>En vrac</v>
      </c>
      <c r="T250" t="str">
        <f>Migrationsartikel!O248</f>
        <v>vendita sfusa</v>
      </c>
      <c r="U250" s="31">
        <f>Migrationsartikel!H248</f>
        <v>0</v>
      </c>
      <c r="V250" s="31">
        <f>Migrationsartikel!L248</f>
        <v>0</v>
      </c>
      <c r="W250" s="31">
        <f>Migrationsartikel!P248</f>
        <v>0</v>
      </c>
      <c r="X250" t="str">
        <f>Migrationsartikel!I248</f>
        <v>Bio Clementinen Offen</v>
      </c>
      <c r="Y250" t="str">
        <f>Migrationsartikel!M248</f>
        <v>Bio Clémentines en vrac</v>
      </c>
      <c r="Z250" t="str">
        <f>Migrationsartikel!Q248</f>
        <v>Bio Clementine vendita sfusa</v>
      </c>
      <c r="AA250" s="45">
        <f>Migrationsartikel!R248</f>
        <v>1</v>
      </c>
      <c r="AB250" s="46" t="str">
        <f>Migrationsartikel!T248</f>
        <v>Kilogramm</v>
      </c>
      <c r="AC250">
        <f>Migrationsartikel!S248</f>
        <v>1</v>
      </c>
      <c r="AD250" t="str">
        <f>Migrationsartikel!U248</f>
        <v>(KGM) KG</v>
      </c>
      <c r="AE250" s="31" t="s">
        <v>179</v>
      </c>
      <c r="AF250" s="31" t="s">
        <v>192</v>
      </c>
      <c r="AG250" t="str">
        <f>IF(Migrationsartikel!AB248="ja","true",FALSE)</f>
        <v>true</v>
      </c>
      <c r="AH250" t="str">
        <f>IF(Migrationsartikel!AC248="ja","true",FALSE)</f>
        <v>true</v>
      </c>
      <c r="AI250" t="str">
        <f>IF(Migrationsartikel!AD248="ja","true",FALSE)</f>
        <v>true</v>
      </c>
      <c r="AJ250" t="str">
        <f>IF(Migrationsartikel!AE248="ja","true",FALSE)</f>
        <v>true</v>
      </c>
      <c r="AK250" t="str">
        <f>IF(Migrationsartikel!AF248="ja","Denner Partner","")</f>
        <v/>
      </c>
      <c r="AL250" t="str">
        <f>IF(Migrationsartikel!AG248="ja","true","false")</f>
        <v>false</v>
      </c>
      <c r="AM250" t="str">
        <f t="shared" si="3"/>
        <v>PLU</v>
      </c>
      <c r="AN250" s="31" t="s">
        <v>219</v>
      </c>
      <c r="AO250" s="31" t="s">
        <v>217</v>
      </c>
    </row>
    <row r="251" spans="2:41" ht="21.75" customHeight="1" x14ac:dyDescent="0.45">
      <c r="B251" t="s">
        <v>99</v>
      </c>
      <c r="E251" s="31" t="s">
        <v>1661</v>
      </c>
      <c r="F251" t="str">
        <f>"Warengruppe&gt;&gt;"&amp;Migrationsartikel!V249&amp;"&gt;&gt;"&amp;Migrationsartikel!W249&amp;"&gt;&gt;"&amp;Migrationsartikel!X249</f>
        <v>Warengruppe&gt;&gt;Früchte und Gemüse&gt;&gt;Früchte und Gemüse&gt;&gt;Früchte</v>
      </c>
      <c r="H251" s="31" t="s">
        <v>109</v>
      </c>
      <c r="I251" s="31" t="s">
        <v>121</v>
      </c>
      <c r="J251" s="31">
        <f>Migrationsartikel!B249</f>
        <v>131</v>
      </c>
      <c r="L251" t="str">
        <f>Migrationsartikel!F249&amp;" "&amp;Migrationsartikel!G249&amp;" "&amp;Migrationsartikel!H249</f>
        <v xml:space="preserve">Clementinen mit Blatt Offen </v>
      </c>
      <c r="M251" t="str">
        <f>Migrationsartikel!J249&amp;" "&amp;Migrationsartikel!K249&amp;" "&amp;Migrationsartikel!L249</f>
        <v xml:space="preserve">Clémentines + feuilles En vrac </v>
      </c>
      <c r="N251" t="str">
        <f>Migrationsartikel!N249&amp;" "&amp;Migrationsartikel!O249&amp;" "&amp;Migrationsartikel!P249</f>
        <v xml:space="preserve">Clementine con foglia vendita sfusa </v>
      </c>
      <c r="O251" t="str">
        <f>Migrationsartikel!F249</f>
        <v>Clementinen mit Blatt</v>
      </c>
      <c r="P251" t="str">
        <f>Migrationsartikel!J249</f>
        <v>Clémentines + feuilles</v>
      </c>
      <c r="Q251" t="str">
        <f>Migrationsartikel!N249</f>
        <v>Clementine con foglia</v>
      </c>
      <c r="R251" t="str">
        <f>Migrationsartikel!G249</f>
        <v>Offen</v>
      </c>
      <c r="S251" t="str">
        <f>Migrationsartikel!K249</f>
        <v>En vrac</v>
      </c>
      <c r="T251" t="str">
        <f>Migrationsartikel!O249</f>
        <v>vendita sfusa</v>
      </c>
      <c r="U251" s="31">
        <f>Migrationsartikel!H249</f>
        <v>0</v>
      </c>
      <c r="V251" s="31">
        <f>Migrationsartikel!L249</f>
        <v>0</v>
      </c>
      <c r="W251" s="31">
        <f>Migrationsartikel!P249</f>
        <v>0</v>
      </c>
      <c r="X251" t="str">
        <f>Migrationsartikel!I249</f>
        <v>Clementinen mit Blatt Offen</v>
      </c>
      <c r="Y251" t="str">
        <f>Migrationsartikel!M249</f>
        <v>Clémentines feuilles en vrac</v>
      </c>
      <c r="Z251" t="str">
        <f>Migrationsartikel!Q249</f>
        <v>Clementine con foglia v.s.</v>
      </c>
      <c r="AA251" s="45">
        <f>Migrationsartikel!R249</f>
        <v>1</v>
      </c>
      <c r="AB251" s="46" t="str">
        <f>Migrationsartikel!T249</f>
        <v>Kilogramm</v>
      </c>
      <c r="AC251">
        <f>Migrationsartikel!S249</f>
        <v>1</v>
      </c>
      <c r="AD251" t="str">
        <f>Migrationsartikel!U249</f>
        <v>(KGM) KG</v>
      </c>
      <c r="AE251" s="31" t="s">
        <v>179</v>
      </c>
      <c r="AF251" s="31" t="s">
        <v>192</v>
      </c>
      <c r="AG251" t="str">
        <f>IF(Migrationsartikel!AB249="ja","true",FALSE)</f>
        <v>true</v>
      </c>
      <c r="AH251" t="str">
        <f>IF(Migrationsartikel!AC249="ja","true",FALSE)</f>
        <v>true</v>
      </c>
      <c r="AI251" t="str">
        <f>IF(Migrationsartikel!AD249="ja","true",FALSE)</f>
        <v>true</v>
      </c>
      <c r="AJ251" t="str">
        <f>IF(Migrationsartikel!AE249="ja","true",FALSE)</f>
        <v>true</v>
      </c>
      <c r="AK251" t="str">
        <f>IF(Migrationsartikel!AF249="ja","Denner Partner","")</f>
        <v/>
      </c>
      <c r="AL251" t="str">
        <f>IF(Migrationsartikel!AG249="ja","true","false")</f>
        <v>false</v>
      </c>
      <c r="AM251" t="str">
        <f t="shared" si="3"/>
        <v>PLU</v>
      </c>
      <c r="AN251" s="31" t="s">
        <v>219</v>
      </c>
      <c r="AO251" s="31" t="s">
        <v>217</v>
      </c>
    </row>
    <row r="252" spans="2:41" ht="21.75" customHeight="1" x14ac:dyDescent="0.45">
      <c r="B252" t="s">
        <v>99</v>
      </c>
      <c r="E252" s="31" t="s">
        <v>1662</v>
      </c>
      <c r="F252" t="str">
        <f>"Warengruppe&gt;&gt;"&amp;Migrationsartikel!V250&amp;"&gt;&gt;"&amp;Migrationsartikel!W250&amp;"&gt;&gt;"&amp;Migrationsartikel!X250</f>
        <v>Warengruppe&gt;&gt;Früchte und Gemüse&gt;&gt;Früchte und Gemüse&gt;&gt;Früchte</v>
      </c>
      <c r="H252" s="31" t="s">
        <v>109</v>
      </c>
      <c r="I252" s="31" t="s">
        <v>121</v>
      </c>
      <c r="J252" s="31">
        <f>Migrationsartikel!B250</f>
        <v>132</v>
      </c>
      <c r="L252" t="str">
        <f>Migrationsartikel!F250&amp;" "&amp;Migrationsartikel!G250&amp;" "&amp;Migrationsartikel!H250</f>
        <v xml:space="preserve">Clementinen Rotkehlchen Offen </v>
      </c>
      <c r="M252" t="str">
        <f>Migrationsartikel!J250&amp;" "&amp;Migrationsartikel!K250&amp;" "&amp;Migrationsartikel!L250</f>
        <v xml:space="preserve">Clémentines Rotkehlchen En vrac </v>
      </c>
      <c r="N252" t="str">
        <f>Migrationsartikel!N250&amp;" "&amp;Migrationsartikel!O250&amp;" "&amp;Migrationsartikel!P250</f>
        <v xml:space="preserve">Clementine Rotkehlchen vendita sfusa </v>
      </c>
      <c r="O252" t="str">
        <f>Migrationsartikel!F250</f>
        <v>Clementinen</v>
      </c>
      <c r="P252" t="str">
        <f>Migrationsartikel!J250</f>
        <v>Clémentines Rotkehlchen</v>
      </c>
      <c r="Q252" t="str">
        <f>Migrationsartikel!N250</f>
        <v>Clementine Rotkehlchen</v>
      </c>
      <c r="R252" t="str">
        <f>Migrationsartikel!G250</f>
        <v>Rotkehlchen Offen</v>
      </c>
      <c r="S252" t="str">
        <f>Migrationsartikel!K250</f>
        <v>En vrac</v>
      </c>
      <c r="T252" t="str">
        <f>Migrationsartikel!O250</f>
        <v>vendita sfusa</v>
      </c>
      <c r="U252" s="31">
        <f>Migrationsartikel!H250</f>
        <v>0</v>
      </c>
      <c r="V252" s="31">
        <f>Migrationsartikel!L250</f>
        <v>0</v>
      </c>
      <c r="W252" s="31">
        <f>Migrationsartikel!P250</f>
        <v>0</v>
      </c>
      <c r="X252" t="str">
        <f>Migrationsartikel!I250</f>
        <v>Clementinen Rothehlchen Off.</v>
      </c>
      <c r="Y252" t="str">
        <f>Migrationsartikel!M250</f>
        <v>Clémentines Rotkehl en vrac</v>
      </c>
      <c r="Z252" t="str">
        <f>Migrationsartikel!Q250</f>
        <v>Clementine Rotk. v. sfusa</v>
      </c>
      <c r="AA252" s="45">
        <f>Migrationsartikel!R250</f>
        <v>1</v>
      </c>
      <c r="AB252" s="46" t="str">
        <f>Migrationsartikel!T250</f>
        <v>Kilogramm</v>
      </c>
      <c r="AC252">
        <f>Migrationsartikel!S250</f>
        <v>1</v>
      </c>
      <c r="AD252" t="str">
        <f>Migrationsartikel!U250</f>
        <v>(KGM) KG</v>
      </c>
      <c r="AE252" s="31" t="s">
        <v>179</v>
      </c>
      <c r="AF252" s="31" t="s">
        <v>192</v>
      </c>
      <c r="AG252" t="str">
        <f>IF(Migrationsartikel!AB250="ja","true",FALSE)</f>
        <v>true</v>
      </c>
      <c r="AH252" t="str">
        <f>IF(Migrationsartikel!AC250="ja","true",FALSE)</f>
        <v>true</v>
      </c>
      <c r="AI252" t="str">
        <f>IF(Migrationsartikel!AD250="ja","true",FALSE)</f>
        <v>true</v>
      </c>
      <c r="AJ252" t="str">
        <f>IF(Migrationsartikel!AE250="ja","true",FALSE)</f>
        <v>true</v>
      </c>
      <c r="AK252" t="str">
        <f>IF(Migrationsartikel!AF250="ja","Denner Partner","")</f>
        <v/>
      </c>
      <c r="AL252" t="str">
        <f>IF(Migrationsartikel!AG250="ja","true","false")</f>
        <v>false</v>
      </c>
      <c r="AM252" t="str">
        <f t="shared" si="3"/>
        <v>PLU</v>
      </c>
      <c r="AN252" s="31" t="s">
        <v>219</v>
      </c>
      <c r="AO252" s="31" t="s">
        <v>217</v>
      </c>
    </row>
    <row r="253" spans="2:41" ht="21.75" customHeight="1" x14ac:dyDescent="0.45">
      <c r="B253" t="s">
        <v>99</v>
      </c>
      <c r="E253" s="31" t="s">
        <v>1663</v>
      </c>
      <c r="F253" t="str">
        <f>"Warengruppe&gt;&gt;"&amp;Migrationsartikel!V251&amp;"&gt;&gt;"&amp;Migrationsartikel!W251&amp;"&gt;&gt;"&amp;Migrationsartikel!X251</f>
        <v>Warengruppe&gt;&gt;Früchte und Gemüse&gt;&gt;Früchte und Gemüse&gt;&gt;Früchte</v>
      </c>
      <c r="H253" s="31" t="s">
        <v>109</v>
      </c>
      <c r="I253" s="31" t="s">
        <v>121</v>
      </c>
      <c r="J253" s="31">
        <f>Migrationsartikel!B251</f>
        <v>130</v>
      </c>
      <c r="L253" t="str">
        <f>Migrationsartikel!F251&amp;" "&amp;Migrationsartikel!G251&amp;" "&amp;Migrationsartikel!H251</f>
        <v xml:space="preserve">Clementinen/Mandarinen Offen  </v>
      </c>
      <c r="M253" t="str">
        <f>Migrationsartikel!J251&amp;" "&amp;Migrationsartikel!K251&amp;" "&amp;Migrationsartikel!L251</f>
        <v xml:space="preserve">Clémentines/Mandarines En vrac </v>
      </c>
      <c r="N253" t="str">
        <f>Migrationsartikel!N251&amp;" "&amp;Migrationsartikel!O251&amp;" "&amp;Migrationsartikel!P251</f>
        <v xml:space="preserve">Clementine/mandarini vendita sfusa </v>
      </c>
      <c r="O253" t="str">
        <f>Migrationsartikel!F251</f>
        <v>Clementinen/Mandarinen Offen</v>
      </c>
      <c r="P253" t="str">
        <f>Migrationsartikel!J251</f>
        <v>Clémentines/Mandarines</v>
      </c>
      <c r="Q253" t="str">
        <f>Migrationsartikel!N251</f>
        <v>Clementine/mandarini</v>
      </c>
      <c r="R253">
        <f>Migrationsartikel!G251</f>
        <v>0</v>
      </c>
      <c r="S253" t="str">
        <f>Migrationsartikel!K251</f>
        <v>En vrac</v>
      </c>
      <c r="T253" t="str">
        <f>Migrationsartikel!O251</f>
        <v>vendita sfusa</v>
      </c>
      <c r="U253" s="31">
        <f>Migrationsartikel!H251</f>
        <v>0</v>
      </c>
      <c r="V253" s="31">
        <f>Migrationsartikel!L251</f>
        <v>0</v>
      </c>
      <c r="W253" s="31">
        <f>Migrationsartikel!P251</f>
        <v>0</v>
      </c>
      <c r="X253" t="str">
        <f>Migrationsartikel!I251</f>
        <v>Clementeinen/Mandarinen Offen</v>
      </c>
      <c r="Y253" t="str">
        <f>Migrationsartikel!M251</f>
        <v>Clément/Mandarines en vrac</v>
      </c>
      <c r="Z253" t="str">
        <f>Migrationsartikel!Q251</f>
        <v>Clementine/mandarini v.s.</v>
      </c>
      <c r="AA253" s="45">
        <f>Migrationsartikel!R251</f>
        <v>1</v>
      </c>
      <c r="AB253" s="46" t="str">
        <f>Migrationsartikel!T251</f>
        <v>Kilogramm</v>
      </c>
      <c r="AC253">
        <f>Migrationsartikel!S251</f>
        <v>1</v>
      </c>
      <c r="AD253" t="str">
        <f>Migrationsartikel!U251</f>
        <v>(KGM) KG</v>
      </c>
      <c r="AE253" s="31" t="s">
        <v>179</v>
      </c>
      <c r="AF253" s="31" t="s">
        <v>192</v>
      </c>
      <c r="AG253" t="str">
        <f>IF(Migrationsartikel!AB251="ja","true",FALSE)</f>
        <v>true</v>
      </c>
      <c r="AH253" t="str">
        <f>IF(Migrationsartikel!AC251="ja","true",FALSE)</f>
        <v>true</v>
      </c>
      <c r="AI253" t="str">
        <f>IF(Migrationsartikel!AD251="ja","true",FALSE)</f>
        <v>true</v>
      </c>
      <c r="AJ253" t="str">
        <f>IF(Migrationsartikel!AE251="ja","true",FALSE)</f>
        <v>true</v>
      </c>
      <c r="AK253" t="str">
        <f>IF(Migrationsartikel!AF251="ja","Denner Partner","")</f>
        <v/>
      </c>
      <c r="AL253" t="str">
        <f>IF(Migrationsartikel!AG251="ja","true","false")</f>
        <v>false</v>
      </c>
      <c r="AM253" t="str">
        <f t="shared" si="3"/>
        <v>PLU</v>
      </c>
      <c r="AN253" s="31" t="s">
        <v>219</v>
      </c>
      <c r="AO253" s="31" t="s">
        <v>217</v>
      </c>
    </row>
    <row r="254" spans="2:41" ht="21.75" customHeight="1" x14ac:dyDescent="0.45">
      <c r="B254" t="s">
        <v>99</v>
      </c>
      <c r="E254" s="31" t="s">
        <v>1664</v>
      </c>
      <c r="F254" t="str">
        <f>"Warengruppe&gt;&gt;"&amp;Migrationsartikel!V252&amp;"&gt;&gt;"&amp;Migrationsartikel!W252&amp;"&gt;&gt;"&amp;Migrationsartikel!X252</f>
        <v>Warengruppe&gt;&gt;Früchte und Gemüse&gt;&gt;Früchte und Gemüse&gt;&gt;Früchte</v>
      </c>
      <c r="H254" s="31" t="s">
        <v>109</v>
      </c>
      <c r="I254" s="31" t="s">
        <v>121</v>
      </c>
      <c r="J254" s="31">
        <f>Migrationsartikel!B252</f>
        <v>103</v>
      </c>
      <c r="L254" t="str">
        <f>Migrationsartikel!F252&amp;" "&amp;Migrationsartikel!G252&amp;" "&amp;Migrationsartikel!H252</f>
        <v xml:space="preserve">Äpfel Cox Orange Offen Kl. 1 </v>
      </c>
      <c r="M254" t="str">
        <f>Migrationsartikel!J252&amp;" "&amp;Migrationsartikel!K252&amp;" "&amp;Migrationsartikel!L252</f>
        <v xml:space="preserve">Pommes Cox Orange En vrac, cl. 1 </v>
      </c>
      <c r="N254" t="str">
        <f>Migrationsartikel!N252&amp;" "&amp;Migrationsartikel!O252&amp;" "&amp;Migrationsartikel!P252</f>
        <v xml:space="preserve">Mele Cox Orange Cl. 1 vendita sfusa </v>
      </c>
      <c r="O254" t="str">
        <f>Migrationsartikel!F252</f>
        <v>Äpfel Cox Orange</v>
      </c>
      <c r="P254" t="str">
        <f>Migrationsartikel!J252</f>
        <v>Pommes Cox Orange</v>
      </c>
      <c r="Q254" t="str">
        <f>Migrationsartikel!N252</f>
        <v>Mele Cox Orange</v>
      </c>
      <c r="R254" t="str">
        <f>Migrationsartikel!G252</f>
        <v>Offen Kl. 1</v>
      </c>
      <c r="S254" t="str">
        <f>Migrationsartikel!K252</f>
        <v>En vrac, cl. 1</v>
      </c>
      <c r="T254" t="str">
        <f>Migrationsartikel!O252</f>
        <v>Cl. 1 vendita sfusa</v>
      </c>
      <c r="U254" s="31">
        <f>Migrationsartikel!H252</f>
        <v>0</v>
      </c>
      <c r="V254" s="31">
        <f>Migrationsartikel!L252</f>
        <v>0</v>
      </c>
      <c r="W254" s="31">
        <f>Migrationsartikel!P252</f>
        <v>0</v>
      </c>
      <c r="X254" t="str">
        <f>Migrationsartikel!I252</f>
        <v>Äpfel Cox Orange Offen Kl. 1</v>
      </c>
      <c r="Y254" t="str">
        <f>Migrationsartikel!M252</f>
        <v>Pommes Cox Orange cl.1 en v.</v>
      </c>
      <c r="Z254" t="str">
        <f>Migrationsartikel!Q252</f>
        <v>Mele Cox Orange cl. 1 v.s.</v>
      </c>
      <c r="AA254" s="45">
        <f>Migrationsartikel!R252</f>
        <v>1</v>
      </c>
      <c r="AB254" s="46" t="str">
        <f>Migrationsartikel!T252</f>
        <v>Kilogramm</v>
      </c>
      <c r="AC254">
        <f>Migrationsartikel!S252</f>
        <v>1</v>
      </c>
      <c r="AD254" t="str">
        <f>Migrationsartikel!U252</f>
        <v>(KGM) KG</v>
      </c>
      <c r="AE254" s="31" t="s">
        <v>179</v>
      </c>
      <c r="AF254" s="31" t="s">
        <v>192</v>
      </c>
      <c r="AG254" t="str">
        <f>IF(Migrationsartikel!AB252="ja","true",FALSE)</f>
        <v>true</v>
      </c>
      <c r="AH254" t="str">
        <f>IF(Migrationsartikel!AC252="ja","true",FALSE)</f>
        <v>true</v>
      </c>
      <c r="AI254" t="str">
        <f>IF(Migrationsartikel!AD252="ja","true",FALSE)</f>
        <v>true</v>
      </c>
      <c r="AJ254" t="str">
        <f>IF(Migrationsartikel!AE252="ja","true",FALSE)</f>
        <v>true</v>
      </c>
      <c r="AK254" t="str">
        <f>IF(Migrationsartikel!AF252="ja","Denner Partner","")</f>
        <v/>
      </c>
      <c r="AL254" t="str">
        <f>IF(Migrationsartikel!AG252="ja","true","false")</f>
        <v>false</v>
      </c>
      <c r="AM254" t="str">
        <f t="shared" si="3"/>
        <v>PLU</v>
      </c>
      <c r="AN254" s="31" t="s">
        <v>219</v>
      </c>
      <c r="AO254" s="31" t="s">
        <v>217</v>
      </c>
    </row>
    <row r="255" spans="2:41" ht="21.75" customHeight="1" x14ac:dyDescent="0.45">
      <c r="B255" t="s">
        <v>99</v>
      </c>
      <c r="E255" s="31" t="s">
        <v>1665</v>
      </c>
      <c r="F255" t="str">
        <f>"Warengruppe&gt;&gt;"&amp;Migrationsartikel!V253&amp;"&gt;&gt;"&amp;Migrationsartikel!W253&amp;"&gt;&gt;"&amp;Migrationsartikel!X253</f>
        <v>Warengruppe&gt;&gt;Früchte und Gemüse&gt;&gt;Früchte und Gemüse&gt;&gt;Früchte</v>
      </c>
      <c r="H255" s="31" t="s">
        <v>109</v>
      </c>
      <c r="I255" s="31" t="s">
        <v>121</v>
      </c>
      <c r="J255" s="31">
        <f>Migrationsartikel!B253</f>
        <v>0</v>
      </c>
      <c r="L255" t="str">
        <f>Migrationsartikel!F253&amp;" "&amp;Migrationsartikel!G253&amp;" "&amp;Migrationsartikel!H253</f>
        <v xml:space="preserve">Äpfel Cox Orange Kl. 1 gepackt </v>
      </c>
      <c r="M255" t="str">
        <f>Migrationsartikel!J253&amp;" "&amp;Migrationsartikel!K253&amp;" "&amp;Migrationsartikel!L253</f>
        <v xml:space="preserve">Pommes Cox Orange Cl. 1 emballé </v>
      </c>
      <c r="N255" t="str">
        <f>Migrationsartikel!N253&amp;" "&amp;Migrationsartikel!O253&amp;" "&amp;Migrationsartikel!P253</f>
        <v xml:space="preserve">Mele Cox Orange Cl. 1 confezionato </v>
      </c>
      <c r="O255" t="str">
        <f>Migrationsartikel!F253</f>
        <v>Äpfel Cox Orange</v>
      </c>
      <c r="P255" t="str">
        <f>Migrationsartikel!J253</f>
        <v>Pommes Cox Orange</v>
      </c>
      <c r="Q255" t="str">
        <f>Migrationsartikel!N253</f>
        <v>Mele Cox Orange</v>
      </c>
      <c r="R255" t="str">
        <f>Migrationsartikel!G253</f>
        <v>Kl. 1 gepackt</v>
      </c>
      <c r="S255" t="str">
        <f>Migrationsartikel!K253</f>
        <v>Cl. 1 emballé</v>
      </c>
      <c r="T255" t="str">
        <f>Migrationsartikel!O253</f>
        <v>Cl. 1 confezionato</v>
      </c>
      <c r="U255" s="31">
        <f>Migrationsartikel!H253</f>
        <v>0</v>
      </c>
      <c r="V255" s="31">
        <f>Migrationsartikel!L253</f>
        <v>0</v>
      </c>
      <c r="W255" s="31">
        <f>Migrationsartikel!P253</f>
        <v>0</v>
      </c>
      <c r="X255" t="str">
        <f>Migrationsartikel!I253</f>
        <v>Äpfel Cox Orange Kl. 1 gep.</v>
      </c>
      <c r="Y255" t="str">
        <f>Migrationsartikel!M253</f>
        <v>Pommes Cox Orange cl.1 emb.</v>
      </c>
      <c r="Z255" t="str">
        <f>Migrationsartikel!Q253</f>
        <v>Mele Cox Orange cl. 1 confez</v>
      </c>
      <c r="AA255" s="45">
        <f>Migrationsartikel!R253</f>
        <v>1</v>
      </c>
      <c r="AB255" s="46" t="str">
        <f>Migrationsartikel!T253</f>
        <v>Kilogramm</v>
      </c>
      <c r="AC255">
        <f>Migrationsartikel!S253</f>
        <v>1</v>
      </c>
      <c r="AD255" t="str">
        <f>Migrationsartikel!U253</f>
        <v>(PCE) Stück</v>
      </c>
      <c r="AE255" s="31" t="s">
        <v>179</v>
      </c>
      <c r="AF255" s="31" t="s">
        <v>192</v>
      </c>
      <c r="AG255" t="str">
        <f>IF(Migrationsartikel!AB253="ja","true",FALSE)</f>
        <v>true</v>
      </c>
      <c r="AH255" t="str">
        <f>IF(Migrationsartikel!AC253="ja","true",FALSE)</f>
        <v>true</v>
      </c>
      <c r="AI255" t="str">
        <f>IF(Migrationsartikel!AD253="ja","true",FALSE)</f>
        <v>true</v>
      </c>
      <c r="AJ255" t="str">
        <f>IF(Migrationsartikel!AE253="ja","true",FALSE)</f>
        <v>true</v>
      </c>
      <c r="AK255" t="str">
        <f>IF(Migrationsartikel!AF253="ja","Denner Partner","")</f>
        <v/>
      </c>
      <c r="AL255" t="str">
        <f>IF(Migrationsartikel!AG253="ja","true","false")</f>
        <v>false</v>
      </c>
      <c r="AM255" t="str">
        <f t="shared" si="3"/>
        <v>PLU</v>
      </c>
      <c r="AN255" s="31" t="s">
        <v>219</v>
      </c>
      <c r="AO255" s="31" t="s">
        <v>217</v>
      </c>
    </row>
    <row r="256" spans="2:41" ht="21.75" customHeight="1" x14ac:dyDescent="0.45">
      <c r="B256" t="s">
        <v>99</v>
      </c>
      <c r="E256" s="31" t="s">
        <v>1666</v>
      </c>
      <c r="F256" t="str">
        <f>"Warengruppe&gt;&gt;"&amp;Migrationsartikel!V254&amp;"&gt;&gt;"&amp;Migrationsartikel!W254&amp;"&gt;&gt;"&amp;Migrationsartikel!X254</f>
        <v>Warengruppe&gt;&gt;Früchte und Gemüse&gt;&gt;Früchte und Gemüse&gt;&gt;Früchte</v>
      </c>
      <c r="H256" s="31" t="s">
        <v>109</v>
      </c>
      <c r="I256" s="31" t="s">
        <v>121</v>
      </c>
      <c r="J256" s="31">
        <f>Migrationsartikel!B254</f>
        <v>125</v>
      </c>
      <c r="L256" t="str">
        <f>Migrationsartikel!F254&amp;" "&amp;Migrationsartikel!G254&amp;" "&amp;Migrationsartikel!H254</f>
        <v xml:space="preserve">Bananen Denner Offen  </v>
      </c>
      <c r="M256" t="str">
        <f>Migrationsartikel!J254&amp;" "&amp;Migrationsartikel!K254&amp;" "&amp;Migrationsartikel!L254</f>
        <v xml:space="preserve">Bananes Denner en vrac </v>
      </c>
      <c r="N256" t="str">
        <f>Migrationsartikel!N254&amp;" "&amp;Migrationsartikel!O254&amp;" "&amp;Migrationsartikel!P254</f>
        <v xml:space="preserve">Banane Denner vendita sfusa </v>
      </c>
      <c r="O256" t="str">
        <f>Migrationsartikel!F254</f>
        <v>Bananen Denner Offen</v>
      </c>
      <c r="P256" t="str">
        <f>Migrationsartikel!J254</f>
        <v>Bananes Denner</v>
      </c>
      <c r="Q256" t="str">
        <f>Migrationsartikel!N254</f>
        <v>Banane Denner</v>
      </c>
      <c r="R256">
        <f>Migrationsartikel!G254</f>
        <v>0</v>
      </c>
      <c r="S256" t="str">
        <f>Migrationsartikel!K254</f>
        <v>en vrac</v>
      </c>
      <c r="T256" t="str">
        <f>Migrationsartikel!O254</f>
        <v>vendita sfusa</v>
      </c>
      <c r="U256" s="31">
        <f>Migrationsartikel!H254</f>
        <v>0</v>
      </c>
      <c r="V256" s="31">
        <f>Migrationsartikel!L254</f>
        <v>0</v>
      </c>
      <c r="W256" s="31">
        <f>Migrationsartikel!P254</f>
        <v>0</v>
      </c>
      <c r="X256" t="str">
        <f>Migrationsartikel!I254</f>
        <v>Bananen Denner Offen</v>
      </c>
      <c r="Y256" t="str">
        <f>Migrationsartikel!M254</f>
        <v>Bananes Denner en vrac</v>
      </c>
      <c r="Z256" t="str">
        <f>Migrationsartikel!Q254</f>
        <v>Banane Denner vendita sfusa</v>
      </c>
      <c r="AA256" s="45">
        <f>Migrationsartikel!R254</f>
        <v>1</v>
      </c>
      <c r="AB256" s="46" t="str">
        <f>Migrationsartikel!T254</f>
        <v>Kilogramm</v>
      </c>
      <c r="AC256">
        <f>Migrationsartikel!S254</f>
        <v>1</v>
      </c>
      <c r="AD256" t="str">
        <f>Migrationsartikel!U254</f>
        <v>(KGM) KG</v>
      </c>
      <c r="AE256" s="31" t="s">
        <v>179</v>
      </c>
      <c r="AF256" s="31" t="s">
        <v>192</v>
      </c>
      <c r="AG256" t="str">
        <f>IF(Migrationsartikel!AB254="ja","true",FALSE)</f>
        <v>true</v>
      </c>
      <c r="AH256" t="str">
        <f>IF(Migrationsartikel!AC254="ja","true",FALSE)</f>
        <v>true</v>
      </c>
      <c r="AI256" t="str">
        <f>IF(Migrationsartikel!AD254="ja","true",FALSE)</f>
        <v>true</v>
      </c>
      <c r="AJ256" t="str">
        <f>IF(Migrationsartikel!AE254="ja","true",FALSE)</f>
        <v>true</v>
      </c>
      <c r="AK256" t="str">
        <f>IF(Migrationsartikel!AF254="ja","Denner Partner","")</f>
        <v/>
      </c>
      <c r="AL256" t="str">
        <f>IF(Migrationsartikel!AG254="ja","true","false")</f>
        <v>false</v>
      </c>
      <c r="AM256" t="str">
        <f t="shared" si="3"/>
        <v>PLU</v>
      </c>
      <c r="AN256" s="31" t="s">
        <v>219</v>
      </c>
      <c r="AO256" s="31" t="s">
        <v>217</v>
      </c>
    </row>
    <row r="257" spans="2:41" ht="21.75" customHeight="1" x14ac:dyDescent="0.45">
      <c r="B257" t="s">
        <v>99</v>
      </c>
      <c r="E257" s="31" t="s">
        <v>1667</v>
      </c>
      <c r="F257" t="str">
        <f>"Warengruppe&gt;&gt;"&amp;Migrationsartikel!V255&amp;"&gt;&gt;"&amp;Migrationsartikel!W255&amp;"&gt;&gt;"&amp;Migrationsartikel!X255</f>
        <v>Warengruppe&gt;&gt;Früchte und Gemüse&gt;&gt;Früchte und Gemüse&gt;&gt;Früchte</v>
      </c>
      <c r="H257" s="31" t="s">
        <v>109</v>
      </c>
      <c r="I257" s="31" t="s">
        <v>121</v>
      </c>
      <c r="J257" s="31">
        <f>Migrationsartikel!B255</f>
        <v>105</v>
      </c>
      <c r="L257" t="str">
        <f>Migrationsartikel!F255&amp;" "&amp;Migrationsartikel!G255&amp;" "&amp;Migrationsartikel!H255</f>
        <v xml:space="preserve">Äpfel Elstar Offen Kl. 1 </v>
      </c>
      <c r="M257" t="str">
        <f>Migrationsartikel!J255&amp;" "&amp;Migrationsartikel!K255&amp;" "&amp;Migrationsartikel!L255</f>
        <v xml:space="preserve">Pommes Elstar En vrac, cl. 1 </v>
      </c>
      <c r="N257" t="str">
        <f>Migrationsartikel!N255&amp;" "&amp;Migrationsartikel!O255&amp;" "&amp;Migrationsartikel!P255</f>
        <v xml:space="preserve">Mele Elstar Cl. 1 vendita sfusa </v>
      </c>
      <c r="O257" t="str">
        <f>Migrationsartikel!F255</f>
        <v>Äpfel Elstar</v>
      </c>
      <c r="P257" t="str">
        <f>Migrationsartikel!J255</f>
        <v>Pommes Elstar</v>
      </c>
      <c r="Q257" t="str">
        <f>Migrationsartikel!N255</f>
        <v>Mele Elstar</v>
      </c>
      <c r="R257" t="str">
        <f>Migrationsartikel!G255</f>
        <v>Offen Kl. 1</v>
      </c>
      <c r="S257" t="str">
        <f>Migrationsartikel!K255</f>
        <v>En vrac, cl. 1</v>
      </c>
      <c r="T257" t="str">
        <f>Migrationsartikel!O255</f>
        <v>Cl. 1 vendita sfusa</v>
      </c>
      <c r="U257" s="31">
        <f>Migrationsartikel!H255</f>
        <v>0</v>
      </c>
      <c r="V257" s="31">
        <f>Migrationsartikel!L255</f>
        <v>0</v>
      </c>
      <c r="W257" s="31">
        <f>Migrationsartikel!P255</f>
        <v>0</v>
      </c>
      <c r="X257" t="str">
        <f>Migrationsartikel!I255</f>
        <v>Äpfel Elstar Offen Kl. 1</v>
      </c>
      <c r="Y257" t="str">
        <f>Migrationsartikel!M255</f>
        <v>Pommes Elstar cl. 1 en vrac</v>
      </c>
      <c r="Z257" t="str">
        <f>Migrationsartikel!Q255</f>
        <v>Mele Elstar cl. 1 ven. sfusa</v>
      </c>
      <c r="AA257" s="45">
        <f>Migrationsartikel!R255</f>
        <v>1</v>
      </c>
      <c r="AB257" s="46" t="str">
        <f>Migrationsartikel!T255</f>
        <v>Kilogramm</v>
      </c>
      <c r="AC257">
        <f>Migrationsartikel!S255</f>
        <v>1</v>
      </c>
      <c r="AD257" t="str">
        <f>Migrationsartikel!U255</f>
        <v>(KGM) KG</v>
      </c>
      <c r="AE257" s="31" t="s">
        <v>179</v>
      </c>
      <c r="AF257" s="31" t="s">
        <v>192</v>
      </c>
      <c r="AG257" t="str">
        <f>IF(Migrationsartikel!AB255="ja","true",FALSE)</f>
        <v>true</v>
      </c>
      <c r="AH257" t="str">
        <f>IF(Migrationsartikel!AC255="ja","true",FALSE)</f>
        <v>true</v>
      </c>
      <c r="AI257" t="str">
        <f>IF(Migrationsartikel!AD255="ja","true",FALSE)</f>
        <v>true</v>
      </c>
      <c r="AJ257" t="str">
        <f>IF(Migrationsartikel!AE255="ja","true",FALSE)</f>
        <v>true</v>
      </c>
      <c r="AK257" t="str">
        <f>IF(Migrationsartikel!AF255="ja","Denner Partner","")</f>
        <v/>
      </c>
      <c r="AL257" t="str">
        <f>IF(Migrationsartikel!AG255="ja","true","false")</f>
        <v>false</v>
      </c>
      <c r="AM257" t="str">
        <f t="shared" si="3"/>
        <v>PLU</v>
      </c>
      <c r="AN257" s="31" t="s">
        <v>219</v>
      </c>
      <c r="AO257" s="31" t="s">
        <v>217</v>
      </c>
    </row>
    <row r="258" spans="2:41" ht="21.75" customHeight="1" x14ac:dyDescent="0.45">
      <c r="B258" t="s">
        <v>99</v>
      </c>
      <c r="E258" s="31" t="s">
        <v>1668</v>
      </c>
      <c r="F258" t="str">
        <f>"Warengruppe&gt;&gt;"&amp;Migrationsartikel!V256&amp;"&gt;&gt;"&amp;Migrationsartikel!W256&amp;"&gt;&gt;"&amp;Migrationsartikel!X256</f>
        <v>Warengruppe&gt;&gt;Früchte und Gemüse&gt;&gt;Früchte und Gemüse&gt;&gt;Früchte</v>
      </c>
      <c r="H258" s="31" t="s">
        <v>109</v>
      </c>
      <c r="I258" s="31" t="s">
        <v>121</v>
      </c>
      <c r="J258" s="31">
        <f>Migrationsartikel!B256</f>
        <v>0</v>
      </c>
      <c r="L258" t="str">
        <f>Migrationsartikel!F256&amp;" "&amp;Migrationsartikel!G256&amp;" "&amp;Migrationsartikel!H256</f>
        <v xml:space="preserve">Äpfel Elstar Kl. 1 gepackt </v>
      </c>
      <c r="M258" t="str">
        <f>Migrationsartikel!J256&amp;" "&amp;Migrationsartikel!K256&amp;" "&amp;Migrationsartikel!L256</f>
        <v xml:space="preserve">Pommes Elstar Cl. 1 emballé </v>
      </c>
      <c r="N258" t="str">
        <f>Migrationsartikel!N256&amp;" "&amp;Migrationsartikel!O256&amp;" "&amp;Migrationsartikel!P256</f>
        <v xml:space="preserve">Mele Elstar Cl. 1 confezionato </v>
      </c>
      <c r="O258" t="str">
        <f>Migrationsartikel!F256</f>
        <v>Äpfel Elstar</v>
      </c>
      <c r="P258" t="str">
        <f>Migrationsartikel!J256</f>
        <v>Pommes Elstar</v>
      </c>
      <c r="Q258" t="str">
        <f>Migrationsartikel!N256</f>
        <v>Mele Elstar</v>
      </c>
      <c r="R258" t="str">
        <f>Migrationsartikel!G256</f>
        <v>Kl. 1 gepackt</v>
      </c>
      <c r="S258" t="str">
        <f>Migrationsartikel!K256</f>
        <v>Cl. 1 emballé</v>
      </c>
      <c r="T258" t="str">
        <f>Migrationsartikel!O256</f>
        <v>Cl. 1 confezionato</v>
      </c>
      <c r="U258" s="31">
        <f>Migrationsartikel!H256</f>
        <v>0</v>
      </c>
      <c r="V258" s="31">
        <f>Migrationsartikel!L256</f>
        <v>0</v>
      </c>
      <c r="W258" s="31">
        <f>Migrationsartikel!P256</f>
        <v>0</v>
      </c>
      <c r="X258" t="str">
        <f>Migrationsartikel!I256</f>
        <v>Äpfel Elstar Kl. 1 gepackt</v>
      </c>
      <c r="Y258" t="str">
        <f>Migrationsartikel!M256</f>
        <v>Pommes Elstar cl. 1 emballé</v>
      </c>
      <c r="Z258" t="str">
        <f>Migrationsartikel!Q256</f>
        <v>Mele Elstar cl. 1 confez.</v>
      </c>
      <c r="AA258" s="45">
        <f>Migrationsartikel!R256</f>
        <v>1</v>
      </c>
      <c r="AB258" s="46" t="str">
        <f>Migrationsartikel!T256</f>
        <v>Kilogramm</v>
      </c>
      <c r="AC258">
        <f>Migrationsartikel!S256</f>
        <v>1</v>
      </c>
      <c r="AD258" t="str">
        <f>Migrationsartikel!U256</f>
        <v>(PCE) Stück</v>
      </c>
      <c r="AE258" s="31" t="s">
        <v>179</v>
      </c>
      <c r="AF258" s="31" t="s">
        <v>192</v>
      </c>
      <c r="AG258" t="str">
        <f>IF(Migrationsartikel!AB256="ja","true",FALSE)</f>
        <v>true</v>
      </c>
      <c r="AH258" t="str">
        <f>IF(Migrationsartikel!AC256="ja","true",FALSE)</f>
        <v>true</v>
      </c>
      <c r="AI258" t="str">
        <f>IF(Migrationsartikel!AD256="ja","true",FALSE)</f>
        <v>true</v>
      </c>
      <c r="AJ258" t="str">
        <f>IF(Migrationsartikel!AE256="ja","true",FALSE)</f>
        <v>true</v>
      </c>
      <c r="AK258" t="str">
        <f>IF(Migrationsartikel!AF256="ja","Denner Partner","")</f>
        <v/>
      </c>
      <c r="AL258" t="str">
        <f>IF(Migrationsartikel!AG256="ja","true","false")</f>
        <v>false</v>
      </c>
      <c r="AM258" t="str">
        <f t="shared" si="3"/>
        <v>PLU</v>
      </c>
      <c r="AN258" s="31" t="s">
        <v>219</v>
      </c>
      <c r="AO258" s="31" t="s">
        <v>217</v>
      </c>
    </row>
    <row r="259" spans="2:41" ht="21.75" customHeight="1" x14ac:dyDescent="0.45">
      <c r="B259" t="s">
        <v>99</v>
      </c>
      <c r="E259" s="31" t="s">
        <v>1669</v>
      </c>
      <c r="F259" t="str">
        <f>"Warengruppe&gt;&gt;"&amp;Migrationsartikel!V257&amp;"&gt;&gt;"&amp;Migrationsartikel!W257&amp;"&gt;&gt;"&amp;Migrationsartikel!X257</f>
        <v>Warengruppe&gt;&gt;Früchte und Gemüse&gt;&gt;Früchte und Gemüse&gt;&gt;Früchte</v>
      </c>
      <c r="H259" s="31" t="s">
        <v>109</v>
      </c>
      <c r="I259" s="31" t="s">
        <v>121</v>
      </c>
      <c r="J259" s="31">
        <f>Migrationsartikel!B257</f>
        <v>150</v>
      </c>
      <c r="L259" t="str">
        <f>Migrationsartikel!F257&amp;" "&amp;Migrationsartikel!G257&amp;" "&amp;Migrationsartikel!H257</f>
        <v xml:space="preserve">Flachpfirsiche Offen </v>
      </c>
      <c r="M259" t="str">
        <f>Migrationsartikel!J257&amp;" "&amp;Migrationsartikel!K257&amp;" "&amp;Migrationsartikel!L257</f>
        <v xml:space="preserve">Pêches plates En vrac </v>
      </c>
      <c r="N259" t="str">
        <f>Migrationsartikel!N257&amp;" "&amp;Migrationsartikel!O257&amp;" "&amp;Migrationsartikel!P257</f>
        <v xml:space="preserve">Pesche tabacchiera vendita sfusa </v>
      </c>
      <c r="O259" t="str">
        <f>Migrationsartikel!F257</f>
        <v>Flachpfirsiche</v>
      </c>
      <c r="P259" t="str">
        <f>Migrationsartikel!J257</f>
        <v>Pêches plates</v>
      </c>
      <c r="Q259" t="str">
        <f>Migrationsartikel!N257</f>
        <v>Pesche tabacchiera</v>
      </c>
      <c r="R259" t="str">
        <f>Migrationsartikel!G257</f>
        <v>Offen</v>
      </c>
      <c r="S259" t="str">
        <f>Migrationsartikel!K257</f>
        <v>En vrac</v>
      </c>
      <c r="T259" t="str">
        <f>Migrationsartikel!O257</f>
        <v>vendita sfusa</v>
      </c>
      <c r="U259" s="31">
        <f>Migrationsartikel!H257</f>
        <v>0</v>
      </c>
      <c r="V259" s="31">
        <f>Migrationsartikel!L257</f>
        <v>0</v>
      </c>
      <c r="W259" s="31">
        <f>Migrationsartikel!P257</f>
        <v>0</v>
      </c>
      <c r="X259" t="str">
        <f>Migrationsartikel!I257</f>
        <v>Flachpfirsiche Offen</v>
      </c>
      <c r="Y259" t="str">
        <f>Migrationsartikel!M257</f>
        <v>Pêches plartes en vrac</v>
      </c>
      <c r="Z259" t="str">
        <f>Migrationsartikel!Q257</f>
        <v>Pesche tabacchiera v. sfusa</v>
      </c>
      <c r="AA259" s="45">
        <f>Migrationsartikel!R257</f>
        <v>1</v>
      </c>
      <c r="AB259" s="46" t="str">
        <f>Migrationsartikel!T257</f>
        <v>Kilogramm</v>
      </c>
      <c r="AC259">
        <f>Migrationsartikel!S257</f>
        <v>1</v>
      </c>
      <c r="AD259" t="str">
        <f>Migrationsartikel!U257</f>
        <v>(KGM) KG</v>
      </c>
      <c r="AE259" s="31" t="s">
        <v>179</v>
      </c>
      <c r="AF259" s="31" t="s">
        <v>192</v>
      </c>
      <c r="AG259" t="str">
        <f>IF(Migrationsartikel!AB257="ja","true",FALSE)</f>
        <v>true</v>
      </c>
      <c r="AH259" t="str">
        <f>IF(Migrationsartikel!AC257="ja","true",FALSE)</f>
        <v>true</v>
      </c>
      <c r="AI259" t="str">
        <f>IF(Migrationsartikel!AD257="ja","true",FALSE)</f>
        <v>true</v>
      </c>
      <c r="AJ259" t="str">
        <f>IF(Migrationsartikel!AE257="ja","true",FALSE)</f>
        <v>true</v>
      </c>
      <c r="AK259" t="str">
        <f>IF(Migrationsartikel!AF257="ja","Denner Partner","")</f>
        <v/>
      </c>
      <c r="AL259" t="str">
        <f>IF(Migrationsartikel!AG257="ja","true","false")</f>
        <v>false</v>
      </c>
      <c r="AM259" t="str">
        <f t="shared" si="3"/>
        <v>PLU</v>
      </c>
      <c r="AN259" s="31" t="s">
        <v>219</v>
      </c>
      <c r="AO259" s="31" t="s">
        <v>217</v>
      </c>
    </row>
    <row r="260" spans="2:41" ht="21.75" customHeight="1" x14ac:dyDescent="0.45">
      <c r="B260" t="s">
        <v>99</v>
      </c>
      <c r="E260" s="31" t="s">
        <v>1670</v>
      </c>
      <c r="F260" t="str">
        <f>"Warengruppe&gt;&gt;"&amp;Migrationsartikel!V258&amp;"&gt;&gt;"&amp;Migrationsartikel!W258&amp;"&gt;&gt;"&amp;Migrationsartikel!X258</f>
        <v>Warengruppe&gt;&gt;Früchte und Gemüse&gt;&gt;Früchte und Gemüse&gt;&gt;Früchte</v>
      </c>
      <c r="H260" s="31" t="s">
        <v>109</v>
      </c>
      <c r="I260" s="31" t="s">
        <v>121</v>
      </c>
      <c r="J260" s="31">
        <f>Migrationsartikel!B258</f>
        <v>0</v>
      </c>
      <c r="L260" t="str">
        <f>Migrationsartikel!F258&amp;" "&amp;Migrationsartikel!G258&amp;" "&amp;Migrationsartikel!H258</f>
        <v>Fruchtbecher  200g</v>
      </c>
      <c r="M260" t="str">
        <f>Migrationsartikel!J258&amp;" "&amp;Migrationsartikel!K258&amp;" "&amp;Migrationsartikel!L258</f>
        <v>Gobelet de fruits  200g</v>
      </c>
      <c r="N260" t="str">
        <f>Migrationsartikel!N258&amp;" "&amp;Migrationsartikel!O258&amp;" "&amp;Migrationsartikel!P258</f>
        <v>Bicchiere di frutta  200g</v>
      </c>
      <c r="O260" t="str">
        <f>Migrationsartikel!F258</f>
        <v>Fruchtbecher</v>
      </c>
      <c r="P260" t="str">
        <f>Migrationsartikel!J258</f>
        <v>Gobelet de fruits</v>
      </c>
      <c r="Q260" t="str">
        <f>Migrationsartikel!N258</f>
        <v>Bicchiere di frutta</v>
      </c>
      <c r="R260">
        <f>Migrationsartikel!G258</f>
        <v>0</v>
      </c>
      <c r="S260">
        <f>Migrationsartikel!K258</f>
        <v>0</v>
      </c>
      <c r="T260">
        <f>Migrationsartikel!O258</f>
        <v>0</v>
      </c>
      <c r="U260" s="31" t="str">
        <f>Migrationsartikel!H258</f>
        <v>200g</v>
      </c>
      <c r="V260" s="31" t="str">
        <f>Migrationsartikel!L258</f>
        <v>200g</v>
      </c>
      <c r="W260" s="31" t="str">
        <f>Migrationsartikel!P258</f>
        <v>200g</v>
      </c>
      <c r="X260" t="str">
        <f>Migrationsartikel!I258</f>
        <v>Fruchtbecher 200g</v>
      </c>
      <c r="Y260" t="str">
        <f>Migrationsartikel!M258</f>
        <v>Gobelet de fruits 200g</v>
      </c>
      <c r="Z260" t="str">
        <f>Migrationsartikel!Q258</f>
        <v>Bicchiere di frutta 200g</v>
      </c>
      <c r="AA260" s="45">
        <f>Migrationsartikel!R258</f>
        <v>0.2</v>
      </c>
      <c r="AB260" s="46" t="str">
        <f>Migrationsartikel!T258</f>
        <v>Gramm</v>
      </c>
      <c r="AC260">
        <f>Migrationsartikel!S258</f>
        <v>100</v>
      </c>
      <c r="AD260" t="str">
        <f>Migrationsartikel!U258</f>
        <v>(PCE) Stück</v>
      </c>
      <c r="AE260" s="31" t="s">
        <v>179</v>
      </c>
      <c r="AF260" s="31" t="s">
        <v>192</v>
      </c>
      <c r="AG260" t="str">
        <f>IF(Migrationsartikel!AB258="ja","true",FALSE)</f>
        <v>true</v>
      </c>
      <c r="AH260" t="str">
        <f>IF(Migrationsartikel!AC258="ja","true",FALSE)</f>
        <v>true</v>
      </c>
      <c r="AI260" t="str">
        <f>IF(Migrationsartikel!AD258="ja","true",FALSE)</f>
        <v>true</v>
      </c>
      <c r="AJ260" t="str">
        <f>IF(Migrationsartikel!AE258="ja","true",FALSE)</f>
        <v>true</v>
      </c>
      <c r="AK260" t="str">
        <f>IF(Migrationsartikel!AF258="ja","Denner Partner","")</f>
        <v/>
      </c>
      <c r="AL260" t="str">
        <f>IF(Migrationsartikel!AG258="ja","true","false")</f>
        <v>false</v>
      </c>
      <c r="AM260" t="str">
        <f t="shared" ref="AM260:AM323" si="4">IF(J260&lt;&gt;"","PLU","Kassentastenbelegung (ohne GTIN/PLU)")</f>
        <v>PLU</v>
      </c>
      <c r="AN260" s="31" t="s">
        <v>219</v>
      </c>
      <c r="AO260" s="31" t="s">
        <v>217</v>
      </c>
    </row>
    <row r="261" spans="2:41" ht="21.75" customHeight="1" x14ac:dyDescent="0.45">
      <c r="B261" t="s">
        <v>99</v>
      </c>
      <c r="E261" s="31" t="s">
        <v>1671</v>
      </c>
      <c r="F261" t="str">
        <f>"Warengruppe&gt;&gt;"&amp;Migrationsartikel!V259&amp;"&gt;&gt;"&amp;Migrationsartikel!W259&amp;"&gt;&gt;"&amp;Migrationsartikel!X259</f>
        <v>Warengruppe&gt;&gt;Früchte und Gemüse&gt;&gt;Früchte und Gemüse&gt;&gt;Früchte</v>
      </c>
      <c r="H261" s="31" t="s">
        <v>109</v>
      </c>
      <c r="I261" s="31" t="s">
        <v>121</v>
      </c>
      <c r="J261" s="31">
        <f>Migrationsartikel!B259</f>
        <v>0</v>
      </c>
      <c r="L261" t="str">
        <f>Migrationsartikel!F259&amp;" "&amp;Migrationsartikel!G259&amp;" "&amp;Migrationsartikel!H259</f>
        <v xml:space="preserve">Früchtemix Äpfel/Orangen/Bananen </v>
      </c>
      <c r="M261" t="str">
        <f>Migrationsartikel!J259&amp;" "&amp;Migrationsartikel!K259&amp;" "&amp;Migrationsartikel!L259</f>
        <v xml:space="preserve">Mélange de fruits Pommes/oranges/bananes </v>
      </c>
      <c r="N261" t="str">
        <f>Migrationsartikel!N259&amp;" "&amp;Migrationsartikel!O259&amp;" "&amp;Migrationsartikel!P259</f>
        <v xml:space="preserve">Mix di frutta Mele/arance/banane </v>
      </c>
      <c r="O261" t="str">
        <f>Migrationsartikel!F259</f>
        <v>Früchtemix</v>
      </c>
      <c r="P261" t="str">
        <f>Migrationsartikel!J259</f>
        <v>Mélange de fruits</v>
      </c>
      <c r="Q261" t="str">
        <f>Migrationsartikel!N259</f>
        <v>Mix di frutta</v>
      </c>
      <c r="R261" t="str">
        <f>Migrationsartikel!G259</f>
        <v>Äpfel/Orangen/Bananen</v>
      </c>
      <c r="S261" t="str">
        <f>Migrationsartikel!K259</f>
        <v>Pommes/oranges/bananes</v>
      </c>
      <c r="T261" t="str">
        <f>Migrationsartikel!O259</f>
        <v>Mele/arance/banane</v>
      </c>
      <c r="U261" s="31">
        <f>Migrationsartikel!H259</f>
        <v>0</v>
      </c>
      <c r="V261" s="31">
        <f>Migrationsartikel!L259</f>
        <v>0</v>
      </c>
      <c r="W261" s="31">
        <f>Migrationsartikel!P259</f>
        <v>0</v>
      </c>
      <c r="X261" t="str">
        <f>Migrationsartikel!I259</f>
        <v>Früchtemix Äpfel/Orange/Ban.</v>
      </c>
      <c r="Y261" t="str">
        <f>Migrationsartikel!M259</f>
        <v>Mélange fruits pom/oran/ban</v>
      </c>
      <c r="Z261" t="str">
        <f>Migrationsartikel!Q259</f>
        <v>Mix di frutta mele/aran./ban</v>
      </c>
      <c r="AA261" s="45">
        <f>Migrationsartikel!R259</f>
        <v>1</v>
      </c>
      <c r="AB261" s="46" t="str">
        <f>Migrationsartikel!T259</f>
        <v>Kilogramm</v>
      </c>
      <c r="AC261">
        <f>Migrationsartikel!S259</f>
        <v>1</v>
      </c>
      <c r="AD261" t="str">
        <f>Migrationsartikel!U259</f>
        <v>(PCE) Stück</v>
      </c>
      <c r="AE261" s="31" t="s">
        <v>179</v>
      </c>
      <c r="AF261" s="31" t="s">
        <v>192</v>
      </c>
      <c r="AG261" t="str">
        <f>IF(Migrationsartikel!AB259="ja","true",FALSE)</f>
        <v>true</v>
      </c>
      <c r="AH261" t="str">
        <f>IF(Migrationsartikel!AC259="ja","true",FALSE)</f>
        <v>true</v>
      </c>
      <c r="AI261" t="str">
        <f>IF(Migrationsartikel!AD259="ja","true",FALSE)</f>
        <v>true</v>
      </c>
      <c r="AJ261" t="str">
        <f>IF(Migrationsartikel!AE259="ja","true",FALSE)</f>
        <v>true</v>
      </c>
      <c r="AK261" t="str">
        <f>IF(Migrationsartikel!AF259="ja","Denner Partner","")</f>
        <v/>
      </c>
      <c r="AL261" t="str">
        <f>IF(Migrationsartikel!AG259="ja","true","false")</f>
        <v>false</v>
      </c>
      <c r="AM261" t="str">
        <f t="shared" si="4"/>
        <v>PLU</v>
      </c>
      <c r="AN261" s="31" t="s">
        <v>219</v>
      </c>
      <c r="AO261" s="31" t="s">
        <v>217</v>
      </c>
    </row>
    <row r="262" spans="2:41" ht="21.75" customHeight="1" x14ac:dyDescent="0.45">
      <c r="B262" t="s">
        <v>99</v>
      </c>
      <c r="E262" s="31" t="s">
        <v>1672</v>
      </c>
      <c r="F262" t="str">
        <f>"Warengruppe&gt;&gt;"&amp;Migrationsartikel!V260&amp;"&gt;&gt;"&amp;Migrationsartikel!W260&amp;"&gt;&gt;"&amp;Migrationsartikel!X260</f>
        <v>Warengruppe&gt;&gt;Früchte und Gemüse&gt;&gt;Früchte und Gemüse&gt;&gt;Früchte</v>
      </c>
      <c r="H262" s="31" t="s">
        <v>109</v>
      </c>
      <c r="I262" s="31" t="s">
        <v>121</v>
      </c>
      <c r="J262" s="31">
        <f>Migrationsartikel!B260</f>
        <v>107</v>
      </c>
      <c r="L262" t="str">
        <f>Migrationsartikel!F260&amp;" "&amp;Migrationsartikel!G260&amp;" "&amp;Migrationsartikel!H260</f>
        <v xml:space="preserve">Äpfel Gala Offen Kl. 1 </v>
      </c>
      <c r="M262" t="str">
        <f>Migrationsartikel!J260&amp;" "&amp;Migrationsartikel!K260&amp;" "&amp;Migrationsartikel!L260</f>
        <v xml:space="preserve">Pommes Gala En vrac, cl. 1 </v>
      </c>
      <c r="N262" t="str">
        <f>Migrationsartikel!N260&amp;" "&amp;Migrationsartikel!O260&amp;" "&amp;Migrationsartikel!P260</f>
        <v xml:space="preserve">Mele Gala Cl. 1 vendita sfusa </v>
      </c>
      <c r="O262" t="str">
        <f>Migrationsartikel!F260</f>
        <v>Äpfel Gala</v>
      </c>
      <c r="P262" t="str">
        <f>Migrationsartikel!J260</f>
        <v>Pommes Gala</v>
      </c>
      <c r="Q262" t="str">
        <f>Migrationsartikel!N260</f>
        <v>Mele Gala</v>
      </c>
      <c r="R262" t="str">
        <f>Migrationsartikel!G260</f>
        <v>Offen Kl. 1</v>
      </c>
      <c r="S262" t="str">
        <f>Migrationsartikel!K260</f>
        <v>En vrac, cl. 1</v>
      </c>
      <c r="T262" t="str">
        <f>Migrationsartikel!O260</f>
        <v>Cl. 1 vendita sfusa</v>
      </c>
      <c r="U262" s="31">
        <f>Migrationsartikel!H260</f>
        <v>0</v>
      </c>
      <c r="V262" s="31">
        <f>Migrationsartikel!L260</f>
        <v>0</v>
      </c>
      <c r="W262" s="31">
        <f>Migrationsartikel!P260</f>
        <v>0</v>
      </c>
      <c r="X262" t="str">
        <f>Migrationsartikel!I260</f>
        <v>Äpfel Gala Offen Kl. 1</v>
      </c>
      <c r="Y262" t="str">
        <f>Migrationsartikel!M260</f>
        <v>Pommes Gala cl. 1 en vrac</v>
      </c>
      <c r="Z262" t="str">
        <f>Migrationsartikel!Q260</f>
        <v>Mele Gala cl.1 vendita sfusa</v>
      </c>
      <c r="AA262" s="45">
        <f>Migrationsartikel!R260</f>
        <v>1</v>
      </c>
      <c r="AB262" s="46" t="str">
        <f>Migrationsartikel!T260</f>
        <v>Kilogramm</v>
      </c>
      <c r="AC262">
        <f>Migrationsartikel!S260</f>
        <v>1</v>
      </c>
      <c r="AD262" t="str">
        <f>Migrationsartikel!U260</f>
        <v>(KGM) KG</v>
      </c>
      <c r="AE262" s="31" t="s">
        <v>179</v>
      </c>
      <c r="AF262" s="31" t="s">
        <v>192</v>
      </c>
      <c r="AG262" t="str">
        <f>IF(Migrationsartikel!AB260="ja","true",FALSE)</f>
        <v>true</v>
      </c>
      <c r="AH262" t="str">
        <f>IF(Migrationsartikel!AC260="ja","true",FALSE)</f>
        <v>true</v>
      </c>
      <c r="AI262" t="str">
        <f>IF(Migrationsartikel!AD260="ja","true",FALSE)</f>
        <v>true</v>
      </c>
      <c r="AJ262" t="str">
        <f>IF(Migrationsartikel!AE260="ja","true",FALSE)</f>
        <v>true</v>
      </c>
      <c r="AK262" t="str">
        <f>IF(Migrationsartikel!AF260="ja","Denner Partner","")</f>
        <v/>
      </c>
      <c r="AL262" t="str">
        <f>IF(Migrationsartikel!AG260="ja","true","false")</f>
        <v>false</v>
      </c>
      <c r="AM262" t="str">
        <f t="shared" si="4"/>
        <v>PLU</v>
      </c>
      <c r="AN262" s="31" t="s">
        <v>219</v>
      </c>
      <c r="AO262" s="31" t="s">
        <v>217</v>
      </c>
    </row>
    <row r="263" spans="2:41" ht="21.75" customHeight="1" x14ac:dyDescent="0.45">
      <c r="B263" t="s">
        <v>99</v>
      </c>
      <c r="E263" s="31" t="s">
        <v>1673</v>
      </c>
      <c r="F263" t="str">
        <f>"Warengruppe&gt;&gt;"&amp;Migrationsartikel!V261&amp;"&gt;&gt;"&amp;Migrationsartikel!W261&amp;"&gt;&gt;"&amp;Migrationsartikel!X261</f>
        <v>Warengruppe&gt;&gt;Früchte und Gemüse&gt;&gt;Früchte und Gemüse&gt;&gt;Früchte</v>
      </c>
      <c r="H263" s="31" t="s">
        <v>109</v>
      </c>
      <c r="I263" s="31" t="s">
        <v>121</v>
      </c>
      <c r="J263" s="31">
        <f>Migrationsartikel!B261</f>
        <v>0</v>
      </c>
      <c r="L263" t="str">
        <f>Migrationsartikel!F261&amp;" "&amp;Migrationsartikel!G261&amp;" "&amp;Migrationsartikel!H261</f>
        <v xml:space="preserve">Äpfel Gala Kl. 1 gepackt </v>
      </c>
      <c r="M263" t="str">
        <f>Migrationsartikel!J261&amp;" "&amp;Migrationsartikel!K261&amp;" "&amp;Migrationsartikel!L261</f>
        <v xml:space="preserve">Pommes Gala Cl. 1 emballé </v>
      </c>
      <c r="N263" t="str">
        <f>Migrationsartikel!N261&amp;" "&amp;Migrationsartikel!O261&amp;" "&amp;Migrationsartikel!P261</f>
        <v xml:space="preserve">Mele Gala Cl. 1 confezionato </v>
      </c>
      <c r="O263" t="str">
        <f>Migrationsartikel!F261</f>
        <v>Äpfel Gala</v>
      </c>
      <c r="P263" t="str">
        <f>Migrationsartikel!J261</f>
        <v>Pommes Gala</v>
      </c>
      <c r="Q263" t="str">
        <f>Migrationsartikel!N261</f>
        <v>Mele Gala</v>
      </c>
      <c r="R263" t="str">
        <f>Migrationsartikel!G261</f>
        <v>Kl. 1 gepackt</v>
      </c>
      <c r="S263" t="str">
        <f>Migrationsartikel!K261</f>
        <v>Cl. 1 emballé</v>
      </c>
      <c r="T263" t="str">
        <f>Migrationsartikel!O261</f>
        <v>Cl. 1 confezionato</v>
      </c>
      <c r="U263" s="31">
        <f>Migrationsartikel!H261</f>
        <v>0</v>
      </c>
      <c r="V263" s="31">
        <f>Migrationsartikel!L261</f>
        <v>0</v>
      </c>
      <c r="W263" s="31">
        <f>Migrationsartikel!P261</f>
        <v>0</v>
      </c>
      <c r="X263" t="str">
        <f>Migrationsartikel!I261</f>
        <v>Äpfel Gala Kl. 1 gepackt</v>
      </c>
      <c r="Y263" t="str">
        <f>Migrationsartikel!M261</f>
        <v>Pommes Gala cl. 1 emballé</v>
      </c>
      <c r="Z263" t="str">
        <f>Migrationsartikel!Q261</f>
        <v>Mele Gala cl. 1 confezionato</v>
      </c>
      <c r="AA263" s="45">
        <f>Migrationsartikel!R261</f>
        <v>1</v>
      </c>
      <c r="AB263" s="46" t="str">
        <f>Migrationsartikel!T261</f>
        <v>Kilogramm</v>
      </c>
      <c r="AC263">
        <f>Migrationsartikel!S261</f>
        <v>1</v>
      </c>
      <c r="AD263" t="str">
        <f>Migrationsartikel!U261</f>
        <v>(PCE) Stück</v>
      </c>
      <c r="AE263" s="31" t="s">
        <v>179</v>
      </c>
      <c r="AF263" s="31" t="s">
        <v>192</v>
      </c>
      <c r="AG263" t="str">
        <f>IF(Migrationsartikel!AB261="ja","true",FALSE)</f>
        <v>true</v>
      </c>
      <c r="AH263" t="str">
        <f>IF(Migrationsartikel!AC261="ja","true",FALSE)</f>
        <v>true</v>
      </c>
      <c r="AI263" t="str">
        <f>IF(Migrationsartikel!AD261="ja","true",FALSE)</f>
        <v>true</v>
      </c>
      <c r="AJ263" t="str">
        <f>IF(Migrationsartikel!AE261="ja","true",FALSE)</f>
        <v>true</v>
      </c>
      <c r="AK263" t="str">
        <f>IF(Migrationsartikel!AF261="ja","Denner Partner","")</f>
        <v/>
      </c>
      <c r="AL263" t="str">
        <f>IF(Migrationsartikel!AG261="ja","true","false")</f>
        <v>false</v>
      </c>
      <c r="AM263" t="str">
        <f t="shared" si="4"/>
        <v>PLU</v>
      </c>
      <c r="AN263" s="31" t="s">
        <v>219</v>
      </c>
      <c r="AO263" s="31" t="s">
        <v>217</v>
      </c>
    </row>
    <row r="264" spans="2:41" ht="21.75" customHeight="1" x14ac:dyDescent="0.45">
      <c r="B264" t="s">
        <v>99</v>
      </c>
      <c r="E264" s="31" t="s">
        <v>1674</v>
      </c>
      <c r="F264" t="str">
        <f>"Warengruppe&gt;&gt;"&amp;Migrationsartikel!V262&amp;"&gt;&gt;"&amp;Migrationsartikel!W262&amp;"&gt;&gt;"&amp;Migrationsartikel!X262</f>
        <v>Warengruppe&gt;&gt;&gt;&gt;&gt;&gt;</v>
      </c>
      <c r="H264" s="31" t="s">
        <v>109</v>
      </c>
      <c r="I264" s="31" t="s">
        <v>121</v>
      </c>
      <c r="J264" s="31">
        <f>Migrationsartikel!B262</f>
        <v>0</v>
      </c>
      <c r="L264" t="str">
        <f>Migrationsartikel!F262&amp;" "&amp;Migrationsartikel!G262&amp;" "&amp;Migrationsartikel!H262</f>
        <v xml:space="preserve">  </v>
      </c>
      <c r="M264" t="str">
        <f>Migrationsartikel!J262&amp;" "&amp;Migrationsartikel!K262&amp;" "&amp;Migrationsartikel!L262</f>
        <v xml:space="preserve">  </v>
      </c>
      <c r="N264" t="str">
        <f>Migrationsartikel!N262&amp;" "&amp;Migrationsartikel!O262&amp;" "&amp;Migrationsartikel!P262</f>
        <v xml:space="preserve">  </v>
      </c>
      <c r="O264">
        <f>Migrationsartikel!F262</f>
        <v>0</v>
      </c>
      <c r="P264">
        <f>Migrationsartikel!J262</f>
        <v>0</v>
      </c>
      <c r="Q264">
        <f>Migrationsartikel!N262</f>
        <v>0</v>
      </c>
      <c r="R264">
        <f>Migrationsartikel!G262</f>
        <v>0</v>
      </c>
      <c r="S264">
        <f>Migrationsartikel!K262</f>
        <v>0</v>
      </c>
      <c r="T264">
        <f>Migrationsartikel!O262</f>
        <v>0</v>
      </c>
      <c r="U264" s="31">
        <f>Migrationsartikel!H262</f>
        <v>0</v>
      </c>
      <c r="V264" s="31">
        <f>Migrationsartikel!L262</f>
        <v>0</v>
      </c>
      <c r="W264" s="31">
        <f>Migrationsartikel!P262</f>
        <v>0</v>
      </c>
      <c r="X264">
        <f>Migrationsartikel!I262</f>
        <v>0</v>
      </c>
      <c r="Y264">
        <f>Migrationsartikel!M262</f>
        <v>0</v>
      </c>
      <c r="Z264">
        <f>Migrationsartikel!Q262</f>
        <v>0</v>
      </c>
      <c r="AA264" s="45">
        <f>Migrationsartikel!R262</f>
        <v>0</v>
      </c>
      <c r="AB264" s="46">
        <f>Migrationsartikel!T262</f>
        <v>0</v>
      </c>
      <c r="AC264">
        <f>Migrationsartikel!S262</f>
        <v>0</v>
      </c>
      <c r="AD264">
        <f>Migrationsartikel!U262</f>
        <v>0</v>
      </c>
      <c r="AE264" s="31" t="s">
        <v>179</v>
      </c>
      <c r="AF264" s="31" t="s">
        <v>192</v>
      </c>
      <c r="AG264" t="b">
        <f>IF(Migrationsartikel!AB262="ja","true",FALSE)</f>
        <v>0</v>
      </c>
      <c r="AH264" t="b">
        <f>IF(Migrationsartikel!AC262="ja","true",FALSE)</f>
        <v>0</v>
      </c>
      <c r="AI264" t="b">
        <f>IF(Migrationsartikel!AD262="ja","true",FALSE)</f>
        <v>0</v>
      </c>
      <c r="AJ264" t="b">
        <f>IF(Migrationsartikel!AE262="ja","true",FALSE)</f>
        <v>0</v>
      </c>
      <c r="AK264" t="str">
        <f>IF(Migrationsartikel!AF262="ja","Denner Partner","")</f>
        <v/>
      </c>
      <c r="AL264" t="str">
        <f>IF(Migrationsartikel!AG262="ja","true","false")</f>
        <v>false</v>
      </c>
      <c r="AM264" t="str">
        <f t="shared" si="4"/>
        <v>PLU</v>
      </c>
      <c r="AN264" s="31" t="s">
        <v>219</v>
      </c>
      <c r="AO264" s="31" t="s">
        <v>217</v>
      </c>
    </row>
    <row r="265" spans="2:41" ht="21.75" customHeight="1" x14ac:dyDescent="0.45">
      <c r="B265" t="s">
        <v>99</v>
      </c>
      <c r="E265" s="31" t="s">
        <v>1675</v>
      </c>
      <c r="F265" t="str">
        <f>"Warengruppe&gt;&gt;"&amp;Migrationsartikel!V263&amp;"&gt;&gt;"&amp;Migrationsartikel!W263&amp;"&gt;&gt;"&amp;Migrationsartikel!X263</f>
        <v>Warengruppe&gt;&gt;&gt;&gt;&gt;&gt;</v>
      </c>
      <c r="H265" s="31" t="s">
        <v>109</v>
      </c>
      <c r="I265" s="31" t="s">
        <v>121</v>
      </c>
      <c r="J265" s="31">
        <f>Migrationsartikel!B263</f>
        <v>0</v>
      </c>
      <c r="L265" t="str">
        <f>Migrationsartikel!F263&amp;" "&amp;Migrationsartikel!G263&amp;" "&amp;Migrationsartikel!H263</f>
        <v xml:space="preserve">  </v>
      </c>
      <c r="M265" t="str">
        <f>Migrationsartikel!J263&amp;" "&amp;Migrationsartikel!K263&amp;" "&amp;Migrationsartikel!L263</f>
        <v xml:space="preserve">  </v>
      </c>
      <c r="N265" t="str">
        <f>Migrationsartikel!N263&amp;" "&amp;Migrationsartikel!O263&amp;" "&amp;Migrationsartikel!P263</f>
        <v xml:space="preserve">  </v>
      </c>
      <c r="O265">
        <f>Migrationsartikel!F263</f>
        <v>0</v>
      </c>
      <c r="P265">
        <f>Migrationsartikel!J263</f>
        <v>0</v>
      </c>
      <c r="Q265">
        <f>Migrationsartikel!N263</f>
        <v>0</v>
      </c>
      <c r="R265">
        <f>Migrationsartikel!G263</f>
        <v>0</v>
      </c>
      <c r="S265">
        <f>Migrationsartikel!K263</f>
        <v>0</v>
      </c>
      <c r="T265">
        <f>Migrationsartikel!O263</f>
        <v>0</v>
      </c>
      <c r="U265" s="31">
        <f>Migrationsartikel!H263</f>
        <v>0</v>
      </c>
      <c r="V265" s="31">
        <f>Migrationsartikel!L263</f>
        <v>0</v>
      </c>
      <c r="W265" s="31">
        <f>Migrationsartikel!P263</f>
        <v>0</v>
      </c>
      <c r="X265">
        <f>Migrationsartikel!I263</f>
        <v>0</v>
      </c>
      <c r="Y265">
        <f>Migrationsartikel!M263</f>
        <v>0</v>
      </c>
      <c r="Z265">
        <f>Migrationsartikel!Q263</f>
        <v>0</v>
      </c>
      <c r="AA265" s="45">
        <f>Migrationsartikel!R263</f>
        <v>0</v>
      </c>
      <c r="AB265" s="46">
        <f>Migrationsartikel!T263</f>
        <v>0</v>
      </c>
      <c r="AC265">
        <f>Migrationsartikel!S263</f>
        <v>0</v>
      </c>
      <c r="AD265">
        <f>Migrationsartikel!U263</f>
        <v>0</v>
      </c>
      <c r="AE265" s="31" t="s">
        <v>179</v>
      </c>
      <c r="AF265" s="31" t="s">
        <v>192</v>
      </c>
      <c r="AG265" t="b">
        <f>IF(Migrationsartikel!AB263="ja","true",FALSE)</f>
        <v>0</v>
      </c>
      <c r="AH265" t="b">
        <f>IF(Migrationsartikel!AC263="ja","true",FALSE)</f>
        <v>0</v>
      </c>
      <c r="AI265" t="b">
        <f>IF(Migrationsartikel!AD263="ja","true",FALSE)</f>
        <v>0</v>
      </c>
      <c r="AJ265" t="b">
        <f>IF(Migrationsartikel!AE263="ja","true",FALSE)</f>
        <v>0</v>
      </c>
      <c r="AK265" t="str">
        <f>IF(Migrationsartikel!AF263="ja","Denner Partner","")</f>
        <v/>
      </c>
      <c r="AL265" t="str">
        <f>IF(Migrationsartikel!AG263="ja","true","false")</f>
        <v>false</v>
      </c>
      <c r="AM265" t="str">
        <f t="shared" si="4"/>
        <v>PLU</v>
      </c>
      <c r="AN265" s="31" t="s">
        <v>219</v>
      </c>
      <c r="AO265" s="31" t="s">
        <v>217</v>
      </c>
    </row>
    <row r="266" spans="2:41" ht="21.75" customHeight="1" x14ac:dyDescent="0.45">
      <c r="B266" t="s">
        <v>99</v>
      </c>
      <c r="E266" s="31" t="s">
        <v>1676</v>
      </c>
      <c r="F266" t="str">
        <f>"Warengruppe&gt;&gt;"&amp;Migrationsartikel!V264&amp;"&gt;&gt;"&amp;Migrationsartikel!W264&amp;"&gt;&gt;"&amp;Migrationsartikel!X264</f>
        <v>Warengruppe&gt;&gt;&gt;&gt;&gt;&gt;</v>
      </c>
      <c r="H266" s="31" t="s">
        <v>109</v>
      </c>
      <c r="I266" s="31" t="s">
        <v>121</v>
      </c>
      <c r="J266" s="31">
        <f>Migrationsartikel!B264</f>
        <v>0</v>
      </c>
      <c r="L266" t="str">
        <f>Migrationsartikel!F264&amp;" "&amp;Migrationsartikel!G264&amp;" "&amp;Migrationsartikel!H264</f>
        <v xml:space="preserve">  </v>
      </c>
      <c r="M266" t="str">
        <f>Migrationsartikel!J264&amp;" "&amp;Migrationsartikel!K264&amp;" "&amp;Migrationsartikel!L264</f>
        <v xml:space="preserve">  </v>
      </c>
      <c r="N266" t="str">
        <f>Migrationsartikel!N264&amp;" "&amp;Migrationsartikel!O264&amp;" "&amp;Migrationsartikel!P264</f>
        <v xml:space="preserve">  </v>
      </c>
      <c r="O266">
        <f>Migrationsartikel!F264</f>
        <v>0</v>
      </c>
      <c r="P266">
        <f>Migrationsartikel!J264</f>
        <v>0</v>
      </c>
      <c r="Q266">
        <f>Migrationsartikel!N264</f>
        <v>0</v>
      </c>
      <c r="R266">
        <f>Migrationsartikel!G264</f>
        <v>0</v>
      </c>
      <c r="S266">
        <f>Migrationsartikel!K264</f>
        <v>0</v>
      </c>
      <c r="T266">
        <f>Migrationsartikel!O264</f>
        <v>0</v>
      </c>
      <c r="U266" s="31">
        <f>Migrationsartikel!H264</f>
        <v>0</v>
      </c>
      <c r="V266" s="31">
        <f>Migrationsartikel!L264</f>
        <v>0</v>
      </c>
      <c r="W266" s="31">
        <f>Migrationsartikel!P264</f>
        <v>0</v>
      </c>
      <c r="X266">
        <f>Migrationsartikel!I264</f>
        <v>0</v>
      </c>
      <c r="Y266">
        <f>Migrationsartikel!M264</f>
        <v>0</v>
      </c>
      <c r="Z266">
        <f>Migrationsartikel!Q264</f>
        <v>0</v>
      </c>
      <c r="AA266" s="45">
        <f>Migrationsartikel!R264</f>
        <v>0</v>
      </c>
      <c r="AB266" s="46">
        <f>Migrationsartikel!T264</f>
        <v>0</v>
      </c>
      <c r="AC266">
        <f>Migrationsartikel!S264</f>
        <v>0</v>
      </c>
      <c r="AD266">
        <f>Migrationsartikel!U264</f>
        <v>0</v>
      </c>
      <c r="AE266" s="31" t="s">
        <v>179</v>
      </c>
      <c r="AF266" s="31" t="s">
        <v>192</v>
      </c>
      <c r="AG266" t="b">
        <f>IF(Migrationsartikel!AB264="ja","true",FALSE)</f>
        <v>0</v>
      </c>
      <c r="AH266" t="b">
        <f>IF(Migrationsartikel!AC264="ja","true",FALSE)</f>
        <v>0</v>
      </c>
      <c r="AI266" t="b">
        <f>IF(Migrationsartikel!AD264="ja","true",FALSE)</f>
        <v>0</v>
      </c>
      <c r="AJ266" t="b">
        <f>IF(Migrationsartikel!AE264="ja","true",FALSE)</f>
        <v>0</v>
      </c>
      <c r="AK266" t="str">
        <f>IF(Migrationsartikel!AF264="ja","Denner Partner","")</f>
        <v/>
      </c>
      <c r="AL266" t="str">
        <f>IF(Migrationsartikel!AG264="ja","true","false")</f>
        <v>false</v>
      </c>
      <c r="AM266" t="str">
        <f t="shared" si="4"/>
        <v>PLU</v>
      </c>
      <c r="AN266" s="31" t="s">
        <v>219</v>
      </c>
      <c r="AO266" s="31" t="s">
        <v>217</v>
      </c>
    </row>
    <row r="267" spans="2:41" ht="21.75" customHeight="1" x14ac:dyDescent="0.45">
      <c r="B267" t="s">
        <v>99</v>
      </c>
      <c r="E267" s="31" t="s">
        <v>1677</v>
      </c>
      <c r="F267" t="str">
        <f>"Warengruppe&gt;&gt;"&amp;Migrationsartikel!V265&amp;"&gt;&gt;"&amp;Migrationsartikel!W265&amp;"&gt;&gt;"&amp;Migrationsartikel!X265</f>
        <v>Warengruppe&gt;&gt;&gt;&gt;&gt;&gt;</v>
      </c>
      <c r="H267" s="31" t="s">
        <v>109</v>
      </c>
      <c r="I267" s="31" t="s">
        <v>121</v>
      </c>
      <c r="J267" s="31">
        <f>Migrationsartikel!B265</f>
        <v>0</v>
      </c>
      <c r="L267" t="str">
        <f>Migrationsartikel!F265&amp;" "&amp;Migrationsartikel!G265&amp;" "&amp;Migrationsartikel!H265</f>
        <v xml:space="preserve">  </v>
      </c>
      <c r="M267" t="str">
        <f>Migrationsartikel!J265&amp;" "&amp;Migrationsartikel!K265&amp;" "&amp;Migrationsartikel!L265</f>
        <v xml:space="preserve">  </v>
      </c>
      <c r="N267" t="str">
        <f>Migrationsartikel!N265&amp;" "&amp;Migrationsartikel!O265&amp;" "&amp;Migrationsartikel!P265</f>
        <v xml:space="preserve">  </v>
      </c>
      <c r="O267">
        <f>Migrationsartikel!F265</f>
        <v>0</v>
      </c>
      <c r="P267">
        <f>Migrationsartikel!J265</f>
        <v>0</v>
      </c>
      <c r="Q267">
        <f>Migrationsartikel!N265</f>
        <v>0</v>
      </c>
      <c r="R267">
        <f>Migrationsartikel!G265</f>
        <v>0</v>
      </c>
      <c r="S267">
        <f>Migrationsartikel!K265</f>
        <v>0</v>
      </c>
      <c r="T267">
        <f>Migrationsartikel!O265</f>
        <v>0</v>
      </c>
      <c r="U267" s="31">
        <f>Migrationsartikel!H265</f>
        <v>0</v>
      </c>
      <c r="V267" s="31">
        <f>Migrationsartikel!L265</f>
        <v>0</v>
      </c>
      <c r="W267" s="31">
        <f>Migrationsartikel!P265</f>
        <v>0</v>
      </c>
      <c r="X267">
        <f>Migrationsartikel!I265</f>
        <v>0</v>
      </c>
      <c r="Y267">
        <f>Migrationsartikel!M265</f>
        <v>0</v>
      </c>
      <c r="Z267">
        <f>Migrationsartikel!Q265</f>
        <v>0</v>
      </c>
      <c r="AA267" s="45">
        <f>Migrationsartikel!R265</f>
        <v>0</v>
      </c>
      <c r="AB267" s="46">
        <f>Migrationsartikel!T265</f>
        <v>0</v>
      </c>
      <c r="AC267">
        <f>Migrationsartikel!S265</f>
        <v>0</v>
      </c>
      <c r="AD267">
        <f>Migrationsartikel!U265</f>
        <v>0</v>
      </c>
      <c r="AE267" s="31" t="s">
        <v>179</v>
      </c>
      <c r="AF267" s="31" t="s">
        <v>192</v>
      </c>
      <c r="AG267" t="b">
        <f>IF(Migrationsartikel!AB265="ja","true",FALSE)</f>
        <v>0</v>
      </c>
      <c r="AH267" t="b">
        <f>IF(Migrationsartikel!AC265="ja","true",FALSE)</f>
        <v>0</v>
      </c>
      <c r="AI267" t="b">
        <f>IF(Migrationsartikel!AD265="ja","true",FALSE)</f>
        <v>0</v>
      </c>
      <c r="AJ267" t="b">
        <f>IF(Migrationsartikel!AE265="ja","true",FALSE)</f>
        <v>0</v>
      </c>
      <c r="AK267" t="str">
        <f>IF(Migrationsartikel!AF265="ja","Denner Partner","")</f>
        <v/>
      </c>
      <c r="AL267" t="str">
        <f>IF(Migrationsartikel!AG265="ja","true","false")</f>
        <v>false</v>
      </c>
      <c r="AM267" t="str">
        <f t="shared" si="4"/>
        <v>PLU</v>
      </c>
      <c r="AN267" s="31" t="s">
        <v>219</v>
      </c>
      <c r="AO267" s="31" t="s">
        <v>217</v>
      </c>
    </row>
    <row r="268" spans="2:41" ht="21.75" customHeight="1" x14ac:dyDescent="0.45">
      <c r="B268" t="s">
        <v>99</v>
      </c>
      <c r="E268" s="31" t="s">
        <v>1678</v>
      </c>
      <c r="F268" t="str">
        <f>"Warengruppe&gt;&gt;"&amp;Migrationsartikel!V266&amp;"&gt;&gt;"&amp;Migrationsartikel!W266&amp;"&gt;&gt;"&amp;Migrationsartikel!X266</f>
        <v>Warengruppe&gt;&gt;&gt;&gt;&gt;&gt;</v>
      </c>
      <c r="H268" s="31" t="s">
        <v>109</v>
      </c>
      <c r="I268" s="31" t="s">
        <v>121</v>
      </c>
      <c r="J268" s="31">
        <f>Migrationsartikel!B266</f>
        <v>0</v>
      </c>
      <c r="L268" t="str">
        <f>Migrationsartikel!F266&amp;" "&amp;Migrationsartikel!G266&amp;" "&amp;Migrationsartikel!H266</f>
        <v xml:space="preserve">  </v>
      </c>
      <c r="M268" t="str">
        <f>Migrationsartikel!J266&amp;" "&amp;Migrationsartikel!K266&amp;" "&amp;Migrationsartikel!L266</f>
        <v xml:space="preserve">  </v>
      </c>
      <c r="N268" t="str">
        <f>Migrationsartikel!N266&amp;" "&amp;Migrationsartikel!O266&amp;" "&amp;Migrationsartikel!P266</f>
        <v xml:space="preserve">  </v>
      </c>
      <c r="O268">
        <f>Migrationsartikel!F266</f>
        <v>0</v>
      </c>
      <c r="P268">
        <f>Migrationsartikel!J266</f>
        <v>0</v>
      </c>
      <c r="Q268">
        <f>Migrationsartikel!N266</f>
        <v>0</v>
      </c>
      <c r="R268">
        <f>Migrationsartikel!G266</f>
        <v>0</v>
      </c>
      <c r="S268">
        <f>Migrationsartikel!K266</f>
        <v>0</v>
      </c>
      <c r="T268">
        <f>Migrationsartikel!O266</f>
        <v>0</v>
      </c>
      <c r="U268" s="31">
        <f>Migrationsartikel!H266</f>
        <v>0</v>
      </c>
      <c r="V268" s="31">
        <f>Migrationsartikel!L266</f>
        <v>0</v>
      </c>
      <c r="W268" s="31">
        <f>Migrationsartikel!P266</f>
        <v>0</v>
      </c>
      <c r="X268">
        <f>Migrationsartikel!I266</f>
        <v>0</v>
      </c>
      <c r="Y268">
        <f>Migrationsartikel!M266</f>
        <v>0</v>
      </c>
      <c r="Z268">
        <f>Migrationsartikel!Q266</f>
        <v>0</v>
      </c>
      <c r="AA268" s="45">
        <f>Migrationsartikel!R266</f>
        <v>0</v>
      </c>
      <c r="AB268" s="46">
        <f>Migrationsartikel!T266</f>
        <v>0</v>
      </c>
      <c r="AC268">
        <f>Migrationsartikel!S266</f>
        <v>0</v>
      </c>
      <c r="AD268">
        <f>Migrationsartikel!U266</f>
        <v>0</v>
      </c>
      <c r="AE268" s="31" t="s">
        <v>179</v>
      </c>
      <c r="AF268" s="31" t="s">
        <v>192</v>
      </c>
      <c r="AG268" t="b">
        <f>IF(Migrationsartikel!AB266="ja","true",FALSE)</f>
        <v>0</v>
      </c>
      <c r="AH268" t="b">
        <f>IF(Migrationsartikel!AC266="ja","true",FALSE)</f>
        <v>0</v>
      </c>
      <c r="AI268" t="b">
        <f>IF(Migrationsartikel!AD266="ja","true",FALSE)</f>
        <v>0</v>
      </c>
      <c r="AJ268" t="b">
        <f>IF(Migrationsartikel!AE266="ja","true",FALSE)</f>
        <v>0</v>
      </c>
      <c r="AK268" t="str">
        <f>IF(Migrationsartikel!AF266="ja","Denner Partner","")</f>
        <v/>
      </c>
      <c r="AL268" t="str">
        <f>IF(Migrationsartikel!AG266="ja","true","false")</f>
        <v>false</v>
      </c>
      <c r="AM268" t="str">
        <f t="shared" si="4"/>
        <v>PLU</v>
      </c>
      <c r="AN268" s="31" t="s">
        <v>219</v>
      </c>
      <c r="AO268" s="31" t="s">
        <v>217</v>
      </c>
    </row>
    <row r="269" spans="2:41" ht="21.75" customHeight="1" x14ac:dyDescent="0.45">
      <c r="B269" t="s">
        <v>99</v>
      </c>
      <c r="E269" s="31" t="s">
        <v>1679</v>
      </c>
      <c r="F269" t="str">
        <f>"Warengruppe&gt;&gt;"&amp;Migrationsartikel!V267&amp;"&gt;&gt;"&amp;Migrationsartikel!W267&amp;"&gt;&gt;"&amp;Migrationsartikel!X267</f>
        <v>Warengruppe&gt;&gt;&gt;&gt;&gt;&gt;</v>
      </c>
      <c r="H269" s="31" t="s">
        <v>109</v>
      </c>
      <c r="I269" s="31" t="s">
        <v>121</v>
      </c>
      <c r="J269" s="31">
        <f>Migrationsartikel!B267</f>
        <v>0</v>
      </c>
      <c r="L269" t="str">
        <f>Migrationsartikel!F267&amp;" "&amp;Migrationsartikel!G267&amp;" "&amp;Migrationsartikel!H267</f>
        <v xml:space="preserve">  </v>
      </c>
      <c r="M269" t="str">
        <f>Migrationsartikel!J267&amp;" "&amp;Migrationsartikel!K267&amp;" "&amp;Migrationsartikel!L267</f>
        <v xml:space="preserve">  </v>
      </c>
      <c r="N269" t="str">
        <f>Migrationsartikel!N267&amp;" "&amp;Migrationsartikel!O267&amp;" "&amp;Migrationsartikel!P267</f>
        <v xml:space="preserve">  </v>
      </c>
      <c r="O269">
        <f>Migrationsartikel!F267</f>
        <v>0</v>
      </c>
      <c r="P269">
        <f>Migrationsartikel!J267</f>
        <v>0</v>
      </c>
      <c r="Q269">
        <f>Migrationsartikel!N267</f>
        <v>0</v>
      </c>
      <c r="R269">
        <f>Migrationsartikel!G267</f>
        <v>0</v>
      </c>
      <c r="S269">
        <f>Migrationsartikel!K267</f>
        <v>0</v>
      </c>
      <c r="T269">
        <f>Migrationsartikel!O267</f>
        <v>0</v>
      </c>
      <c r="U269" s="31">
        <f>Migrationsartikel!H267</f>
        <v>0</v>
      </c>
      <c r="V269" s="31">
        <f>Migrationsartikel!L267</f>
        <v>0</v>
      </c>
      <c r="W269" s="31">
        <f>Migrationsartikel!P267</f>
        <v>0</v>
      </c>
      <c r="X269">
        <f>Migrationsartikel!I267</f>
        <v>0</v>
      </c>
      <c r="Y269">
        <f>Migrationsartikel!M267</f>
        <v>0</v>
      </c>
      <c r="Z269">
        <f>Migrationsartikel!Q267</f>
        <v>0</v>
      </c>
      <c r="AA269" s="45">
        <f>Migrationsartikel!R267</f>
        <v>0</v>
      </c>
      <c r="AB269" s="46">
        <f>Migrationsartikel!T267</f>
        <v>0</v>
      </c>
      <c r="AC269">
        <f>Migrationsartikel!S267</f>
        <v>0</v>
      </c>
      <c r="AD269">
        <f>Migrationsartikel!U267</f>
        <v>0</v>
      </c>
      <c r="AE269" s="31" t="s">
        <v>179</v>
      </c>
      <c r="AF269" s="31" t="s">
        <v>192</v>
      </c>
      <c r="AG269" t="b">
        <f>IF(Migrationsartikel!AB267="ja","true",FALSE)</f>
        <v>0</v>
      </c>
      <c r="AH269" t="b">
        <f>IF(Migrationsartikel!AC267="ja","true",FALSE)</f>
        <v>0</v>
      </c>
      <c r="AI269" t="b">
        <f>IF(Migrationsartikel!AD267="ja","true",FALSE)</f>
        <v>0</v>
      </c>
      <c r="AJ269" t="b">
        <f>IF(Migrationsartikel!AE267="ja","true",FALSE)</f>
        <v>0</v>
      </c>
      <c r="AK269" t="str">
        <f>IF(Migrationsartikel!AF267="ja","Denner Partner","")</f>
        <v/>
      </c>
      <c r="AL269" t="str">
        <f>IF(Migrationsartikel!AG267="ja","true","false")</f>
        <v>false</v>
      </c>
      <c r="AM269" t="str">
        <f t="shared" si="4"/>
        <v>PLU</v>
      </c>
      <c r="AN269" s="31" t="s">
        <v>219</v>
      </c>
      <c r="AO269" s="31" t="s">
        <v>217</v>
      </c>
    </row>
    <row r="270" spans="2:41" ht="21.75" customHeight="1" x14ac:dyDescent="0.45">
      <c r="B270" t="s">
        <v>99</v>
      </c>
      <c r="E270" s="31" t="s">
        <v>1680</v>
      </c>
      <c r="F270" t="str">
        <f>"Warengruppe&gt;&gt;"&amp;Migrationsartikel!V268&amp;"&gt;&gt;"&amp;Migrationsartikel!W268&amp;"&gt;&gt;"&amp;Migrationsartikel!X268</f>
        <v>Warengruppe&gt;&gt;&gt;&gt;&gt;&gt;</v>
      </c>
      <c r="H270" s="31" t="s">
        <v>109</v>
      </c>
      <c r="I270" s="31" t="s">
        <v>121</v>
      </c>
      <c r="J270" s="31">
        <f>Migrationsartikel!B268</f>
        <v>0</v>
      </c>
      <c r="L270" t="str">
        <f>Migrationsartikel!F268&amp;" "&amp;Migrationsartikel!G268&amp;" "&amp;Migrationsartikel!H268</f>
        <v xml:space="preserve">  </v>
      </c>
      <c r="M270" t="str">
        <f>Migrationsartikel!J268&amp;" "&amp;Migrationsartikel!K268&amp;" "&amp;Migrationsartikel!L268</f>
        <v xml:space="preserve">  </v>
      </c>
      <c r="N270" t="str">
        <f>Migrationsartikel!N268&amp;" "&amp;Migrationsartikel!O268&amp;" "&amp;Migrationsartikel!P268</f>
        <v xml:space="preserve">  </v>
      </c>
      <c r="O270">
        <f>Migrationsartikel!F268</f>
        <v>0</v>
      </c>
      <c r="P270">
        <f>Migrationsartikel!J268</f>
        <v>0</v>
      </c>
      <c r="Q270">
        <f>Migrationsartikel!N268</f>
        <v>0</v>
      </c>
      <c r="R270">
        <f>Migrationsartikel!G268</f>
        <v>0</v>
      </c>
      <c r="S270">
        <f>Migrationsartikel!K268</f>
        <v>0</v>
      </c>
      <c r="T270">
        <f>Migrationsartikel!O268</f>
        <v>0</v>
      </c>
      <c r="U270" s="31">
        <f>Migrationsartikel!H268</f>
        <v>0</v>
      </c>
      <c r="V270" s="31">
        <f>Migrationsartikel!L268</f>
        <v>0</v>
      </c>
      <c r="W270" s="31">
        <f>Migrationsartikel!P268</f>
        <v>0</v>
      </c>
      <c r="X270">
        <f>Migrationsartikel!I268</f>
        <v>0</v>
      </c>
      <c r="Y270">
        <f>Migrationsartikel!M268</f>
        <v>0</v>
      </c>
      <c r="Z270">
        <f>Migrationsartikel!Q268</f>
        <v>0</v>
      </c>
      <c r="AA270" s="45">
        <f>Migrationsartikel!R268</f>
        <v>0</v>
      </c>
      <c r="AB270" s="46">
        <f>Migrationsartikel!T268</f>
        <v>0</v>
      </c>
      <c r="AC270">
        <f>Migrationsartikel!S268</f>
        <v>0</v>
      </c>
      <c r="AD270">
        <f>Migrationsartikel!U268</f>
        <v>0</v>
      </c>
      <c r="AE270" s="31" t="s">
        <v>179</v>
      </c>
      <c r="AF270" s="31" t="s">
        <v>192</v>
      </c>
      <c r="AG270" t="b">
        <f>IF(Migrationsartikel!AB268="ja","true",FALSE)</f>
        <v>0</v>
      </c>
      <c r="AH270" t="b">
        <f>IF(Migrationsartikel!AC268="ja","true",FALSE)</f>
        <v>0</v>
      </c>
      <c r="AI270" t="b">
        <f>IF(Migrationsartikel!AD268="ja","true",FALSE)</f>
        <v>0</v>
      </c>
      <c r="AJ270" t="b">
        <f>IF(Migrationsartikel!AE268="ja","true",FALSE)</f>
        <v>0</v>
      </c>
      <c r="AK270" t="str">
        <f>IF(Migrationsartikel!AF268="ja","Denner Partner","")</f>
        <v/>
      </c>
      <c r="AL270" t="str">
        <f>IF(Migrationsartikel!AG268="ja","true","false")</f>
        <v>false</v>
      </c>
      <c r="AM270" t="str">
        <f t="shared" si="4"/>
        <v>PLU</v>
      </c>
      <c r="AN270" s="31" t="s">
        <v>219</v>
      </c>
      <c r="AO270" s="31" t="s">
        <v>217</v>
      </c>
    </row>
    <row r="271" spans="2:41" ht="21.75" customHeight="1" x14ac:dyDescent="0.45">
      <c r="B271" t="s">
        <v>99</v>
      </c>
      <c r="E271" s="31" t="s">
        <v>1681</v>
      </c>
      <c r="F271" t="str">
        <f>"Warengruppe&gt;&gt;"&amp;Migrationsartikel!V269&amp;"&gt;&gt;"&amp;Migrationsartikel!W269&amp;"&gt;&gt;"&amp;Migrationsartikel!X269</f>
        <v>Warengruppe&gt;&gt;&gt;&gt;&gt;&gt;</v>
      </c>
      <c r="H271" s="31" t="s">
        <v>109</v>
      </c>
      <c r="I271" s="31" t="s">
        <v>121</v>
      </c>
      <c r="J271" s="31">
        <f>Migrationsartikel!B269</f>
        <v>0</v>
      </c>
      <c r="L271" t="str">
        <f>Migrationsartikel!F269&amp;" "&amp;Migrationsartikel!G269&amp;" "&amp;Migrationsartikel!H269</f>
        <v xml:space="preserve">  </v>
      </c>
      <c r="M271" t="str">
        <f>Migrationsartikel!J269&amp;" "&amp;Migrationsartikel!K269&amp;" "&amp;Migrationsartikel!L269</f>
        <v xml:space="preserve">  </v>
      </c>
      <c r="N271" t="str">
        <f>Migrationsartikel!N269&amp;" "&amp;Migrationsartikel!O269&amp;" "&amp;Migrationsartikel!P269</f>
        <v xml:space="preserve">  </v>
      </c>
      <c r="O271">
        <f>Migrationsartikel!F269</f>
        <v>0</v>
      </c>
      <c r="P271">
        <f>Migrationsartikel!J269</f>
        <v>0</v>
      </c>
      <c r="Q271">
        <f>Migrationsartikel!N269</f>
        <v>0</v>
      </c>
      <c r="R271">
        <f>Migrationsartikel!G269</f>
        <v>0</v>
      </c>
      <c r="S271">
        <f>Migrationsartikel!K269</f>
        <v>0</v>
      </c>
      <c r="T271">
        <f>Migrationsartikel!O269</f>
        <v>0</v>
      </c>
      <c r="U271" s="31">
        <f>Migrationsartikel!H269</f>
        <v>0</v>
      </c>
      <c r="V271" s="31">
        <f>Migrationsartikel!L269</f>
        <v>0</v>
      </c>
      <c r="W271" s="31">
        <f>Migrationsartikel!P269</f>
        <v>0</v>
      </c>
      <c r="X271">
        <f>Migrationsartikel!I269</f>
        <v>0</v>
      </c>
      <c r="Y271">
        <f>Migrationsartikel!M269</f>
        <v>0</v>
      </c>
      <c r="Z271">
        <f>Migrationsartikel!Q269</f>
        <v>0</v>
      </c>
      <c r="AA271" s="45">
        <f>Migrationsartikel!R269</f>
        <v>0</v>
      </c>
      <c r="AB271" s="46">
        <f>Migrationsartikel!T269</f>
        <v>0</v>
      </c>
      <c r="AC271">
        <f>Migrationsartikel!S269</f>
        <v>0</v>
      </c>
      <c r="AD271">
        <f>Migrationsartikel!U269</f>
        <v>0</v>
      </c>
      <c r="AE271" s="31" t="s">
        <v>179</v>
      </c>
      <c r="AF271" s="31" t="s">
        <v>192</v>
      </c>
      <c r="AG271" t="b">
        <f>IF(Migrationsartikel!AB269="ja","true",FALSE)</f>
        <v>0</v>
      </c>
      <c r="AH271" t="b">
        <f>IF(Migrationsartikel!AC269="ja","true",FALSE)</f>
        <v>0</v>
      </c>
      <c r="AI271" t="b">
        <f>IF(Migrationsartikel!AD269="ja","true",FALSE)</f>
        <v>0</v>
      </c>
      <c r="AJ271" t="b">
        <f>IF(Migrationsartikel!AE269="ja","true",FALSE)</f>
        <v>0</v>
      </c>
      <c r="AK271" t="str">
        <f>IF(Migrationsartikel!AF269="ja","Denner Partner","")</f>
        <v/>
      </c>
      <c r="AL271" t="str">
        <f>IF(Migrationsartikel!AG269="ja","true","false")</f>
        <v>false</v>
      </c>
      <c r="AM271" t="str">
        <f t="shared" si="4"/>
        <v>PLU</v>
      </c>
      <c r="AN271" s="31" t="s">
        <v>219</v>
      </c>
      <c r="AO271" s="31" t="s">
        <v>217</v>
      </c>
    </row>
    <row r="272" spans="2:41" ht="21.75" customHeight="1" x14ac:dyDescent="0.45">
      <c r="B272" t="s">
        <v>99</v>
      </c>
      <c r="E272" s="31" t="s">
        <v>1682</v>
      </c>
      <c r="F272" t="str">
        <f>"Warengruppe&gt;&gt;"&amp;Migrationsartikel!V270&amp;"&gt;&gt;"&amp;Migrationsartikel!W270&amp;"&gt;&gt;"&amp;Migrationsartikel!X270</f>
        <v>Warengruppe&gt;&gt;&gt;&gt;&gt;&gt;</v>
      </c>
      <c r="H272" s="31" t="s">
        <v>109</v>
      </c>
      <c r="I272" s="31" t="s">
        <v>121</v>
      </c>
      <c r="J272" s="31">
        <f>Migrationsartikel!B270</f>
        <v>0</v>
      </c>
      <c r="L272" t="str">
        <f>Migrationsartikel!F270&amp;" "&amp;Migrationsartikel!G270&amp;" "&amp;Migrationsartikel!H270</f>
        <v xml:space="preserve">  </v>
      </c>
      <c r="M272" t="str">
        <f>Migrationsartikel!J270&amp;" "&amp;Migrationsartikel!K270&amp;" "&amp;Migrationsartikel!L270</f>
        <v xml:space="preserve">  </v>
      </c>
      <c r="N272" t="str">
        <f>Migrationsartikel!N270&amp;" "&amp;Migrationsartikel!O270&amp;" "&amp;Migrationsartikel!P270</f>
        <v xml:space="preserve">  </v>
      </c>
      <c r="O272">
        <f>Migrationsartikel!F270</f>
        <v>0</v>
      </c>
      <c r="P272">
        <f>Migrationsartikel!J270</f>
        <v>0</v>
      </c>
      <c r="Q272">
        <f>Migrationsartikel!N270</f>
        <v>0</v>
      </c>
      <c r="R272">
        <f>Migrationsartikel!G270</f>
        <v>0</v>
      </c>
      <c r="S272">
        <f>Migrationsartikel!K270</f>
        <v>0</v>
      </c>
      <c r="T272">
        <f>Migrationsartikel!O270</f>
        <v>0</v>
      </c>
      <c r="U272" s="31">
        <f>Migrationsartikel!H270</f>
        <v>0</v>
      </c>
      <c r="V272" s="31">
        <f>Migrationsartikel!L270</f>
        <v>0</v>
      </c>
      <c r="W272" s="31">
        <f>Migrationsartikel!P270</f>
        <v>0</v>
      </c>
      <c r="X272">
        <f>Migrationsartikel!I270</f>
        <v>0</v>
      </c>
      <c r="Y272">
        <f>Migrationsartikel!M270</f>
        <v>0</v>
      </c>
      <c r="Z272">
        <f>Migrationsartikel!Q270</f>
        <v>0</v>
      </c>
      <c r="AA272" s="45">
        <f>Migrationsartikel!R270</f>
        <v>0</v>
      </c>
      <c r="AB272" s="46">
        <f>Migrationsartikel!T270</f>
        <v>0</v>
      </c>
      <c r="AC272">
        <f>Migrationsartikel!S270</f>
        <v>0</v>
      </c>
      <c r="AD272">
        <f>Migrationsartikel!U270</f>
        <v>0</v>
      </c>
      <c r="AE272" s="31" t="s">
        <v>179</v>
      </c>
      <c r="AF272" s="31" t="s">
        <v>192</v>
      </c>
      <c r="AG272" t="b">
        <f>IF(Migrationsartikel!AB270="ja","true",FALSE)</f>
        <v>0</v>
      </c>
      <c r="AH272" t="b">
        <f>IF(Migrationsartikel!AC270="ja","true",FALSE)</f>
        <v>0</v>
      </c>
      <c r="AI272" t="b">
        <f>IF(Migrationsartikel!AD270="ja","true",FALSE)</f>
        <v>0</v>
      </c>
      <c r="AJ272" t="b">
        <f>IF(Migrationsartikel!AE270="ja","true",FALSE)</f>
        <v>0</v>
      </c>
      <c r="AK272" t="str">
        <f>IF(Migrationsartikel!AF270="ja","Denner Partner","")</f>
        <v/>
      </c>
      <c r="AL272" t="str">
        <f>IF(Migrationsartikel!AG270="ja","true","false")</f>
        <v>false</v>
      </c>
      <c r="AM272" t="str">
        <f t="shared" si="4"/>
        <v>PLU</v>
      </c>
      <c r="AN272" s="31" t="s">
        <v>219</v>
      </c>
      <c r="AO272" s="31" t="s">
        <v>217</v>
      </c>
    </row>
    <row r="273" spans="2:41" ht="21.75" customHeight="1" x14ac:dyDescent="0.45">
      <c r="B273" t="s">
        <v>99</v>
      </c>
      <c r="E273" s="31" t="s">
        <v>1683</v>
      </c>
      <c r="F273" t="str">
        <f>"Warengruppe&gt;&gt;"&amp;Migrationsartikel!V271&amp;"&gt;&gt;"&amp;Migrationsartikel!W271&amp;"&gt;&gt;"&amp;Migrationsartikel!X271</f>
        <v>Warengruppe&gt;&gt;&gt;&gt;&gt;&gt;</v>
      </c>
      <c r="H273" s="31" t="s">
        <v>109</v>
      </c>
      <c r="I273" s="31" t="s">
        <v>121</v>
      </c>
      <c r="J273" s="31">
        <f>Migrationsartikel!B271</f>
        <v>0</v>
      </c>
      <c r="L273" t="str">
        <f>Migrationsartikel!F271&amp;" "&amp;Migrationsartikel!G271&amp;" "&amp;Migrationsartikel!H271</f>
        <v xml:space="preserve">  </v>
      </c>
      <c r="M273" t="str">
        <f>Migrationsartikel!J271&amp;" "&amp;Migrationsartikel!K271&amp;" "&amp;Migrationsartikel!L271</f>
        <v xml:space="preserve">  </v>
      </c>
      <c r="N273" t="str">
        <f>Migrationsartikel!N271&amp;" "&amp;Migrationsartikel!O271&amp;" "&amp;Migrationsartikel!P271</f>
        <v xml:space="preserve">  </v>
      </c>
      <c r="O273">
        <f>Migrationsartikel!F271</f>
        <v>0</v>
      </c>
      <c r="P273">
        <f>Migrationsartikel!J271</f>
        <v>0</v>
      </c>
      <c r="Q273">
        <f>Migrationsartikel!N271</f>
        <v>0</v>
      </c>
      <c r="R273">
        <f>Migrationsartikel!G271</f>
        <v>0</v>
      </c>
      <c r="S273">
        <f>Migrationsartikel!K271</f>
        <v>0</v>
      </c>
      <c r="T273">
        <f>Migrationsartikel!O271</f>
        <v>0</v>
      </c>
      <c r="U273" s="31">
        <f>Migrationsartikel!H271</f>
        <v>0</v>
      </c>
      <c r="V273" s="31">
        <f>Migrationsartikel!L271</f>
        <v>0</v>
      </c>
      <c r="W273" s="31">
        <f>Migrationsartikel!P271</f>
        <v>0</v>
      </c>
      <c r="X273">
        <f>Migrationsartikel!I271</f>
        <v>0</v>
      </c>
      <c r="Y273">
        <f>Migrationsartikel!M271</f>
        <v>0</v>
      </c>
      <c r="Z273">
        <f>Migrationsartikel!Q271</f>
        <v>0</v>
      </c>
      <c r="AA273" s="45">
        <f>Migrationsartikel!R271</f>
        <v>0</v>
      </c>
      <c r="AB273" s="46">
        <f>Migrationsartikel!T271</f>
        <v>0</v>
      </c>
      <c r="AC273">
        <f>Migrationsartikel!S271</f>
        <v>0</v>
      </c>
      <c r="AD273">
        <f>Migrationsartikel!U271</f>
        <v>0</v>
      </c>
      <c r="AE273" s="31" t="s">
        <v>179</v>
      </c>
      <c r="AF273" s="31" t="s">
        <v>192</v>
      </c>
      <c r="AG273" t="b">
        <f>IF(Migrationsartikel!AB271="ja","true",FALSE)</f>
        <v>0</v>
      </c>
      <c r="AH273" t="b">
        <f>IF(Migrationsartikel!AC271="ja","true",FALSE)</f>
        <v>0</v>
      </c>
      <c r="AI273" t="b">
        <f>IF(Migrationsartikel!AD271="ja","true",FALSE)</f>
        <v>0</v>
      </c>
      <c r="AJ273" t="b">
        <f>IF(Migrationsartikel!AE271="ja","true",FALSE)</f>
        <v>0</v>
      </c>
      <c r="AK273" t="str">
        <f>IF(Migrationsartikel!AF271="ja","Denner Partner","")</f>
        <v/>
      </c>
      <c r="AL273" t="str">
        <f>IF(Migrationsartikel!AG271="ja","true","false")</f>
        <v>false</v>
      </c>
      <c r="AM273" t="str">
        <f t="shared" si="4"/>
        <v>PLU</v>
      </c>
      <c r="AN273" s="31" t="s">
        <v>219</v>
      </c>
      <c r="AO273" s="31" t="s">
        <v>217</v>
      </c>
    </row>
    <row r="274" spans="2:41" ht="21.75" customHeight="1" x14ac:dyDescent="0.45">
      <c r="B274" t="s">
        <v>99</v>
      </c>
      <c r="E274" s="31" t="s">
        <v>1684</v>
      </c>
      <c r="F274" t="str">
        <f>"Warengruppe&gt;&gt;"&amp;Migrationsartikel!V272&amp;"&gt;&gt;"&amp;Migrationsartikel!W272&amp;"&gt;&gt;"&amp;Migrationsartikel!X272</f>
        <v>Warengruppe&gt;&gt;&gt;&gt;&gt;&gt;</v>
      </c>
      <c r="H274" s="31" t="s">
        <v>109</v>
      </c>
      <c r="I274" s="31" t="s">
        <v>121</v>
      </c>
      <c r="J274" s="31">
        <f>Migrationsartikel!B272</f>
        <v>0</v>
      </c>
      <c r="L274" t="str">
        <f>Migrationsartikel!F272&amp;" "&amp;Migrationsartikel!G272&amp;" "&amp;Migrationsartikel!H272</f>
        <v xml:space="preserve">  </v>
      </c>
      <c r="M274" t="str">
        <f>Migrationsartikel!J272&amp;" "&amp;Migrationsartikel!K272&amp;" "&amp;Migrationsartikel!L272</f>
        <v xml:space="preserve">  </v>
      </c>
      <c r="N274" t="str">
        <f>Migrationsartikel!N272&amp;" "&amp;Migrationsartikel!O272&amp;" "&amp;Migrationsartikel!P272</f>
        <v xml:space="preserve">  </v>
      </c>
      <c r="O274">
        <f>Migrationsartikel!F272</f>
        <v>0</v>
      </c>
      <c r="P274">
        <f>Migrationsartikel!J272</f>
        <v>0</v>
      </c>
      <c r="Q274">
        <f>Migrationsartikel!N272</f>
        <v>0</v>
      </c>
      <c r="R274">
        <f>Migrationsartikel!G272</f>
        <v>0</v>
      </c>
      <c r="S274">
        <f>Migrationsartikel!K272</f>
        <v>0</v>
      </c>
      <c r="T274">
        <f>Migrationsartikel!O272</f>
        <v>0</v>
      </c>
      <c r="U274" s="31">
        <f>Migrationsartikel!H272</f>
        <v>0</v>
      </c>
      <c r="V274" s="31">
        <f>Migrationsartikel!L272</f>
        <v>0</v>
      </c>
      <c r="W274" s="31">
        <f>Migrationsartikel!P272</f>
        <v>0</v>
      </c>
      <c r="X274">
        <f>Migrationsartikel!I272</f>
        <v>0</v>
      </c>
      <c r="Y274">
        <f>Migrationsartikel!M272</f>
        <v>0</v>
      </c>
      <c r="Z274">
        <f>Migrationsartikel!Q272</f>
        <v>0</v>
      </c>
      <c r="AA274" s="45">
        <f>Migrationsartikel!R272</f>
        <v>0</v>
      </c>
      <c r="AB274" s="46">
        <f>Migrationsartikel!T272</f>
        <v>0</v>
      </c>
      <c r="AC274">
        <f>Migrationsartikel!S272</f>
        <v>0</v>
      </c>
      <c r="AD274">
        <f>Migrationsartikel!U272</f>
        <v>0</v>
      </c>
      <c r="AE274" s="31" t="s">
        <v>179</v>
      </c>
      <c r="AF274" s="31" t="s">
        <v>192</v>
      </c>
      <c r="AG274" t="b">
        <f>IF(Migrationsartikel!AB272="ja","true",FALSE)</f>
        <v>0</v>
      </c>
      <c r="AH274" t="b">
        <f>IF(Migrationsartikel!AC272="ja","true",FALSE)</f>
        <v>0</v>
      </c>
      <c r="AI274" t="b">
        <f>IF(Migrationsartikel!AD272="ja","true",FALSE)</f>
        <v>0</v>
      </c>
      <c r="AJ274" t="b">
        <f>IF(Migrationsartikel!AE272="ja","true",FALSE)</f>
        <v>0</v>
      </c>
      <c r="AK274" t="str">
        <f>IF(Migrationsartikel!AF272="ja","Denner Partner","")</f>
        <v/>
      </c>
      <c r="AL274" t="str">
        <f>IF(Migrationsartikel!AG272="ja","true","false")</f>
        <v>false</v>
      </c>
      <c r="AM274" t="str">
        <f t="shared" si="4"/>
        <v>PLU</v>
      </c>
      <c r="AN274" s="31" t="s">
        <v>219</v>
      </c>
      <c r="AO274" s="31" t="s">
        <v>217</v>
      </c>
    </row>
    <row r="275" spans="2:41" ht="21.75" customHeight="1" x14ac:dyDescent="0.45">
      <c r="B275" t="s">
        <v>99</v>
      </c>
      <c r="E275" s="31" t="s">
        <v>1685</v>
      </c>
      <c r="F275" t="str">
        <f>"Warengruppe&gt;&gt;"&amp;Migrationsartikel!V273&amp;"&gt;&gt;"&amp;Migrationsartikel!W273&amp;"&gt;&gt;"&amp;Migrationsartikel!X273</f>
        <v>Warengruppe&gt;&gt;&gt;&gt;&gt;&gt;</v>
      </c>
      <c r="H275" s="31" t="s">
        <v>109</v>
      </c>
      <c r="I275" s="31" t="s">
        <v>121</v>
      </c>
      <c r="J275" s="31">
        <f>Migrationsartikel!B273</f>
        <v>0</v>
      </c>
      <c r="L275" t="str">
        <f>Migrationsartikel!F273&amp;" "&amp;Migrationsartikel!G273&amp;" "&amp;Migrationsartikel!H273</f>
        <v xml:space="preserve">  </v>
      </c>
      <c r="M275" t="str">
        <f>Migrationsartikel!J273&amp;" "&amp;Migrationsartikel!K273&amp;" "&amp;Migrationsartikel!L273</f>
        <v xml:space="preserve">  </v>
      </c>
      <c r="N275" t="str">
        <f>Migrationsartikel!N273&amp;" "&amp;Migrationsartikel!O273&amp;" "&amp;Migrationsartikel!P273</f>
        <v xml:space="preserve">  </v>
      </c>
      <c r="O275">
        <f>Migrationsartikel!F273</f>
        <v>0</v>
      </c>
      <c r="P275">
        <f>Migrationsartikel!J273</f>
        <v>0</v>
      </c>
      <c r="Q275">
        <f>Migrationsartikel!N273</f>
        <v>0</v>
      </c>
      <c r="R275">
        <f>Migrationsartikel!G273</f>
        <v>0</v>
      </c>
      <c r="S275">
        <f>Migrationsartikel!K273</f>
        <v>0</v>
      </c>
      <c r="T275">
        <f>Migrationsartikel!O273</f>
        <v>0</v>
      </c>
      <c r="U275" s="31">
        <f>Migrationsartikel!H273</f>
        <v>0</v>
      </c>
      <c r="V275" s="31">
        <f>Migrationsartikel!L273</f>
        <v>0</v>
      </c>
      <c r="W275" s="31">
        <f>Migrationsartikel!P273</f>
        <v>0</v>
      </c>
      <c r="X275">
        <f>Migrationsartikel!I273</f>
        <v>0</v>
      </c>
      <c r="Y275">
        <f>Migrationsartikel!M273</f>
        <v>0</v>
      </c>
      <c r="Z275">
        <f>Migrationsartikel!Q273</f>
        <v>0</v>
      </c>
      <c r="AA275" s="45">
        <f>Migrationsartikel!R273</f>
        <v>0</v>
      </c>
      <c r="AB275" s="46">
        <f>Migrationsartikel!T273</f>
        <v>0</v>
      </c>
      <c r="AC275">
        <f>Migrationsartikel!S273</f>
        <v>0</v>
      </c>
      <c r="AD275">
        <f>Migrationsartikel!U273</f>
        <v>0</v>
      </c>
      <c r="AE275" s="31" t="s">
        <v>179</v>
      </c>
      <c r="AF275" s="31" t="s">
        <v>192</v>
      </c>
      <c r="AG275" t="b">
        <f>IF(Migrationsartikel!AB273="ja","true",FALSE)</f>
        <v>0</v>
      </c>
      <c r="AH275" t="b">
        <f>IF(Migrationsartikel!AC273="ja","true",FALSE)</f>
        <v>0</v>
      </c>
      <c r="AI275" t="b">
        <f>IF(Migrationsartikel!AD273="ja","true",FALSE)</f>
        <v>0</v>
      </c>
      <c r="AJ275" t="b">
        <f>IF(Migrationsartikel!AE273="ja","true",FALSE)</f>
        <v>0</v>
      </c>
      <c r="AK275" t="str">
        <f>IF(Migrationsartikel!AF273="ja","Denner Partner","")</f>
        <v/>
      </c>
      <c r="AL275" t="str">
        <f>IF(Migrationsartikel!AG273="ja","true","false")</f>
        <v>false</v>
      </c>
      <c r="AM275" t="str">
        <f t="shared" si="4"/>
        <v>PLU</v>
      </c>
      <c r="AN275" s="31" t="s">
        <v>219</v>
      </c>
      <c r="AO275" s="31" t="s">
        <v>217</v>
      </c>
    </row>
    <row r="276" spans="2:41" ht="21.75" customHeight="1" x14ac:dyDescent="0.45">
      <c r="B276" t="s">
        <v>99</v>
      </c>
      <c r="E276" s="31" t="s">
        <v>1686</v>
      </c>
      <c r="F276" t="str">
        <f>"Warengruppe&gt;&gt;"&amp;Migrationsartikel!V274&amp;"&gt;&gt;"&amp;Migrationsartikel!W274&amp;"&gt;&gt;"&amp;Migrationsartikel!X274</f>
        <v>Warengruppe&gt;&gt;&gt;&gt;&gt;&gt;</v>
      </c>
      <c r="H276" s="31" t="s">
        <v>109</v>
      </c>
      <c r="I276" s="31" t="s">
        <v>121</v>
      </c>
      <c r="J276" s="31">
        <f>Migrationsartikel!B274</f>
        <v>0</v>
      </c>
      <c r="L276" t="str">
        <f>Migrationsartikel!F274&amp;" "&amp;Migrationsartikel!G274&amp;" "&amp;Migrationsartikel!H274</f>
        <v xml:space="preserve">  </v>
      </c>
      <c r="M276" t="str">
        <f>Migrationsartikel!J274&amp;" "&amp;Migrationsartikel!K274&amp;" "&amp;Migrationsartikel!L274</f>
        <v xml:space="preserve">  </v>
      </c>
      <c r="N276" t="str">
        <f>Migrationsartikel!N274&amp;" "&amp;Migrationsartikel!O274&amp;" "&amp;Migrationsartikel!P274</f>
        <v xml:space="preserve">  </v>
      </c>
      <c r="O276">
        <f>Migrationsartikel!F274</f>
        <v>0</v>
      </c>
      <c r="P276">
        <f>Migrationsartikel!J274</f>
        <v>0</v>
      </c>
      <c r="Q276">
        <f>Migrationsartikel!N274</f>
        <v>0</v>
      </c>
      <c r="R276">
        <f>Migrationsartikel!G274</f>
        <v>0</v>
      </c>
      <c r="S276">
        <f>Migrationsartikel!K274</f>
        <v>0</v>
      </c>
      <c r="T276">
        <f>Migrationsartikel!O274</f>
        <v>0</v>
      </c>
      <c r="U276" s="31">
        <f>Migrationsartikel!H274</f>
        <v>0</v>
      </c>
      <c r="V276" s="31">
        <f>Migrationsartikel!L274</f>
        <v>0</v>
      </c>
      <c r="W276" s="31">
        <f>Migrationsartikel!P274</f>
        <v>0</v>
      </c>
      <c r="X276">
        <f>Migrationsartikel!I274</f>
        <v>0</v>
      </c>
      <c r="Y276">
        <f>Migrationsartikel!M274</f>
        <v>0</v>
      </c>
      <c r="Z276">
        <f>Migrationsartikel!Q274</f>
        <v>0</v>
      </c>
      <c r="AA276" s="45">
        <f>Migrationsartikel!R274</f>
        <v>0</v>
      </c>
      <c r="AB276" s="46">
        <f>Migrationsartikel!T274</f>
        <v>0</v>
      </c>
      <c r="AC276">
        <f>Migrationsartikel!S274</f>
        <v>0</v>
      </c>
      <c r="AD276">
        <f>Migrationsartikel!U274</f>
        <v>0</v>
      </c>
      <c r="AE276" s="31" t="s">
        <v>179</v>
      </c>
      <c r="AF276" s="31" t="s">
        <v>192</v>
      </c>
      <c r="AG276" t="b">
        <f>IF(Migrationsartikel!AB274="ja","true",FALSE)</f>
        <v>0</v>
      </c>
      <c r="AH276" t="b">
        <f>IF(Migrationsartikel!AC274="ja","true",FALSE)</f>
        <v>0</v>
      </c>
      <c r="AI276" t="b">
        <f>IF(Migrationsartikel!AD274="ja","true",FALSE)</f>
        <v>0</v>
      </c>
      <c r="AJ276" t="b">
        <f>IF(Migrationsartikel!AE274="ja","true",FALSE)</f>
        <v>0</v>
      </c>
      <c r="AK276" t="str">
        <f>IF(Migrationsartikel!AF274="ja","Denner Partner","")</f>
        <v/>
      </c>
      <c r="AL276" t="str">
        <f>IF(Migrationsartikel!AG274="ja","true","false")</f>
        <v>false</v>
      </c>
      <c r="AM276" t="str">
        <f t="shared" si="4"/>
        <v>PLU</v>
      </c>
      <c r="AN276" s="31" t="s">
        <v>219</v>
      </c>
      <c r="AO276" s="31" t="s">
        <v>217</v>
      </c>
    </row>
    <row r="277" spans="2:41" ht="21.75" customHeight="1" x14ac:dyDescent="0.45">
      <c r="B277" t="s">
        <v>99</v>
      </c>
      <c r="E277" s="31" t="s">
        <v>1687</v>
      </c>
      <c r="F277" t="str">
        <f>"Warengruppe&gt;&gt;"&amp;Migrationsartikel!V275&amp;"&gt;&gt;"&amp;Migrationsartikel!W275&amp;"&gt;&gt;"&amp;Migrationsartikel!X275</f>
        <v>Warengruppe&gt;&gt;&gt;&gt;&gt;&gt;</v>
      </c>
      <c r="H277" s="31" t="s">
        <v>109</v>
      </c>
      <c r="I277" s="31" t="s">
        <v>121</v>
      </c>
      <c r="J277" s="31">
        <f>Migrationsartikel!B275</f>
        <v>0</v>
      </c>
      <c r="L277" t="str">
        <f>Migrationsartikel!F275&amp;" "&amp;Migrationsartikel!G275&amp;" "&amp;Migrationsartikel!H275</f>
        <v xml:space="preserve">  </v>
      </c>
      <c r="M277" t="str">
        <f>Migrationsartikel!J275&amp;" "&amp;Migrationsartikel!K275&amp;" "&amp;Migrationsartikel!L275</f>
        <v xml:space="preserve">  </v>
      </c>
      <c r="N277" t="str">
        <f>Migrationsartikel!N275&amp;" "&amp;Migrationsartikel!O275&amp;" "&amp;Migrationsartikel!P275</f>
        <v xml:space="preserve">  </v>
      </c>
      <c r="O277">
        <f>Migrationsartikel!F275</f>
        <v>0</v>
      </c>
      <c r="P277">
        <f>Migrationsartikel!J275</f>
        <v>0</v>
      </c>
      <c r="Q277">
        <f>Migrationsartikel!N275</f>
        <v>0</v>
      </c>
      <c r="R277">
        <f>Migrationsartikel!G275</f>
        <v>0</v>
      </c>
      <c r="S277">
        <f>Migrationsartikel!K275</f>
        <v>0</v>
      </c>
      <c r="T277">
        <f>Migrationsartikel!O275</f>
        <v>0</v>
      </c>
      <c r="U277" s="31">
        <f>Migrationsartikel!H275</f>
        <v>0</v>
      </c>
      <c r="V277" s="31">
        <f>Migrationsartikel!L275</f>
        <v>0</v>
      </c>
      <c r="W277" s="31">
        <f>Migrationsartikel!P275</f>
        <v>0</v>
      </c>
      <c r="X277">
        <f>Migrationsartikel!I275</f>
        <v>0</v>
      </c>
      <c r="Y277">
        <f>Migrationsartikel!M275</f>
        <v>0</v>
      </c>
      <c r="Z277">
        <f>Migrationsartikel!Q275</f>
        <v>0</v>
      </c>
      <c r="AA277" s="45">
        <f>Migrationsartikel!R275</f>
        <v>0</v>
      </c>
      <c r="AB277" s="46">
        <f>Migrationsartikel!T275</f>
        <v>0</v>
      </c>
      <c r="AC277">
        <f>Migrationsartikel!S275</f>
        <v>0</v>
      </c>
      <c r="AD277">
        <f>Migrationsartikel!U275</f>
        <v>0</v>
      </c>
      <c r="AE277" s="31" t="s">
        <v>179</v>
      </c>
      <c r="AF277" s="31" t="s">
        <v>192</v>
      </c>
      <c r="AG277" t="b">
        <f>IF(Migrationsartikel!AB275="ja","true",FALSE)</f>
        <v>0</v>
      </c>
      <c r="AH277" t="b">
        <f>IF(Migrationsartikel!AC275="ja","true",FALSE)</f>
        <v>0</v>
      </c>
      <c r="AI277" t="b">
        <f>IF(Migrationsartikel!AD275="ja","true",FALSE)</f>
        <v>0</v>
      </c>
      <c r="AJ277" t="b">
        <f>IF(Migrationsartikel!AE275="ja","true",FALSE)</f>
        <v>0</v>
      </c>
      <c r="AK277" t="str">
        <f>IF(Migrationsartikel!AF275="ja","Denner Partner","")</f>
        <v/>
      </c>
      <c r="AL277" t="str">
        <f>IF(Migrationsartikel!AG275="ja","true","false")</f>
        <v>false</v>
      </c>
      <c r="AM277" t="str">
        <f t="shared" si="4"/>
        <v>PLU</v>
      </c>
      <c r="AN277" s="31" t="s">
        <v>219</v>
      </c>
      <c r="AO277" s="31" t="s">
        <v>217</v>
      </c>
    </row>
    <row r="278" spans="2:41" ht="21.75" customHeight="1" x14ac:dyDescent="0.45">
      <c r="B278" t="s">
        <v>99</v>
      </c>
      <c r="E278" s="31" t="s">
        <v>1688</v>
      </c>
      <c r="F278" t="str">
        <f>"Warengruppe&gt;&gt;"&amp;Migrationsartikel!V276&amp;"&gt;&gt;"&amp;Migrationsartikel!W276&amp;"&gt;&gt;"&amp;Migrationsartikel!X276</f>
        <v>Warengruppe&gt;&gt;&gt;&gt;&gt;&gt;</v>
      </c>
      <c r="H278" s="31" t="s">
        <v>109</v>
      </c>
      <c r="I278" s="31" t="s">
        <v>121</v>
      </c>
      <c r="J278" s="31">
        <f>Migrationsartikel!B276</f>
        <v>0</v>
      </c>
      <c r="L278" t="str">
        <f>Migrationsartikel!F276&amp;" "&amp;Migrationsartikel!G276&amp;" "&amp;Migrationsartikel!H276</f>
        <v xml:space="preserve">  </v>
      </c>
      <c r="M278" t="str">
        <f>Migrationsartikel!J276&amp;" "&amp;Migrationsartikel!K276&amp;" "&amp;Migrationsartikel!L276</f>
        <v xml:space="preserve">  </v>
      </c>
      <c r="N278" t="str">
        <f>Migrationsartikel!N276&amp;" "&amp;Migrationsartikel!O276&amp;" "&amp;Migrationsartikel!P276</f>
        <v xml:space="preserve">  </v>
      </c>
      <c r="O278">
        <f>Migrationsartikel!F276</f>
        <v>0</v>
      </c>
      <c r="P278">
        <f>Migrationsartikel!J276</f>
        <v>0</v>
      </c>
      <c r="Q278">
        <f>Migrationsartikel!N276</f>
        <v>0</v>
      </c>
      <c r="R278">
        <f>Migrationsartikel!G276</f>
        <v>0</v>
      </c>
      <c r="S278">
        <f>Migrationsartikel!K276</f>
        <v>0</v>
      </c>
      <c r="T278">
        <f>Migrationsartikel!O276</f>
        <v>0</v>
      </c>
      <c r="U278" s="31">
        <f>Migrationsartikel!H276</f>
        <v>0</v>
      </c>
      <c r="V278" s="31">
        <f>Migrationsartikel!L276</f>
        <v>0</v>
      </c>
      <c r="W278" s="31">
        <f>Migrationsartikel!P276</f>
        <v>0</v>
      </c>
      <c r="X278">
        <f>Migrationsartikel!I276</f>
        <v>0</v>
      </c>
      <c r="Y278">
        <f>Migrationsartikel!M276</f>
        <v>0</v>
      </c>
      <c r="Z278">
        <f>Migrationsartikel!Q276</f>
        <v>0</v>
      </c>
      <c r="AA278" s="45">
        <f>Migrationsartikel!R276</f>
        <v>0</v>
      </c>
      <c r="AB278" s="46">
        <f>Migrationsartikel!T276</f>
        <v>0</v>
      </c>
      <c r="AC278">
        <f>Migrationsartikel!S276</f>
        <v>0</v>
      </c>
      <c r="AD278">
        <f>Migrationsartikel!U276</f>
        <v>0</v>
      </c>
      <c r="AE278" s="31" t="s">
        <v>179</v>
      </c>
      <c r="AF278" s="31" t="s">
        <v>192</v>
      </c>
      <c r="AG278" t="b">
        <f>IF(Migrationsartikel!AB276="ja","true",FALSE)</f>
        <v>0</v>
      </c>
      <c r="AH278" t="b">
        <f>IF(Migrationsartikel!AC276="ja","true",FALSE)</f>
        <v>0</v>
      </c>
      <c r="AI278" t="b">
        <f>IF(Migrationsartikel!AD276="ja","true",FALSE)</f>
        <v>0</v>
      </c>
      <c r="AJ278" t="b">
        <f>IF(Migrationsartikel!AE276="ja","true",FALSE)</f>
        <v>0</v>
      </c>
      <c r="AK278" t="str">
        <f>IF(Migrationsartikel!AF276="ja","Denner Partner","")</f>
        <v/>
      </c>
      <c r="AL278" t="str">
        <f>IF(Migrationsartikel!AG276="ja","true","false")</f>
        <v>false</v>
      </c>
      <c r="AM278" t="str">
        <f t="shared" si="4"/>
        <v>PLU</v>
      </c>
      <c r="AN278" s="31" t="s">
        <v>219</v>
      </c>
      <c r="AO278" s="31" t="s">
        <v>217</v>
      </c>
    </row>
    <row r="279" spans="2:41" ht="21.75" customHeight="1" x14ac:dyDescent="0.45">
      <c r="B279" t="s">
        <v>99</v>
      </c>
      <c r="E279" s="31" t="s">
        <v>1689</v>
      </c>
      <c r="F279" t="str">
        <f>"Warengruppe&gt;&gt;"&amp;Migrationsartikel!V277&amp;"&gt;&gt;"&amp;Migrationsartikel!W277&amp;"&gt;&gt;"&amp;Migrationsartikel!X277</f>
        <v>Warengruppe&gt;&gt;&gt;&gt;&gt;&gt;</v>
      </c>
      <c r="H279" s="31" t="s">
        <v>109</v>
      </c>
      <c r="I279" s="31" t="s">
        <v>121</v>
      </c>
      <c r="J279" s="31">
        <f>Migrationsartikel!B277</f>
        <v>0</v>
      </c>
      <c r="L279" t="str">
        <f>Migrationsartikel!F277&amp;" "&amp;Migrationsartikel!G277&amp;" "&amp;Migrationsartikel!H277</f>
        <v xml:space="preserve">  </v>
      </c>
      <c r="M279" t="str">
        <f>Migrationsartikel!J277&amp;" "&amp;Migrationsartikel!K277&amp;" "&amp;Migrationsartikel!L277</f>
        <v xml:space="preserve">  </v>
      </c>
      <c r="N279" t="str">
        <f>Migrationsartikel!N277&amp;" "&amp;Migrationsartikel!O277&amp;" "&amp;Migrationsartikel!P277</f>
        <v xml:space="preserve">  </v>
      </c>
      <c r="O279">
        <f>Migrationsartikel!F277</f>
        <v>0</v>
      </c>
      <c r="P279">
        <f>Migrationsartikel!J277</f>
        <v>0</v>
      </c>
      <c r="Q279">
        <f>Migrationsartikel!N277</f>
        <v>0</v>
      </c>
      <c r="R279">
        <f>Migrationsartikel!G277</f>
        <v>0</v>
      </c>
      <c r="S279">
        <f>Migrationsartikel!K277</f>
        <v>0</v>
      </c>
      <c r="T279">
        <f>Migrationsartikel!O277</f>
        <v>0</v>
      </c>
      <c r="U279" s="31">
        <f>Migrationsartikel!H277</f>
        <v>0</v>
      </c>
      <c r="V279" s="31">
        <f>Migrationsartikel!L277</f>
        <v>0</v>
      </c>
      <c r="W279" s="31">
        <f>Migrationsartikel!P277</f>
        <v>0</v>
      </c>
      <c r="X279">
        <f>Migrationsartikel!I277</f>
        <v>0</v>
      </c>
      <c r="Y279">
        <f>Migrationsartikel!M277</f>
        <v>0</v>
      </c>
      <c r="Z279">
        <f>Migrationsartikel!Q277</f>
        <v>0</v>
      </c>
      <c r="AA279" s="45">
        <f>Migrationsartikel!R277</f>
        <v>0</v>
      </c>
      <c r="AB279" s="46">
        <f>Migrationsartikel!T277</f>
        <v>0</v>
      </c>
      <c r="AC279">
        <f>Migrationsartikel!S277</f>
        <v>0</v>
      </c>
      <c r="AD279">
        <f>Migrationsartikel!U277</f>
        <v>0</v>
      </c>
      <c r="AE279" s="31" t="s">
        <v>179</v>
      </c>
      <c r="AF279" s="31" t="s">
        <v>192</v>
      </c>
      <c r="AG279" t="b">
        <f>IF(Migrationsartikel!AB277="ja","true",FALSE)</f>
        <v>0</v>
      </c>
      <c r="AH279" t="b">
        <f>IF(Migrationsartikel!AC277="ja","true",FALSE)</f>
        <v>0</v>
      </c>
      <c r="AI279" t="b">
        <f>IF(Migrationsartikel!AD277="ja","true",FALSE)</f>
        <v>0</v>
      </c>
      <c r="AJ279" t="b">
        <f>IF(Migrationsartikel!AE277="ja","true",FALSE)</f>
        <v>0</v>
      </c>
      <c r="AK279" t="str">
        <f>IF(Migrationsartikel!AF277="ja","Denner Partner","")</f>
        <v/>
      </c>
      <c r="AL279" t="str">
        <f>IF(Migrationsartikel!AG277="ja","true","false")</f>
        <v>false</v>
      </c>
      <c r="AM279" t="str">
        <f t="shared" si="4"/>
        <v>PLU</v>
      </c>
      <c r="AN279" s="31" t="s">
        <v>219</v>
      </c>
      <c r="AO279" s="31" t="s">
        <v>217</v>
      </c>
    </row>
    <row r="280" spans="2:41" ht="21.75" customHeight="1" x14ac:dyDescent="0.45">
      <c r="B280" t="s">
        <v>99</v>
      </c>
      <c r="E280" s="31" t="s">
        <v>1690</v>
      </c>
      <c r="F280" t="str">
        <f>"Warengruppe&gt;&gt;"&amp;Migrationsartikel!V278&amp;"&gt;&gt;"&amp;Migrationsartikel!W278&amp;"&gt;&gt;"&amp;Migrationsartikel!X278</f>
        <v>Warengruppe&gt;&gt;&gt;&gt;&gt;&gt;</v>
      </c>
      <c r="H280" s="31" t="s">
        <v>109</v>
      </c>
      <c r="I280" s="31" t="s">
        <v>121</v>
      </c>
      <c r="J280" s="31">
        <f>Migrationsartikel!B278</f>
        <v>0</v>
      </c>
      <c r="L280" t="str">
        <f>Migrationsartikel!F278&amp;" "&amp;Migrationsartikel!G278&amp;" "&amp;Migrationsartikel!H278</f>
        <v xml:space="preserve">  </v>
      </c>
      <c r="M280" t="str">
        <f>Migrationsartikel!J278&amp;" "&amp;Migrationsartikel!K278&amp;" "&amp;Migrationsartikel!L278</f>
        <v xml:space="preserve">  </v>
      </c>
      <c r="N280" t="str">
        <f>Migrationsartikel!N278&amp;" "&amp;Migrationsartikel!O278&amp;" "&amp;Migrationsartikel!P278</f>
        <v xml:space="preserve">  </v>
      </c>
      <c r="O280">
        <f>Migrationsartikel!F278</f>
        <v>0</v>
      </c>
      <c r="P280">
        <f>Migrationsartikel!J278</f>
        <v>0</v>
      </c>
      <c r="Q280">
        <f>Migrationsartikel!N278</f>
        <v>0</v>
      </c>
      <c r="R280">
        <f>Migrationsartikel!G278</f>
        <v>0</v>
      </c>
      <c r="S280">
        <f>Migrationsartikel!K278</f>
        <v>0</v>
      </c>
      <c r="T280">
        <f>Migrationsartikel!O278</f>
        <v>0</v>
      </c>
      <c r="U280" s="31">
        <f>Migrationsartikel!H278</f>
        <v>0</v>
      </c>
      <c r="V280" s="31">
        <f>Migrationsartikel!L278</f>
        <v>0</v>
      </c>
      <c r="W280" s="31">
        <f>Migrationsartikel!P278</f>
        <v>0</v>
      </c>
      <c r="X280">
        <f>Migrationsartikel!I278</f>
        <v>0</v>
      </c>
      <c r="Y280">
        <f>Migrationsartikel!M278</f>
        <v>0</v>
      </c>
      <c r="Z280">
        <f>Migrationsartikel!Q278</f>
        <v>0</v>
      </c>
      <c r="AA280" s="45">
        <f>Migrationsartikel!R278</f>
        <v>0</v>
      </c>
      <c r="AB280" s="46">
        <f>Migrationsartikel!T278</f>
        <v>0</v>
      </c>
      <c r="AC280">
        <f>Migrationsartikel!S278</f>
        <v>0</v>
      </c>
      <c r="AD280">
        <f>Migrationsartikel!U278</f>
        <v>0</v>
      </c>
      <c r="AE280" s="31" t="s">
        <v>179</v>
      </c>
      <c r="AF280" s="31" t="s">
        <v>192</v>
      </c>
      <c r="AG280" t="b">
        <f>IF(Migrationsartikel!AB278="ja","true",FALSE)</f>
        <v>0</v>
      </c>
      <c r="AH280" t="b">
        <f>IF(Migrationsartikel!AC278="ja","true",FALSE)</f>
        <v>0</v>
      </c>
      <c r="AI280" t="b">
        <f>IF(Migrationsartikel!AD278="ja","true",FALSE)</f>
        <v>0</v>
      </c>
      <c r="AJ280" t="b">
        <f>IF(Migrationsartikel!AE278="ja","true",FALSE)</f>
        <v>0</v>
      </c>
      <c r="AK280" t="str">
        <f>IF(Migrationsartikel!AF278="ja","Denner Partner","")</f>
        <v/>
      </c>
      <c r="AL280" t="str">
        <f>IF(Migrationsartikel!AG278="ja","true","false")</f>
        <v>false</v>
      </c>
      <c r="AM280" t="str">
        <f t="shared" si="4"/>
        <v>PLU</v>
      </c>
      <c r="AN280" s="31" t="s">
        <v>219</v>
      </c>
      <c r="AO280" s="31" t="s">
        <v>217</v>
      </c>
    </row>
    <row r="281" spans="2:41" ht="21.75" customHeight="1" x14ac:dyDescent="0.45">
      <c r="B281" t="s">
        <v>99</v>
      </c>
      <c r="E281" s="31" t="s">
        <v>1691</v>
      </c>
      <c r="F281" t="str">
        <f>"Warengruppe&gt;&gt;"&amp;Migrationsartikel!V279&amp;"&gt;&gt;"&amp;Migrationsartikel!W279&amp;"&gt;&gt;"&amp;Migrationsartikel!X279</f>
        <v>Warengruppe&gt;&gt;&gt;&gt;&gt;&gt;</v>
      </c>
      <c r="H281" s="31" t="s">
        <v>109</v>
      </c>
      <c r="I281" s="31" t="s">
        <v>121</v>
      </c>
      <c r="J281" s="31">
        <f>Migrationsartikel!B279</f>
        <v>0</v>
      </c>
      <c r="L281" t="str">
        <f>Migrationsartikel!F279&amp;" "&amp;Migrationsartikel!G279&amp;" "&amp;Migrationsartikel!H279</f>
        <v xml:space="preserve">  </v>
      </c>
      <c r="M281" t="str">
        <f>Migrationsartikel!J279&amp;" "&amp;Migrationsartikel!K279&amp;" "&amp;Migrationsartikel!L279</f>
        <v xml:space="preserve">  </v>
      </c>
      <c r="N281" t="str">
        <f>Migrationsartikel!N279&amp;" "&amp;Migrationsartikel!O279&amp;" "&amp;Migrationsartikel!P279</f>
        <v xml:space="preserve">  </v>
      </c>
      <c r="O281">
        <f>Migrationsartikel!F279</f>
        <v>0</v>
      </c>
      <c r="P281">
        <f>Migrationsartikel!J279</f>
        <v>0</v>
      </c>
      <c r="Q281">
        <f>Migrationsartikel!N279</f>
        <v>0</v>
      </c>
      <c r="R281">
        <f>Migrationsartikel!G279</f>
        <v>0</v>
      </c>
      <c r="S281">
        <f>Migrationsartikel!K279</f>
        <v>0</v>
      </c>
      <c r="T281">
        <f>Migrationsartikel!O279</f>
        <v>0</v>
      </c>
      <c r="U281" s="31">
        <f>Migrationsartikel!H279</f>
        <v>0</v>
      </c>
      <c r="V281" s="31">
        <f>Migrationsartikel!L279</f>
        <v>0</v>
      </c>
      <c r="W281" s="31">
        <f>Migrationsartikel!P279</f>
        <v>0</v>
      </c>
      <c r="X281">
        <f>Migrationsartikel!I279</f>
        <v>0</v>
      </c>
      <c r="Y281">
        <f>Migrationsartikel!M279</f>
        <v>0</v>
      </c>
      <c r="Z281">
        <f>Migrationsartikel!Q279</f>
        <v>0</v>
      </c>
      <c r="AA281" s="45">
        <f>Migrationsartikel!R279</f>
        <v>0</v>
      </c>
      <c r="AB281" s="46">
        <f>Migrationsartikel!T279</f>
        <v>0</v>
      </c>
      <c r="AC281">
        <f>Migrationsartikel!S279</f>
        <v>0</v>
      </c>
      <c r="AD281">
        <f>Migrationsartikel!U279</f>
        <v>0</v>
      </c>
      <c r="AE281" s="31" t="s">
        <v>179</v>
      </c>
      <c r="AF281" s="31" t="s">
        <v>192</v>
      </c>
      <c r="AG281" t="b">
        <f>IF(Migrationsartikel!AB279="ja","true",FALSE)</f>
        <v>0</v>
      </c>
      <c r="AH281" t="b">
        <f>IF(Migrationsartikel!AC279="ja","true",FALSE)</f>
        <v>0</v>
      </c>
      <c r="AI281" t="b">
        <f>IF(Migrationsartikel!AD279="ja","true",FALSE)</f>
        <v>0</v>
      </c>
      <c r="AJ281" t="b">
        <f>IF(Migrationsartikel!AE279="ja","true",FALSE)</f>
        <v>0</v>
      </c>
      <c r="AK281" t="str">
        <f>IF(Migrationsartikel!AF279="ja","Denner Partner","")</f>
        <v/>
      </c>
      <c r="AL281" t="str">
        <f>IF(Migrationsartikel!AG279="ja","true","false")</f>
        <v>false</v>
      </c>
      <c r="AM281" t="str">
        <f t="shared" si="4"/>
        <v>PLU</v>
      </c>
      <c r="AN281" s="31" t="s">
        <v>219</v>
      </c>
      <c r="AO281" s="31" t="s">
        <v>217</v>
      </c>
    </row>
    <row r="282" spans="2:41" ht="21.75" customHeight="1" x14ac:dyDescent="0.45">
      <c r="B282" t="s">
        <v>99</v>
      </c>
      <c r="E282" s="31" t="s">
        <v>1692</v>
      </c>
      <c r="F282" t="str">
        <f>"Warengruppe&gt;&gt;"&amp;Migrationsartikel!V280&amp;"&gt;&gt;"&amp;Migrationsartikel!W280&amp;"&gt;&gt;"&amp;Migrationsartikel!X280</f>
        <v>Warengruppe&gt;&gt;&gt;&gt;&gt;&gt;</v>
      </c>
      <c r="H282" s="31" t="s">
        <v>109</v>
      </c>
      <c r="I282" s="31" t="s">
        <v>121</v>
      </c>
      <c r="J282" s="31">
        <f>Migrationsartikel!B280</f>
        <v>0</v>
      </c>
      <c r="L282" t="str">
        <f>Migrationsartikel!F280&amp;" "&amp;Migrationsartikel!G280&amp;" "&amp;Migrationsartikel!H280</f>
        <v xml:space="preserve">  </v>
      </c>
      <c r="M282" t="str">
        <f>Migrationsartikel!J280&amp;" "&amp;Migrationsartikel!K280&amp;" "&amp;Migrationsartikel!L280</f>
        <v xml:space="preserve">  </v>
      </c>
      <c r="N282" t="str">
        <f>Migrationsartikel!N280&amp;" "&amp;Migrationsartikel!O280&amp;" "&amp;Migrationsartikel!P280</f>
        <v xml:space="preserve">  </v>
      </c>
      <c r="O282">
        <f>Migrationsartikel!F280</f>
        <v>0</v>
      </c>
      <c r="P282">
        <f>Migrationsartikel!J280</f>
        <v>0</v>
      </c>
      <c r="Q282">
        <f>Migrationsartikel!N280</f>
        <v>0</v>
      </c>
      <c r="R282">
        <f>Migrationsartikel!G280</f>
        <v>0</v>
      </c>
      <c r="S282">
        <f>Migrationsartikel!K280</f>
        <v>0</v>
      </c>
      <c r="T282">
        <f>Migrationsartikel!O280</f>
        <v>0</v>
      </c>
      <c r="U282" s="31">
        <f>Migrationsartikel!H280</f>
        <v>0</v>
      </c>
      <c r="V282" s="31">
        <f>Migrationsartikel!L280</f>
        <v>0</v>
      </c>
      <c r="W282" s="31">
        <f>Migrationsartikel!P280</f>
        <v>0</v>
      </c>
      <c r="X282">
        <f>Migrationsartikel!I280</f>
        <v>0</v>
      </c>
      <c r="Y282">
        <f>Migrationsartikel!M280</f>
        <v>0</v>
      </c>
      <c r="Z282">
        <f>Migrationsartikel!Q280</f>
        <v>0</v>
      </c>
      <c r="AA282" s="45">
        <f>Migrationsartikel!R280</f>
        <v>0</v>
      </c>
      <c r="AB282" s="46">
        <f>Migrationsartikel!T280</f>
        <v>0</v>
      </c>
      <c r="AC282">
        <f>Migrationsartikel!S280</f>
        <v>0</v>
      </c>
      <c r="AD282">
        <f>Migrationsartikel!U280</f>
        <v>0</v>
      </c>
      <c r="AE282" s="31" t="s">
        <v>179</v>
      </c>
      <c r="AF282" s="31" t="s">
        <v>192</v>
      </c>
      <c r="AG282" t="b">
        <f>IF(Migrationsartikel!AB280="ja","true",FALSE)</f>
        <v>0</v>
      </c>
      <c r="AH282" t="b">
        <f>IF(Migrationsartikel!AC280="ja","true",FALSE)</f>
        <v>0</v>
      </c>
      <c r="AI282" t="b">
        <f>IF(Migrationsartikel!AD280="ja","true",FALSE)</f>
        <v>0</v>
      </c>
      <c r="AJ282" t="b">
        <f>IF(Migrationsartikel!AE280="ja","true",FALSE)</f>
        <v>0</v>
      </c>
      <c r="AK282" t="str">
        <f>IF(Migrationsartikel!AF280="ja","Denner Partner","")</f>
        <v/>
      </c>
      <c r="AL282" t="str">
        <f>IF(Migrationsartikel!AG280="ja","true","false")</f>
        <v>false</v>
      </c>
      <c r="AM282" t="str">
        <f t="shared" si="4"/>
        <v>PLU</v>
      </c>
      <c r="AN282" s="31" t="s">
        <v>219</v>
      </c>
      <c r="AO282" s="31" t="s">
        <v>217</v>
      </c>
    </row>
    <row r="283" spans="2:41" ht="21.75" customHeight="1" x14ac:dyDescent="0.45">
      <c r="B283" t="s">
        <v>99</v>
      </c>
      <c r="E283" s="31" t="s">
        <v>1693</v>
      </c>
      <c r="F283" t="str">
        <f>"Warengruppe&gt;&gt;"&amp;Migrationsartikel!V281&amp;"&gt;&gt;"&amp;Migrationsartikel!W281&amp;"&gt;&gt;"&amp;Migrationsartikel!X281</f>
        <v>Warengruppe&gt;&gt;&gt;&gt;&gt;&gt;</v>
      </c>
      <c r="H283" s="31" t="s">
        <v>109</v>
      </c>
      <c r="I283" s="31" t="s">
        <v>121</v>
      </c>
      <c r="J283" s="31">
        <f>Migrationsartikel!B281</f>
        <v>0</v>
      </c>
      <c r="L283" t="str">
        <f>Migrationsartikel!F281&amp;" "&amp;Migrationsartikel!G281&amp;" "&amp;Migrationsartikel!H281</f>
        <v xml:space="preserve">  </v>
      </c>
      <c r="M283" t="str">
        <f>Migrationsartikel!J281&amp;" "&amp;Migrationsartikel!K281&amp;" "&amp;Migrationsartikel!L281</f>
        <v xml:space="preserve">  </v>
      </c>
      <c r="N283" t="str">
        <f>Migrationsartikel!N281&amp;" "&amp;Migrationsartikel!O281&amp;" "&amp;Migrationsartikel!P281</f>
        <v xml:space="preserve">  </v>
      </c>
      <c r="O283">
        <f>Migrationsartikel!F281</f>
        <v>0</v>
      </c>
      <c r="P283">
        <f>Migrationsartikel!J281</f>
        <v>0</v>
      </c>
      <c r="Q283">
        <f>Migrationsartikel!N281</f>
        <v>0</v>
      </c>
      <c r="R283">
        <f>Migrationsartikel!G281</f>
        <v>0</v>
      </c>
      <c r="S283">
        <f>Migrationsartikel!K281</f>
        <v>0</v>
      </c>
      <c r="T283">
        <f>Migrationsartikel!O281</f>
        <v>0</v>
      </c>
      <c r="U283" s="31">
        <f>Migrationsartikel!H281</f>
        <v>0</v>
      </c>
      <c r="V283" s="31">
        <f>Migrationsartikel!L281</f>
        <v>0</v>
      </c>
      <c r="W283" s="31">
        <f>Migrationsartikel!P281</f>
        <v>0</v>
      </c>
      <c r="X283">
        <f>Migrationsartikel!I281</f>
        <v>0</v>
      </c>
      <c r="Y283">
        <f>Migrationsartikel!M281</f>
        <v>0</v>
      </c>
      <c r="Z283">
        <f>Migrationsartikel!Q281</f>
        <v>0</v>
      </c>
      <c r="AA283" s="45">
        <f>Migrationsartikel!R281</f>
        <v>0</v>
      </c>
      <c r="AB283" s="46">
        <f>Migrationsartikel!T281</f>
        <v>0</v>
      </c>
      <c r="AC283">
        <f>Migrationsartikel!S281</f>
        <v>0</v>
      </c>
      <c r="AD283">
        <f>Migrationsartikel!U281</f>
        <v>0</v>
      </c>
      <c r="AE283" s="31" t="s">
        <v>179</v>
      </c>
      <c r="AF283" s="31" t="s">
        <v>192</v>
      </c>
      <c r="AG283" t="b">
        <f>IF(Migrationsartikel!AB281="ja","true",FALSE)</f>
        <v>0</v>
      </c>
      <c r="AH283" t="b">
        <f>IF(Migrationsartikel!AC281="ja","true",FALSE)</f>
        <v>0</v>
      </c>
      <c r="AI283" t="b">
        <f>IF(Migrationsartikel!AD281="ja","true",FALSE)</f>
        <v>0</v>
      </c>
      <c r="AJ283" t="b">
        <f>IF(Migrationsartikel!AE281="ja","true",FALSE)</f>
        <v>0</v>
      </c>
      <c r="AK283" t="str">
        <f>IF(Migrationsartikel!AF281="ja","Denner Partner","")</f>
        <v/>
      </c>
      <c r="AL283" t="str">
        <f>IF(Migrationsartikel!AG281="ja","true","false")</f>
        <v>false</v>
      </c>
      <c r="AM283" t="str">
        <f t="shared" si="4"/>
        <v>PLU</v>
      </c>
      <c r="AN283" s="31" t="s">
        <v>219</v>
      </c>
      <c r="AO283" s="31" t="s">
        <v>217</v>
      </c>
    </row>
    <row r="284" spans="2:41" ht="21.75" customHeight="1" x14ac:dyDescent="0.45">
      <c r="B284" t="s">
        <v>99</v>
      </c>
      <c r="E284" s="31" t="s">
        <v>1694</v>
      </c>
      <c r="F284" t="str">
        <f>"Warengruppe&gt;&gt;"&amp;Migrationsartikel!V282&amp;"&gt;&gt;"&amp;Migrationsartikel!W282&amp;"&gt;&gt;"&amp;Migrationsartikel!X282</f>
        <v>Warengruppe&gt;&gt;&gt;&gt;&gt;&gt;</v>
      </c>
      <c r="H284" s="31" t="s">
        <v>109</v>
      </c>
      <c r="I284" s="31" t="s">
        <v>121</v>
      </c>
      <c r="J284" s="31">
        <f>Migrationsartikel!B282</f>
        <v>0</v>
      </c>
      <c r="L284" t="str">
        <f>Migrationsartikel!F282&amp;" "&amp;Migrationsartikel!G282&amp;" "&amp;Migrationsartikel!H282</f>
        <v xml:space="preserve">  </v>
      </c>
      <c r="M284" t="str">
        <f>Migrationsartikel!J282&amp;" "&amp;Migrationsartikel!K282&amp;" "&amp;Migrationsartikel!L282</f>
        <v xml:space="preserve">  </v>
      </c>
      <c r="N284" t="str">
        <f>Migrationsartikel!N282&amp;" "&amp;Migrationsartikel!O282&amp;" "&amp;Migrationsartikel!P282</f>
        <v xml:space="preserve">  </v>
      </c>
      <c r="O284">
        <f>Migrationsartikel!F282</f>
        <v>0</v>
      </c>
      <c r="P284">
        <f>Migrationsartikel!J282</f>
        <v>0</v>
      </c>
      <c r="Q284">
        <f>Migrationsartikel!N282</f>
        <v>0</v>
      </c>
      <c r="R284">
        <f>Migrationsartikel!G282</f>
        <v>0</v>
      </c>
      <c r="S284">
        <f>Migrationsartikel!K282</f>
        <v>0</v>
      </c>
      <c r="T284">
        <f>Migrationsartikel!O282</f>
        <v>0</v>
      </c>
      <c r="U284" s="31">
        <f>Migrationsartikel!H282</f>
        <v>0</v>
      </c>
      <c r="V284" s="31">
        <f>Migrationsartikel!L282</f>
        <v>0</v>
      </c>
      <c r="W284" s="31">
        <f>Migrationsartikel!P282</f>
        <v>0</v>
      </c>
      <c r="X284">
        <f>Migrationsartikel!I282</f>
        <v>0</v>
      </c>
      <c r="Y284">
        <f>Migrationsartikel!M282</f>
        <v>0</v>
      </c>
      <c r="Z284">
        <f>Migrationsartikel!Q282</f>
        <v>0</v>
      </c>
      <c r="AA284" s="45">
        <f>Migrationsartikel!R282</f>
        <v>0</v>
      </c>
      <c r="AB284" s="46">
        <f>Migrationsartikel!T282</f>
        <v>0</v>
      </c>
      <c r="AC284">
        <f>Migrationsartikel!S282</f>
        <v>0</v>
      </c>
      <c r="AD284">
        <f>Migrationsartikel!U282</f>
        <v>0</v>
      </c>
      <c r="AE284" s="31" t="s">
        <v>179</v>
      </c>
      <c r="AF284" s="31" t="s">
        <v>192</v>
      </c>
      <c r="AG284" t="b">
        <f>IF(Migrationsartikel!AB282="ja","true",FALSE)</f>
        <v>0</v>
      </c>
      <c r="AH284" t="b">
        <f>IF(Migrationsartikel!AC282="ja","true",FALSE)</f>
        <v>0</v>
      </c>
      <c r="AI284" t="b">
        <f>IF(Migrationsartikel!AD282="ja","true",FALSE)</f>
        <v>0</v>
      </c>
      <c r="AJ284" t="b">
        <f>IF(Migrationsartikel!AE282="ja","true",FALSE)</f>
        <v>0</v>
      </c>
      <c r="AK284" t="str">
        <f>IF(Migrationsartikel!AF282="ja","Denner Partner","")</f>
        <v/>
      </c>
      <c r="AL284" t="str">
        <f>IF(Migrationsartikel!AG282="ja","true","false")</f>
        <v>false</v>
      </c>
      <c r="AM284" t="str">
        <f t="shared" si="4"/>
        <v>PLU</v>
      </c>
      <c r="AN284" s="31" t="s">
        <v>219</v>
      </c>
      <c r="AO284" s="31" t="s">
        <v>217</v>
      </c>
    </row>
    <row r="285" spans="2:41" ht="21.75" customHeight="1" x14ac:dyDescent="0.45">
      <c r="B285" t="s">
        <v>99</v>
      </c>
      <c r="E285" s="31" t="s">
        <v>1695</v>
      </c>
      <c r="F285" t="str">
        <f>"Warengruppe&gt;&gt;"&amp;Migrationsartikel!V283&amp;"&gt;&gt;"&amp;Migrationsartikel!W283&amp;"&gt;&gt;"&amp;Migrationsartikel!X283</f>
        <v>Warengruppe&gt;&gt;&gt;&gt;&gt;&gt;</v>
      </c>
      <c r="H285" s="31" t="s">
        <v>109</v>
      </c>
      <c r="I285" s="31" t="s">
        <v>121</v>
      </c>
      <c r="J285" s="31">
        <f>Migrationsartikel!B283</f>
        <v>0</v>
      </c>
      <c r="L285" t="str">
        <f>Migrationsartikel!F283&amp;" "&amp;Migrationsartikel!G283&amp;" "&amp;Migrationsartikel!H283</f>
        <v xml:space="preserve">  </v>
      </c>
      <c r="M285" t="str">
        <f>Migrationsartikel!J283&amp;" "&amp;Migrationsartikel!K283&amp;" "&amp;Migrationsartikel!L283</f>
        <v xml:space="preserve">  </v>
      </c>
      <c r="N285" t="str">
        <f>Migrationsartikel!N283&amp;" "&amp;Migrationsartikel!O283&amp;" "&amp;Migrationsartikel!P283</f>
        <v xml:space="preserve">  </v>
      </c>
      <c r="O285">
        <f>Migrationsartikel!F283</f>
        <v>0</v>
      </c>
      <c r="P285">
        <f>Migrationsartikel!J283</f>
        <v>0</v>
      </c>
      <c r="Q285">
        <f>Migrationsartikel!N283</f>
        <v>0</v>
      </c>
      <c r="R285">
        <f>Migrationsartikel!G283</f>
        <v>0</v>
      </c>
      <c r="S285">
        <f>Migrationsartikel!K283</f>
        <v>0</v>
      </c>
      <c r="T285">
        <f>Migrationsartikel!O283</f>
        <v>0</v>
      </c>
      <c r="U285" s="31">
        <f>Migrationsartikel!H283</f>
        <v>0</v>
      </c>
      <c r="V285" s="31">
        <f>Migrationsartikel!L283</f>
        <v>0</v>
      </c>
      <c r="W285" s="31">
        <f>Migrationsartikel!P283</f>
        <v>0</v>
      </c>
      <c r="X285">
        <f>Migrationsartikel!I283</f>
        <v>0</v>
      </c>
      <c r="Y285">
        <f>Migrationsartikel!M283</f>
        <v>0</v>
      </c>
      <c r="Z285">
        <f>Migrationsartikel!Q283</f>
        <v>0</v>
      </c>
      <c r="AA285" s="45">
        <f>Migrationsartikel!R283</f>
        <v>0</v>
      </c>
      <c r="AB285" s="46">
        <f>Migrationsartikel!T283</f>
        <v>0</v>
      </c>
      <c r="AC285">
        <f>Migrationsartikel!S283</f>
        <v>0</v>
      </c>
      <c r="AD285">
        <f>Migrationsartikel!U283</f>
        <v>0</v>
      </c>
      <c r="AE285" s="31" t="s">
        <v>179</v>
      </c>
      <c r="AF285" s="31" t="s">
        <v>192</v>
      </c>
      <c r="AG285" t="b">
        <f>IF(Migrationsartikel!AB283="ja","true",FALSE)</f>
        <v>0</v>
      </c>
      <c r="AH285" t="b">
        <f>IF(Migrationsartikel!AC283="ja","true",FALSE)</f>
        <v>0</v>
      </c>
      <c r="AI285" t="b">
        <f>IF(Migrationsartikel!AD283="ja","true",FALSE)</f>
        <v>0</v>
      </c>
      <c r="AJ285" t="b">
        <f>IF(Migrationsartikel!AE283="ja","true",FALSE)</f>
        <v>0</v>
      </c>
      <c r="AK285" t="str">
        <f>IF(Migrationsartikel!AF283="ja","Denner Partner","")</f>
        <v/>
      </c>
      <c r="AL285" t="str">
        <f>IF(Migrationsartikel!AG283="ja","true","false")</f>
        <v>false</v>
      </c>
      <c r="AM285" t="str">
        <f t="shared" si="4"/>
        <v>PLU</v>
      </c>
      <c r="AN285" s="31" t="s">
        <v>219</v>
      </c>
      <c r="AO285" s="31" t="s">
        <v>217</v>
      </c>
    </row>
    <row r="286" spans="2:41" ht="21.75" customHeight="1" x14ac:dyDescent="0.45">
      <c r="B286" t="s">
        <v>99</v>
      </c>
      <c r="E286" s="31" t="s">
        <v>1696</v>
      </c>
      <c r="F286" t="str">
        <f>"Warengruppe&gt;&gt;"&amp;Migrationsartikel!V284&amp;"&gt;&gt;"&amp;Migrationsartikel!W284&amp;"&gt;&gt;"&amp;Migrationsartikel!X284</f>
        <v>Warengruppe&gt;&gt;&gt;&gt;&gt;&gt;</v>
      </c>
      <c r="H286" s="31" t="s">
        <v>109</v>
      </c>
      <c r="I286" s="31" t="s">
        <v>121</v>
      </c>
      <c r="J286" s="31">
        <f>Migrationsartikel!B284</f>
        <v>0</v>
      </c>
      <c r="L286" t="str">
        <f>Migrationsartikel!F284&amp;" "&amp;Migrationsartikel!G284&amp;" "&amp;Migrationsartikel!H284</f>
        <v xml:space="preserve">  </v>
      </c>
      <c r="M286" t="str">
        <f>Migrationsartikel!J284&amp;" "&amp;Migrationsartikel!K284&amp;" "&amp;Migrationsartikel!L284</f>
        <v xml:space="preserve">  </v>
      </c>
      <c r="N286" t="str">
        <f>Migrationsartikel!N284&amp;" "&amp;Migrationsartikel!O284&amp;" "&amp;Migrationsartikel!P284</f>
        <v xml:space="preserve">  </v>
      </c>
      <c r="O286">
        <f>Migrationsartikel!F284</f>
        <v>0</v>
      </c>
      <c r="P286">
        <f>Migrationsartikel!J284</f>
        <v>0</v>
      </c>
      <c r="Q286">
        <f>Migrationsartikel!N284</f>
        <v>0</v>
      </c>
      <c r="R286">
        <f>Migrationsartikel!G284</f>
        <v>0</v>
      </c>
      <c r="S286">
        <f>Migrationsartikel!K284</f>
        <v>0</v>
      </c>
      <c r="T286">
        <f>Migrationsartikel!O284</f>
        <v>0</v>
      </c>
      <c r="U286" s="31">
        <f>Migrationsartikel!H284</f>
        <v>0</v>
      </c>
      <c r="V286" s="31">
        <f>Migrationsartikel!L284</f>
        <v>0</v>
      </c>
      <c r="W286" s="31">
        <f>Migrationsartikel!P284</f>
        <v>0</v>
      </c>
      <c r="X286">
        <f>Migrationsartikel!I284</f>
        <v>0</v>
      </c>
      <c r="Y286">
        <f>Migrationsartikel!M284</f>
        <v>0</v>
      </c>
      <c r="Z286">
        <f>Migrationsartikel!Q284</f>
        <v>0</v>
      </c>
      <c r="AA286" s="45">
        <f>Migrationsartikel!R284</f>
        <v>0</v>
      </c>
      <c r="AB286" s="46">
        <f>Migrationsartikel!T284</f>
        <v>0</v>
      </c>
      <c r="AC286">
        <f>Migrationsartikel!S284</f>
        <v>0</v>
      </c>
      <c r="AD286">
        <f>Migrationsartikel!U284</f>
        <v>0</v>
      </c>
      <c r="AE286" s="31" t="s">
        <v>179</v>
      </c>
      <c r="AF286" s="31" t="s">
        <v>192</v>
      </c>
      <c r="AG286" t="b">
        <f>IF(Migrationsartikel!AB284="ja","true",FALSE)</f>
        <v>0</v>
      </c>
      <c r="AH286" t="b">
        <f>IF(Migrationsartikel!AC284="ja","true",FALSE)</f>
        <v>0</v>
      </c>
      <c r="AI286" t="b">
        <f>IF(Migrationsartikel!AD284="ja","true",FALSE)</f>
        <v>0</v>
      </c>
      <c r="AJ286" t="b">
        <f>IF(Migrationsartikel!AE284="ja","true",FALSE)</f>
        <v>0</v>
      </c>
      <c r="AK286" t="str">
        <f>IF(Migrationsartikel!AF284="ja","Denner Partner","")</f>
        <v/>
      </c>
      <c r="AL286" t="str">
        <f>IF(Migrationsartikel!AG284="ja","true","false")</f>
        <v>false</v>
      </c>
      <c r="AM286" t="str">
        <f t="shared" si="4"/>
        <v>PLU</v>
      </c>
      <c r="AN286" s="31" t="s">
        <v>219</v>
      </c>
      <c r="AO286" s="31" t="s">
        <v>217</v>
      </c>
    </row>
    <row r="287" spans="2:41" ht="21.75" customHeight="1" x14ac:dyDescent="0.45">
      <c r="B287" t="s">
        <v>99</v>
      </c>
      <c r="E287" s="31" t="s">
        <v>1697</v>
      </c>
      <c r="F287" t="str">
        <f>"Warengruppe&gt;&gt;"&amp;Migrationsartikel!V285&amp;"&gt;&gt;"&amp;Migrationsartikel!W285&amp;"&gt;&gt;"&amp;Migrationsartikel!X285</f>
        <v>Warengruppe&gt;&gt;&gt;&gt;&gt;&gt;</v>
      </c>
      <c r="H287" s="31" t="s">
        <v>109</v>
      </c>
      <c r="I287" s="31" t="s">
        <v>121</v>
      </c>
      <c r="J287" s="31">
        <f>Migrationsartikel!B285</f>
        <v>0</v>
      </c>
      <c r="L287" t="str">
        <f>Migrationsartikel!F285&amp;" "&amp;Migrationsartikel!G285&amp;" "&amp;Migrationsartikel!H285</f>
        <v xml:space="preserve">  </v>
      </c>
      <c r="M287" t="str">
        <f>Migrationsartikel!J285&amp;" "&amp;Migrationsartikel!K285&amp;" "&amp;Migrationsartikel!L285</f>
        <v xml:space="preserve">  </v>
      </c>
      <c r="N287" t="str">
        <f>Migrationsartikel!N285&amp;" "&amp;Migrationsartikel!O285&amp;" "&amp;Migrationsartikel!P285</f>
        <v xml:space="preserve">  </v>
      </c>
      <c r="O287">
        <f>Migrationsartikel!F285</f>
        <v>0</v>
      </c>
      <c r="P287">
        <f>Migrationsartikel!J285</f>
        <v>0</v>
      </c>
      <c r="Q287">
        <f>Migrationsartikel!N285</f>
        <v>0</v>
      </c>
      <c r="R287">
        <f>Migrationsartikel!G285</f>
        <v>0</v>
      </c>
      <c r="S287">
        <f>Migrationsartikel!K285</f>
        <v>0</v>
      </c>
      <c r="T287">
        <f>Migrationsartikel!O285</f>
        <v>0</v>
      </c>
      <c r="U287" s="31">
        <f>Migrationsartikel!H285</f>
        <v>0</v>
      </c>
      <c r="V287" s="31">
        <f>Migrationsartikel!L285</f>
        <v>0</v>
      </c>
      <c r="W287" s="31">
        <f>Migrationsartikel!P285</f>
        <v>0</v>
      </c>
      <c r="X287">
        <f>Migrationsartikel!I285</f>
        <v>0</v>
      </c>
      <c r="Y287">
        <f>Migrationsartikel!M285</f>
        <v>0</v>
      </c>
      <c r="Z287">
        <f>Migrationsartikel!Q285</f>
        <v>0</v>
      </c>
      <c r="AA287" s="45">
        <f>Migrationsartikel!R285</f>
        <v>0</v>
      </c>
      <c r="AB287" s="46">
        <f>Migrationsartikel!T285</f>
        <v>0</v>
      </c>
      <c r="AC287">
        <f>Migrationsartikel!S285</f>
        <v>0</v>
      </c>
      <c r="AD287">
        <f>Migrationsartikel!U285</f>
        <v>0</v>
      </c>
      <c r="AE287" s="31" t="s">
        <v>179</v>
      </c>
      <c r="AF287" s="31" t="s">
        <v>192</v>
      </c>
      <c r="AG287" t="b">
        <f>IF(Migrationsartikel!AB285="ja","true",FALSE)</f>
        <v>0</v>
      </c>
      <c r="AH287" t="b">
        <f>IF(Migrationsartikel!AC285="ja","true",FALSE)</f>
        <v>0</v>
      </c>
      <c r="AI287" t="b">
        <f>IF(Migrationsartikel!AD285="ja","true",FALSE)</f>
        <v>0</v>
      </c>
      <c r="AJ287" t="b">
        <f>IF(Migrationsartikel!AE285="ja","true",FALSE)</f>
        <v>0</v>
      </c>
      <c r="AK287" t="str">
        <f>IF(Migrationsartikel!AF285="ja","Denner Partner","")</f>
        <v/>
      </c>
      <c r="AL287" t="str">
        <f>IF(Migrationsartikel!AG285="ja","true","false")</f>
        <v>false</v>
      </c>
      <c r="AM287" t="str">
        <f t="shared" si="4"/>
        <v>PLU</v>
      </c>
      <c r="AN287" s="31" t="s">
        <v>219</v>
      </c>
      <c r="AO287" s="31" t="s">
        <v>217</v>
      </c>
    </row>
    <row r="288" spans="2:41" ht="21.75" customHeight="1" x14ac:dyDescent="0.45">
      <c r="B288" t="s">
        <v>99</v>
      </c>
      <c r="E288" s="31" t="s">
        <v>1698</v>
      </c>
      <c r="F288" t="str">
        <f>"Warengruppe&gt;&gt;"&amp;Migrationsartikel!V286&amp;"&gt;&gt;"&amp;Migrationsartikel!W286&amp;"&gt;&gt;"&amp;Migrationsartikel!X286</f>
        <v>Warengruppe&gt;&gt;&gt;&gt;&gt;&gt;</v>
      </c>
      <c r="H288" s="31" t="s">
        <v>109</v>
      </c>
      <c r="I288" s="31" t="s">
        <v>121</v>
      </c>
      <c r="J288" s="31">
        <f>Migrationsartikel!B286</f>
        <v>0</v>
      </c>
      <c r="L288" t="str">
        <f>Migrationsartikel!F286&amp;" "&amp;Migrationsartikel!G286&amp;" "&amp;Migrationsartikel!H286</f>
        <v xml:space="preserve">  </v>
      </c>
      <c r="M288" t="str">
        <f>Migrationsartikel!J286&amp;" "&amp;Migrationsartikel!K286&amp;" "&amp;Migrationsartikel!L286</f>
        <v xml:space="preserve">  </v>
      </c>
      <c r="N288" t="str">
        <f>Migrationsartikel!N286&amp;" "&amp;Migrationsartikel!O286&amp;" "&amp;Migrationsartikel!P286</f>
        <v xml:space="preserve">  </v>
      </c>
      <c r="O288">
        <f>Migrationsartikel!F286</f>
        <v>0</v>
      </c>
      <c r="P288">
        <f>Migrationsartikel!J286</f>
        <v>0</v>
      </c>
      <c r="Q288">
        <f>Migrationsartikel!N286</f>
        <v>0</v>
      </c>
      <c r="R288">
        <f>Migrationsartikel!G286</f>
        <v>0</v>
      </c>
      <c r="S288">
        <f>Migrationsartikel!K286</f>
        <v>0</v>
      </c>
      <c r="T288">
        <f>Migrationsartikel!O286</f>
        <v>0</v>
      </c>
      <c r="U288" s="31">
        <f>Migrationsartikel!H286</f>
        <v>0</v>
      </c>
      <c r="V288" s="31">
        <f>Migrationsartikel!L286</f>
        <v>0</v>
      </c>
      <c r="W288" s="31">
        <f>Migrationsartikel!P286</f>
        <v>0</v>
      </c>
      <c r="X288">
        <f>Migrationsartikel!I286</f>
        <v>0</v>
      </c>
      <c r="Y288">
        <f>Migrationsartikel!M286</f>
        <v>0</v>
      </c>
      <c r="Z288">
        <f>Migrationsartikel!Q286</f>
        <v>0</v>
      </c>
      <c r="AA288" s="45">
        <f>Migrationsartikel!R286</f>
        <v>0</v>
      </c>
      <c r="AB288" s="46">
        <f>Migrationsartikel!T286</f>
        <v>0</v>
      </c>
      <c r="AC288">
        <f>Migrationsartikel!S286</f>
        <v>0</v>
      </c>
      <c r="AD288">
        <f>Migrationsartikel!U286</f>
        <v>0</v>
      </c>
      <c r="AE288" s="31" t="s">
        <v>179</v>
      </c>
      <c r="AF288" s="31" t="s">
        <v>192</v>
      </c>
      <c r="AG288" t="b">
        <f>IF(Migrationsartikel!AB286="ja","true",FALSE)</f>
        <v>0</v>
      </c>
      <c r="AH288" t="b">
        <f>IF(Migrationsartikel!AC286="ja","true",FALSE)</f>
        <v>0</v>
      </c>
      <c r="AI288" t="b">
        <f>IF(Migrationsartikel!AD286="ja","true",FALSE)</f>
        <v>0</v>
      </c>
      <c r="AJ288" t="b">
        <f>IF(Migrationsartikel!AE286="ja","true",FALSE)</f>
        <v>0</v>
      </c>
      <c r="AK288" t="str">
        <f>IF(Migrationsartikel!AF286="ja","Denner Partner","")</f>
        <v/>
      </c>
      <c r="AL288" t="str">
        <f>IF(Migrationsartikel!AG286="ja","true","false")</f>
        <v>false</v>
      </c>
      <c r="AM288" t="str">
        <f t="shared" si="4"/>
        <v>PLU</v>
      </c>
      <c r="AN288" s="31" t="s">
        <v>219</v>
      </c>
      <c r="AO288" s="31" t="s">
        <v>217</v>
      </c>
    </row>
    <row r="289" spans="2:41" ht="21.75" customHeight="1" x14ac:dyDescent="0.45">
      <c r="B289" t="s">
        <v>99</v>
      </c>
      <c r="E289" s="31" t="s">
        <v>1699</v>
      </c>
      <c r="F289" t="str">
        <f>"Warengruppe&gt;&gt;"&amp;Migrationsartikel!V287&amp;"&gt;&gt;"&amp;Migrationsartikel!W287&amp;"&gt;&gt;"&amp;Migrationsartikel!X287</f>
        <v>Warengruppe&gt;&gt;&gt;&gt;&gt;&gt;</v>
      </c>
      <c r="H289" s="31" t="s">
        <v>109</v>
      </c>
      <c r="I289" s="31" t="s">
        <v>121</v>
      </c>
      <c r="J289" s="31">
        <f>Migrationsartikel!B287</f>
        <v>0</v>
      </c>
      <c r="L289" t="str">
        <f>Migrationsartikel!F287&amp;" "&amp;Migrationsartikel!G287&amp;" "&amp;Migrationsartikel!H287</f>
        <v xml:space="preserve">  </v>
      </c>
      <c r="M289" t="str">
        <f>Migrationsartikel!J287&amp;" "&amp;Migrationsartikel!K287&amp;" "&amp;Migrationsartikel!L287</f>
        <v xml:space="preserve">  </v>
      </c>
      <c r="N289" t="str">
        <f>Migrationsartikel!N287&amp;" "&amp;Migrationsartikel!O287&amp;" "&amp;Migrationsartikel!P287</f>
        <v xml:space="preserve">  </v>
      </c>
      <c r="O289">
        <f>Migrationsartikel!F287</f>
        <v>0</v>
      </c>
      <c r="P289">
        <f>Migrationsartikel!J287</f>
        <v>0</v>
      </c>
      <c r="Q289">
        <f>Migrationsartikel!N287</f>
        <v>0</v>
      </c>
      <c r="R289">
        <f>Migrationsartikel!G287</f>
        <v>0</v>
      </c>
      <c r="S289">
        <f>Migrationsartikel!K287</f>
        <v>0</v>
      </c>
      <c r="T289">
        <f>Migrationsartikel!O287</f>
        <v>0</v>
      </c>
      <c r="U289" s="31">
        <f>Migrationsartikel!H287</f>
        <v>0</v>
      </c>
      <c r="V289" s="31">
        <f>Migrationsartikel!L287</f>
        <v>0</v>
      </c>
      <c r="W289" s="31">
        <f>Migrationsartikel!P287</f>
        <v>0</v>
      </c>
      <c r="X289">
        <f>Migrationsartikel!I287</f>
        <v>0</v>
      </c>
      <c r="Y289">
        <f>Migrationsartikel!M287</f>
        <v>0</v>
      </c>
      <c r="Z289">
        <f>Migrationsartikel!Q287</f>
        <v>0</v>
      </c>
      <c r="AA289" s="45">
        <f>Migrationsartikel!R287</f>
        <v>0</v>
      </c>
      <c r="AB289" s="46">
        <f>Migrationsartikel!T287</f>
        <v>0</v>
      </c>
      <c r="AC289">
        <f>Migrationsartikel!S287</f>
        <v>0</v>
      </c>
      <c r="AD289">
        <f>Migrationsartikel!U287</f>
        <v>0</v>
      </c>
      <c r="AE289" s="31" t="s">
        <v>179</v>
      </c>
      <c r="AF289" s="31" t="s">
        <v>192</v>
      </c>
      <c r="AG289" t="b">
        <f>IF(Migrationsartikel!AB287="ja","true",FALSE)</f>
        <v>0</v>
      </c>
      <c r="AH289" t="b">
        <f>IF(Migrationsartikel!AC287="ja","true",FALSE)</f>
        <v>0</v>
      </c>
      <c r="AI289" t="b">
        <f>IF(Migrationsartikel!AD287="ja","true",FALSE)</f>
        <v>0</v>
      </c>
      <c r="AJ289" t="b">
        <f>IF(Migrationsartikel!AE287="ja","true",FALSE)</f>
        <v>0</v>
      </c>
      <c r="AK289" t="str">
        <f>IF(Migrationsartikel!AF287="ja","Denner Partner","")</f>
        <v/>
      </c>
      <c r="AL289" t="str">
        <f>IF(Migrationsartikel!AG287="ja","true","false")</f>
        <v>false</v>
      </c>
      <c r="AM289" t="str">
        <f t="shared" si="4"/>
        <v>PLU</v>
      </c>
      <c r="AN289" s="31" t="s">
        <v>219</v>
      </c>
      <c r="AO289" s="31" t="s">
        <v>217</v>
      </c>
    </row>
    <row r="290" spans="2:41" ht="21.75" customHeight="1" x14ac:dyDescent="0.45">
      <c r="B290" t="s">
        <v>99</v>
      </c>
      <c r="E290" s="31" t="s">
        <v>1700</v>
      </c>
      <c r="F290" t="str">
        <f>"Warengruppe&gt;&gt;"&amp;Migrationsartikel!V288&amp;"&gt;&gt;"&amp;Migrationsartikel!W288&amp;"&gt;&gt;"&amp;Migrationsartikel!X288</f>
        <v>Warengruppe&gt;&gt;&gt;&gt;&gt;&gt;</v>
      </c>
      <c r="H290" s="31" t="s">
        <v>109</v>
      </c>
      <c r="I290" s="31" t="s">
        <v>121</v>
      </c>
      <c r="J290" s="31">
        <f>Migrationsartikel!B288</f>
        <v>0</v>
      </c>
      <c r="L290" t="str">
        <f>Migrationsartikel!F288&amp;" "&amp;Migrationsartikel!G288&amp;" "&amp;Migrationsartikel!H288</f>
        <v xml:space="preserve">  </v>
      </c>
      <c r="M290" t="str">
        <f>Migrationsartikel!J288&amp;" "&amp;Migrationsartikel!K288&amp;" "&amp;Migrationsartikel!L288</f>
        <v xml:space="preserve">  </v>
      </c>
      <c r="N290" t="str">
        <f>Migrationsartikel!N288&amp;" "&amp;Migrationsartikel!O288&amp;" "&amp;Migrationsartikel!P288</f>
        <v xml:space="preserve">  </v>
      </c>
      <c r="O290">
        <f>Migrationsartikel!F288</f>
        <v>0</v>
      </c>
      <c r="P290">
        <f>Migrationsartikel!J288</f>
        <v>0</v>
      </c>
      <c r="Q290">
        <f>Migrationsartikel!N288</f>
        <v>0</v>
      </c>
      <c r="R290">
        <f>Migrationsartikel!G288</f>
        <v>0</v>
      </c>
      <c r="S290">
        <f>Migrationsartikel!K288</f>
        <v>0</v>
      </c>
      <c r="T290">
        <f>Migrationsartikel!O288</f>
        <v>0</v>
      </c>
      <c r="U290" s="31">
        <f>Migrationsartikel!H288</f>
        <v>0</v>
      </c>
      <c r="V290" s="31">
        <f>Migrationsartikel!L288</f>
        <v>0</v>
      </c>
      <c r="W290" s="31">
        <f>Migrationsartikel!P288</f>
        <v>0</v>
      </c>
      <c r="X290">
        <f>Migrationsartikel!I288</f>
        <v>0</v>
      </c>
      <c r="Y290">
        <f>Migrationsartikel!M288</f>
        <v>0</v>
      </c>
      <c r="Z290">
        <f>Migrationsartikel!Q288</f>
        <v>0</v>
      </c>
      <c r="AA290" s="45">
        <f>Migrationsartikel!R288</f>
        <v>0</v>
      </c>
      <c r="AB290" s="46">
        <f>Migrationsartikel!T288</f>
        <v>0</v>
      </c>
      <c r="AC290">
        <f>Migrationsartikel!S288</f>
        <v>0</v>
      </c>
      <c r="AD290">
        <f>Migrationsartikel!U288</f>
        <v>0</v>
      </c>
      <c r="AE290" s="31" t="s">
        <v>179</v>
      </c>
      <c r="AF290" s="31" t="s">
        <v>192</v>
      </c>
      <c r="AG290" t="b">
        <f>IF(Migrationsartikel!AB288="ja","true",FALSE)</f>
        <v>0</v>
      </c>
      <c r="AH290" t="b">
        <f>IF(Migrationsartikel!AC288="ja","true",FALSE)</f>
        <v>0</v>
      </c>
      <c r="AI290" t="b">
        <f>IF(Migrationsartikel!AD288="ja","true",FALSE)</f>
        <v>0</v>
      </c>
      <c r="AJ290" t="b">
        <f>IF(Migrationsartikel!AE288="ja","true",FALSE)</f>
        <v>0</v>
      </c>
      <c r="AK290" t="str">
        <f>IF(Migrationsartikel!AF288="ja","Denner Partner","")</f>
        <v/>
      </c>
      <c r="AL290" t="str">
        <f>IF(Migrationsartikel!AG288="ja","true","false")</f>
        <v>false</v>
      </c>
      <c r="AM290" t="str">
        <f t="shared" si="4"/>
        <v>PLU</v>
      </c>
      <c r="AN290" s="31" t="s">
        <v>219</v>
      </c>
      <c r="AO290" s="31" t="s">
        <v>217</v>
      </c>
    </row>
    <row r="291" spans="2:41" ht="21.75" customHeight="1" x14ac:dyDescent="0.45">
      <c r="B291" t="s">
        <v>99</v>
      </c>
      <c r="E291" s="31" t="s">
        <v>1701</v>
      </c>
      <c r="F291" t="str">
        <f>"Warengruppe&gt;&gt;"&amp;Migrationsartikel!V289&amp;"&gt;&gt;"&amp;Migrationsartikel!W289&amp;"&gt;&gt;"&amp;Migrationsartikel!X289</f>
        <v>Warengruppe&gt;&gt;&gt;&gt;&gt;&gt;</v>
      </c>
      <c r="H291" s="31" t="s">
        <v>109</v>
      </c>
      <c r="I291" s="31" t="s">
        <v>121</v>
      </c>
      <c r="J291" s="31">
        <f>Migrationsartikel!B289</f>
        <v>0</v>
      </c>
      <c r="L291" t="str">
        <f>Migrationsartikel!F289&amp;" "&amp;Migrationsartikel!G289&amp;" "&amp;Migrationsartikel!H289</f>
        <v xml:space="preserve">  </v>
      </c>
      <c r="M291" t="str">
        <f>Migrationsartikel!J289&amp;" "&amp;Migrationsartikel!K289&amp;" "&amp;Migrationsartikel!L289</f>
        <v xml:space="preserve">  </v>
      </c>
      <c r="N291" t="str">
        <f>Migrationsartikel!N289&amp;" "&amp;Migrationsartikel!O289&amp;" "&amp;Migrationsartikel!P289</f>
        <v xml:space="preserve">  </v>
      </c>
      <c r="O291">
        <f>Migrationsartikel!F289</f>
        <v>0</v>
      </c>
      <c r="P291">
        <f>Migrationsartikel!J289</f>
        <v>0</v>
      </c>
      <c r="Q291">
        <f>Migrationsartikel!N289</f>
        <v>0</v>
      </c>
      <c r="R291">
        <f>Migrationsartikel!G289</f>
        <v>0</v>
      </c>
      <c r="S291">
        <f>Migrationsartikel!K289</f>
        <v>0</v>
      </c>
      <c r="T291">
        <f>Migrationsartikel!O289</f>
        <v>0</v>
      </c>
      <c r="U291" s="31">
        <f>Migrationsartikel!H289</f>
        <v>0</v>
      </c>
      <c r="V291" s="31">
        <f>Migrationsartikel!L289</f>
        <v>0</v>
      </c>
      <c r="W291" s="31">
        <f>Migrationsartikel!P289</f>
        <v>0</v>
      </c>
      <c r="X291">
        <f>Migrationsartikel!I289</f>
        <v>0</v>
      </c>
      <c r="Y291">
        <f>Migrationsartikel!M289</f>
        <v>0</v>
      </c>
      <c r="Z291">
        <f>Migrationsartikel!Q289</f>
        <v>0</v>
      </c>
      <c r="AA291" s="45">
        <f>Migrationsartikel!R289</f>
        <v>0</v>
      </c>
      <c r="AB291" s="46">
        <f>Migrationsartikel!T289</f>
        <v>0</v>
      </c>
      <c r="AC291">
        <f>Migrationsartikel!S289</f>
        <v>0</v>
      </c>
      <c r="AD291">
        <f>Migrationsartikel!U289</f>
        <v>0</v>
      </c>
      <c r="AE291" s="31" t="s">
        <v>179</v>
      </c>
      <c r="AF291" s="31" t="s">
        <v>192</v>
      </c>
      <c r="AG291" t="b">
        <f>IF(Migrationsartikel!AB289="ja","true",FALSE)</f>
        <v>0</v>
      </c>
      <c r="AH291" t="b">
        <f>IF(Migrationsartikel!AC289="ja","true",FALSE)</f>
        <v>0</v>
      </c>
      <c r="AI291" t="b">
        <f>IF(Migrationsartikel!AD289="ja","true",FALSE)</f>
        <v>0</v>
      </c>
      <c r="AJ291" t="b">
        <f>IF(Migrationsartikel!AE289="ja","true",FALSE)</f>
        <v>0</v>
      </c>
      <c r="AK291" t="str">
        <f>IF(Migrationsartikel!AF289="ja","Denner Partner","")</f>
        <v/>
      </c>
      <c r="AL291" t="str">
        <f>IF(Migrationsartikel!AG289="ja","true","false")</f>
        <v>false</v>
      </c>
      <c r="AM291" t="str">
        <f t="shared" si="4"/>
        <v>PLU</v>
      </c>
      <c r="AN291" s="31" t="s">
        <v>219</v>
      </c>
      <c r="AO291" s="31" t="s">
        <v>217</v>
      </c>
    </row>
    <row r="292" spans="2:41" ht="21.75" customHeight="1" x14ac:dyDescent="0.45">
      <c r="B292" t="s">
        <v>99</v>
      </c>
      <c r="E292" s="31" t="s">
        <v>1702</v>
      </c>
      <c r="F292" t="str">
        <f>"Warengruppe&gt;&gt;"&amp;Migrationsartikel!V290&amp;"&gt;&gt;"&amp;Migrationsartikel!W290&amp;"&gt;&gt;"&amp;Migrationsartikel!X290</f>
        <v>Warengruppe&gt;&gt;&gt;&gt;&gt;&gt;</v>
      </c>
      <c r="H292" s="31" t="s">
        <v>109</v>
      </c>
      <c r="I292" s="31" t="s">
        <v>121</v>
      </c>
      <c r="J292" s="31">
        <f>Migrationsartikel!B290</f>
        <v>0</v>
      </c>
      <c r="L292" t="str">
        <f>Migrationsartikel!F290&amp;" "&amp;Migrationsartikel!G290&amp;" "&amp;Migrationsartikel!H290</f>
        <v xml:space="preserve">  </v>
      </c>
      <c r="M292" t="str">
        <f>Migrationsartikel!J290&amp;" "&amp;Migrationsartikel!K290&amp;" "&amp;Migrationsartikel!L290</f>
        <v xml:space="preserve">  </v>
      </c>
      <c r="N292" t="str">
        <f>Migrationsartikel!N290&amp;" "&amp;Migrationsartikel!O290&amp;" "&amp;Migrationsartikel!P290</f>
        <v xml:space="preserve">  </v>
      </c>
      <c r="O292">
        <f>Migrationsartikel!F290</f>
        <v>0</v>
      </c>
      <c r="P292">
        <f>Migrationsartikel!J290</f>
        <v>0</v>
      </c>
      <c r="Q292">
        <f>Migrationsartikel!N290</f>
        <v>0</v>
      </c>
      <c r="R292">
        <f>Migrationsartikel!G290</f>
        <v>0</v>
      </c>
      <c r="S292">
        <f>Migrationsartikel!K290</f>
        <v>0</v>
      </c>
      <c r="T292">
        <f>Migrationsartikel!O290</f>
        <v>0</v>
      </c>
      <c r="U292" s="31">
        <f>Migrationsartikel!H290</f>
        <v>0</v>
      </c>
      <c r="V292" s="31">
        <f>Migrationsartikel!L290</f>
        <v>0</v>
      </c>
      <c r="W292" s="31">
        <f>Migrationsartikel!P290</f>
        <v>0</v>
      </c>
      <c r="X292">
        <f>Migrationsartikel!I290</f>
        <v>0</v>
      </c>
      <c r="Y292">
        <f>Migrationsartikel!M290</f>
        <v>0</v>
      </c>
      <c r="Z292">
        <f>Migrationsartikel!Q290</f>
        <v>0</v>
      </c>
      <c r="AA292" s="45">
        <f>Migrationsartikel!R290</f>
        <v>0</v>
      </c>
      <c r="AB292" s="46">
        <f>Migrationsartikel!T290</f>
        <v>0</v>
      </c>
      <c r="AC292">
        <f>Migrationsartikel!S290</f>
        <v>0</v>
      </c>
      <c r="AD292">
        <f>Migrationsartikel!U290</f>
        <v>0</v>
      </c>
      <c r="AE292" s="31" t="s">
        <v>179</v>
      </c>
      <c r="AF292" s="31" t="s">
        <v>192</v>
      </c>
      <c r="AG292" t="b">
        <f>IF(Migrationsartikel!AB290="ja","true",FALSE)</f>
        <v>0</v>
      </c>
      <c r="AH292" t="b">
        <f>IF(Migrationsartikel!AC290="ja","true",FALSE)</f>
        <v>0</v>
      </c>
      <c r="AI292" t="b">
        <f>IF(Migrationsartikel!AD290="ja","true",FALSE)</f>
        <v>0</v>
      </c>
      <c r="AJ292" t="b">
        <f>IF(Migrationsartikel!AE290="ja","true",FALSE)</f>
        <v>0</v>
      </c>
      <c r="AK292" t="str">
        <f>IF(Migrationsartikel!AF290="ja","Denner Partner","")</f>
        <v/>
      </c>
      <c r="AL292" t="str">
        <f>IF(Migrationsartikel!AG290="ja","true","false")</f>
        <v>false</v>
      </c>
      <c r="AM292" t="str">
        <f t="shared" si="4"/>
        <v>PLU</v>
      </c>
      <c r="AN292" s="31" t="s">
        <v>219</v>
      </c>
      <c r="AO292" s="31" t="s">
        <v>217</v>
      </c>
    </row>
    <row r="293" spans="2:41" ht="21.75" customHeight="1" x14ac:dyDescent="0.45">
      <c r="B293" t="s">
        <v>99</v>
      </c>
      <c r="E293" s="31" t="s">
        <v>1703</v>
      </c>
      <c r="F293" t="str">
        <f>"Warengruppe&gt;&gt;"&amp;Migrationsartikel!V291&amp;"&gt;&gt;"&amp;Migrationsartikel!W291&amp;"&gt;&gt;"&amp;Migrationsartikel!X291</f>
        <v>Warengruppe&gt;&gt;&gt;&gt;&gt;&gt;</v>
      </c>
      <c r="H293" s="31" t="s">
        <v>109</v>
      </c>
      <c r="I293" s="31" t="s">
        <v>121</v>
      </c>
      <c r="J293" s="31">
        <f>Migrationsartikel!B291</f>
        <v>0</v>
      </c>
      <c r="L293" t="str">
        <f>Migrationsartikel!F291&amp;" "&amp;Migrationsartikel!G291&amp;" "&amp;Migrationsartikel!H291</f>
        <v xml:space="preserve">  </v>
      </c>
      <c r="M293" t="str">
        <f>Migrationsartikel!J291&amp;" "&amp;Migrationsartikel!K291&amp;" "&amp;Migrationsartikel!L291</f>
        <v xml:space="preserve">  </v>
      </c>
      <c r="N293" t="str">
        <f>Migrationsartikel!N291&amp;" "&amp;Migrationsartikel!O291&amp;" "&amp;Migrationsartikel!P291</f>
        <v xml:space="preserve">  </v>
      </c>
      <c r="O293">
        <f>Migrationsartikel!F291</f>
        <v>0</v>
      </c>
      <c r="P293">
        <f>Migrationsartikel!J291</f>
        <v>0</v>
      </c>
      <c r="Q293">
        <f>Migrationsartikel!N291</f>
        <v>0</v>
      </c>
      <c r="R293">
        <f>Migrationsartikel!G291</f>
        <v>0</v>
      </c>
      <c r="S293">
        <f>Migrationsartikel!K291</f>
        <v>0</v>
      </c>
      <c r="T293">
        <f>Migrationsartikel!O291</f>
        <v>0</v>
      </c>
      <c r="U293" s="31">
        <f>Migrationsartikel!H291</f>
        <v>0</v>
      </c>
      <c r="V293" s="31">
        <f>Migrationsartikel!L291</f>
        <v>0</v>
      </c>
      <c r="W293" s="31">
        <f>Migrationsartikel!P291</f>
        <v>0</v>
      </c>
      <c r="X293">
        <f>Migrationsartikel!I291</f>
        <v>0</v>
      </c>
      <c r="Y293">
        <f>Migrationsartikel!M291</f>
        <v>0</v>
      </c>
      <c r="Z293">
        <f>Migrationsartikel!Q291</f>
        <v>0</v>
      </c>
      <c r="AA293" s="45">
        <f>Migrationsartikel!R291</f>
        <v>0</v>
      </c>
      <c r="AB293" s="46">
        <f>Migrationsartikel!T291</f>
        <v>0</v>
      </c>
      <c r="AC293">
        <f>Migrationsartikel!S291</f>
        <v>0</v>
      </c>
      <c r="AD293">
        <f>Migrationsartikel!U291</f>
        <v>0</v>
      </c>
      <c r="AE293" s="31" t="s">
        <v>179</v>
      </c>
      <c r="AF293" s="31" t="s">
        <v>192</v>
      </c>
      <c r="AG293" t="b">
        <f>IF(Migrationsartikel!AB291="ja","true",FALSE)</f>
        <v>0</v>
      </c>
      <c r="AH293" t="b">
        <f>IF(Migrationsartikel!AC291="ja","true",FALSE)</f>
        <v>0</v>
      </c>
      <c r="AI293" t="b">
        <f>IF(Migrationsartikel!AD291="ja","true",FALSE)</f>
        <v>0</v>
      </c>
      <c r="AJ293" t="b">
        <f>IF(Migrationsartikel!AE291="ja","true",FALSE)</f>
        <v>0</v>
      </c>
      <c r="AK293" t="str">
        <f>IF(Migrationsartikel!AF291="ja","Denner Partner","")</f>
        <v/>
      </c>
      <c r="AL293" t="str">
        <f>IF(Migrationsartikel!AG291="ja","true","false")</f>
        <v>false</v>
      </c>
      <c r="AM293" t="str">
        <f t="shared" si="4"/>
        <v>PLU</v>
      </c>
      <c r="AN293" s="31" t="s">
        <v>219</v>
      </c>
      <c r="AO293" s="31" t="s">
        <v>217</v>
      </c>
    </row>
    <row r="294" spans="2:41" ht="21.75" customHeight="1" x14ac:dyDescent="0.45">
      <c r="B294" t="s">
        <v>99</v>
      </c>
      <c r="E294" s="31" t="s">
        <v>1704</v>
      </c>
      <c r="F294" t="str">
        <f>"Warengruppe&gt;&gt;"&amp;Migrationsartikel!V292&amp;"&gt;&gt;"&amp;Migrationsartikel!W292&amp;"&gt;&gt;"&amp;Migrationsartikel!X292</f>
        <v>Warengruppe&gt;&gt;&gt;&gt;&gt;&gt;</v>
      </c>
      <c r="H294" s="31" t="s">
        <v>109</v>
      </c>
      <c r="I294" s="31" t="s">
        <v>121</v>
      </c>
      <c r="J294" s="31">
        <f>Migrationsartikel!B292</f>
        <v>0</v>
      </c>
      <c r="L294" t="str">
        <f>Migrationsartikel!F292&amp;" "&amp;Migrationsartikel!G292&amp;" "&amp;Migrationsartikel!H292</f>
        <v xml:space="preserve">  </v>
      </c>
      <c r="M294" t="str">
        <f>Migrationsartikel!J292&amp;" "&amp;Migrationsartikel!K292&amp;" "&amp;Migrationsartikel!L292</f>
        <v xml:space="preserve">  </v>
      </c>
      <c r="N294" t="str">
        <f>Migrationsartikel!N292&amp;" "&amp;Migrationsartikel!O292&amp;" "&amp;Migrationsartikel!P292</f>
        <v xml:space="preserve">  </v>
      </c>
      <c r="O294">
        <f>Migrationsartikel!F292</f>
        <v>0</v>
      </c>
      <c r="P294">
        <f>Migrationsartikel!J292</f>
        <v>0</v>
      </c>
      <c r="Q294">
        <f>Migrationsartikel!N292</f>
        <v>0</v>
      </c>
      <c r="R294">
        <f>Migrationsartikel!G292</f>
        <v>0</v>
      </c>
      <c r="S294">
        <f>Migrationsartikel!K292</f>
        <v>0</v>
      </c>
      <c r="T294">
        <f>Migrationsartikel!O292</f>
        <v>0</v>
      </c>
      <c r="U294" s="31">
        <f>Migrationsartikel!H292</f>
        <v>0</v>
      </c>
      <c r="V294" s="31">
        <f>Migrationsartikel!L292</f>
        <v>0</v>
      </c>
      <c r="W294" s="31">
        <f>Migrationsartikel!P292</f>
        <v>0</v>
      </c>
      <c r="X294">
        <f>Migrationsartikel!I292</f>
        <v>0</v>
      </c>
      <c r="Y294">
        <f>Migrationsartikel!M292</f>
        <v>0</v>
      </c>
      <c r="Z294">
        <f>Migrationsartikel!Q292</f>
        <v>0</v>
      </c>
      <c r="AA294" s="45">
        <f>Migrationsartikel!R292</f>
        <v>0</v>
      </c>
      <c r="AB294" s="46">
        <f>Migrationsartikel!T292</f>
        <v>0</v>
      </c>
      <c r="AC294">
        <f>Migrationsartikel!S292</f>
        <v>0</v>
      </c>
      <c r="AD294">
        <f>Migrationsartikel!U292</f>
        <v>0</v>
      </c>
      <c r="AE294" s="31" t="s">
        <v>179</v>
      </c>
      <c r="AF294" s="31" t="s">
        <v>192</v>
      </c>
      <c r="AG294" t="b">
        <f>IF(Migrationsartikel!AB292="ja","true",FALSE)</f>
        <v>0</v>
      </c>
      <c r="AH294" t="b">
        <f>IF(Migrationsartikel!AC292="ja","true",FALSE)</f>
        <v>0</v>
      </c>
      <c r="AI294" t="b">
        <f>IF(Migrationsartikel!AD292="ja","true",FALSE)</f>
        <v>0</v>
      </c>
      <c r="AJ294" t="b">
        <f>IF(Migrationsartikel!AE292="ja","true",FALSE)</f>
        <v>0</v>
      </c>
      <c r="AK294" t="str">
        <f>IF(Migrationsartikel!AF292="ja","Denner Partner","")</f>
        <v/>
      </c>
      <c r="AL294" t="str">
        <f>IF(Migrationsartikel!AG292="ja","true","false")</f>
        <v>false</v>
      </c>
      <c r="AM294" t="str">
        <f t="shared" si="4"/>
        <v>PLU</v>
      </c>
      <c r="AN294" s="31" t="s">
        <v>219</v>
      </c>
      <c r="AO294" s="31" t="s">
        <v>217</v>
      </c>
    </row>
    <row r="295" spans="2:41" ht="21.75" customHeight="1" x14ac:dyDescent="0.45">
      <c r="B295" t="s">
        <v>99</v>
      </c>
      <c r="E295" s="31" t="s">
        <v>1705</v>
      </c>
      <c r="F295" t="str">
        <f>"Warengruppe&gt;&gt;"&amp;Migrationsartikel!V293&amp;"&gt;&gt;"&amp;Migrationsartikel!W293&amp;"&gt;&gt;"&amp;Migrationsartikel!X293</f>
        <v>Warengruppe&gt;&gt;&gt;&gt;&gt;&gt;</v>
      </c>
      <c r="H295" s="31" t="s">
        <v>109</v>
      </c>
      <c r="I295" s="31" t="s">
        <v>121</v>
      </c>
      <c r="J295" s="31">
        <f>Migrationsartikel!B293</f>
        <v>0</v>
      </c>
      <c r="L295" t="str">
        <f>Migrationsartikel!F293&amp;" "&amp;Migrationsartikel!G293&amp;" "&amp;Migrationsartikel!H293</f>
        <v xml:space="preserve">  </v>
      </c>
      <c r="M295" t="str">
        <f>Migrationsartikel!J293&amp;" "&amp;Migrationsartikel!K293&amp;" "&amp;Migrationsartikel!L293</f>
        <v xml:space="preserve">  </v>
      </c>
      <c r="N295" t="str">
        <f>Migrationsartikel!N293&amp;" "&amp;Migrationsartikel!O293&amp;" "&amp;Migrationsartikel!P293</f>
        <v xml:space="preserve">  </v>
      </c>
      <c r="O295">
        <f>Migrationsartikel!F293</f>
        <v>0</v>
      </c>
      <c r="P295">
        <f>Migrationsartikel!J293</f>
        <v>0</v>
      </c>
      <c r="Q295">
        <f>Migrationsartikel!N293</f>
        <v>0</v>
      </c>
      <c r="R295">
        <f>Migrationsartikel!G293</f>
        <v>0</v>
      </c>
      <c r="S295">
        <f>Migrationsartikel!K293</f>
        <v>0</v>
      </c>
      <c r="T295">
        <f>Migrationsartikel!O293</f>
        <v>0</v>
      </c>
      <c r="U295" s="31">
        <f>Migrationsartikel!H293</f>
        <v>0</v>
      </c>
      <c r="V295" s="31">
        <f>Migrationsartikel!L293</f>
        <v>0</v>
      </c>
      <c r="W295" s="31">
        <f>Migrationsartikel!P293</f>
        <v>0</v>
      </c>
      <c r="X295">
        <f>Migrationsartikel!I293</f>
        <v>0</v>
      </c>
      <c r="Y295">
        <f>Migrationsartikel!M293</f>
        <v>0</v>
      </c>
      <c r="Z295">
        <f>Migrationsartikel!Q293</f>
        <v>0</v>
      </c>
      <c r="AA295" s="45">
        <f>Migrationsartikel!R293</f>
        <v>0</v>
      </c>
      <c r="AB295" s="46">
        <f>Migrationsartikel!T293</f>
        <v>0</v>
      </c>
      <c r="AC295">
        <f>Migrationsartikel!S293</f>
        <v>0</v>
      </c>
      <c r="AD295">
        <f>Migrationsartikel!U293</f>
        <v>0</v>
      </c>
      <c r="AE295" s="31" t="s">
        <v>179</v>
      </c>
      <c r="AF295" s="31" t="s">
        <v>192</v>
      </c>
      <c r="AG295" t="b">
        <f>IF(Migrationsartikel!AB293="ja","true",FALSE)</f>
        <v>0</v>
      </c>
      <c r="AH295" t="b">
        <f>IF(Migrationsartikel!AC293="ja","true",FALSE)</f>
        <v>0</v>
      </c>
      <c r="AI295" t="b">
        <f>IF(Migrationsartikel!AD293="ja","true",FALSE)</f>
        <v>0</v>
      </c>
      <c r="AJ295" t="b">
        <f>IF(Migrationsartikel!AE293="ja","true",FALSE)</f>
        <v>0</v>
      </c>
      <c r="AK295" t="str">
        <f>IF(Migrationsartikel!AF293="ja","Denner Partner","")</f>
        <v/>
      </c>
      <c r="AL295" t="str">
        <f>IF(Migrationsartikel!AG293="ja","true","false")</f>
        <v>false</v>
      </c>
      <c r="AM295" t="str">
        <f t="shared" si="4"/>
        <v>PLU</v>
      </c>
      <c r="AN295" s="31" t="s">
        <v>219</v>
      </c>
      <c r="AO295" s="31" t="s">
        <v>217</v>
      </c>
    </row>
    <row r="296" spans="2:41" ht="21.75" customHeight="1" x14ac:dyDescent="0.45">
      <c r="B296" t="s">
        <v>99</v>
      </c>
      <c r="E296" s="31" t="s">
        <v>1706</v>
      </c>
      <c r="F296" t="str">
        <f>"Warengruppe&gt;&gt;"&amp;Migrationsartikel!V294&amp;"&gt;&gt;"&amp;Migrationsartikel!W294&amp;"&gt;&gt;"&amp;Migrationsartikel!X294</f>
        <v>Warengruppe&gt;&gt;&gt;&gt;&gt;&gt;</v>
      </c>
      <c r="H296" s="31" t="s">
        <v>109</v>
      </c>
      <c r="I296" s="31" t="s">
        <v>121</v>
      </c>
      <c r="J296" s="31">
        <f>Migrationsartikel!B294</f>
        <v>0</v>
      </c>
      <c r="L296" t="str">
        <f>Migrationsartikel!F294&amp;" "&amp;Migrationsartikel!G294&amp;" "&amp;Migrationsartikel!H294</f>
        <v xml:space="preserve">  </v>
      </c>
      <c r="M296" t="str">
        <f>Migrationsartikel!J294&amp;" "&amp;Migrationsartikel!K294&amp;" "&amp;Migrationsartikel!L294</f>
        <v xml:space="preserve">  </v>
      </c>
      <c r="N296" t="str">
        <f>Migrationsartikel!N294&amp;" "&amp;Migrationsartikel!O294&amp;" "&amp;Migrationsartikel!P294</f>
        <v xml:space="preserve">  </v>
      </c>
      <c r="O296">
        <f>Migrationsartikel!F294</f>
        <v>0</v>
      </c>
      <c r="P296">
        <f>Migrationsartikel!J294</f>
        <v>0</v>
      </c>
      <c r="Q296">
        <f>Migrationsartikel!N294</f>
        <v>0</v>
      </c>
      <c r="R296">
        <f>Migrationsartikel!G294</f>
        <v>0</v>
      </c>
      <c r="S296">
        <f>Migrationsartikel!K294</f>
        <v>0</v>
      </c>
      <c r="T296">
        <f>Migrationsartikel!O294</f>
        <v>0</v>
      </c>
      <c r="U296" s="31">
        <f>Migrationsartikel!H294</f>
        <v>0</v>
      </c>
      <c r="V296" s="31">
        <f>Migrationsartikel!L294</f>
        <v>0</v>
      </c>
      <c r="W296" s="31">
        <f>Migrationsartikel!P294</f>
        <v>0</v>
      </c>
      <c r="X296">
        <f>Migrationsartikel!I294</f>
        <v>0</v>
      </c>
      <c r="Y296">
        <f>Migrationsartikel!M294</f>
        <v>0</v>
      </c>
      <c r="Z296">
        <f>Migrationsartikel!Q294</f>
        <v>0</v>
      </c>
      <c r="AA296" s="45">
        <f>Migrationsartikel!R294</f>
        <v>0</v>
      </c>
      <c r="AB296" s="46">
        <f>Migrationsartikel!T294</f>
        <v>0</v>
      </c>
      <c r="AC296">
        <f>Migrationsartikel!S294</f>
        <v>0</v>
      </c>
      <c r="AD296">
        <f>Migrationsartikel!U294</f>
        <v>0</v>
      </c>
      <c r="AE296" s="31" t="s">
        <v>179</v>
      </c>
      <c r="AF296" s="31" t="s">
        <v>192</v>
      </c>
      <c r="AG296" t="b">
        <f>IF(Migrationsartikel!AB294="ja","true",FALSE)</f>
        <v>0</v>
      </c>
      <c r="AH296" t="b">
        <f>IF(Migrationsartikel!AC294="ja","true",FALSE)</f>
        <v>0</v>
      </c>
      <c r="AI296" t="b">
        <f>IF(Migrationsartikel!AD294="ja","true",FALSE)</f>
        <v>0</v>
      </c>
      <c r="AJ296" t="b">
        <f>IF(Migrationsartikel!AE294="ja","true",FALSE)</f>
        <v>0</v>
      </c>
      <c r="AK296" t="str">
        <f>IF(Migrationsartikel!AF294="ja","Denner Partner","")</f>
        <v/>
      </c>
      <c r="AL296" t="str">
        <f>IF(Migrationsartikel!AG294="ja","true","false")</f>
        <v>false</v>
      </c>
      <c r="AM296" t="str">
        <f t="shared" si="4"/>
        <v>PLU</v>
      </c>
      <c r="AN296" s="31" t="s">
        <v>219</v>
      </c>
      <c r="AO296" s="31" t="s">
        <v>217</v>
      </c>
    </row>
    <row r="297" spans="2:41" ht="21.75" customHeight="1" x14ac:dyDescent="0.45">
      <c r="B297" t="s">
        <v>99</v>
      </c>
      <c r="E297" s="31" t="s">
        <v>1707</v>
      </c>
      <c r="F297" t="str">
        <f>"Warengruppe&gt;&gt;"&amp;Migrationsartikel!V295&amp;"&gt;&gt;"&amp;Migrationsartikel!W295&amp;"&gt;&gt;"&amp;Migrationsartikel!X295</f>
        <v>Warengruppe&gt;&gt;&gt;&gt;&gt;&gt;</v>
      </c>
      <c r="H297" s="31" t="s">
        <v>109</v>
      </c>
      <c r="I297" s="31" t="s">
        <v>121</v>
      </c>
      <c r="J297" s="31">
        <f>Migrationsartikel!B295</f>
        <v>0</v>
      </c>
      <c r="L297" t="str">
        <f>Migrationsartikel!F295&amp;" "&amp;Migrationsartikel!G295&amp;" "&amp;Migrationsartikel!H295</f>
        <v xml:space="preserve">  </v>
      </c>
      <c r="M297" t="str">
        <f>Migrationsartikel!J295&amp;" "&amp;Migrationsartikel!K295&amp;" "&amp;Migrationsartikel!L295</f>
        <v xml:space="preserve">  </v>
      </c>
      <c r="N297" t="str">
        <f>Migrationsartikel!N295&amp;" "&amp;Migrationsartikel!O295&amp;" "&amp;Migrationsartikel!P295</f>
        <v xml:space="preserve">  </v>
      </c>
      <c r="O297">
        <f>Migrationsartikel!F295</f>
        <v>0</v>
      </c>
      <c r="P297">
        <f>Migrationsartikel!J295</f>
        <v>0</v>
      </c>
      <c r="Q297">
        <f>Migrationsartikel!N295</f>
        <v>0</v>
      </c>
      <c r="R297">
        <f>Migrationsartikel!G295</f>
        <v>0</v>
      </c>
      <c r="S297">
        <f>Migrationsartikel!K295</f>
        <v>0</v>
      </c>
      <c r="T297">
        <f>Migrationsartikel!O295</f>
        <v>0</v>
      </c>
      <c r="U297" s="31">
        <f>Migrationsartikel!H295</f>
        <v>0</v>
      </c>
      <c r="V297" s="31">
        <f>Migrationsartikel!L295</f>
        <v>0</v>
      </c>
      <c r="W297" s="31">
        <f>Migrationsartikel!P295</f>
        <v>0</v>
      </c>
      <c r="X297">
        <f>Migrationsartikel!I295</f>
        <v>0</v>
      </c>
      <c r="Y297">
        <f>Migrationsartikel!M295</f>
        <v>0</v>
      </c>
      <c r="Z297">
        <f>Migrationsartikel!Q295</f>
        <v>0</v>
      </c>
      <c r="AA297" s="45">
        <f>Migrationsartikel!R295</f>
        <v>0</v>
      </c>
      <c r="AB297" s="46">
        <f>Migrationsartikel!T295</f>
        <v>0</v>
      </c>
      <c r="AC297">
        <f>Migrationsartikel!S295</f>
        <v>0</v>
      </c>
      <c r="AD297">
        <f>Migrationsartikel!U295</f>
        <v>0</v>
      </c>
      <c r="AE297" s="31" t="s">
        <v>179</v>
      </c>
      <c r="AF297" s="31" t="s">
        <v>192</v>
      </c>
      <c r="AG297" t="b">
        <f>IF(Migrationsartikel!AB295="ja","true",FALSE)</f>
        <v>0</v>
      </c>
      <c r="AH297" t="b">
        <f>IF(Migrationsartikel!AC295="ja","true",FALSE)</f>
        <v>0</v>
      </c>
      <c r="AI297" t="b">
        <f>IF(Migrationsartikel!AD295="ja","true",FALSE)</f>
        <v>0</v>
      </c>
      <c r="AJ297" t="b">
        <f>IF(Migrationsartikel!AE295="ja","true",FALSE)</f>
        <v>0</v>
      </c>
      <c r="AK297" t="str">
        <f>IF(Migrationsartikel!AF295="ja","Denner Partner","")</f>
        <v/>
      </c>
      <c r="AL297" t="str">
        <f>IF(Migrationsartikel!AG295="ja","true","false")</f>
        <v>false</v>
      </c>
      <c r="AM297" t="str">
        <f t="shared" si="4"/>
        <v>PLU</v>
      </c>
      <c r="AN297" s="31" t="s">
        <v>219</v>
      </c>
      <c r="AO297" s="31" t="s">
        <v>217</v>
      </c>
    </row>
    <row r="298" spans="2:41" ht="21.75" customHeight="1" x14ac:dyDescent="0.45">
      <c r="B298" t="s">
        <v>99</v>
      </c>
      <c r="E298" s="31" t="s">
        <v>1708</v>
      </c>
      <c r="F298" t="str">
        <f>"Warengruppe&gt;&gt;"&amp;Migrationsartikel!V296&amp;"&gt;&gt;"&amp;Migrationsartikel!W296&amp;"&gt;&gt;"&amp;Migrationsartikel!X296</f>
        <v>Warengruppe&gt;&gt;&gt;&gt;&gt;&gt;</v>
      </c>
      <c r="H298" s="31" t="s">
        <v>109</v>
      </c>
      <c r="I298" s="31" t="s">
        <v>121</v>
      </c>
      <c r="J298" s="31">
        <f>Migrationsartikel!B296</f>
        <v>0</v>
      </c>
      <c r="L298" t="str">
        <f>Migrationsartikel!F296&amp;" "&amp;Migrationsartikel!G296&amp;" "&amp;Migrationsartikel!H296</f>
        <v xml:space="preserve">  </v>
      </c>
      <c r="M298" t="str">
        <f>Migrationsartikel!J296&amp;" "&amp;Migrationsartikel!K296&amp;" "&amp;Migrationsartikel!L296</f>
        <v xml:space="preserve">  </v>
      </c>
      <c r="N298" t="str">
        <f>Migrationsartikel!N296&amp;" "&amp;Migrationsartikel!O296&amp;" "&amp;Migrationsartikel!P296</f>
        <v xml:space="preserve">  </v>
      </c>
      <c r="O298">
        <f>Migrationsartikel!F296</f>
        <v>0</v>
      </c>
      <c r="P298">
        <f>Migrationsartikel!J296</f>
        <v>0</v>
      </c>
      <c r="Q298">
        <f>Migrationsartikel!N296</f>
        <v>0</v>
      </c>
      <c r="R298">
        <f>Migrationsartikel!G296</f>
        <v>0</v>
      </c>
      <c r="S298">
        <f>Migrationsartikel!K296</f>
        <v>0</v>
      </c>
      <c r="T298">
        <f>Migrationsartikel!O296</f>
        <v>0</v>
      </c>
      <c r="U298" s="31">
        <f>Migrationsartikel!H296</f>
        <v>0</v>
      </c>
      <c r="V298" s="31">
        <f>Migrationsartikel!L296</f>
        <v>0</v>
      </c>
      <c r="W298" s="31">
        <f>Migrationsartikel!P296</f>
        <v>0</v>
      </c>
      <c r="X298">
        <f>Migrationsartikel!I296</f>
        <v>0</v>
      </c>
      <c r="Y298">
        <f>Migrationsartikel!M296</f>
        <v>0</v>
      </c>
      <c r="Z298">
        <f>Migrationsartikel!Q296</f>
        <v>0</v>
      </c>
      <c r="AA298" s="45">
        <f>Migrationsartikel!R296</f>
        <v>0</v>
      </c>
      <c r="AB298" s="46">
        <f>Migrationsartikel!T296</f>
        <v>0</v>
      </c>
      <c r="AC298">
        <f>Migrationsartikel!S296</f>
        <v>0</v>
      </c>
      <c r="AD298">
        <f>Migrationsartikel!U296</f>
        <v>0</v>
      </c>
      <c r="AE298" s="31" t="s">
        <v>179</v>
      </c>
      <c r="AF298" s="31" t="s">
        <v>192</v>
      </c>
      <c r="AG298" t="b">
        <f>IF(Migrationsartikel!AB296="ja","true",FALSE)</f>
        <v>0</v>
      </c>
      <c r="AH298" t="b">
        <f>IF(Migrationsartikel!AC296="ja","true",FALSE)</f>
        <v>0</v>
      </c>
      <c r="AI298" t="b">
        <f>IF(Migrationsartikel!AD296="ja","true",FALSE)</f>
        <v>0</v>
      </c>
      <c r="AJ298" t="b">
        <f>IF(Migrationsartikel!AE296="ja","true",FALSE)</f>
        <v>0</v>
      </c>
      <c r="AK298" t="str">
        <f>IF(Migrationsartikel!AF296="ja","Denner Partner","")</f>
        <v/>
      </c>
      <c r="AL298" t="str">
        <f>IF(Migrationsartikel!AG296="ja","true","false")</f>
        <v>false</v>
      </c>
      <c r="AM298" t="str">
        <f t="shared" si="4"/>
        <v>PLU</v>
      </c>
      <c r="AN298" s="31" t="s">
        <v>219</v>
      </c>
      <c r="AO298" s="31" t="s">
        <v>217</v>
      </c>
    </row>
    <row r="299" spans="2:41" ht="21.75" customHeight="1" x14ac:dyDescent="0.45">
      <c r="B299" t="s">
        <v>99</v>
      </c>
      <c r="E299" s="31" t="s">
        <v>1709</v>
      </c>
      <c r="F299" t="str">
        <f>"Warengruppe&gt;&gt;"&amp;Migrationsartikel!V297&amp;"&gt;&gt;"&amp;Migrationsartikel!W297&amp;"&gt;&gt;"&amp;Migrationsartikel!X297</f>
        <v>Warengruppe&gt;&gt;&gt;&gt;&gt;&gt;</v>
      </c>
      <c r="H299" s="31" t="s">
        <v>109</v>
      </c>
      <c r="I299" s="31" t="s">
        <v>121</v>
      </c>
      <c r="J299" s="31">
        <f>Migrationsartikel!B297</f>
        <v>0</v>
      </c>
      <c r="L299" t="str">
        <f>Migrationsartikel!F297&amp;" "&amp;Migrationsartikel!G297&amp;" "&amp;Migrationsartikel!H297</f>
        <v xml:space="preserve">  </v>
      </c>
      <c r="M299" t="str">
        <f>Migrationsartikel!J297&amp;" "&amp;Migrationsartikel!K297&amp;" "&amp;Migrationsartikel!L297</f>
        <v xml:space="preserve">  </v>
      </c>
      <c r="N299" t="str">
        <f>Migrationsartikel!N297&amp;" "&amp;Migrationsartikel!O297&amp;" "&amp;Migrationsartikel!P297</f>
        <v xml:space="preserve">  </v>
      </c>
      <c r="O299">
        <f>Migrationsartikel!F297</f>
        <v>0</v>
      </c>
      <c r="P299">
        <f>Migrationsartikel!J297</f>
        <v>0</v>
      </c>
      <c r="Q299">
        <f>Migrationsartikel!N297</f>
        <v>0</v>
      </c>
      <c r="R299">
        <f>Migrationsartikel!G297</f>
        <v>0</v>
      </c>
      <c r="S299">
        <f>Migrationsartikel!K297</f>
        <v>0</v>
      </c>
      <c r="T299">
        <f>Migrationsartikel!O297</f>
        <v>0</v>
      </c>
      <c r="U299" s="31">
        <f>Migrationsartikel!H297</f>
        <v>0</v>
      </c>
      <c r="V299" s="31">
        <f>Migrationsartikel!L297</f>
        <v>0</v>
      </c>
      <c r="W299" s="31">
        <f>Migrationsartikel!P297</f>
        <v>0</v>
      </c>
      <c r="X299">
        <f>Migrationsartikel!I297</f>
        <v>0</v>
      </c>
      <c r="Y299">
        <f>Migrationsartikel!M297</f>
        <v>0</v>
      </c>
      <c r="Z299">
        <f>Migrationsartikel!Q297</f>
        <v>0</v>
      </c>
      <c r="AA299" s="45">
        <f>Migrationsartikel!R297</f>
        <v>0</v>
      </c>
      <c r="AB299" s="46">
        <f>Migrationsartikel!T297</f>
        <v>0</v>
      </c>
      <c r="AC299">
        <f>Migrationsartikel!S297</f>
        <v>0</v>
      </c>
      <c r="AD299">
        <f>Migrationsartikel!U297</f>
        <v>0</v>
      </c>
      <c r="AE299" s="31" t="s">
        <v>179</v>
      </c>
      <c r="AF299" s="31" t="s">
        <v>192</v>
      </c>
      <c r="AG299" t="b">
        <f>IF(Migrationsartikel!AB297="ja","true",FALSE)</f>
        <v>0</v>
      </c>
      <c r="AH299" t="b">
        <f>IF(Migrationsartikel!AC297="ja","true",FALSE)</f>
        <v>0</v>
      </c>
      <c r="AI299" t="b">
        <f>IF(Migrationsartikel!AD297="ja","true",FALSE)</f>
        <v>0</v>
      </c>
      <c r="AJ299" t="b">
        <f>IF(Migrationsartikel!AE297="ja","true",FALSE)</f>
        <v>0</v>
      </c>
      <c r="AK299" t="str">
        <f>IF(Migrationsartikel!AF297="ja","Denner Partner","")</f>
        <v/>
      </c>
      <c r="AL299" t="str">
        <f>IF(Migrationsartikel!AG297="ja","true","false")</f>
        <v>false</v>
      </c>
      <c r="AM299" t="str">
        <f t="shared" si="4"/>
        <v>PLU</v>
      </c>
      <c r="AN299" s="31" t="s">
        <v>219</v>
      </c>
      <c r="AO299" s="31" t="s">
        <v>217</v>
      </c>
    </row>
    <row r="300" spans="2:41" ht="21.75" customHeight="1" x14ac:dyDescent="0.45">
      <c r="B300" t="s">
        <v>99</v>
      </c>
      <c r="E300" s="31" t="s">
        <v>1710</v>
      </c>
      <c r="F300" t="str">
        <f>"Warengruppe&gt;&gt;"&amp;Migrationsartikel!V298&amp;"&gt;&gt;"&amp;Migrationsartikel!W298&amp;"&gt;&gt;"&amp;Migrationsartikel!X298</f>
        <v>Warengruppe&gt;&gt;&gt;&gt;&gt;&gt;</v>
      </c>
      <c r="H300" s="31" t="s">
        <v>109</v>
      </c>
      <c r="I300" s="31" t="s">
        <v>121</v>
      </c>
      <c r="J300" s="31">
        <f>Migrationsartikel!B298</f>
        <v>0</v>
      </c>
      <c r="L300" t="str">
        <f>Migrationsartikel!F298&amp;" "&amp;Migrationsartikel!G298&amp;" "&amp;Migrationsartikel!H298</f>
        <v xml:space="preserve">  </v>
      </c>
      <c r="M300" t="str">
        <f>Migrationsartikel!J298&amp;" "&amp;Migrationsartikel!K298&amp;" "&amp;Migrationsartikel!L298</f>
        <v xml:space="preserve">  </v>
      </c>
      <c r="N300" t="str">
        <f>Migrationsartikel!N298&amp;" "&amp;Migrationsartikel!O298&amp;" "&amp;Migrationsartikel!P298</f>
        <v xml:space="preserve">  </v>
      </c>
      <c r="O300">
        <f>Migrationsartikel!F298</f>
        <v>0</v>
      </c>
      <c r="P300">
        <f>Migrationsartikel!J298</f>
        <v>0</v>
      </c>
      <c r="Q300">
        <f>Migrationsartikel!N298</f>
        <v>0</v>
      </c>
      <c r="R300">
        <f>Migrationsartikel!G298</f>
        <v>0</v>
      </c>
      <c r="S300">
        <f>Migrationsartikel!K298</f>
        <v>0</v>
      </c>
      <c r="T300">
        <f>Migrationsartikel!O298</f>
        <v>0</v>
      </c>
      <c r="U300" s="31">
        <f>Migrationsartikel!H298</f>
        <v>0</v>
      </c>
      <c r="V300" s="31">
        <f>Migrationsartikel!L298</f>
        <v>0</v>
      </c>
      <c r="W300" s="31">
        <f>Migrationsartikel!P298</f>
        <v>0</v>
      </c>
      <c r="X300">
        <f>Migrationsartikel!I298</f>
        <v>0</v>
      </c>
      <c r="Y300">
        <f>Migrationsartikel!M298</f>
        <v>0</v>
      </c>
      <c r="Z300">
        <f>Migrationsartikel!Q298</f>
        <v>0</v>
      </c>
      <c r="AA300" s="45">
        <f>Migrationsartikel!R298</f>
        <v>0</v>
      </c>
      <c r="AB300" s="46">
        <f>Migrationsartikel!T298</f>
        <v>0</v>
      </c>
      <c r="AC300">
        <f>Migrationsartikel!S298</f>
        <v>0</v>
      </c>
      <c r="AD300">
        <f>Migrationsartikel!U298</f>
        <v>0</v>
      </c>
      <c r="AE300" s="31" t="s">
        <v>179</v>
      </c>
      <c r="AF300" s="31" t="s">
        <v>192</v>
      </c>
      <c r="AG300" t="b">
        <f>IF(Migrationsartikel!AB298="ja","true",FALSE)</f>
        <v>0</v>
      </c>
      <c r="AH300" t="b">
        <f>IF(Migrationsartikel!AC298="ja","true",FALSE)</f>
        <v>0</v>
      </c>
      <c r="AI300" t="b">
        <f>IF(Migrationsartikel!AD298="ja","true",FALSE)</f>
        <v>0</v>
      </c>
      <c r="AJ300" t="b">
        <f>IF(Migrationsartikel!AE298="ja","true",FALSE)</f>
        <v>0</v>
      </c>
      <c r="AK300" t="str">
        <f>IF(Migrationsartikel!AF298="ja","Denner Partner","")</f>
        <v/>
      </c>
      <c r="AL300" t="str">
        <f>IF(Migrationsartikel!AG298="ja","true","false")</f>
        <v>false</v>
      </c>
      <c r="AM300" t="str">
        <f t="shared" si="4"/>
        <v>PLU</v>
      </c>
      <c r="AN300" s="31" t="s">
        <v>219</v>
      </c>
      <c r="AO300" s="31" t="s">
        <v>217</v>
      </c>
    </row>
    <row r="301" spans="2:41" ht="21.75" customHeight="1" x14ac:dyDescent="0.45">
      <c r="B301" t="s">
        <v>99</v>
      </c>
      <c r="E301" s="31" t="s">
        <v>1711</v>
      </c>
      <c r="F301" t="str">
        <f>"Warengruppe&gt;&gt;"&amp;Migrationsartikel!V299&amp;"&gt;&gt;"&amp;Migrationsartikel!W299&amp;"&gt;&gt;"&amp;Migrationsartikel!X299</f>
        <v>Warengruppe&gt;&gt;&gt;&gt;&gt;&gt;</v>
      </c>
      <c r="H301" s="31" t="s">
        <v>109</v>
      </c>
      <c r="I301" s="31" t="s">
        <v>121</v>
      </c>
      <c r="J301" s="31">
        <f>Migrationsartikel!B299</f>
        <v>0</v>
      </c>
      <c r="L301" t="str">
        <f>Migrationsartikel!F299&amp;" "&amp;Migrationsartikel!G299&amp;" "&amp;Migrationsartikel!H299</f>
        <v xml:space="preserve">  </v>
      </c>
      <c r="M301" t="str">
        <f>Migrationsartikel!J299&amp;" "&amp;Migrationsartikel!K299&amp;" "&amp;Migrationsartikel!L299</f>
        <v xml:space="preserve">  </v>
      </c>
      <c r="N301" t="str">
        <f>Migrationsartikel!N299&amp;" "&amp;Migrationsartikel!O299&amp;" "&amp;Migrationsartikel!P299</f>
        <v xml:space="preserve">  </v>
      </c>
      <c r="O301">
        <f>Migrationsartikel!F299</f>
        <v>0</v>
      </c>
      <c r="P301">
        <f>Migrationsartikel!J299</f>
        <v>0</v>
      </c>
      <c r="Q301">
        <f>Migrationsartikel!N299</f>
        <v>0</v>
      </c>
      <c r="R301">
        <f>Migrationsartikel!G299</f>
        <v>0</v>
      </c>
      <c r="S301">
        <f>Migrationsartikel!K299</f>
        <v>0</v>
      </c>
      <c r="T301">
        <f>Migrationsartikel!O299</f>
        <v>0</v>
      </c>
      <c r="U301" s="31">
        <f>Migrationsartikel!H299</f>
        <v>0</v>
      </c>
      <c r="V301" s="31">
        <f>Migrationsartikel!L299</f>
        <v>0</v>
      </c>
      <c r="W301" s="31">
        <f>Migrationsartikel!P299</f>
        <v>0</v>
      </c>
      <c r="X301">
        <f>Migrationsartikel!I299</f>
        <v>0</v>
      </c>
      <c r="Y301">
        <f>Migrationsartikel!M299</f>
        <v>0</v>
      </c>
      <c r="Z301">
        <f>Migrationsartikel!Q299</f>
        <v>0</v>
      </c>
      <c r="AA301" s="45">
        <f>Migrationsartikel!R299</f>
        <v>0</v>
      </c>
      <c r="AB301" s="46">
        <f>Migrationsartikel!T299</f>
        <v>0</v>
      </c>
      <c r="AC301">
        <f>Migrationsartikel!S299</f>
        <v>0</v>
      </c>
      <c r="AD301">
        <f>Migrationsartikel!U299</f>
        <v>0</v>
      </c>
      <c r="AE301" s="31" t="s">
        <v>179</v>
      </c>
      <c r="AF301" s="31" t="s">
        <v>192</v>
      </c>
      <c r="AG301" t="b">
        <f>IF(Migrationsartikel!AB299="ja","true",FALSE)</f>
        <v>0</v>
      </c>
      <c r="AH301" t="b">
        <f>IF(Migrationsartikel!AC299="ja","true",FALSE)</f>
        <v>0</v>
      </c>
      <c r="AI301" t="b">
        <f>IF(Migrationsartikel!AD299="ja","true",FALSE)</f>
        <v>0</v>
      </c>
      <c r="AJ301" t="b">
        <f>IF(Migrationsartikel!AE299="ja","true",FALSE)</f>
        <v>0</v>
      </c>
      <c r="AK301" t="str">
        <f>IF(Migrationsartikel!AF299="ja","Denner Partner","")</f>
        <v/>
      </c>
      <c r="AL301" t="str">
        <f>IF(Migrationsartikel!AG299="ja","true","false")</f>
        <v>false</v>
      </c>
      <c r="AM301" t="str">
        <f t="shared" si="4"/>
        <v>PLU</v>
      </c>
      <c r="AN301" s="31" t="s">
        <v>219</v>
      </c>
      <c r="AO301" s="31" t="s">
        <v>217</v>
      </c>
    </row>
    <row r="302" spans="2:41" ht="21.75" customHeight="1" x14ac:dyDescent="0.45">
      <c r="B302" t="s">
        <v>99</v>
      </c>
      <c r="E302" s="31" t="s">
        <v>1712</v>
      </c>
      <c r="F302" t="str">
        <f>"Warengruppe&gt;&gt;"&amp;Migrationsartikel!V300&amp;"&gt;&gt;"&amp;Migrationsartikel!W300&amp;"&gt;&gt;"&amp;Migrationsartikel!X300</f>
        <v>Warengruppe&gt;&gt;&gt;&gt;&gt;&gt;</v>
      </c>
      <c r="H302" s="31" t="s">
        <v>109</v>
      </c>
      <c r="I302" s="31" t="s">
        <v>121</v>
      </c>
      <c r="J302" s="31">
        <f>Migrationsartikel!B300</f>
        <v>0</v>
      </c>
      <c r="L302" t="str">
        <f>Migrationsartikel!F300&amp;" "&amp;Migrationsartikel!G300&amp;" "&amp;Migrationsartikel!H300</f>
        <v xml:space="preserve">  </v>
      </c>
      <c r="M302" t="str">
        <f>Migrationsartikel!J300&amp;" "&amp;Migrationsartikel!K300&amp;" "&amp;Migrationsartikel!L300</f>
        <v xml:space="preserve">  </v>
      </c>
      <c r="N302" t="str">
        <f>Migrationsartikel!N300&amp;" "&amp;Migrationsartikel!O300&amp;" "&amp;Migrationsartikel!P300</f>
        <v xml:space="preserve">  </v>
      </c>
      <c r="O302">
        <f>Migrationsartikel!F300</f>
        <v>0</v>
      </c>
      <c r="P302">
        <f>Migrationsartikel!J300</f>
        <v>0</v>
      </c>
      <c r="Q302">
        <f>Migrationsartikel!N300</f>
        <v>0</v>
      </c>
      <c r="R302">
        <f>Migrationsartikel!G300</f>
        <v>0</v>
      </c>
      <c r="S302">
        <f>Migrationsartikel!K300</f>
        <v>0</v>
      </c>
      <c r="T302">
        <f>Migrationsartikel!O300</f>
        <v>0</v>
      </c>
      <c r="U302" s="31">
        <f>Migrationsartikel!H300</f>
        <v>0</v>
      </c>
      <c r="V302" s="31">
        <f>Migrationsartikel!L300</f>
        <v>0</v>
      </c>
      <c r="W302" s="31">
        <f>Migrationsartikel!P300</f>
        <v>0</v>
      </c>
      <c r="X302">
        <f>Migrationsartikel!I300</f>
        <v>0</v>
      </c>
      <c r="Y302">
        <f>Migrationsartikel!M300</f>
        <v>0</v>
      </c>
      <c r="Z302">
        <f>Migrationsartikel!Q300</f>
        <v>0</v>
      </c>
      <c r="AA302" s="45">
        <f>Migrationsartikel!R300</f>
        <v>0</v>
      </c>
      <c r="AB302" s="46">
        <f>Migrationsartikel!T300</f>
        <v>0</v>
      </c>
      <c r="AC302">
        <f>Migrationsartikel!S300</f>
        <v>0</v>
      </c>
      <c r="AD302">
        <f>Migrationsartikel!U300</f>
        <v>0</v>
      </c>
      <c r="AE302" s="31" t="s">
        <v>179</v>
      </c>
      <c r="AF302" s="31" t="s">
        <v>192</v>
      </c>
      <c r="AG302" t="b">
        <f>IF(Migrationsartikel!AB300="ja","true",FALSE)</f>
        <v>0</v>
      </c>
      <c r="AH302" t="b">
        <f>IF(Migrationsartikel!AC300="ja","true",FALSE)</f>
        <v>0</v>
      </c>
      <c r="AI302" t="b">
        <f>IF(Migrationsartikel!AD300="ja","true",FALSE)</f>
        <v>0</v>
      </c>
      <c r="AJ302" t="b">
        <f>IF(Migrationsartikel!AE300="ja","true",FALSE)</f>
        <v>0</v>
      </c>
      <c r="AK302" t="str">
        <f>IF(Migrationsartikel!AF300="ja","Denner Partner","")</f>
        <v/>
      </c>
      <c r="AL302" t="str">
        <f>IF(Migrationsartikel!AG300="ja","true","false")</f>
        <v>false</v>
      </c>
      <c r="AM302" t="str">
        <f t="shared" si="4"/>
        <v>PLU</v>
      </c>
      <c r="AN302" s="31" t="s">
        <v>219</v>
      </c>
      <c r="AO302" s="31" t="s">
        <v>217</v>
      </c>
    </row>
    <row r="303" spans="2:41" ht="21.75" customHeight="1" x14ac:dyDescent="0.45">
      <c r="B303" t="s">
        <v>99</v>
      </c>
      <c r="E303" s="31" t="s">
        <v>1713</v>
      </c>
      <c r="F303" t="str">
        <f>"Warengruppe&gt;&gt;"&amp;Migrationsartikel!V301&amp;"&gt;&gt;"&amp;Migrationsartikel!W301&amp;"&gt;&gt;"&amp;Migrationsartikel!X301</f>
        <v>Warengruppe&gt;&gt;&gt;&gt;&gt;&gt;</v>
      </c>
      <c r="H303" s="31" t="s">
        <v>109</v>
      </c>
      <c r="I303" s="31" t="s">
        <v>121</v>
      </c>
      <c r="J303" s="31">
        <f>Migrationsartikel!B301</f>
        <v>0</v>
      </c>
      <c r="L303" t="str">
        <f>Migrationsartikel!F301&amp;" "&amp;Migrationsartikel!G301&amp;" "&amp;Migrationsartikel!H301</f>
        <v xml:space="preserve">  </v>
      </c>
      <c r="M303" t="str">
        <f>Migrationsartikel!J301&amp;" "&amp;Migrationsartikel!K301&amp;" "&amp;Migrationsartikel!L301</f>
        <v xml:space="preserve">  </v>
      </c>
      <c r="N303" t="str">
        <f>Migrationsartikel!N301&amp;" "&amp;Migrationsartikel!O301&amp;" "&amp;Migrationsartikel!P301</f>
        <v xml:space="preserve">  </v>
      </c>
      <c r="O303">
        <f>Migrationsartikel!F301</f>
        <v>0</v>
      </c>
      <c r="P303">
        <f>Migrationsartikel!J301</f>
        <v>0</v>
      </c>
      <c r="Q303">
        <f>Migrationsartikel!N301</f>
        <v>0</v>
      </c>
      <c r="R303">
        <f>Migrationsartikel!G301</f>
        <v>0</v>
      </c>
      <c r="S303">
        <f>Migrationsartikel!K301</f>
        <v>0</v>
      </c>
      <c r="T303">
        <f>Migrationsartikel!O301</f>
        <v>0</v>
      </c>
      <c r="U303" s="31">
        <f>Migrationsartikel!H301</f>
        <v>0</v>
      </c>
      <c r="V303" s="31">
        <f>Migrationsartikel!L301</f>
        <v>0</v>
      </c>
      <c r="W303" s="31">
        <f>Migrationsartikel!P301</f>
        <v>0</v>
      </c>
      <c r="X303">
        <f>Migrationsartikel!I301</f>
        <v>0</v>
      </c>
      <c r="Y303">
        <f>Migrationsartikel!M301</f>
        <v>0</v>
      </c>
      <c r="Z303">
        <f>Migrationsartikel!Q301</f>
        <v>0</v>
      </c>
      <c r="AA303" s="45">
        <f>Migrationsartikel!R301</f>
        <v>0</v>
      </c>
      <c r="AB303" s="46">
        <f>Migrationsartikel!T301</f>
        <v>0</v>
      </c>
      <c r="AC303">
        <f>Migrationsartikel!S301</f>
        <v>0</v>
      </c>
      <c r="AD303">
        <f>Migrationsartikel!U301</f>
        <v>0</v>
      </c>
      <c r="AE303" s="31" t="s">
        <v>179</v>
      </c>
      <c r="AF303" s="31" t="s">
        <v>192</v>
      </c>
      <c r="AG303" t="b">
        <f>IF(Migrationsartikel!AB301="ja","true",FALSE)</f>
        <v>0</v>
      </c>
      <c r="AH303" t="b">
        <f>IF(Migrationsartikel!AC301="ja","true",FALSE)</f>
        <v>0</v>
      </c>
      <c r="AI303" t="b">
        <f>IF(Migrationsartikel!AD301="ja","true",FALSE)</f>
        <v>0</v>
      </c>
      <c r="AJ303" t="b">
        <f>IF(Migrationsartikel!AE301="ja","true",FALSE)</f>
        <v>0</v>
      </c>
      <c r="AK303" t="str">
        <f>IF(Migrationsartikel!AF301="ja","Denner Partner","")</f>
        <v/>
      </c>
      <c r="AL303" t="str">
        <f>IF(Migrationsartikel!AG301="ja","true","false")</f>
        <v>false</v>
      </c>
      <c r="AM303" t="str">
        <f t="shared" si="4"/>
        <v>PLU</v>
      </c>
      <c r="AN303" s="31" t="s">
        <v>219</v>
      </c>
      <c r="AO303" s="31" t="s">
        <v>217</v>
      </c>
    </row>
    <row r="304" spans="2:41" ht="21.75" customHeight="1" x14ac:dyDescent="0.45">
      <c r="B304" t="s">
        <v>99</v>
      </c>
      <c r="E304" s="31" t="s">
        <v>1714</v>
      </c>
      <c r="F304" t="str">
        <f>"Warengruppe&gt;&gt;"&amp;Migrationsartikel!V302&amp;"&gt;&gt;"&amp;Migrationsartikel!W302&amp;"&gt;&gt;"&amp;Migrationsartikel!X302</f>
        <v>Warengruppe&gt;&gt;&gt;&gt;&gt;&gt;</v>
      </c>
      <c r="H304" s="31" t="s">
        <v>109</v>
      </c>
      <c r="I304" s="31" t="s">
        <v>121</v>
      </c>
      <c r="J304" s="31">
        <f>Migrationsartikel!B302</f>
        <v>0</v>
      </c>
      <c r="L304" t="str">
        <f>Migrationsartikel!F302&amp;" "&amp;Migrationsartikel!G302&amp;" "&amp;Migrationsartikel!H302</f>
        <v xml:space="preserve">  </v>
      </c>
      <c r="M304" t="str">
        <f>Migrationsartikel!J302&amp;" "&amp;Migrationsartikel!K302&amp;" "&amp;Migrationsartikel!L302</f>
        <v xml:space="preserve">  </v>
      </c>
      <c r="N304" t="str">
        <f>Migrationsartikel!N302&amp;" "&amp;Migrationsartikel!O302&amp;" "&amp;Migrationsartikel!P302</f>
        <v xml:space="preserve">  </v>
      </c>
      <c r="O304">
        <f>Migrationsartikel!F302</f>
        <v>0</v>
      </c>
      <c r="P304">
        <f>Migrationsartikel!J302</f>
        <v>0</v>
      </c>
      <c r="Q304">
        <f>Migrationsartikel!N302</f>
        <v>0</v>
      </c>
      <c r="R304">
        <f>Migrationsartikel!G302</f>
        <v>0</v>
      </c>
      <c r="S304">
        <f>Migrationsartikel!K302</f>
        <v>0</v>
      </c>
      <c r="T304">
        <f>Migrationsartikel!O302</f>
        <v>0</v>
      </c>
      <c r="U304" s="31">
        <f>Migrationsartikel!H302</f>
        <v>0</v>
      </c>
      <c r="V304" s="31">
        <f>Migrationsartikel!L302</f>
        <v>0</v>
      </c>
      <c r="W304" s="31">
        <f>Migrationsartikel!P302</f>
        <v>0</v>
      </c>
      <c r="X304">
        <f>Migrationsartikel!I302</f>
        <v>0</v>
      </c>
      <c r="Y304">
        <f>Migrationsartikel!M302</f>
        <v>0</v>
      </c>
      <c r="Z304">
        <f>Migrationsartikel!Q302</f>
        <v>0</v>
      </c>
      <c r="AA304" s="45">
        <f>Migrationsartikel!R302</f>
        <v>0</v>
      </c>
      <c r="AB304" s="46">
        <f>Migrationsartikel!T302</f>
        <v>0</v>
      </c>
      <c r="AC304">
        <f>Migrationsartikel!S302</f>
        <v>0</v>
      </c>
      <c r="AD304">
        <f>Migrationsartikel!U302</f>
        <v>0</v>
      </c>
      <c r="AE304" s="31" t="s">
        <v>179</v>
      </c>
      <c r="AF304" s="31" t="s">
        <v>192</v>
      </c>
      <c r="AG304" t="b">
        <f>IF(Migrationsartikel!AB302="ja","true",FALSE)</f>
        <v>0</v>
      </c>
      <c r="AH304" t="b">
        <f>IF(Migrationsartikel!AC302="ja","true",FALSE)</f>
        <v>0</v>
      </c>
      <c r="AI304" t="b">
        <f>IF(Migrationsartikel!AD302="ja","true",FALSE)</f>
        <v>0</v>
      </c>
      <c r="AJ304" t="b">
        <f>IF(Migrationsartikel!AE302="ja","true",FALSE)</f>
        <v>0</v>
      </c>
      <c r="AK304" t="str">
        <f>IF(Migrationsartikel!AF302="ja","Denner Partner","")</f>
        <v/>
      </c>
      <c r="AL304" t="str">
        <f>IF(Migrationsartikel!AG302="ja","true","false")</f>
        <v>false</v>
      </c>
      <c r="AM304" t="str">
        <f t="shared" si="4"/>
        <v>PLU</v>
      </c>
      <c r="AN304" s="31" t="s">
        <v>219</v>
      </c>
      <c r="AO304" s="31" t="s">
        <v>217</v>
      </c>
    </row>
    <row r="305" spans="2:41" ht="21.75" customHeight="1" x14ac:dyDescent="0.45">
      <c r="B305" t="s">
        <v>99</v>
      </c>
      <c r="E305" s="31" t="s">
        <v>1715</v>
      </c>
      <c r="F305" t="str">
        <f>"Warengruppe&gt;&gt;"&amp;Migrationsartikel!V303&amp;"&gt;&gt;"&amp;Migrationsartikel!W303&amp;"&gt;&gt;"&amp;Migrationsartikel!X303</f>
        <v>Warengruppe&gt;&gt;&gt;&gt;&gt;&gt;</v>
      </c>
      <c r="H305" s="31" t="s">
        <v>109</v>
      </c>
      <c r="I305" s="31" t="s">
        <v>121</v>
      </c>
      <c r="J305" s="31">
        <f>Migrationsartikel!B303</f>
        <v>0</v>
      </c>
      <c r="L305" t="str">
        <f>Migrationsartikel!F303&amp;" "&amp;Migrationsartikel!G303&amp;" "&amp;Migrationsartikel!H303</f>
        <v xml:space="preserve">  </v>
      </c>
      <c r="M305" t="str">
        <f>Migrationsartikel!J303&amp;" "&amp;Migrationsartikel!K303&amp;" "&amp;Migrationsartikel!L303</f>
        <v xml:space="preserve">  </v>
      </c>
      <c r="N305" t="str">
        <f>Migrationsartikel!N303&amp;" "&amp;Migrationsartikel!O303&amp;" "&amp;Migrationsartikel!P303</f>
        <v xml:space="preserve">  </v>
      </c>
      <c r="O305">
        <f>Migrationsartikel!F303</f>
        <v>0</v>
      </c>
      <c r="P305">
        <f>Migrationsartikel!J303</f>
        <v>0</v>
      </c>
      <c r="Q305">
        <f>Migrationsartikel!N303</f>
        <v>0</v>
      </c>
      <c r="R305">
        <f>Migrationsartikel!G303</f>
        <v>0</v>
      </c>
      <c r="S305">
        <f>Migrationsartikel!K303</f>
        <v>0</v>
      </c>
      <c r="T305">
        <f>Migrationsartikel!O303</f>
        <v>0</v>
      </c>
      <c r="U305" s="31">
        <f>Migrationsartikel!H303</f>
        <v>0</v>
      </c>
      <c r="V305" s="31">
        <f>Migrationsartikel!L303</f>
        <v>0</v>
      </c>
      <c r="W305" s="31">
        <f>Migrationsartikel!P303</f>
        <v>0</v>
      </c>
      <c r="X305">
        <f>Migrationsartikel!I303</f>
        <v>0</v>
      </c>
      <c r="Y305">
        <f>Migrationsartikel!M303</f>
        <v>0</v>
      </c>
      <c r="Z305">
        <f>Migrationsartikel!Q303</f>
        <v>0</v>
      </c>
      <c r="AA305" s="45">
        <f>Migrationsartikel!R303</f>
        <v>0</v>
      </c>
      <c r="AB305" s="46">
        <f>Migrationsartikel!T303</f>
        <v>0</v>
      </c>
      <c r="AC305">
        <f>Migrationsartikel!S303</f>
        <v>0</v>
      </c>
      <c r="AD305">
        <f>Migrationsartikel!U303</f>
        <v>0</v>
      </c>
      <c r="AE305" s="31" t="s">
        <v>179</v>
      </c>
      <c r="AF305" s="31" t="s">
        <v>192</v>
      </c>
      <c r="AG305" t="b">
        <f>IF(Migrationsartikel!AB303="ja","true",FALSE)</f>
        <v>0</v>
      </c>
      <c r="AH305" t="b">
        <f>IF(Migrationsartikel!AC303="ja","true",FALSE)</f>
        <v>0</v>
      </c>
      <c r="AI305" t="b">
        <f>IF(Migrationsartikel!AD303="ja","true",FALSE)</f>
        <v>0</v>
      </c>
      <c r="AJ305" t="b">
        <f>IF(Migrationsartikel!AE303="ja","true",FALSE)</f>
        <v>0</v>
      </c>
      <c r="AK305" t="str">
        <f>IF(Migrationsartikel!AF303="ja","Denner Partner","")</f>
        <v/>
      </c>
      <c r="AL305" t="str">
        <f>IF(Migrationsartikel!AG303="ja","true","false")</f>
        <v>false</v>
      </c>
      <c r="AM305" t="str">
        <f t="shared" si="4"/>
        <v>PLU</v>
      </c>
      <c r="AN305" s="31" t="s">
        <v>219</v>
      </c>
      <c r="AO305" s="31" t="s">
        <v>217</v>
      </c>
    </row>
    <row r="306" spans="2:41" ht="21.75" customHeight="1" x14ac:dyDescent="0.45">
      <c r="B306" t="s">
        <v>99</v>
      </c>
      <c r="E306" s="31" t="s">
        <v>1716</v>
      </c>
      <c r="F306" t="str">
        <f>"Warengruppe&gt;&gt;"&amp;Migrationsartikel!V304&amp;"&gt;&gt;"&amp;Migrationsartikel!W304&amp;"&gt;&gt;"&amp;Migrationsartikel!X304</f>
        <v>Warengruppe&gt;&gt;&gt;&gt;&gt;&gt;</v>
      </c>
      <c r="H306" s="31" t="s">
        <v>109</v>
      </c>
      <c r="I306" s="31" t="s">
        <v>121</v>
      </c>
      <c r="J306" s="31">
        <f>Migrationsartikel!B304</f>
        <v>0</v>
      </c>
      <c r="L306" t="str">
        <f>Migrationsartikel!F304&amp;" "&amp;Migrationsartikel!G304&amp;" "&amp;Migrationsartikel!H304</f>
        <v xml:space="preserve">  </v>
      </c>
      <c r="M306" t="str">
        <f>Migrationsartikel!J304&amp;" "&amp;Migrationsartikel!K304&amp;" "&amp;Migrationsartikel!L304</f>
        <v xml:space="preserve">  </v>
      </c>
      <c r="N306" t="str">
        <f>Migrationsartikel!N304&amp;" "&amp;Migrationsartikel!O304&amp;" "&amp;Migrationsartikel!P304</f>
        <v xml:space="preserve">  </v>
      </c>
      <c r="O306">
        <f>Migrationsartikel!F304</f>
        <v>0</v>
      </c>
      <c r="P306">
        <f>Migrationsartikel!J304</f>
        <v>0</v>
      </c>
      <c r="Q306">
        <f>Migrationsartikel!N304</f>
        <v>0</v>
      </c>
      <c r="R306">
        <f>Migrationsartikel!G304</f>
        <v>0</v>
      </c>
      <c r="S306">
        <f>Migrationsartikel!K304</f>
        <v>0</v>
      </c>
      <c r="T306">
        <f>Migrationsartikel!O304</f>
        <v>0</v>
      </c>
      <c r="U306" s="31">
        <f>Migrationsartikel!H304</f>
        <v>0</v>
      </c>
      <c r="V306" s="31">
        <f>Migrationsartikel!L304</f>
        <v>0</v>
      </c>
      <c r="W306" s="31">
        <f>Migrationsartikel!P304</f>
        <v>0</v>
      </c>
      <c r="X306">
        <f>Migrationsartikel!I304</f>
        <v>0</v>
      </c>
      <c r="Y306">
        <f>Migrationsartikel!M304</f>
        <v>0</v>
      </c>
      <c r="Z306">
        <f>Migrationsartikel!Q304</f>
        <v>0</v>
      </c>
      <c r="AA306" s="45">
        <f>Migrationsartikel!R304</f>
        <v>0</v>
      </c>
      <c r="AB306" s="46">
        <f>Migrationsartikel!T304</f>
        <v>0</v>
      </c>
      <c r="AC306">
        <f>Migrationsartikel!S304</f>
        <v>0</v>
      </c>
      <c r="AD306">
        <f>Migrationsartikel!U304</f>
        <v>0</v>
      </c>
      <c r="AE306" s="31" t="s">
        <v>179</v>
      </c>
      <c r="AF306" s="31" t="s">
        <v>192</v>
      </c>
      <c r="AG306" t="b">
        <f>IF(Migrationsartikel!AB304="ja","true",FALSE)</f>
        <v>0</v>
      </c>
      <c r="AH306" t="b">
        <f>IF(Migrationsartikel!AC304="ja","true",FALSE)</f>
        <v>0</v>
      </c>
      <c r="AI306" t="b">
        <f>IF(Migrationsartikel!AD304="ja","true",FALSE)</f>
        <v>0</v>
      </c>
      <c r="AJ306" t="b">
        <f>IF(Migrationsartikel!AE304="ja","true",FALSE)</f>
        <v>0</v>
      </c>
      <c r="AK306" t="str">
        <f>IF(Migrationsartikel!AF304="ja","Denner Partner","")</f>
        <v/>
      </c>
      <c r="AL306" t="str">
        <f>IF(Migrationsartikel!AG304="ja","true","false")</f>
        <v>false</v>
      </c>
      <c r="AM306" t="str">
        <f t="shared" si="4"/>
        <v>PLU</v>
      </c>
      <c r="AN306" s="31" t="s">
        <v>219</v>
      </c>
      <c r="AO306" s="31" t="s">
        <v>217</v>
      </c>
    </row>
    <row r="307" spans="2:41" ht="21.75" customHeight="1" x14ac:dyDescent="0.45">
      <c r="B307" t="s">
        <v>99</v>
      </c>
      <c r="E307" s="31" t="s">
        <v>1717</v>
      </c>
      <c r="F307" t="str">
        <f>"Warengruppe&gt;&gt;"&amp;Migrationsartikel!V305&amp;"&gt;&gt;"&amp;Migrationsartikel!W305&amp;"&gt;&gt;"&amp;Migrationsartikel!X305</f>
        <v>Warengruppe&gt;&gt;&gt;&gt;&gt;&gt;</v>
      </c>
      <c r="H307" s="31" t="s">
        <v>109</v>
      </c>
      <c r="I307" s="31" t="s">
        <v>121</v>
      </c>
      <c r="J307" s="31">
        <f>Migrationsartikel!B305</f>
        <v>0</v>
      </c>
      <c r="L307" t="str">
        <f>Migrationsartikel!F305&amp;" "&amp;Migrationsartikel!G305&amp;" "&amp;Migrationsartikel!H305</f>
        <v xml:space="preserve">  </v>
      </c>
      <c r="M307" t="str">
        <f>Migrationsartikel!J305&amp;" "&amp;Migrationsartikel!K305&amp;" "&amp;Migrationsartikel!L305</f>
        <v xml:space="preserve">  </v>
      </c>
      <c r="N307" t="str">
        <f>Migrationsartikel!N305&amp;" "&amp;Migrationsartikel!O305&amp;" "&amp;Migrationsartikel!P305</f>
        <v xml:space="preserve">  </v>
      </c>
      <c r="O307">
        <f>Migrationsartikel!F305</f>
        <v>0</v>
      </c>
      <c r="P307">
        <f>Migrationsartikel!J305</f>
        <v>0</v>
      </c>
      <c r="Q307">
        <f>Migrationsartikel!N305</f>
        <v>0</v>
      </c>
      <c r="R307">
        <f>Migrationsartikel!G305</f>
        <v>0</v>
      </c>
      <c r="S307">
        <f>Migrationsartikel!K305</f>
        <v>0</v>
      </c>
      <c r="T307">
        <f>Migrationsartikel!O305</f>
        <v>0</v>
      </c>
      <c r="U307" s="31">
        <f>Migrationsartikel!H305</f>
        <v>0</v>
      </c>
      <c r="V307" s="31">
        <f>Migrationsartikel!L305</f>
        <v>0</v>
      </c>
      <c r="W307" s="31">
        <f>Migrationsartikel!P305</f>
        <v>0</v>
      </c>
      <c r="X307">
        <f>Migrationsartikel!I305</f>
        <v>0</v>
      </c>
      <c r="Y307">
        <f>Migrationsartikel!M305</f>
        <v>0</v>
      </c>
      <c r="Z307">
        <f>Migrationsartikel!Q305</f>
        <v>0</v>
      </c>
      <c r="AA307" s="45">
        <f>Migrationsartikel!R305</f>
        <v>0</v>
      </c>
      <c r="AB307" s="46">
        <f>Migrationsartikel!T305</f>
        <v>0</v>
      </c>
      <c r="AC307">
        <f>Migrationsartikel!S305</f>
        <v>0</v>
      </c>
      <c r="AD307">
        <f>Migrationsartikel!U305</f>
        <v>0</v>
      </c>
      <c r="AE307" s="31" t="s">
        <v>179</v>
      </c>
      <c r="AF307" s="31" t="s">
        <v>192</v>
      </c>
      <c r="AG307" t="b">
        <f>IF(Migrationsartikel!AB305="ja","true",FALSE)</f>
        <v>0</v>
      </c>
      <c r="AH307" t="b">
        <f>IF(Migrationsartikel!AC305="ja","true",FALSE)</f>
        <v>0</v>
      </c>
      <c r="AI307" t="b">
        <f>IF(Migrationsartikel!AD305="ja","true",FALSE)</f>
        <v>0</v>
      </c>
      <c r="AJ307" t="b">
        <f>IF(Migrationsartikel!AE305="ja","true",FALSE)</f>
        <v>0</v>
      </c>
      <c r="AK307" t="str">
        <f>IF(Migrationsartikel!AF305="ja","Denner Partner","")</f>
        <v/>
      </c>
      <c r="AL307" t="str">
        <f>IF(Migrationsartikel!AG305="ja","true","false")</f>
        <v>false</v>
      </c>
      <c r="AM307" t="str">
        <f t="shared" si="4"/>
        <v>PLU</v>
      </c>
      <c r="AN307" s="31" t="s">
        <v>219</v>
      </c>
      <c r="AO307" s="31" t="s">
        <v>217</v>
      </c>
    </row>
    <row r="308" spans="2:41" ht="21.75" customHeight="1" x14ac:dyDescent="0.45">
      <c r="B308" t="s">
        <v>99</v>
      </c>
      <c r="E308" s="31" t="s">
        <v>1718</v>
      </c>
      <c r="F308" t="str">
        <f>"Warengruppe&gt;&gt;"&amp;Migrationsartikel!V306&amp;"&gt;&gt;"&amp;Migrationsartikel!W306&amp;"&gt;&gt;"&amp;Migrationsartikel!X306</f>
        <v>Warengruppe&gt;&gt;&gt;&gt;&gt;&gt;</v>
      </c>
      <c r="H308" s="31" t="s">
        <v>109</v>
      </c>
      <c r="I308" s="31" t="s">
        <v>121</v>
      </c>
      <c r="J308" s="31">
        <f>Migrationsartikel!B306</f>
        <v>0</v>
      </c>
      <c r="L308" t="str">
        <f>Migrationsartikel!F306&amp;" "&amp;Migrationsartikel!G306&amp;" "&amp;Migrationsartikel!H306</f>
        <v xml:space="preserve">  </v>
      </c>
      <c r="M308" t="str">
        <f>Migrationsartikel!J306&amp;" "&amp;Migrationsartikel!K306&amp;" "&amp;Migrationsartikel!L306</f>
        <v xml:space="preserve">  </v>
      </c>
      <c r="N308" t="str">
        <f>Migrationsartikel!N306&amp;" "&amp;Migrationsartikel!O306&amp;" "&amp;Migrationsartikel!P306</f>
        <v xml:space="preserve">  </v>
      </c>
      <c r="O308">
        <f>Migrationsartikel!F306</f>
        <v>0</v>
      </c>
      <c r="P308">
        <f>Migrationsartikel!J306</f>
        <v>0</v>
      </c>
      <c r="Q308">
        <f>Migrationsartikel!N306</f>
        <v>0</v>
      </c>
      <c r="R308">
        <f>Migrationsartikel!G306</f>
        <v>0</v>
      </c>
      <c r="S308">
        <f>Migrationsartikel!K306</f>
        <v>0</v>
      </c>
      <c r="T308">
        <f>Migrationsartikel!O306</f>
        <v>0</v>
      </c>
      <c r="U308" s="31">
        <f>Migrationsartikel!H306</f>
        <v>0</v>
      </c>
      <c r="V308" s="31">
        <f>Migrationsartikel!L306</f>
        <v>0</v>
      </c>
      <c r="W308" s="31">
        <f>Migrationsartikel!P306</f>
        <v>0</v>
      </c>
      <c r="X308">
        <f>Migrationsartikel!I306</f>
        <v>0</v>
      </c>
      <c r="Y308">
        <f>Migrationsartikel!M306</f>
        <v>0</v>
      </c>
      <c r="Z308">
        <f>Migrationsartikel!Q306</f>
        <v>0</v>
      </c>
      <c r="AA308" s="45">
        <f>Migrationsartikel!R306</f>
        <v>0</v>
      </c>
      <c r="AB308" s="46">
        <f>Migrationsartikel!T306</f>
        <v>0</v>
      </c>
      <c r="AC308">
        <f>Migrationsartikel!S306</f>
        <v>0</v>
      </c>
      <c r="AD308">
        <f>Migrationsartikel!U306</f>
        <v>0</v>
      </c>
      <c r="AE308" s="31" t="s">
        <v>179</v>
      </c>
      <c r="AF308" s="31" t="s">
        <v>192</v>
      </c>
      <c r="AG308" t="b">
        <f>IF(Migrationsartikel!AB306="ja","true",FALSE)</f>
        <v>0</v>
      </c>
      <c r="AH308" t="b">
        <f>IF(Migrationsartikel!AC306="ja","true",FALSE)</f>
        <v>0</v>
      </c>
      <c r="AI308" t="b">
        <f>IF(Migrationsartikel!AD306="ja","true",FALSE)</f>
        <v>0</v>
      </c>
      <c r="AJ308" t="b">
        <f>IF(Migrationsartikel!AE306="ja","true",FALSE)</f>
        <v>0</v>
      </c>
      <c r="AK308" t="str">
        <f>IF(Migrationsartikel!AF306="ja","Denner Partner","")</f>
        <v/>
      </c>
      <c r="AL308" t="str">
        <f>IF(Migrationsartikel!AG306="ja","true","false")</f>
        <v>false</v>
      </c>
      <c r="AM308" t="str">
        <f t="shared" si="4"/>
        <v>PLU</v>
      </c>
      <c r="AN308" s="31" t="s">
        <v>219</v>
      </c>
      <c r="AO308" s="31" t="s">
        <v>217</v>
      </c>
    </row>
    <row r="309" spans="2:41" ht="21.75" customHeight="1" x14ac:dyDescent="0.45">
      <c r="B309" t="s">
        <v>99</v>
      </c>
      <c r="E309" s="31" t="s">
        <v>1719</v>
      </c>
      <c r="F309" t="str">
        <f>"Warengruppe&gt;&gt;"&amp;Migrationsartikel!V307&amp;"&gt;&gt;"&amp;Migrationsartikel!W307&amp;"&gt;&gt;"&amp;Migrationsartikel!X307</f>
        <v>Warengruppe&gt;&gt;&gt;&gt;&gt;&gt;</v>
      </c>
      <c r="H309" s="31" t="s">
        <v>109</v>
      </c>
      <c r="I309" s="31" t="s">
        <v>121</v>
      </c>
      <c r="J309" s="31">
        <f>Migrationsartikel!B307</f>
        <v>0</v>
      </c>
      <c r="L309" t="str">
        <f>Migrationsartikel!F307&amp;" "&amp;Migrationsartikel!G307&amp;" "&amp;Migrationsartikel!H307</f>
        <v xml:space="preserve">  </v>
      </c>
      <c r="M309" t="str">
        <f>Migrationsartikel!J307&amp;" "&amp;Migrationsartikel!K307&amp;" "&amp;Migrationsartikel!L307</f>
        <v xml:space="preserve">  </v>
      </c>
      <c r="N309" t="str">
        <f>Migrationsartikel!N307&amp;" "&amp;Migrationsartikel!O307&amp;" "&amp;Migrationsartikel!P307</f>
        <v xml:space="preserve">  </v>
      </c>
      <c r="O309">
        <f>Migrationsartikel!F307</f>
        <v>0</v>
      </c>
      <c r="P309">
        <f>Migrationsartikel!J307</f>
        <v>0</v>
      </c>
      <c r="Q309">
        <f>Migrationsartikel!N307</f>
        <v>0</v>
      </c>
      <c r="R309">
        <f>Migrationsartikel!G307</f>
        <v>0</v>
      </c>
      <c r="S309">
        <f>Migrationsartikel!K307</f>
        <v>0</v>
      </c>
      <c r="T309">
        <f>Migrationsartikel!O307</f>
        <v>0</v>
      </c>
      <c r="U309" s="31">
        <f>Migrationsartikel!H307</f>
        <v>0</v>
      </c>
      <c r="V309" s="31">
        <f>Migrationsartikel!L307</f>
        <v>0</v>
      </c>
      <c r="W309" s="31">
        <f>Migrationsartikel!P307</f>
        <v>0</v>
      </c>
      <c r="X309">
        <f>Migrationsartikel!I307</f>
        <v>0</v>
      </c>
      <c r="Y309">
        <f>Migrationsartikel!M307</f>
        <v>0</v>
      </c>
      <c r="Z309">
        <f>Migrationsartikel!Q307</f>
        <v>0</v>
      </c>
      <c r="AA309" s="45">
        <f>Migrationsartikel!R307</f>
        <v>0</v>
      </c>
      <c r="AB309" s="46">
        <f>Migrationsartikel!T307</f>
        <v>0</v>
      </c>
      <c r="AC309">
        <f>Migrationsartikel!S307</f>
        <v>0</v>
      </c>
      <c r="AD309">
        <f>Migrationsartikel!U307</f>
        <v>0</v>
      </c>
      <c r="AE309" s="31" t="s">
        <v>179</v>
      </c>
      <c r="AF309" s="31" t="s">
        <v>192</v>
      </c>
      <c r="AG309" t="b">
        <f>IF(Migrationsartikel!AB307="ja","true",FALSE)</f>
        <v>0</v>
      </c>
      <c r="AH309" t="b">
        <f>IF(Migrationsartikel!AC307="ja","true",FALSE)</f>
        <v>0</v>
      </c>
      <c r="AI309" t="b">
        <f>IF(Migrationsartikel!AD307="ja","true",FALSE)</f>
        <v>0</v>
      </c>
      <c r="AJ309" t="b">
        <f>IF(Migrationsartikel!AE307="ja","true",FALSE)</f>
        <v>0</v>
      </c>
      <c r="AK309" t="str">
        <f>IF(Migrationsartikel!AF307="ja","Denner Partner","")</f>
        <v/>
      </c>
      <c r="AL309" t="str">
        <f>IF(Migrationsartikel!AG307="ja","true","false")</f>
        <v>false</v>
      </c>
      <c r="AM309" t="str">
        <f t="shared" si="4"/>
        <v>PLU</v>
      </c>
      <c r="AN309" s="31" t="s">
        <v>219</v>
      </c>
      <c r="AO309" s="31" t="s">
        <v>217</v>
      </c>
    </row>
    <row r="310" spans="2:41" ht="21.75" customHeight="1" x14ac:dyDescent="0.45">
      <c r="B310" t="s">
        <v>99</v>
      </c>
      <c r="E310" s="31" t="s">
        <v>1720</v>
      </c>
      <c r="F310" t="str">
        <f>"Warengruppe&gt;&gt;"&amp;Migrationsartikel!V308&amp;"&gt;&gt;"&amp;Migrationsartikel!W308&amp;"&gt;&gt;"&amp;Migrationsartikel!X308</f>
        <v>Warengruppe&gt;&gt;&gt;&gt;&gt;&gt;</v>
      </c>
      <c r="H310" s="31" t="s">
        <v>109</v>
      </c>
      <c r="I310" s="31" t="s">
        <v>121</v>
      </c>
      <c r="J310" s="31">
        <f>Migrationsartikel!B308</f>
        <v>0</v>
      </c>
      <c r="L310" t="str">
        <f>Migrationsartikel!F308&amp;" "&amp;Migrationsartikel!G308&amp;" "&amp;Migrationsartikel!H308</f>
        <v xml:space="preserve">  </v>
      </c>
      <c r="M310" t="str">
        <f>Migrationsartikel!J308&amp;" "&amp;Migrationsartikel!K308&amp;" "&amp;Migrationsartikel!L308</f>
        <v xml:space="preserve">  </v>
      </c>
      <c r="N310" t="str">
        <f>Migrationsartikel!N308&amp;" "&amp;Migrationsartikel!O308&amp;" "&amp;Migrationsartikel!P308</f>
        <v xml:space="preserve">  </v>
      </c>
      <c r="O310">
        <f>Migrationsartikel!F308</f>
        <v>0</v>
      </c>
      <c r="P310">
        <f>Migrationsartikel!J308</f>
        <v>0</v>
      </c>
      <c r="Q310">
        <f>Migrationsartikel!N308</f>
        <v>0</v>
      </c>
      <c r="R310">
        <f>Migrationsartikel!G308</f>
        <v>0</v>
      </c>
      <c r="S310">
        <f>Migrationsartikel!K308</f>
        <v>0</v>
      </c>
      <c r="T310">
        <f>Migrationsartikel!O308</f>
        <v>0</v>
      </c>
      <c r="U310" s="31">
        <f>Migrationsartikel!H308</f>
        <v>0</v>
      </c>
      <c r="V310" s="31">
        <f>Migrationsartikel!L308</f>
        <v>0</v>
      </c>
      <c r="W310" s="31">
        <f>Migrationsartikel!P308</f>
        <v>0</v>
      </c>
      <c r="X310">
        <f>Migrationsartikel!I308</f>
        <v>0</v>
      </c>
      <c r="Y310">
        <f>Migrationsartikel!M308</f>
        <v>0</v>
      </c>
      <c r="Z310">
        <f>Migrationsartikel!Q308</f>
        <v>0</v>
      </c>
      <c r="AA310" s="45">
        <f>Migrationsartikel!R308</f>
        <v>0</v>
      </c>
      <c r="AB310" s="46">
        <f>Migrationsartikel!T308</f>
        <v>0</v>
      </c>
      <c r="AC310">
        <f>Migrationsartikel!S308</f>
        <v>0</v>
      </c>
      <c r="AD310">
        <f>Migrationsartikel!U308</f>
        <v>0</v>
      </c>
      <c r="AE310" s="31" t="s">
        <v>179</v>
      </c>
      <c r="AF310" s="31" t="s">
        <v>192</v>
      </c>
      <c r="AG310" t="b">
        <f>IF(Migrationsartikel!AB308="ja","true",FALSE)</f>
        <v>0</v>
      </c>
      <c r="AH310" t="b">
        <f>IF(Migrationsartikel!AC308="ja","true",FALSE)</f>
        <v>0</v>
      </c>
      <c r="AI310" t="b">
        <f>IF(Migrationsartikel!AD308="ja","true",FALSE)</f>
        <v>0</v>
      </c>
      <c r="AJ310" t="b">
        <f>IF(Migrationsartikel!AE308="ja","true",FALSE)</f>
        <v>0</v>
      </c>
      <c r="AK310" t="str">
        <f>IF(Migrationsartikel!AF308="ja","Denner Partner","")</f>
        <v/>
      </c>
      <c r="AL310" t="str">
        <f>IF(Migrationsartikel!AG308="ja","true","false")</f>
        <v>false</v>
      </c>
      <c r="AM310" t="str">
        <f t="shared" si="4"/>
        <v>PLU</v>
      </c>
      <c r="AN310" s="31" t="s">
        <v>219</v>
      </c>
      <c r="AO310" s="31" t="s">
        <v>217</v>
      </c>
    </row>
    <row r="311" spans="2:41" ht="21.75" customHeight="1" x14ac:dyDescent="0.45">
      <c r="B311" t="s">
        <v>99</v>
      </c>
      <c r="E311" s="31" t="s">
        <v>1721</v>
      </c>
      <c r="F311" t="str">
        <f>"Warengruppe&gt;&gt;"&amp;Migrationsartikel!V309&amp;"&gt;&gt;"&amp;Migrationsartikel!W309&amp;"&gt;&gt;"&amp;Migrationsartikel!X309</f>
        <v>Warengruppe&gt;&gt;&gt;&gt;&gt;&gt;</v>
      </c>
      <c r="H311" s="31" t="s">
        <v>109</v>
      </c>
      <c r="I311" s="31" t="s">
        <v>121</v>
      </c>
      <c r="J311" s="31">
        <f>Migrationsartikel!B309</f>
        <v>0</v>
      </c>
      <c r="L311" t="str">
        <f>Migrationsartikel!F309&amp;" "&amp;Migrationsartikel!G309&amp;" "&amp;Migrationsartikel!H309</f>
        <v xml:space="preserve">  </v>
      </c>
      <c r="M311" t="str">
        <f>Migrationsartikel!J309&amp;" "&amp;Migrationsartikel!K309&amp;" "&amp;Migrationsartikel!L309</f>
        <v xml:space="preserve">  </v>
      </c>
      <c r="N311" t="str">
        <f>Migrationsartikel!N309&amp;" "&amp;Migrationsartikel!O309&amp;" "&amp;Migrationsartikel!P309</f>
        <v xml:space="preserve">  </v>
      </c>
      <c r="O311">
        <f>Migrationsartikel!F309</f>
        <v>0</v>
      </c>
      <c r="P311">
        <f>Migrationsartikel!J309</f>
        <v>0</v>
      </c>
      <c r="Q311">
        <f>Migrationsartikel!N309</f>
        <v>0</v>
      </c>
      <c r="R311">
        <f>Migrationsartikel!G309</f>
        <v>0</v>
      </c>
      <c r="S311">
        <f>Migrationsartikel!K309</f>
        <v>0</v>
      </c>
      <c r="T311">
        <f>Migrationsartikel!O309</f>
        <v>0</v>
      </c>
      <c r="U311" s="31">
        <f>Migrationsartikel!H309</f>
        <v>0</v>
      </c>
      <c r="V311" s="31">
        <f>Migrationsartikel!L309</f>
        <v>0</v>
      </c>
      <c r="W311" s="31">
        <f>Migrationsartikel!P309</f>
        <v>0</v>
      </c>
      <c r="X311">
        <f>Migrationsartikel!I309</f>
        <v>0</v>
      </c>
      <c r="Y311">
        <f>Migrationsartikel!M309</f>
        <v>0</v>
      </c>
      <c r="Z311">
        <f>Migrationsartikel!Q309</f>
        <v>0</v>
      </c>
      <c r="AA311" s="45">
        <f>Migrationsartikel!R309</f>
        <v>0</v>
      </c>
      <c r="AB311" s="46">
        <f>Migrationsartikel!T309</f>
        <v>0</v>
      </c>
      <c r="AC311">
        <f>Migrationsartikel!S309</f>
        <v>0</v>
      </c>
      <c r="AD311">
        <f>Migrationsartikel!U309</f>
        <v>0</v>
      </c>
      <c r="AE311" s="31" t="s">
        <v>179</v>
      </c>
      <c r="AF311" s="31" t="s">
        <v>192</v>
      </c>
      <c r="AG311" t="b">
        <f>IF(Migrationsartikel!AB309="ja","true",FALSE)</f>
        <v>0</v>
      </c>
      <c r="AH311" t="b">
        <f>IF(Migrationsartikel!AC309="ja","true",FALSE)</f>
        <v>0</v>
      </c>
      <c r="AI311" t="b">
        <f>IF(Migrationsartikel!AD309="ja","true",FALSE)</f>
        <v>0</v>
      </c>
      <c r="AJ311" t="b">
        <f>IF(Migrationsartikel!AE309="ja","true",FALSE)</f>
        <v>0</v>
      </c>
      <c r="AK311" t="str">
        <f>IF(Migrationsartikel!AF309="ja","Denner Partner","")</f>
        <v/>
      </c>
      <c r="AL311" t="str">
        <f>IF(Migrationsartikel!AG309="ja","true","false")</f>
        <v>false</v>
      </c>
      <c r="AM311" t="str">
        <f t="shared" si="4"/>
        <v>PLU</v>
      </c>
      <c r="AN311" s="31" t="s">
        <v>219</v>
      </c>
      <c r="AO311" s="31" t="s">
        <v>217</v>
      </c>
    </row>
    <row r="312" spans="2:41" ht="21.75" customHeight="1" x14ac:dyDescent="0.45">
      <c r="B312" t="s">
        <v>99</v>
      </c>
      <c r="E312" s="31" t="s">
        <v>1722</v>
      </c>
      <c r="F312" t="str">
        <f>"Warengruppe&gt;&gt;"&amp;Migrationsartikel!V310&amp;"&gt;&gt;"&amp;Migrationsartikel!W310&amp;"&gt;&gt;"&amp;Migrationsartikel!X310</f>
        <v>Warengruppe&gt;&gt;&gt;&gt;&gt;&gt;</v>
      </c>
      <c r="H312" s="31" t="s">
        <v>109</v>
      </c>
      <c r="I312" s="31" t="s">
        <v>121</v>
      </c>
      <c r="J312" s="31">
        <f>Migrationsartikel!B310</f>
        <v>0</v>
      </c>
      <c r="L312" t="str">
        <f>Migrationsartikel!F310&amp;" "&amp;Migrationsartikel!G310&amp;" "&amp;Migrationsartikel!H310</f>
        <v xml:space="preserve">  </v>
      </c>
      <c r="M312" t="str">
        <f>Migrationsartikel!J310&amp;" "&amp;Migrationsartikel!K310&amp;" "&amp;Migrationsartikel!L310</f>
        <v xml:space="preserve">  </v>
      </c>
      <c r="N312" t="str">
        <f>Migrationsartikel!N310&amp;" "&amp;Migrationsartikel!O310&amp;" "&amp;Migrationsartikel!P310</f>
        <v xml:space="preserve">  </v>
      </c>
      <c r="O312">
        <f>Migrationsartikel!F310</f>
        <v>0</v>
      </c>
      <c r="P312">
        <f>Migrationsartikel!J310</f>
        <v>0</v>
      </c>
      <c r="Q312">
        <f>Migrationsartikel!N310</f>
        <v>0</v>
      </c>
      <c r="R312">
        <f>Migrationsartikel!G310</f>
        <v>0</v>
      </c>
      <c r="S312">
        <f>Migrationsartikel!K310</f>
        <v>0</v>
      </c>
      <c r="T312">
        <f>Migrationsartikel!O310</f>
        <v>0</v>
      </c>
      <c r="U312" s="31">
        <f>Migrationsartikel!H310</f>
        <v>0</v>
      </c>
      <c r="V312" s="31">
        <f>Migrationsartikel!L310</f>
        <v>0</v>
      </c>
      <c r="W312" s="31">
        <f>Migrationsartikel!P310</f>
        <v>0</v>
      </c>
      <c r="X312">
        <f>Migrationsartikel!I310</f>
        <v>0</v>
      </c>
      <c r="Y312">
        <f>Migrationsartikel!M310</f>
        <v>0</v>
      </c>
      <c r="Z312">
        <f>Migrationsartikel!Q310</f>
        <v>0</v>
      </c>
      <c r="AA312" s="45">
        <f>Migrationsartikel!R310</f>
        <v>0</v>
      </c>
      <c r="AB312" s="46">
        <f>Migrationsartikel!T310</f>
        <v>0</v>
      </c>
      <c r="AC312">
        <f>Migrationsartikel!S310</f>
        <v>0</v>
      </c>
      <c r="AD312">
        <f>Migrationsartikel!U310</f>
        <v>0</v>
      </c>
      <c r="AE312" s="31" t="s">
        <v>179</v>
      </c>
      <c r="AF312" s="31" t="s">
        <v>192</v>
      </c>
      <c r="AG312" t="b">
        <f>IF(Migrationsartikel!AB310="ja","true",FALSE)</f>
        <v>0</v>
      </c>
      <c r="AH312" t="b">
        <f>IF(Migrationsartikel!AC310="ja","true",FALSE)</f>
        <v>0</v>
      </c>
      <c r="AI312" t="b">
        <f>IF(Migrationsartikel!AD310="ja","true",FALSE)</f>
        <v>0</v>
      </c>
      <c r="AJ312" t="b">
        <f>IF(Migrationsartikel!AE310="ja","true",FALSE)</f>
        <v>0</v>
      </c>
      <c r="AK312" t="str">
        <f>IF(Migrationsartikel!AF310="ja","Denner Partner","")</f>
        <v/>
      </c>
      <c r="AL312" t="str">
        <f>IF(Migrationsartikel!AG310="ja","true","false")</f>
        <v>false</v>
      </c>
      <c r="AM312" t="str">
        <f t="shared" si="4"/>
        <v>PLU</v>
      </c>
      <c r="AN312" s="31" t="s">
        <v>219</v>
      </c>
      <c r="AO312" s="31" t="s">
        <v>217</v>
      </c>
    </row>
    <row r="313" spans="2:41" ht="21.75" customHeight="1" x14ac:dyDescent="0.45">
      <c r="B313" t="s">
        <v>99</v>
      </c>
      <c r="E313" s="31" t="s">
        <v>1723</v>
      </c>
      <c r="F313" t="str">
        <f>"Warengruppe&gt;&gt;"&amp;Migrationsartikel!V311&amp;"&gt;&gt;"&amp;Migrationsartikel!W311&amp;"&gt;&gt;"&amp;Migrationsartikel!X311</f>
        <v>Warengruppe&gt;&gt;&gt;&gt;&gt;&gt;</v>
      </c>
      <c r="H313" s="31" t="s">
        <v>109</v>
      </c>
      <c r="I313" s="31" t="s">
        <v>121</v>
      </c>
      <c r="J313" s="31">
        <f>Migrationsartikel!B311</f>
        <v>0</v>
      </c>
      <c r="L313" t="str">
        <f>Migrationsartikel!F311&amp;" "&amp;Migrationsartikel!G311&amp;" "&amp;Migrationsartikel!H311</f>
        <v xml:space="preserve">  </v>
      </c>
      <c r="M313" t="str">
        <f>Migrationsartikel!J311&amp;" "&amp;Migrationsartikel!K311&amp;" "&amp;Migrationsartikel!L311</f>
        <v xml:space="preserve">  </v>
      </c>
      <c r="N313" t="str">
        <f>Migrationsartikel!N311&amp;" "&amp;Migrationsartikel!O311&amp;" "&amp;Migrationsartikel!P311</f>
        <v xml:space="preserve">  </v>
      </c>
      <c r="O313">
        <f>Migrationsartikel!F311</f>
        <v>0</v>
      </c>
      <c r="P313">
        <f>Migrationsartikel!J311</f>
        <v>0</v>
      </c>
      <c r="Q313">
        <f>Migrationsartikel!N311</f>
        <v>0</v>
      </c>
      <c r="R313">
        <f>Migrationsartikel!G311</f>
        <v>0</v>
      </c>
      <c r="S313">
        <f>Migrationsartikel!K311</f>
        <v>0</v>
      </c>
      <c r="T313">
        <f>Migrationsartikel!O311</f>
        <v>0</v>
      </c>
      <c r="U313" s="31">
        <f>Migrationsartikel!H311</f>
        <v>0</v>
      </c>
      <c r="V313" s="31">
        <f>Migrationsartikel!L311</f>
        <v>0</v>
      </c>
      <c r="W313" s="31">
        <f>Migrationsartikel!P311</f>
        <v>0</v>
      </c>
      <c r="X313">
        <f>Migrationsartikel!I311</f>
        <v>0</v>
      </c>
      <c r="Y313">
        <f>Migrationsartikel!M311</f>
        <v>0</v>
      </c>
      <c r="Z313">
        <f>Migrationsartikel!Q311</f>
        <v>0</v>
      </c>
      <c r="AA313" s="45">
        <f>Migrationsartikel!R311</f>
        <v>0</v>
      </c>
      <c r="AB313" s="46">
        <f>Migrationsartikel!T311</f>
        <v>0</v>
      </c>
      <c r="AC313">
        <f>Migrationsartikel!S311</f>
        <v>0</v>
      </c>
      <c r="AD313">
        <f>Migrationsartikel!U311</f>
        <v>0</v>
      </c>
      <c r="AE313" s="31" t="s">
        <v>179</v>
      </c>
      <c r="AF313" s="31" t="s">
        <v>192</v>
      </c>
      <c r="AG313" t="b">
        <f>IF(Migrationsartikel!AB311="ja","true",FALSE)</f>
        <v>0</v>
      </c>
      <c r="AH313" t="b">
        <f>IF(Migrationsartikel!AC311="ja","true",FALSE)</f>
        <v>0</v>
      </c>
      <c r="AI313" t="b">
        <f>IF(Migrationsartikel!AD311="ja","true",FALSE)</f>
        <v>0</v>
      </c>
      <c r="AJ313" t="b">
        <f>IF(Migrationsartikel!AE311="ja","true",FALSE)</f>
        <v>0</v>
      </c>
      <c r="AK313" t="str">
        <f>IF(Migrationsartikel!AF311="ja","Denner Partner","")</f>
        <v/>
      </c>
      <c r="AL313" t="str">
        <f>IF(Migrationsartikel!AG311="ja","true","false")</f>
        <v>false</v>
      </c>
      <c r="AM313" t="str">
        <f t="shared" si="4"/>
        <v>PLU</v>
      </c>
      <c r="AN313" s="31" t="s">
        <v>219</v>
      </c>
      <c r="AO313" s="31" t="s">
        <v>217</v>
      </c>
    </row>
    <row r="314" spans="2:41" ht="21.75" customHeight="1" x14ac:dyDescent="0.45">
      <c r="B314" t="s">
        <v>99</v>
      </c>
      <c r="E314" s="31" t="s">
        <v>1724</v>
      </c>
      <c r="F314" t="str">
        <f>"Warengruppe&gt;&gt;"&amp;Migrationsartikel!V312&amp;"&gt;&gt;"&amp;Migrationsartikel!W312&amp;"&gt;&gt;"&amp;Migrationsartikel!X312</f>
        <v>Warengruppe&gt;&gt;&gt;&gt;&gt;&gt;</v>
      </c>
      <c r="H314" s="31" t="s">
        <v>109</v>
      </c>
      <c r="I314" s="31" t="s">
        <v>121</v>
      </c>
      <c r="J314" s="31">
        <f>Migrationsartikel!B312</f>
        <v>0</v>
      </c>
      <c r="L314" t="str">
        <f>Migrationsartikel!F312&amp;" "&amp;Migrationsartikel!G312&amp;" "&amp;Migrationsartikel!H312</f>
        <v xml:space="preserve">  </v>
      </c>
      <c r="M314" t="str">
        <f>Migrationsartikel!J312&amp;" "&amp;Migrationsartikel!K312&amp;" "&amp;Migrationsartikel!L312</f>
        <v xml:space="preserve">  </v>
      </c>
      <c r="N314" t="str">
        <f>Migrationsartikel!N312&amp;" "&amp;Migrationsartikel!O312&amp;" "&amp;Migrationsartikel!P312</f>
        <v xml:space="preserve">  </v>
      </c>
      <c r="O314">
        <f>Migrationsartikel!F312</f>
        <v>0</v>
      </c>
      <c r="P314">
        <f>Migrationsartikel!J312</f>
        <v>0</v>
      </c>
      <c r="Q314">
        <f>Migrationsartikel!N312</f>
        <v>0</v>
      </c>
      <c r="R314">
        <f>Migrationsartikel!G312</f>
        <v>0</v>
      </c>
      <c r="S314">
        <f>Migrationsartikel!K312</f>
        <v>0</v>
      </c>
      <c r="T314">
        <f>Migrationsartikel!O312</f>
        <v>0</v>
      </c>
      <c r="U314" s="31">
        <f>Migrationsartikel!H312</f>
        <v>0</v>
      </c>
      <c r="V314" s="31">
        <f>Migrationsartikel!L312</f>
        <v>0</v>
      </c>
      <c r="W314" s="31">
        <f>Migrationsartikel!P312</f>
        <v>0</v>
      </c>
      <c r="X314">
        <f>Migrationsartikel!I312</f>
        <v>0</v>
      </c>
      <c r="Y314">
        <f>Migrationsartikel!M312</f>
        <v>0</v>
      </c>
      <c r="Z314">
        <f>Migrationsartikel!Q312</f>
        <v>0</v>
      </c>
      <c r="AA314" s="45">
        <f>Migrationsartikel!R312</f>
        <v>0</v>
      </c>
      <c r="AB314" s="46">
        <f>Migrationsartikel!T312</f>
        <v>0</v>
      </c>
      <c r="AC314">
        <f>Migrationsartikel!S312</f>
        <v>0</v>
      </c>
      <c r="AD314">
        <f>Migrationsartikel!U312</f>
        <v>0</v>
      </c>
      <c r="AE314" s="31" t="s">
        <v>179</v>
      </c>
      <c r="AF314" s="31" t="s">
        <v>192</v>
      </c>
      <c r="AG314" t="b">
        <f>IF(Migrationsartikel!AB312="ja","true",FALSE)</f>
        <v>0</v>
      </c>
      <c r="AH314" t="b">
        <f>IF(Migrationsartikel!AC312="ja","true",FALSE)</f>
        <v>0</v>
      </c>
      <c r="AI314" t="b">
        <f>IF(Migrationsartikel!AD312="ja","true",FALSE)</f>
        <v>0</v>
      </c>
      <c r="AJ314" t="b">
        <f>IF(Migrationsartikel!AE312="ja","true",FALSE)</f>
        <v>0</v>
      </c>
      <c r="AK314" t="str">
        <f>IF(Migrationsartikel!AF312="ja","Denner Partner","")</f>
        <v/>
      </c>
      <c r="AL314" t="str">
        <f>IF(Migrationsartikel!AG312="ja","true","false")</f>
        <v>false</v>
      </c>
      <c r="AM314" t="str">
        <f t="shared" si="4"/>
        <v>PLU</v>
      </c>
      <c r="AN314" s="31" t="s">
        <v>219</v>
      </c>
      <c r="AO314" s="31" t="s">
        <v>217</v>
      </c>
    </row>
    <row r="315" spans="2:41" ht="21.75" customHeight="1" x14ac:dyDescent="0.45">
      <c r="B315" t="s">
        <v>99</v>
      </c>
      <c r="E315" s="31" t="s">
        <v>1725</v>
      </c>
      <c r="F315" t="str">
        <f>"Warengruppe&gt;&gt;"&amp;Migrationsartikel!V313&amp;"&gt;&gt;"&amp;Migrationsartikel!W313&amp;"&gt;&gt;"&amp;Migrationsartikel!X313</f>
        <v>Warengruppe&gt;&gt;&gt;&gt;&gt;&gt;</v>
      </c>
      <c r="H315" s="31" t="s">
        <v>109</v>
      </c>
      <c r="I315" s="31" t="s">
        <v>121</v>
      </c>
      <c r="J315" s="31">
        <f>Migrationsartikel!B313</f>
        <v>0</v>
      </c>
      <c r="L315" t="str">
        <f>Migrationsartikel!F313&amp;" "&amp;Migrationsartikel!G313&amp;" "&amp;Migrationsartikel!H313</f>
        <v xml:space="preserve">  </v>
      </c>
      <c r="M315" t="str">
        <f>Migrationsartikel!J313&amp;" "&amp;Migrationsartikel!K313&amp;" "&amp;Migrationsartikel!L313</f>
        <v xml:space="preserve">  </v>
      </c>
      <c r="N315" t="str">
        <f>Migrationsartikel!N313&amp;" "&amp;Migrationsartikel!O313&amp;" "&amp;Migrationsartikel!P313</f>
        <v xml:space="preserve">  </v>
      </c>
      <c r="O315">
        <f>Migrationsartikel!F313</f>
        <v>0</v>
      </c>
      <c r="P315">
        <f>Migrationsartikel!J313</f>
        <v>0</v>
      </c>
      <c r="Q315">
        <f>Migrationsartikel!N313</f>
        <v>0</v>
      </c>
      <c r="R315">
        <f>Migrationsartikel!G313</f>
        <v>0</v>
      </c>
      <c r="S315">
        <f>Migrationsartikel!K313</f>
        <v>0</v>
      </c>
      <c r="T315">
        <f>Migrationsartikel!O313</f>
        <v>0</v>
      </c>
      <c r="U315" s="31">
        <f>Migrationsartikel!H313</f>
        <v>0</v>
      </c>
      <c r="V315" s="31">
        <f>Migrationsartikel!L313</f>
        <v>0</v>
      </c>
      <c r="W315" s="31">
        <f>Migrationsartikel!P313</f>
        <v>0</v>
      </c>
      <c r="X315">
        <f>Migrationsartikel!I313</f>
        <v>0</v>
      </c>
      <c r="Y315">
        <f>Migrationsartikel!M313</f>
        <v>0</v>
      </c>
      <c r="Z315">
        <f>Migrationsartikel!Q313</f>
        <v>0</v>
      </c>
      <c r="AA315" s="45">
        <f>Migrationsartikel!R313</f>
        <v>0</v>
      </c>
      <c r="AB315" s="46">
        <f>Migrationsartikel!T313</f>
        <v>0</v>
      </c>
      <c r="AC315">
        <f>Migrationsartikel!S313</f>
        <v>0</v>
      </c>
      <c r="AD315">
        <f>Migrationsartikel!U313</f>
        <v>0</v>
      </c>
      <c r="AE315" s="31" t="s">
        <v>179</v>
      </c>
      <c r="AF315" s="31" t="s">
        <v>192</v>
      </c>
      <c r="AG315" t="b">
        <f>IF(Migrationsartikel!AB313="ja","true",FALSE)</f>
        <v>0</v>
      </c>
      <c r="AH315" t="b">
        <f>IF(Migrationsartikel!AC313="ja","true",FALSE)</f>
        <v>0</v>
      </c>
      <c r="AI315" t="b">
        <f>IF(Migrationsartikel!AD313="ja","true",FALSE)</f>
        <v>0</v>
      </c>
      <c r="AJ315" t="b">
        <f>IF(Migrationsartikel!AE313="ja","true",FALSE)</f>
        <v>0</v>
      </c>
      <c r="AK315" t="str">
        <f>IF(Migrationsartikel!AF313="ja","Denner Partner","")</f>
        <v/>
      </c>
      <c r="AL315" t="str">
        <f>IF(Migrationsartikel!AG313="ja","true","false")</f>
        <v>false</v>
      </c>
      <c r="AM315" t="str">
        <f t="shared" si="4"/>
        <v>PLU</v>
      </c>
      <c r="AN315" s="31" t="s">
        <v>219</v>
      </c>
      <c r="AO315" s="31" t="s">
        <v>217</v>
      </c>
    </row>
    <row r="316" spans="2:41" ht="21.75" customHeight="1" x14ac:dyDescent="0.45">
      <c r="B316" t="s">
        <v>99</v>
      </c>
      <c r="E316" s="31" t="s">
        <v>1726</v>
      </c>
      <c r="F316" t="str">
        <f>"Warengruppe&gt;&gt;"&amp;Migrationsartikel!V314&amp;"&gt;&gt;"&amp;Migrationsartikel!W314&amp;"&gt;&gt;"&amp;Migrationsartikel!X314</f>
        <v>Warengruppe&gt;&gt;&gt;&gt;&gt;&gt;</v>
      </c>
      <c r="H316" s="31" t="s">
        <v>109</v>
      </c>
      <c r="I316" s="31" t="s">
        <v>121</v>
      </c>
      <c r="J316" s="31">
        <f>Migrationsartikel!B314</f>
        <v>0</v>
      </c>
      <c r="L316" t="str">
        <f>Migrationsartikel!F314&amp;" "&amp;Migrationsartikel!G314&amp;" "&amp;Migrationsartikel!H314</f>
        <v xml:space="preserve">  </v>
      </c>
      <c r="M316" t="str">
        <f>Migrationsartikel!J314&amp;" "&amp;Migrationsartikel!K314&amp;" "&amp;Migrationsartikel!L314</f>
        <v xml:space="preserve">  </v>
      </c>
      <c r="N316" t="str">
        <f>Migrationsartikel!N314&amp;" "&amp;Migrationsartikel!O314&amp;" "&amp;Migrationsartikel!P314</f>
        <v xml:space="preserve">  </v>
      </c>
      <c r="O316">
        <f>Migrationsartikel!F314</f>
        <v>0</v>
      </c>
      <c r="P316">
        <f>Migrationsartikel!J314</f>
        <v>0</v>
      </c>
      <c r="Q316">
        <f>Migrationsartikel!N314</f>
        <v>0</v>
      </c>
      <c r="R316">
        <f>Migrationsartikel!G314</f>
        <v>0</v>
      </c>
      <c r="S316">
        <f>Migrationsartikel!K314</f>
        <v>0</v>
      </c>
      <c r="T316">
        <f>Migrationsartikel!O314</f>
        <v>0</v>
      </c>
      <c r="U316" s="31">
        <f>Migrationsartikel!H314</f>
        <v>0</v>
      </c>
      <c r="V316" s="31">
        <f>Migrationsartikel!L314</f>
        <v>0</v>
      </c>
      <c r="W316" s="31">
        <f>Migrationsartikel!P314</f>
        <v>0</v>
      </c>
      <c r="X316">
        <f>Migrationsartikel!I314</f>
        <v>0</v>
      </c>
      <c r="Y316">
        <f>Migrationsartikel!M314</f>
        <v>0</v>
      </c>
      <c r="Z316">
        <f>Migrationsartikel!Q314</f>
        <v>0</v>
      </c>
      <c r="AA316" s="45">
        <f>Migrationsartikel!R314</f>
        <v>0</v>
      </c>
      <c r="AB316" s="46">
        <f>Migrationsartikel!T314</f>
        <v>0</v>
      </c>
      <c r="AC316">
        <f>Migrationsartikel!S314</f>
        <v>0</v>
      </c>
      <c r="AD316">
        <f>Migrationsartikel!U314</f>
        <v>0</v>
      </c>
      <c r="AE316" s="31" t="s">
        <v>179</v>
      </c>
      <c r="AF316" s="31" t="s">
        <v>192</v>
      </c>
      <c r="AG316" t="b">
        <f>IF(Migrationsartikel!AB314="ja","true",FALSE)</f>
        <v>0</v>
      </c>
      <c r="AH316" t="b">
        <f>IF(Migrationsartikel!AC314="ja","true",FALSE)</f>
        <v>0</v>
      </c>
      <c r="AI316" t="b">
        <f>IF(Migrationsartikel!AD314="ja","true",FALSE)</f>
        <v>0</v>
      </c>
      <c r="AJ316" t="b">
        <f>IF(Migrationsartikel!AE314="ja","true",FALSE)</f>
        <v>0</v>
      </c>
      <c r="AK316" t="str">
        <f>IF(Migrationsartikel!AF314="ja","Denner Partner","")</f>
        <v/>
      </c>
      <c r="AL316" t="str">
        <f>IF(Migrationsartikel!AG314="ja","true","false")</f>
        <v>false</v>
      </c>
      <c r="AM316" t="str">
        <f t="shared" si="4"/>
        <v>PLU</v>
      </c>
      <c r="AN316" s="31" t="s">
        <v>219</v>
      </c>
      <c r="AO316" s="31" t="s">
        <v>217</v>
      </c>
    </row>
    <row r="317" spans="2:41" ht="21.75" customHeight="1" x14ac:dyDescent="0.45">
      <c r="B317" t="s">
        <v>99</v>
      </c>
      <c r="E317" s="31" t="s">
        <v>1727</v>
      </c>
      <c r="F317" t="str">
        <f>"Warengruppe&gt;&gt;"&amp;Migrationsartikel!V315&amp;"&gt;&gt;"&amp;Migrationsartikel!W315&amp;"&gt;&gt;"&amp;Migrationsartikel!X315</f>
        <v>Warengruppe&gt;&gt;&gt;&gt;&gt;&gt;</v>
      </c>
      <c r="H317" s="31" t="s">
        <v>109</v>
      </c>
      <c r="I317" s="31" t="s">
        <v>121</v>
      </c>
      <c r="J317" s="31">
        <f>Migrationsartikel!B315</f>
        <v>0</v>
      </c>
      <c r="L317" t="str">
        <f>Migrationsartikel!F315&amp;" "&amp;Migrationsartikel!G315&amp;" "&amp;Migrationsartikel!H315</f>
        <v xml:space="preserve">  </v>
      </c>
      <c r="M317" t="str">
        <f>Migrationsartikel!J315&amp;" "&amp;Migrationsartikel!K315&amp;" "&amp;Migrationsartikel!L315</f>
        <v xml:space="preserve">  </v>
      </c>
      <c r="N317" t="str">
        <f>Migrationsartikel!N315&amp;" "&amp;Migrationsartikel!O315&amp;" "&amp;Migrationsartikel!P315</f>
        <v xml:space="preserve">  </v>
      </c>
      <c r="O317">
        <f>Migrationsartikel!F315</f>
        <v>0</v>
      </c>
      <c r="P317">
        <f>Migrationsartikel!J315</f>
        <v>0</v>
      </c>
      <c r="Q317">
        <f>Migrationsartikel!N315</f>
        <v>0</v>
      </c>
      <c r="R317">
        <f>Migrationsartikel!G315</f>
        <v>0</v>
      </c>
      <c r="S317">
        <f>Migrationsartikel!K315</f>
        <v>0</v>
      </c>
      <c r="T317">
        <f>Migrationsartikel!O315</f>
        <v>0</v>
      </c>
      <c r="U317" s="31">
        <f>Migrationsartikel!H315</f>
        <v>0</v>
      </c>
      <c r="V317" s="31">
        <f>Migrationsartikel!L315</f>
        <v>0</v>
      </c>
      <c r="W317" s="31">
        <f>Migrationsartikel!P315</f>
        <v>0</v>
      </c>
      <c r="X317">
        <f>Migrationsartikel!I315</f>
        <v>0</v>
      </c>
      <c r="Y317">
        <f>Migrationsartikel!M315</f>
        <v>0</v>
      </c>
      <c r="Z317">
        <f>Migrationsartikel!Q315</f>
        <v>0</v>
      </c>
      <c r="AA317" s="45">
        <f>Migrationsartikel!R315</f>
        <v>0</v>
      </c>
      <c r="AB317" s="46">
        <f>Migrationsartikel!T315</f>
        <v>0</v>
      </c>
      <c r="AC317">
        <f>Migrationsartikel!S315</f>
        <v>0</v>
      </c>
      <c r="AD317">
        <f>Migrationsartikel!U315</f>
        <v>0</v>
      </c>
      <c r="AE317" s="31" t="s">
        <v>179</v>
      </c>
      <c r="AF317" s="31" t="s">
        <v>192</v>
      </c>
      <c r="AG317" t="b">
        <f>IF(Migrationsartikel!AB315="ja","true",FALSE)</f>
        <v>0</v>
      </c>
      <c r="AH317" t="b">
        <f>IF(Migrationsartikel!AC315="ja","true",FALSE)</f>
        <v>0</v>
      </c>
      <c r="AI317" t="b">
        <f>IF(Migrationsartikel!AD315="ja","true",FALSE)</f>
        <v>0</v>
      </c>
      <c r="AJ317" t="b">
        <f>IF(Migrationsartikel!AE315="ja","true",FALSE)</f>
        <v>0</v>
      </c>
      <c r="AK317" t="str">
        <f>IF(Migrationsartikel!AF315="ja","Denner Partner","")</f>
        <v/>
      </c>
      <c r="AL317" t="str">
        <f>IF(Migrationsartikel!AG315="ja","true","false")</f>
        <v>false</v>
      </c>
      <c r="AM317" t="str">
        <f t="shared" si="4"/>
        <v>PLU</v>
      </c>
      <c r="AN317" s="31" t="s">
        <v>219</v>
      </c>
      <c r="AO317" s="31" t="s">
        <v>217</v>
      </c>
    </row>
    <row r="318" spans="2:41" ht="21.75" customHeight="1" x14ac:dyDescent="0.45">
      <c r="B318" t="s">
        <v>99</v>
      </c>
      <c r="E318" s="31" t="s">
        <v>1728</v>
      </c>
      <c r="F318" t="str">
        <f>"Warengruppe&gt;&gt;"&amp;Migrationsartikel!V316&amp;"&gt;&gt;"&amp;Migrationsartikel!W316&amp;"&gt;&gt;"&amp;Migrationsartikel!X316</f>
        <v>Warengruppe&gt;&gt;&gt;&gt;&gt;&gt;</v>
      </c>
      <c r="H318" s="31" t="s">
        <v>109</v>
      </c>
      <c r="I318" s="31" t="s">
        <v>121</v>
      </c>
      <c r="J318" s="31">
        <f>Migrationsartikel!B316</f>
        <v>0</v>
      </c>
      <c r="L318" t="str">
        <f>Migrationsartikel!F316&amp;" "&amp;Migrationsartikel!G316&amp;" "&amp;Migrationsartikel!H316</f>
        <v xml:space="preserve">  </v>
      </c>
      <c r="M318" t="str">
        <f>Migrationsartikel!J316&amp;" "&amp;Migrationsartikel!K316&amp;" "&amp;Migrationsartikel!L316</f>
        <v xml:space="preserve">  </v>
      </c>
      <c r="N318" t="str">
        <f>Migrationsartikel!N316&amp;" "&amp;Migrationsartikel!O316&amp;" "&amp;Migrationsartikel!P316</f>
        <v xml:space="preserve">  </v>
      </c>
      <c r="O318">
        <f>Migrationsartikel!F316</f>
        <v>0</v>
      </c>
      <c r="P318">
        <f>Migrationsartikel!J316</f>
        <v>0</v>
      </c>
      <c r="Q318">
        <f>Migrationsartikel!N316</f>
        <v>0</v>
      </c>
      <c r="R318">
        <f>Migrationsartikel!G316</f>
        <v>0</v>
      </c>
      <c r="S318">
        <f>Migrationsartikel!K316</f>
        <v>0</v>
      </c>
      <c r="T318">
        <f>Migrationsartikel!O316</f>
        <v>0</v>
      </c>
      <c r="U318" s="31">
        <f>Migrationsartikel!H316</f>
        <v>0</v>
      </c>
      <c r="V318" s="31">
        <f>Migrationsartikel!L316</f>
        <v>0</v>
      </c>
      <c r="W318" s="31">
        <f>Migrationsartikel!P316</f>
        <v>0</v>
      </c>
      <c r="X318">
        <f>Migrationsartikel!I316</f>
        <v>0</v>
      </c>
      <c r="Y318">
        <f>Migrationsartikel!M316</f>
        <v>0</v>
      </c>
      <c r="Z318">
        <f>Migrationsartikel!Q316</f>
        <v>0</v>
      </c>
      <c r="AA318" s="45">
        <f>Migrationsartikel!R316</f>
        <v>0</v>
      </c>
      <c r="AB318" s="46">
        <f>Migrationsartikel!T316</f>
        <v>0</v>
      </c>
      <c r="AC318">
        <f>Migrationsartikel!S316</f>
        <v>0</v>
      </c>
      <c r="AD318">
        <f>Migrationsartikel!U316</f>
        <v>0</v>
      </c>
      <c r="AE318" s="31" t="s">
        <v>179</v>
      </c>
      <c r="AF318" s="31" t="s">
        <v>192</v>
      </c>
      <c r="AG318" t="b">
        <f>IF(Migrationsartikel!AB316="ja","true",FALSE)</f>
        <v>0</v>
      </c>
      <c r="AH318" t="b">
        <f>IF(Migrationsartikel!AC316="ja","true",FALSE)</f>
        <v>0</v>
      </c>
      <c r="AI318" t="b">
        <f>IF(Migrationsartikel!AD316="ja","true",FALSE)</f>
        <v>0</v>
      </c>
      <c r="AJ318" t="b">
        <f>IF(Migrationsartikel!AE316="ja","true",FALSE)</f>
        <v>0</v>
      </c>
      <c r="AK318" t="str">
        <f>IF(Migrationsartikel!AF316="ja","Denner Partner","")</f>
        <v/>
      </c>
      <c r="AL318" t="str">
        <f>IF(Migrationsartikel!AG316="ja","true","false")</f>
        <v>false</v>
      </c>
      <c r="AM318" t="str">
        <f t="shared" si="4"/>
        <v>PLU</v>
      </c>
      <c r="AN318" s="31" t="s">
        <v>219</v>
      </c>
      <c r="AO318" s="31" t="s">
        <v>217</v>
      </c>
    </row>
    <row r="319" spans="2:41" ht="21.75" customHeight="1" x14ac:dyDescent="0.45">
      <c r="B319" t="s">
        <v>99</v>
      </c>
      <c r="E319" s="31" t="s">
        <v>1729</v>
      </c>
      <c r="F319" t="str">
        <f>"Warengruppe&gt;&gt;"&amp;Migrationsartikel!V317&amp;"&gt;&gt;"&amp;Migrationsartikel!W317&amp;"&gt;&gt;"&amp;Migrationsartikel!X317</f>
        <v>Warengruppe&gt;&gt;&gt;&gt;&gt;&gt;</v>
      </c>
      <c r="H319" s="31" t="s">
        <v>109</v>
      </c>
      <c r="I319" s="31" t="s">
        <v>121</v>
      </c>
      <c r="J319" s="31">
        <f>Migrationsartikel!B317</f>
        <v>0</v>
      </c>
      <c r="L319" t="str">
        <f>Migrationsartikel!F317&amp;" "&amp;Migrationsartikel!G317&amp;" "&amp;Migrationsartikel!H317</f>
        <v xml:space="preserve">  </v>
      </c>
      <c r="M319" t="str">
        <f>Migrationsartikel!J317&amp;" "&amp;Migrationsartikel!K317&amp;" "&amp;Migrationsartikel!L317</f>
        <v xml:space="preserve">  </v>
      </c>
      <c r="N319" t="str">
        <f>Migrationsartikel!N317&amp;" "&amp;Migrationsartikel!O317&amp;" "&amp;Migrationsartikel!P317</f>
        <v xml:space="preserve">  </v>
      </c>
      <c r="O319">
        <f>Migrationsartikel!F317</f>
        <v>0</v>
      </c>
      <c r="P319">
        <f>Migrationsartikel!J317</f>
        <v>0</v>
      </c>
      <c r="Q319">
        <f>Migrationsartikel!N317</f>
        <v>0</v>
      </c>
      <c r="R319">
        <f>Migrationsartikel!G317</f>
        <v>0</v>
      </c>
      <c r="S319">
        <f>Migrationsartikel!K317</f>
        <v>0</v>
      </c>
      <c r="T319">
        <f>Migrationsartikel!O317</f>
        <v>0</v>
      </c>
      <c r="U319" s="31">
        <f>Migrationsartikel!H317</f>
        <v>0</v>
      </c>
      <c r="V319" s="31">
        <f>Migrationsartikel!L317</f>
        <v>0</v>
      </c>
      <c r="W319" s="31">
        <f>Migrationsartikel!P317</f>
        <v>0</v>
      </c>
      <c r="X319">
        <f>Migrationsartikel!I317</f>
        <v>0</v>
      </c>
      <c r="Y319">
        <f>Migrationsartikel!M317</f>
        <v>0</v>
      </c>
      <c r="Z319">
        <f>Migrationsartikel!Q317</f>
        <v>0</v>
      </c>
      <c r="AA319" s="45">
        <f>Migrationsartikel!R317</f>
        <v>0</v>
      </c>
      <c r="AB319" s="46">
        <f>Migrationsartikel!T317</f>
        <v>0</v>
      </c>
      <c r="AC319">
        <f>Migrationsartikel!S317</f>
        <v>0</v>
      </c>
      <c r="AD319">
        <f>Migrationsartikel!U317</f>
        <v>0</v>
      </c>
      <c r="AE319" s="31" t="s">
        <v>179</v>
      </c>
      <c r="AF319" s="31" t="s">
        <v>192</v>
      </c>
      <c r="AG319" t="b">
        <f>IF(Migrationsartikel!AB317="ja","true",FALSE)</f>
        <v>0</v>
      </c>
      <c r="AH319" t="b">
        <f>IF(Migrationsartikel!AC317="ja","true",FALSE)</f>
        <v>0</v>
      </c>
      <c r="AI319" t="b">
        <f>IF(Migrationsartikel!AD317="ja","true",FALSE)</f>
        <v>0</v>
      </c>
      <c r="AJ319" t="b">
        <f>IF(Migrationsartikel!AE317="ja","true",FALSE)</f>
        <v>0</v>
      </c>
      <c r="AK319" t="str">
        <f>IF(Migrationsartikel!AF317="ja","Denner Partner","")</f>
        <v/>
      </c>
      <c r="AL319" t="str">
        <f>IF(Migrationsartikel!AG317="ja","true","false")</f>
        <v>false</v>
      </c>
      <c r="AM319" t="str">
        <f t="shared" si="4"/>
        <v>PLU</v>
      </c>
      <c r="AN319" s="31" t="s">
        <v>219</v>
      </c>
      <c r="AO319" s="31" t="s">
        <v>217</v>
      </c>
    </row>
    <row r="320" spans="2:41" ht="21.75" customHeight="1" x14ac:dyDescent="0.45">
      <c r="B320" t="s">
        <v>99</v>
      </c>
      <c r="E320" s="31" t="s">
        <v>1730</v>
      </c>
      <c r="F320" t="str">
        <f>"Warengruppe&gt;&gt;"&amp;Migrationsartikel!V318&amp;"&gt;&gt;"&amp;Migrationsartikel!W318&amp;"&gt;&gt;"&amp;Migrationsartikel!X318</f>
        <v>Warengruppe&gt;&gt;&gt;&gt;&gt;&gt;</v>
      </c>
      <c r="H320" s="31" t="s">
        <v>109</v>
      </c>
      <c r="I320" s="31" t="s">
        <v>121</v>
      </c>
      <c r="J320" s="31">
        <f>Migrationsartikel!B318</f>
        <v>0</v>
      </c>
      <c r="L320" t="str">
        <f>Migrationsartikel!F318&amp;" "&amp;Migrationsartikel!G318&amp;" "&amp;Migrationsartikel!H318</f>
        <v xml:space="preserve">  </v>
      </c>
      <c r="M320" t="str">
        <f>Migrationsartikel!J318&amp;" "&amp;Migrationsartikel!K318&amp;" "&amp;Migrationsartikel!L318</f>
        <v xml:space="preserve">  </v>
      </c>
      <c r="N320" t="str">
        <f>Migrationsartikel!N318&amp;" "&amp;Migrationsartikel!O318&amp;" "&amp;Migrationsartikel!P318</f>
        <v xml:space="preserve">  </v>
      </c>
      <c r="O320">
        <f>Migrationsartikel!F318</f>
        <v>0</v>
      </c>
      <c r="P320">
        <f>Migrationsartikel!J318</f>
        <v>0</v>
      </c>
      <c r="Q320">
        <f>Migrationsartikel!N318</f>
        <v>0</v>
      </c>
      <c r="R320">
        <f>Migrationsartikel!G318</f>
        <v>0</v>
      </c>
      <c r="S320">
        <f>Migrationsartikel!K318</f>
        <v>0</v>
      </c>
      <c r="T320">
        <f>Migrationsartikel!O318</f>
        <v>0</v>
      </c>
      <c r="U320" s="31">
        <f>Migrationsartikel!H318</f>
        <v>0</v>
      </c>
      <c r="V320" s="31">
        <f>Migrationsartikel!L318</f>
        <v>0</v>
      </c>
      <c r="W320" s="31">
        <f>Migrationsartikel!P318</f>
        <v>0</v>
      </c>
      <c r="X320">
        <f>Migrationsartikel!I318</f>
        <v>0</v>
      </c>
      <c r="Y320">
        <f>Migrationsartikel!M318</f>
        <v>0</v>
      </c>
      <c r="Z320">
        <f>Migrationsartikel!Q318</f>
        <v>0</v>
      </c>
      <c r="AA320" s="45">
        <f>Migrationsartikel!R318</f>
        <v>0</v>
      </c>
      <c r="AB320" s="46">
        <f>Migrationsartikel!T318</f>
        <v>0</v>
      </c>
      <c r="AC320">
        <f>Migrationsartikel!S318</f>
        <v>0</v>
      </c>
      <c r="AD320">
        <f>Migrationsartikel!U318</f>
        <v>0</v>
      </c>
      <c r="AE320" s="31" t="s">
        <v>179</v>
      </c>
      <c r="AF320" s="31" t="s">
        <v>192</v>
      </c>
      <c r="AG320" t="b">
        <f>IF(Migrationsartikel!AB318="ja","true",FALSE)</f>
        <v>0</v>
      </c>
      <c r="AH320" t="b">
        <f>IF(Migrationsartikel!AC318="ja","true",FALSE)</f>
        <v>0</v>
      </c>
      <c r="AI320" t="b">
        <f>IF(Migrationsartikel!AD318="ja","true",FALSE)</f>
        <v>0</v>
      </c>
      <c r="AJ320" t="b">
        <f>IF(Migrationsartikel!AE318="ja","true",FALSE)</f>
        <v>0</v>
      </c>
      <c r="AK320" t="str">
        <f>IF(Migrationsartikel!AF318="ja","Denner Partner","")</f>
        <v/>
      </c>
      <c r="AL320" t="str">
        <f>IF(Migrationsartikel!AG318="ja","true","false")</f>
        <v>false</v>
      </c>
      <c r="AM320" t="str">
        <f t="shared" si="4"/>
        <v>PLU</v>
      </c>
      <c r="AN320" s="31" t="s">
        <v>219</v>
      </c>
      <c r="AO320" s="31" t="s">
        <v>217</v>
      </c>
    </row>
    <row r="321" spans="2:41" ht="21.75" customHeight="1" x14ac:dyDescent="0.45">
      <c r="B321" t="s">
        <v>99</v>
      </c>
      <c r="E321" s="31" t="s">
        <v>1731</v>
      </c>
      <c r="F321" t="str">
        <f>"Warengruppe&gt;&gt;"&amp;Migrationsartikel!V319&amp;"&gt;&gt;"&amp;Migrationsartikel!W319&amp;"&gt;&gt;"&amp;Migrationsartikel!X319</f>
        <v>Warengruppe&gt;&gt;&gt;&gt;&gt;&gt;</v>
      </c>
      <c r="H321" s="31" t="s">
        <v>109</v>
      </c>
      <c r="I321" s="31" t="s">
        <v>121</v>
      </c>
      <c r="J321" s="31">
        <f>Migrationsartikel!B319</f>
        <v>0</v>
      </c>
      <c r="L321" t="str">
        <f>Migrationsartikel!F319&amp;" "&amp;Migrationsartikel!G319&amp;" "&amp;Migrationsartikel!H319</f>
        <v xml:space="preserve">  </v>
      </c>
      <c r="M321" t="str">
        <f>Migrationsartikel!J319&amp;" "&amp;Migrationsartikel!K319&amp;" "&amp;Migrationsartikel!L319</f>
        <v xml:space="preserve">  </v>
      </c>
      <c r="N321" t="str">
        <f>Migrationsartikel!N319&amp;" "&amp;Migrationsartikel!O319&amp;" "&amp;Migrationsartikel!P319</f>
        <v xml:space="preserve">  </v>
      </c>
      <c r="O321">
        <f>Migrationsartikel!F319</f>
        <v>0</v>
      </c>
      <c r="P321">
        <f>Migrationsartikel!J319</f>
        <v>0</v>
      </c>
      <c r="Q321">
        <f>Migrationsartikel!N319</f>
        <v>0</v>
      </c>
      <c r="R321">
        <f>Migrationsartikel!G319</f>
        <v>0</v>
      </c>
      <c r="S321">
        <f>Migrationsartikel!K319</f>
        <v>0</v>
      </c>
      <c r="T321">
        <f>Migrationsartikel!O319</f>
        <v>0</v>
      </c>
      <c r="U321" s="31">
        <f>Migrationsartikel!H319</f>
        <v>0</v>
      </c>
      <c r="V321" s="31">
        <f>Migrationsartikel!L319</f>
        <v>0</v>
      </c>
      <c r="W321" s="31">
        <f>Migrationsartikel!P319</f>
        <v>0</v>
      </c>
      <c r="X321">
        <f>Migrationsartikel!I319</f>
        <v>0</v>
      </c>
      <c r="Y321">
        <f>Migrationsartikel!M319</f>
        <v>0</v>
      </c>
      <c r="Z321">
        <f>Migrationsartikel!Q319</f>
        <v>0</v>
      </c>
      <c r="AA321" s="45">
        <f>Migrationsartikel!R319</f>
        <v>0</v>
      </c>
      <c r="AB321" s="46">
        <f>Migrationsartikel!T319</f>
        <v>0</v>
      </c>
      <c r="AC321">
        <f>Migrationsartikel!S319</f>
        <v>0</v>
      </c>
      <c r="AD321">
        <f>Migrationsartikel!U319</f>
        <v>0</v>
      </c>
      <c r="AE321" s="31" t="s">
        <v>179</v>
      </c>
      <c r="AF321" s="31" t="s">
        <v>192</v>
      </c>
      <c r="AG321" t="b">
        <f>IF(Migrationsartikel!AB319="ja","true",FALSE)</f>
        <v>0</v>
      </c>
      <c r="AH321" t="b">
        <f>IF(Migrationsartikel!AC319="ja","true",FALSE)</f>
        <v>0</v>
      </c>
      <c r="AI321" t="b">
        <f>IF(Migrationsartikel!AD319="ja","true",FALSE)</f>
        <v>0</v>
      </c>
      <c r="AJ321" t="b">
        <f>IF(Migrationsartikel!AE319="ja","true",FALSE)</f>
        <v>0</v>
      </c>
      <c r="AK321" t="str">
        <f>IF(Migrationsartikel!AF319="ja","Denner Partner","")</f>
        <v/>
      </c>
      <c r="AL321" t="str">
        <f>IF(Migrationsartikel!AG319="ja","true","false")</f>
        <v>false</v>
      </c>
      <c r="AM321" t="str">
        <f t="shared" si="4"/>
        <v>PLU</v>
      </c>
      <c r="AN321" s="31" t="s">
        <v>219</v>
      </c>
      <c r="AO321" s="31" t="s">
        <v>217</v>
      </c>
    </row>
    <row r="322" spans="2:41" ht="21.75" customHeight="1" x14ac:dyDescent="0.45">
      <c r="B322" t="s">
        <v>99</v>
      </c>
      <c r="E322" s="31" t="s">
        <v>1732</v>
      </c>
      <c r="F322" t="str">
        <f>"Warengruppe&gt;&gt;"&amp;Migrationsartikel!V320&amp;"&gt;&gt;"&amp;Migrationsartikel!W320&amp;"&gt;&gt;"&amp;Migrationsartikel!X320</f>
        <v>Warengruppe&gt;&gt;&gt;&gt;&gt;&gt;</v>
      </c>
      <c r="H322" s="31" t="s">
        <v>109</v>
      </c>
      <c r="I322" s="31" t="s">
        <v>121</v>
      </c>
      <c r="J322" s="31">
        <f>Migrationsartikel!B320</f>
        <v>0</v>
      </c>
      <c r="L322" t="str">
        <f>Migrationsartikel!F320&amp;" "&amp;Migrationsartikel!G320&amp;" "&amp;Migrationsartikel!H320</f>
        <v xml:space="preserve">  </v>
      </c>
      <c r="M322" t="str">
        <f>Migrationsartikel!J320&amp;" "&amp;Migrationsartikel!K320&amp;" "&amp;Migrationsartikel!L320</f>
        <v xml:space="preserve">  </v>
      </c>
      <c r="N322" t="str">
        <f>Migrationsartikel!N320&amp;" "&amp;Migrationsartikel!O320&amp;" "&amp;Migrationsartikel!P320</f>
        <v xml:space="preserve">  </v>
      </c>
      <c r="O322">
        <f>Migrationsartikel!F320</f>
        <v>0</v>
      </c>
      <c r="P322">
        <f>Migrationsartikel!J320</f>
        <v>0</v>
      </c>
      <c r="Q322">
        <f>Migrationsartikel!N320</f>
        <v>0</v>
      </c>
      <c r="R322">
        <f>Migrationsartikel!G320</f>
        <v>0</v>
      </c>
      <c r="S322">
        <f>Migrationsartikel!K320</f>
        <v>0</v>
      </c>
      <c r="T322">
        <f>Migrationsartikel!O320</f>
        <v>0</v>
      </c>
      <c r="U322" s="31">
        <f>Migrationsartikel!H320</f>
        <v>0</v>
      </c>
      <c r="V322" s="31">
        <f>Migrationsartikel!L320</f>
        <v>0</v>
      </c>
      <c r="W322" s="31">
        <f>Migrationsartikel!P320</f>
        <v>0</v>
      </c>
      <c r="X322">
        <f>Migrationsartikel!I320</f>
        <v>0</v>
      </c>
      <c r="Y322">
        <f>Migrationsartikel!M320</f>
        <v>0</v>
      </c>
      <c r="Z322">
        <f>Migrationsartikel!Q320</f>
        <v>0</v>
      </c>
      <c r="AA322" s="45">
        <f>Migrationsartikel!R320</f>
        <v>0</v>
      </c>
      <c r="AB322" s="46">
        <f>Migrationsartikel!T320</f>
        <v>0</v>
      </c>
      <c r="AC322">
        <f>Migrationsartikel!S320</f>
        <v>0</v>
      </c>
      <c r="AD322">
        <f>Migrationsartikel!U320</f>
        <v>0</v>
      </c>
      <c r="AE322" s="31" t="s">
        <v>179</v>
      </c>
      <c r="AF322" s="31" t="s">
        <v>192</v>
      </c>
      <c r="AG322" t="b">
        <f>IF(Migrationsartikel!AB320="ja","true",FALSE)</f>
        <v>0</v>
      </c>
      <c r="AH322" t="b">
        <f>IF(Migrationsartikel!AC320="ja","true",FALSE)</f>
        <v>0</v>
      </c>
      <c r="AI322" t="b">
        <f>IF(Migrationsartikel!AD320="ja","true",FALSE)</f>
        <v>0</v>
      </c>
      <c r="AJ322" t="b">
        <f>IF(Migrationsartikel!AE320="ja","true",FALSE)</f>
        <v>0</v>
      </c>
      <c r="AK322" t="str">
        <f>IF(Migrationsartikel!AF320="ja","Denner Partner","")</f>
        <v/>
      </c>
      <c r="AL322" t="str">
        <f>IF(Migrationsartikel!AG320="ja","true","false")</f>
        <v>false</v>
      </c>
      <c r="AM322" t="str">
        <f t="shared" si="4"/>
        <v>PLU</v>
      </c>
      <c r="AN322" s="31" t="s">
        <v>219</v>
      </c>
      <c r="AO322" s="31" t="s">
        <v>217</v>
      </c>
    </row>
    <row r="323" spans="2:41" ht="21.75" customHeight="1" x14ac:dyDescent="0.45">
      <c r="B323" t="s">
        <v>99</v>
      </c>
      <c r="E323" s="31" t="s">
        <v>1733</v>
      </c>
      <c r="F323" t="str">
        <f>"Warengruppe&gt;&gt;"&amp;Migrationsartikel!V321&amp;"&gt;&gt;"&amp;Migrationsartikel!W321&amp;"&gt;&gt;"&amp;Migrationsartikel!X321</f>
        <v>Warengruppe&gt;&gt;&gt;&gt;&gt;&gt;</v>
      </c>
      <c r="H323" s="31" t="s">
        <v>109</v>
      </c>
      <c r="I323" s="31" t="s">
        <v>121</v>
      </c>
      <c r="J323" s="31">
        <f>Migrationsartikel!B321</f>
        <v>0</v>
      </c>
      <c r="L323" t="str">
        <f>Migrationsartikel!F321&amp;" "&amp;Migrationsartikel!G321&amp;" "&amp;Migrationsartikel!H321</f>
        <v xml:space="preserve">  </v>
      </c>
      <c r="M323" t="str">
        <f>Migrationsartikel!J321&amp;" "&amp;Migrationsartikel!K321&amp;" "&amp;Migrationsartikel!L321</f>
        <v xml:space="preserve">  </v>
      </c>
      <c r="N323" t="str">
        <f>Migrationsartikel!N321&amp;" "&amp;Migrationsartikel!O321&amp;" "&amp;Migrationsartikel!P321</f>
        <v xml:space="preserve">  </v>
      </c>
      <c r="O323">
        <f>Migrationsartikel!F321</f>
        <v>0</v>
      </c>
      <c r="P323">
        <f>Migrationsartikel!J321</f>
        <v>0</v>
      </c>
      <c r="Q323">
        <f>Migrationsartikel!N321</f>
        <v>0</v>
      </c>
      <c r="R323">
        <f>Migrationsartikel!G321</f>
        <v>0</v>
      </c>
      <c r="S323">
        <f>Migrationsartikel!K321</f>
        <v>0</v>
      </c>
      <c r="T323">
        <f>Migrationsartikel!O321</f>
        <v>0</v>
      </c>
      <c r="U323" s="31">
        <f>Migrationsartikel!H321</f>
        <v>0</v>
      </c>
      <c r="V323" s="31">
        <f>Migrationsartikel!L321</f>
        <v>0</v>
      </c>
      <c r="W323" s="31">
        <f>Migrationsartikel!P321</f>
        <v>0</v>
      </c>
      <c r="X323">
        <f>Migrationsartikel!I321</f>
        <v>0</v>
      </c>
      <c r="Y323">
        <f>Migrationsartikel!M321</f>
        <v>0</v>
      </c>
      <c r="Z323">
        <f>Migrationsartikel!Q321</f>
        <v>0</v>
      </c>
      <c r="AA323" s="45">
        <f>Migrationsartikel!R321</f>
        <v>0</v>
      </c>
      <c r="AB323" s="46">
        <f>Migrationsartikel!T321</f>
        <v>0</v>
      </c>
      <c r="AC323">
        <f>Migrationsartikel!S321</f>
        <v>0</v>
      </c>
      <c r="AD323">
        <f>Migrationsartikel!U321</f>
        <v>0</v>
      </c>
      <c r="AE323" s="31" t="s">
        <v>179</v>
      </c>
      <c r="AF323" s="31" t="s">
        <v>192</v>
      </c>
      <c r="AG323" t="b">
        <f>IF(Migrationsartikel!AB321="ja","true",FALSE)</f>
        <v>0</v>
      </c>
      <c r="AH323" t="b">
        <f>IF(Migrationsartikel!AC321="ja","true",FALSE)</f>
        <v>0</v>
      </c>
      <c r="AI323" t="b">
        <f>IF(Migrationsartikel!AD321="ja","true",FALSE)</f>
        <v>0</v>
      </c>
      <c r="AJ323" t="b">
        <f>IF(Migrationsartikel!AE321="ja","true",FALSE)</f>
        <v>0</v>
      </c>
      <c r="AK323" t="str">
        <f>IF(Migrationsartikel!AF321="ja","Denner Partner","")</f>
        <v/>
      </c>
      <c r="AL323" t="str">
        <f>IF(Migrationsartikel!AG321="ja","true","false")</f>
        <v>false</v>
      </c>
      <c r="AM323" t="str">
        <f t="shared" si="4"/>
        <v>PLU</v>
      </c>
      <c r="AN323" s="31" t="s">
        <v>219</v>
      </c>
      <c r="AO323" s="31" t="s">
        <v>217</v>
      </c>
    </row>
    <row r="324" spans="2:41" ht="21.75" customHeight="1" x14ac:dyDescent="0.45">
      <c r="B324" t="s">
        <v>99</v>
      </c>
      <c r="E324" s="31" t="s">
        <v>1734</v>
      </c>
      <c r="F324" t="str">
        <f>"Warengruppe&gt;&gt;"&amp;Migrationsartikel!V322&amp;"&gt;&gt;"&amp;Migrationsartikel!W322&amp;"&gt;&gt;"&amp;Migrationsartikel!X322</f>
        <v>Warengruppe&gt;&gt;&gt;&gt;&gt;&gt;</v>
      </c>
      <c r="H324" s="31" t="s">
        <v>109</v>
      </c>
      <c r="I324" s="31" t="s">
        <v>121</v>
      </c>
      <c r="J324" s="31">
        <f>Migrationsartikel!B322</f>
        <v>0</v>
      </c>
      <c r="L324" t="str">
        <f>Migrationsartikel!F322&amp;" "&amp;Migrationsartikel!G322&amp;" "&amp;Migrationsartikel!H322</f>
        <v xml:space="preserve">  </v>
      </c>
      <c r="M324" t="str">
        <f>Migrationsartikel!J322&amp;" "&amp;Migrationsartikel!K322&amp;" "&amp;Migrationsartikel!L322</f>
        <v xml:space="preserve">  </v>
      </c>
      <c r="N324" t="str">
        <f>Migrationsartikel!N322&amp;" "&amp;Migrationsartikel!O322&amp;" "&amp;Migrationsartikel!P322</f>
        <v xml:space="preserve">  </v>
      </c>
      <c r="O324">
        <f>Migrationsartikel!F322</f>
        <v>0</v>
      </c>
      <c r="P324">
        <f>Migrationsartikel!J322</f>
        <v>0</v>
      </c>
      <c r="Q324">
        <f>Migrationsartikel!N322</f>
        <v>0</v>
      </c>
      <c r="R324">
        <f>Migrationsartikel!G322</f>
        <v>0</v>
      </c>
      <c r="S324">
        <f>Migrationsartikel!K322</f>
        <v>0</v>
      </c>
      <c r="T324">
        <f>Migrationsartikel!O322</f>
        <v>0</v>
      </c>
      <c r="U324" s="31">
        <f>Migrationsartikel!H322</f>
        <v>0</v>
      </c>
      <c r="V324" s="31">
        <f>Migrationsartikel!L322</f>
        <v>0</v>
      </c>
      <c r="W324" s="31">
        <f>Migrationsartikel!P322</f>
        <v>0</v>
      </c>
      <c r="X324">
        <f>Migrationsartikel!I322</f>
        <v>0</v>
      </c>
      <c r="Y324">
        <f>Migrationsartikel!M322</f>
        <v>0</v>
      </c>
      <c r="Z324">
        <f>Migrationsartikel!Q322</f>
        <v>0</v>
      </c>
      <c r="AA324" s="45">
        <f>Migrationsartikel!R322</f>
        <v>0</v>
      </c>
      <c r="AB324" s="46">
        <f>Migrationsartikel!T322</f>
        <v>0</v>
      </c>
      <c r="AC324">
        <f>Migrationsartikel!S322</f>
        <v>0</v>
      </c>
      <c r="AD324">
        <f>Migrationsartikel!U322</f>
        <v>0</v>
      </c>
      <c r="AE324" s="31" t="s">
        <v>179</v>
      </c>
      <c r="AF324" s="31" t="s">
        <v>192</v>
      </c>
      <c r="AG324" t="b">
        <f>IF(Migrationsartikel!AB322="ja","true",FALSE)</f>
        <v>0</v>
      </c>
      <c r="AH324" t="b">
        <f>IF(Migrationsartikel!AC322="ja","true",FALSE)</f>
        <v>0</v>
      </c>
      <c r="AI324" t="b">
        <f>IF(Migrationsartikel!AD322="ja","true",FALSE)</f>
        <v>0</v>
      </c>
      <c r="AJ324" t="b">
        <f>IF(Migrationsartikel!AE322="ja","true",FALSE)</f>
        <v>0</v>
      </c>
      <c r="AK324" t="str">
        <f>IF(Migrationsartikel!AF322="ja","Denner Partner","")</f>
        <v/>
      </c>
      <c r="AL324" t="str">
        <f>IF(Migrationsartikel!AG322="ja","true","false")</f>
        <v>false</v>
      </c>
      <c r="AM324" t="str">
        <f t="shared" ref="AM324:AM387" si="5">IF(J324&lt;&gt;"","PLU","Kassentastenbelegung (ohne GTIN/PLU)")</f>
        <v>PLU</v>
      </c>
      <c r="AN324" s="31" t="s">
        <v>219</v>
      </c>
      <c r="AO324" s="31" t="s">
        <v>217</v>
      </c>
    </row>
    <row r="325" spans="2:41" ht="21.75" customHeight="1" x14ac:dyDescent="0.45">
      <c r="B325" t="s">
        <v>99</v>
      </c>
      <c r="E325" s="31" t="s">
        <v>1735</v>
      </c>
      <c r="F325" t="str">
        <f>"Warengruppe&gt;&gt;"&amp;Migrationsartikel!V323&amp;"&gt;&gt;"&amp;Migrationsartikel!W323&amp;"&gt;&gt;"&amp;Migrationsartikel!X323</f>
        <v>Warengruppe&gt;&gt;&gt;&gt;&gt;&gt;</v>
      </c>
      <c r="H325" s="31" t="s">
        <v>109</v>
      </c>
      <c r="I325" s="31" t="s">
        <v>121</v>
      </c>
      <c r="J325" s="31">
        <f>Migrationsartikel!B323</f>
        <v>0</v>
      </c>
      <c r="L325" t="str">
        <f>Migrationsartikel!F323&amp;" "&amp;Migrationsartikel!G323&amp;" "&amp;Migrationsartikel!H323</f>
        <v xml:space="preserve">  </v>
      </c>
      <c r="M325" t="str">
        <f>Migrationsartikel!J323&amp;" "&amp;Migrationsartikel!K323&amp;" "&amp;Migrationsartikel!L323</f>
        <v xml:space="preserve">  </v>
      </c>
      <c r="N325" t="str">
        <f>Migrationsartikel!N323&amp;" "&amp;Migrationsartikel!O323&amp;" "&amp;Migrationsartikel!P323</f>
        <v xml:space="preserve">  </v>
      </c>
      <c r="O325">
        <f>Migrationsartikel!F323</f>
        <v>0</v>
      </c>
      <c r="P325">
        <f>Migrationsartikel!J323</f>
        <v>0</v>
      </c>
      <c r="Q325">
        <f>Migrationsartikel!N323</f>
        <v>0</v>
      </c>
      <c r="R325">
        <f>Migrationsartikel!G323</f>
        <v>0</v>
      </c>
      <c r="S325">
        <f>Migrationsartikel!K323</f>
        <v>0</v>
      </c>
      <c r="T325">
        <f>Migrationsartikel!O323</f>
        <v>0</v>
      </c>
      <c r="U325" s="31">
        <f>Migrationsartikel!H323</f>
        <v>0</v>
      </c>
      <c r="V325" s="31">
        <f>Migrationsartikel!L323</f>
        <v>0</v>
      </c>
      <c r="W325" s="31">
        <f>Migrationsartikel!P323</f>
        <v>0</v>
      </c>
      <c r="X325">
        <f>Migrationsartikel!I323</f>
        <v>0</v>
      </c>
      <c r="Y325">
        <f>Migrationsartikel!M323</f>
        <v>0</v>
      </c>
      <c r="Z325">
        <f>Migrationsartikel!Q323</f>
        <v>0</v>
      </c>
      <c r="AA325" s="45">
        <f>Migrationsartikel!R323</f>
        <v>0</v>
      </c>
      <c r="AB325" s="46">
        <f>Migrationsartikel!T323</f>
        <v>0</v>
      </c>
      <c r="AC325">
        <f>Migrationsartikel!S323</f>
        <v>0</v>
      </c>
      <c r="AD325">
        <f>Migrationsartikel!U323</f>
        <v>0</v>
      </c>
      <c r="AE325" s="31" t="s">
        <v>179</v>
      </c>
      <c r="AF325" s="31" t="s">
        <v>192</v>
      </c>
      <c r="AG325" t="b">
        <f>IF(Migrationsartikel!AB323="ja","true",FALSE)</f>
        <v>0</v>
      </c>
      <c r="AH325" t="b">
        <f>IF(Migrationsartikel!AC323="ja","true",FALSE)</f>
        <v>0</v>
      </c>
      <c r="AI325" t="b">
        <f>IF(Migrationsartikel!AD323="ja","true",FALSE)</f>
        <v>0</v>
      </c>
      <c r="AJ325" t="b">
        <f>IF(Migrationsartikel!AE323="ja","true",FALSE)</f>
        <v>0</v>
      </c>
      <c r="AK325" t="str">
        <f>IF(Migrationsartikel!AF323="ja","Denner Partner","")</f>
        <v/>
      </c>
      <c r="AL325" t="str">
        <f>IF(Migrationsartikel!AG323="ja","true","false")</f>
        <v>false</v>
      </c>
      <c r="AM325" t="str">
        <f t="shared" si="5"/>
        <v>PLU</v>
      </c>
      <c r="AN325" s="31" t="s">
        <v>219</v>
      </c>
      <c r="AO325" s="31" t="s">
        <v>217</v>
      </c>
    </row>
    <row r="326" spans="2:41" ht="21.75" customHeight="1" x14ac:dyDescent="0.45">
      <c r="B326" t="s">
        <v>99</v>
      </c>
      <c r="E326" s="31" t="s">
        <v>1736</v>
      </c>
      <c r="F326" t="str">
        <f>"Warengruppe&gt;&gt;"&amp;Migrationsartikel!V324&amp;"&gt;&gt;"&amp;Migrationsartikel!W324&amp;"&gt;&gt;"&amp;Migrationsartikel!X324</f>
        <v>Warengruppe&gt;&gt;&gt;&gt;&gt;&gt;</v>
      </c>
      <c r="H326" s="31" t="s">
        <v>109</v>
      </c>
      <c r="I326" s="31" t="s">
        <v>121</v>
      </c>
      <c r="J326" s="31">
        <f>Migrationsartikel!B324</f>
        <v>0</v>
      </c>
      <c r="L326" t="str">
        <f>Migrationsartikel!F324&amp;" "&amp;Migrationsartikel!G324&amp;" "&amp;Migrationsartikel!H324</f>
        <v xml:space="preserve">  </v>
      </c>
      <c r="M326" t="str">
        <f>Migrationsartikel!J324&amp;" "&amp;Migrationsartikel!K324&amp;" "&amp;Migrationsartikel!L324</f>
        <v xml:space="preserve">  </v>
      </c>
      <c r="N326" t="str">
        <f>Migrationsartikel!N324&amp;" "&amp;Migrationsartikel!O324&amp;" "&amp;Migrationsartikel!P324</f>
        <v xml:space="preserve">  </v>
      </c>
      <c r="O326">
        <f>Migrationsartikel!F324</f>
        <v>0</v>
      </c>
      <c r="P326">
        <f>Migrationsartikel!J324</f>
        <v>0</v>
      </c>
      <c r="Q326">
        <f>Migrationsartikel!N324</f>
        <v>0</v>
      </c>
      <c r="R326">
        <f>Migrationsartikel!G324</f>
        <v>0</v>
      </c>
      <c r="S326">
        <f>Migrationsartikel!K324</f>
        <v>0</v>
      </c>
      <c r="T326">
        <f>Migrationsartikel!O324</f>
        <v>0</v>
      </c>
      <c r="U326" s="31">
        <f>Migrationsartikel!H324</f>
        <v>0</v>
      </c>
      <c r="V326" s="31">
        <f>Migrationsartikel!L324</f>
        <v>0</v>
      </c>
      <c r="W326" s="31">
        <f>Migrationsartikel!P324</f>
        <v>0</v>
      </c>
      <c r="X326">
        <f>Migrationsartikel!I324</f>
        <v>0</v>
      </c>
      <c r="Y326">
        <f>Migrationsartikel!M324</f>
        <v>0</v>
      </c>
      <c r="Z326">
        <f>Migrationsartikel!Q324</f>
        <v>0</v>
      </c>
      <c r="AA326" s="45">
        <f>Migrationsartikel!R324</f>
        <v>0</v>
      </c>
      <c r="AB326" s="46">
        <f>Migrationsartikel!T324</f>
        <v>0</v>
      </c>
      <c r="AC326">
        <f>Migrationsartikel!S324</f>
        <v>0</v>
      </c>
      <c r="AD326">
        <f>Migrationsartikel!U324</f>
        <v>0</v>
      </c>
      <c r="AE326" s="31" t="s">
        <v>179</v>
      </c>
      <c r="AF326" s="31" t="s">
        <v>192</v>
      </c>
      <c r="AG326" t="b">
        <f>IF(Migrationsartikel!AB324="ja","true",FALSE)</f>
        <v>0</v>
      </c>
      <c r="AH326" t="b">
        <f>IF(Migrationsartikel!AC324="ja","true",FALSE)</f>
        <v>0</v>
      </c>
      <c r="AI326" t="b">
        <f>IF(Migrationsartikel!AD324="ja","true",FALSE)</f>
        <v>0</v>
      </c>
      <c r="AJ326" t="b">
        <f>IF(Migrationsartikel!AE324="ja","true",FALSE)</f>
        <v>0</v>
      </c>
      <c r="AK326" t="str">
        <f>IF(Migrationsartikel!AF324="ja","Denner Partner","")</f>
        <v/>
      </c>
      <c r="AL326" t="str">
        <f>IF(Migrationsartikel!AG324="ja","true","false")</f>
        <v>false</v>
      </c>
      <c r="AM326" t="str">
        <f t="shared" si="5"/>
        <v>PLU</v>
      </c>
      <c r="AN326" s="31" t="s">
        <v>219</v>
      </c>
      <c r="AO326" s="31" t="s">
        <v>217</v>
      </c>
    </row>
    <row r="327" spans="2:41" ht="21.75" customHeight="1" x14ac:dyDescent="0.45">
      <c r="B327" t="s">
        <v>99</v>
      </c>
      <c r="E327" s="31" t="s">
        <v>1737</v>
      </c>
      <c r="F327" t="str">
        <f>"Warengruppe&gt;&gt;"&amp;Migrationsartikel!V325&amp;"&gt;&gt;"&amp;Migrationsartikel!W325&amp;"&gt;&gt;"&amp;Migrationsartikel!X325</f>
        <v>Warengruppe&gt;&gt;&gt;&gt;&gt;&gt;</v>
      </c>
      <c r="H327" s="31" t="s">
        <v>109</v>
      </c>
      <c r="I327" s="31" t="s">
        <v>121</v>
      </c>
      <c r="J327" s="31">
        <f>Migrationsartikel!B325</f>
        <v>0</v>
      </c>
      <c r="L327" t="str">
        <f>Migrationsartikel!F325&amp;" "&amp;Migrationsartikel!G325&amp;" "&amp;Migrationsartikel!H325</f>
        <v xml:space="preserve">  </v>
      </c>
      <c r="M327" t="str">
        <f>Migrationsartikel!J325&amp;" "&amp;Migrationsartikel!K325&amp;" "&amp;Migrationsartikel!L325</f>
        <v xml:space="preserve">  </v>
      </c>
      <c r="N327" t="str">
        <f>Migrationsartikel!N325&amp;" "&amp;Migrationsartikel!O325&amp;" "&amp;Migrationsartikel!P325</f>
        <v xml:space="preserve">  </v>
      </c>
      <c r="O327">
        <f>Migrationsartikel!F325</f>
        <v>0</v>
      </c>
      <c r="P327">
        <f>Migrationsartikel!J325</f>
        <v>0</v>
      </c>
      <c r="Q327">
        <f>Migrationsartikel!N325</f>
        <v>0</v>
      </c>
      <c r="R327">
        <f>Migrationsartikel!G325</f>
        <v>0</v>
      </c>
      <c r="S327">
        <f>Migrationsartikel!K325</f>
        <v>0</v>
      </c>
      <c r="T327">
        <f>Migrationsartikel!O325</f>
        <v>0</v>
      </c>
      <c r="U327" s="31">
        <f>Migrationsartikel!H325</f>
        <v>0</v>
      </c>
      <c r="V327" s="31">
        <f>Migrationsartikel!L325</f>
        <v>0</v>
      </c>
      <c r="W327" s="31">
        <f>Migrationsartikel!P325</f>
        <v>0</v>
      </c>
      <c r="X327">
        <f>Migrationsartikel!I325</f>
        <v>0</v>
      </c>
      <c r="Y327">
        <f>Migrationsartikel!M325</f>
        <v>0</v>
      </c>
      <c r="Z327">
        <f>Migrationsartikel!Q325</f>
        <v>0</v>
      </c>
      <c r="AA327" s="45">
        <f>Migrationsartikel!R325</f>
        <v>0</v>
      </c>
      <c r="AB327" s="46">
        <f>Migrationsartikel!T325</f>
        <v>0</v>
      </c>
      <c r="AC327">
        <f>Migrationsartikel!S325</f>
        <v>0</v>
      </c>
      <c r="AD327">
        <f>Migrationsartikel!U325</f>
        <v>0</v>
      </c>
      <c r="AE327" s="31" t="s">
        <v>179</v>
      </c>
      <c r="AF327" s="31" t="s">
        <v>192</v>
      </c>
      <c r="AG327" t="b">
        <f>IF(Migrationsartikel!AB325="ja","true",FALSE)</f>
        <v>0</v>
      </c>
      <c r="AH327" t="b">
        <f>IF(Migrationsartikel!AC325="ja","true",FALSE)</f>
        <v>0</v>
      </c>
      <c r="AI327" t="b">
        <f>IF(Migrationsartikel!AD325="ja","true",FALSE)</f>
        <v>0</v>
      </c>
      <c r="AJ327" t="b">
        <f>IF(Migrationsartikel!AE325="ja","true",FALSE)</f>
        <v>0</v>
      </c>
      <c r="AK327" t="str">
        <f>IF(Migrationsartikel!AF325="ja","Denner Partner","")</f>
        <v/>
      </c>
      <c r="AL327" t="str">
        <f>IF(Migrationsartikel!AG325="ja","true","false")</f>
        <v>false</v>
      </c>
      <c r="AM327" t="str">
        <f t="shared" si="5"/>
        <v>PLU</v>
      </c>
      <c r="AN327" s="31" t="s">
        <v>219</v>
      </c>
      <c r="AO327" s="31" t="s">
        <v>217</v>
      </c>
    </row>
    <row r="328" spans="2:41" ht="21.75" customHeight="1" x14ac:dyDescent="0.45">
      <c r="B328" t="s">
        <v>99</v>
      </c>
      <c r="E328" s="31" t="s">
        <v>1738</v>
      </c>
      <c r="F328" t="str">
        <f>"Warengruppe&gt;&gt;"&amp;Migrationsartikel!V326&amp;"&gt;&gt;"&amp;Migrationsartikel!W326&amp;"&gt;&gt;"&amp;Migrationsartikel!X326</f>
        <v>Warengruppe&gt;&gt;&gt;&gt;&gt;&gt;</v>
      </c>
      <c r="H328" s="31" t="s">
        <v>109</v>
      </c>
      <c r="I328" s="31" t="s">
        <v>121</v>
      </c>
      <c r="J328" s="31">
        <f>Migrationsartikel!B326</f>
        <v>0</v>
      </c>
      <c r="L328" t="str">
        <f>Migrationsartikel!F326&amp;" "&amp;Migrationsartikel!G326&amp;" "&amp;Migrationsartikel!H326</f>
        <v xml:space="preserve">  </v>
      </c>
      <c r="M328" t="str">
        <f>Migrationsartikel!J326&amp;" "&amp;Migrationsartikel!K326&amp;" "&amp;Migrationsartikel!L326</f>
        <v xml:space="preserve">  </v>
      </c>
      <c r="N328" t="str">
        <f>Migrationsartikel!N326&amp;" "&amp;Migrationsartikel!O326&amp;" "&amp;Migrationsartikel!P326</f>
        <v xml:space="preserve">  </v>
      </c>
      <c r="O328">
        <f>Migrationsartikel!F326</f>
        <v>0</v>
      </c>
      <c r="P328">
        <f>Migrationsartikel!J326</f>
        <v>0</v>
      </c>
      <c r="Q328">
        <f>Migrationsartikel!N326</f>
        <v>0</v>
      </c>
      <c r="R328">
        <f>Migrationsartikel!G326</f>
        <v>0</v>
      </c>
      <c r="S328">
        <f>Migrationsartikel!K326</f>
        <v>0</v>
      </c>
      <c r="T328">
        <f>Migrationsartikel!O326</f>
        <v>0</v>
      </c>
      <c r="U328" s="31">
        <f>Migrationsartikel!H326</f>
        <v>0</v>
      </c>
      <c r="V328" s="31">
        <f>Migrationsartikel!L326</f>
        <v>0</v>
      </c>
      <c r="W328" s="31">
        <f>Migrationsartikel!P326</f>
        <v>0</v>
      </c>
      <c r="X328">
        <f>Migrationsartikel!I326</f>
        <v>0</v>
      </c>
      <c r="Y328">
        <f>Migrationsartikel!M326</f>
        <v>0</v>
      </c>
      <c r="Z328">
        <f>Migrationsartikel!Q326</f>
        <v>0</v>
      </c>
      <c r="AA328" s="45">
        <f>Migrationsartikel!R326</f>
        <v>0</v>
      </c>
      <c r="AB328" s="46">
        <f>Migrationsartikel!T326</f>
        <v>0</v>
      </c>
      <c r="AC328">
        <f>Migrationsartikel!S326</f>
        <v>0</v>
      </c>
      <c r="AD328">
        <f>Migrationsartikel!U326</f>
        <v>0</v>
      </c>
      <c r="AE328" s="31" t="s">
        <v>179</v>
      </c>
      <c r="AF328" s="31" t="s">
        <v>192</v>
      </c>
      <c r="AG328" t="b">
        <f>IF(Migrationsartikel!AB326="ja","true",FALSE)</f>
        <v>0</v>
      </c>
      <c r="AH328" t="b">
        <f>IF(Migrationsartikel!AC326="ja","true",FALSE)</f>
        <v>0</v>
      </c>
      <c r="AI328" t="b">
        <f>IF(Migrationsartikel!AD326="ja","true",FALSE)</f>
        <v>0</v>
      </c>
      <c r="AJ328" t="b">
        <f>IF(Migrationsartikel!AE326="ja","true",FALSE)</f>
        <v>0</v>
      </c>
      <c r="AK328" t="str">
        <f>IF(Migrationsartikel!AF326="ja","Denner Partner","")</f>
        <v/>
      </c>
      <c r="AL328" t="str">
        <f>IF(Migrationsartikel!AG326="ja","true","false")</f>
        <v>false</v>
      </c>
      <c r="AM328" t="str">
        <f t="shared" si="5"/>
        <v>PLU</v>
      </c>
      <c r="AN328" s="31" t="s">
        <v>219</v>
      </c>
      <c r="AO328" s="31" t="s">
        <v>217</v>
      </c>
    </row>
    <row r="329" spans="2:41" ht="21.75" customHeight="1" x14ac:dyDescent="0.45">
      <c r="B329" t="s">
        <v>99</v>
      </c>
      <c r="E329" s="31" t="s">
        <v>1739</v>
      </c>
      <c r="F329" t="str">
        <f>"Warengruppe&gt;&gt;"&amp;Migrationsartikel!V327&amp;"&gt;&gt;"&amp;Migrationsartikel!W327&amp;"&gt;&gt;"&amp;Migrationsartikel!X327</f>
        <v>Warengruppe&gt;&gt;&gt;&gt;&gt;&gt;</v>
      </c>
      <c r="H329" s="31" t="s">
        <v>109</v>
      </c>
      <c r="I329" s="31" t="s">
        <v>121</v>
      </c>
      <c r="J329" s="31">
        <f>Migrationsartikel!B327</f>
        <v>0</v>
      </c>
      <c r="L329" t="str">
        <f>Migrationsartikel!F327&amp;" "&amp;Migrationsartikel!G327&amp;" "&amp;Migrationsartikel!H327</f>
        <v xml:space="preserve">  </v>
      </c>
      <c r="M329" t="str">
        <f>Migrationsartikel!J327&amp;" "&amp;Migrationsartikel!K327&amp;" "&amp;Migrationsartikel!L327</f>
        <v xml:space="preserve">  </v>
      </c>
      <c r="N329" t="str">
        <f>Migrationsartikel!N327&amp;" "&amp;Migrationsartikel!O327&amp;" "&amp;Migrationsartikel!P327</f>
        <v xml:space="preserve">  </v>
      </c>
      <c r="O329">
        <f>Migrationsartikel!F327</f>
        <v>0</v>
      </c>
      <c r="P329">
        <f>Migrationsartikel!J327</f>
        <v>0</v>
      </c>
      <c r="Q329">
        <f>Migrationsartikel!N327</f>
        <v>0</v>
      </c>
      <c r="R329">
        <f>Migrationsartikel!G327</f>
        <v>0</v>
      </c>
      <c r="S329">
        <f>Migrationsartikel!K327</f>
        <v>0</v>
      </c>
      <c r="T329">
        <f>Migrationsartikel!O327</f>
        <v>0</v>
      </c>
      <c r="U329" s="31">
        <f>Migrationsartikel!H327</f>
        <v>0</v>
      </c>
      <c r="V329" s="31">
        <f>Migrationsartikel!L327</f>
        <v>0</v>
      </c>
      <c r="W329" s="31">
        <f>Migrationsartikel!P327</f>
        <v>0</v>
      </c>
      <c r="X329">
        <f>Migrationsartikel!I327</f>
        <v>0</v>
      </c>
      <c r="Y329">
        <f>Migrationsartikel!M327</f>
        <v>0</v>
      </c>
      <c r="Z329">
        <f>Migrationsartikel!Q327</f>
        <v>0</v>
      </c>
      <c r="AA329" s="45">
        <f>Migrationsartikel!R327</f>
        <v>0</v>
      </c>
      <c r="AB329" s="46">
        <f>Migrationsartikel!T327</f>
        <v>0</v>
      </c>
      <c r="AC329">
        <f>Migrationsartikel!S327</f>
        <v>0</v>
      </c>
      <c r="AD329">
        <f>Migrationsartikel!U327</f>
        <v>0</v>
      </c>
      <c r="AE329" s="31" t="s">
        <v>179</v>
      </c>
      <c r="AF329" s="31" t="s">
        <v>192</v>
      </c>
      <c r="AG329" t="b">
        <f>IF(Migrationsartikel!AB327="ja","true",FALSE)</f>
        <v>0</v>
      </c>
      <c r="AH329" t="b">
        <f>IF(Migrationsartikel!AC327="ja","true",FALSE)</f>
        <v>0</v>
      </c>
      <c r="AI329" t="b">
        <f>IF(Migrationsartikel!AD327="ja","true",FALSE)</f>
        <v>0</v>
      </c>
      <c r="AJ329" t="b">
        <f>IF(Migrationsartikel!AE327="ja","true",FALSE)</f>
        <v>0</v>
      </c>
      <c r="AK329" t="str">
        <f>IF(Migrationsartikel!AF327="ja","Denner Partner","")</f>
        <v/>
      </c>
      <c r="AL329" t="str">
        <f>IF(Migrationsartikel!AG327="ja","true","false")</f>
        <v>false</v>
      </c>
      <c r="AM329" t="str">
        <f t="shared" si="5"/>
        <v>PLU</v>
      </c>
      <c r="AN329" s="31" t="s">
        <v>219</v>
      </c>
      <c r="AO329" s="31" t="s">
        <v>217</v>
      </c>
    </row>
    <row r="330" spans="2:41" ht="21.75" customHeight="1" x14ac:dyDescent="0.45">
      <c r="B330" t="s">
        <v>99</v>
      </c>
      <c r="E330" s="31" t="s">
        <v>1740</v>
      </c>
      <c r="F330" t="str">
        <f>"Warengruppe&gt;&gt;"&amp;Migrationsartikel!V328&amp;"&gt;&gt;"&amp;Migrationsartikel!W328&amp;"&gt;&gt;"&amp;Migrationsartikel!X328</f>
        <v>Warengruppe&gt;&gt;&gt;&gt;&gt;&gt;</v>
      </c>
      <c r="H330" s="31" t="s">
        <v>109</v>
      </c>
      <c r="I330" s="31" t="s">
        <v>121</v>
      </c>
      <c r="J330" s="31">
        <f>Migrationsartikel!B328</f>
        <v>0</v>
      </c>
      <c r="L330" t="str">
        <f>Migrationsartikel!F328&amp;" "&amp;Migrationsartikel!G328&amp;" "&amp;Migrationsartikel!H328</f>
        <v xml:space="preserve">  </v>
      </c>
      <c r="M330" t="str">
        <f>Migrationsartikel!J328&amp;" "&amp;Migrationsartikel!K328&amp;" "&amp;Migrationsartikel!L328</f>
        <v xml:space="preserve">  </v>
      </c>
      <c r="N330" t="str">
        <f>Migrationsartikel!N328&amp;" "&amp;Migrationsartikel!O328&amp;" "&amp;Migrationsartikel!P328</f>
        <v xml:space="preserve">  </v>
      </c>
      <c r="O330">
        <f>Migrationsartikel!F328</f>
        <v>0</v>
      </c>
      <c r="P330">
        <f>Migrationsartikel!J328</f>
        <v>0</v>
      </c>
      <c r="Q330">
        <f>Migrationsartikel!N328</f>
        <v>0</v>
      </c>
      <c r="R330">
        <f>Migrationsartikel!G328</f>
        <v>0</v>
      </c>
      <c r="S330">
        <f>Migrationsartikel!K328</f>
        <v>0</v>
      </c>
      <c r="T330">
        <f>Migrationsartikel!O328</f>
        <v>0</v>
      </c>
      <c r="U330" s="31">
        <f>Migrationsartikel!H328</f>
        <v>0</v>
      </c>
      <c r="V330" s="31">
        <f>Migrationsartikel!L328</f>
        <v>0</v>
      </c>
      <c r="W330" s="31">
        <f>Migrationsartikel!P328</f>
        <v>0</v>
      </c>
      <c r="X330">
        <f>Migrationsartikel!I328</f>
        <v>0</v>
      </c>
      <c r="Y330">
        <f>Migrationsartikel!M328</f>
        <v>0</v>
      </c>
      <c r="Z330">
        <f>Migrationsartikel!Q328</f>
        <v>0</v>
      </c>
      <c r="AA330" s="45">
        <f>Migrationsartikel!R328</f>
        <v>0</v>
      </c>
      <c r="AB330" s="46">
        <f>Migrationsartikel!T328</f>
        <v>0</v>
      </c>
      <c r="AC330">
        <f>Migrationsartikel!S328</f>
        <v>0</v>
      </c>
      <c r="AD330">
        <f>Migrationsartikel!U328</f>
        <v>0</v>
      </c>
      <c r="AE330" s="31" t="s">
        <v>179</v>
      </c>
      <c r="AF330" s="31" t="s">
        <v>192</v>
      </c>
      <c r="AG330" t="b">
        <f>IF(Migrationsartikel!AB328="ja","true",FALSE)</f>
        <v>0</v>
      </c>
      <c r="AH330" t="b">
        <f>IF(Migrationsartikel!AC328="ja","true",FALSE)</f>
        <v>0</v>
      </c>
      <c r="AI330" t="b">
        <f>IF(Migrationsartikel!AD328="ja","true",FALSE)</f>
        <v>0</v>
      </c>
      <c r="AJ330" t="b">
        <f>IF(Migrationsartikel!AE328="ja","true",FALSE)</f>
        <v>0</v>
      </c>
      <c r="AK330" t="str">
        <f>IF(Migrationsartikel!AF328="ja","Denner Partner","")</f>
        <v/>
      </c>
      <c r="AL330" t="str">
        <f>IF(Migrationsartikel!AG328="ja","true","false")</f>
        <v>false</v>
      </c>
      <c r="AM330" t="str">
        <f t="shared" si="5"/>
        <v>PLU</v>
      </c>
      <c r="AN330" s="31" t="s">
        <v>219</v>
      </c>
      <c r="AO330" s="31" t="s">
        <v>217</v>
      </c>
    </row>
    <row r="331" spans="2:41" ht="21.75" customHeight="1" x14ac:dyDescent="0.45">
      <c r="B331" t="s">
        <v>99</v>
      </c>
      <c r="E331" s="31" t="s">
        <v>1741</v>
      </c>
      <c r="F331" t="str">
        <f>"Warengruppe&gt;&gt;"&amp;Migrationsartikel!V329&amp;"&gt;&gt;"&amp;Migrationsartikel!W329&amp;"&gt;&gt;"&amp;Migrationsartikel!X329</f>
        <v>Warengruppe&gt;&gt;&gt;&gt;&gt;&gt;</v>
      </c>
      <c r="H331" s="31" t="s">
        <v>109</v>
      </c>
      <c r="I331" s="31" t="s">
        <v>121</v>
      </c>
      <c r="J331" s="31">
        <f>Migrationsartikel!B329</f>
        <v>0</v>
      </c>
      <c r="M331"/>
      <c r="N331"/>
      <c r="O331">
        <f>Migrationsartikel!F329</f>
        <v>0</v>
      </c>
      <c r="P331">
        <f>Migrationsartikel!J329</f>
        <v>0</v>
      </c>
      <c r="Q331">
        <f>Migrationsartikel!N329</f>
        <v>0</v>
      </c>
      <c r="R331">
        <f>Migrationsartikel!G329</f>
        <v>0</v>
      </c>
      <c r="S331">
        <f>Migrationsartikel!K329</f>
        <v>0</v>
      </c>
      <c r="T331">
        <f>Migrationsartikel!O329</f>
        <v>0</v>
      </c>
      <c r="U331" s="31">
        <f>Migrationsartikel!H329</f>
        <v>0</v>
      </c>
      <c r="V331" s="31">
        <f>Migrationsartikel!L329</f>
        <v>0</v>
      </c>
      <c r="W331" s="31">
        <f>Migrationsartikel!P329</f>
        <v>0</v>
      </c>
      <c r="X331">
        <f>Migrationsartikel!I329</f>
        <v>0</v>
      </c>
      <c r="Y331">
        <f>Migrationsartikel!M329</f>
        <v>0</v>
      </c>
      <c r="Z331">
        <f>Migrationsartikel!Q329</f>
        <v>0</v>
      </c>
      <c r="AA331" s="45">
        <f>Migrationsartikel!R329</f>
        <v>0</v>
      </c>
      <c r="AB331" s="46">
        <f>Migrationsartikel!T329</f>
        <v>0</v>
      </c>
      <c r="AC331">
        <f>Migrationsartikel!S329</f>
        <v>0</v>
      </c>
      <c r="AD331">
        <f>Migrationsartikel!U329</f>
        <v>0</v>
      </c>
      <c r="AE331" s="31" t="s">
        <v>179</v>
      </c>
      <c r="AF331" s="31" t="s">
        <v>192</v>
      </c>
      <c r="AG331" t="b">
        <f>IF(Migrationsartikel!AB329="ja","true",FALSE)</f>
        <v>0</v>
      </c>
      <c r="AH331" t="b">
        <f>IF(Migrationsartikel!AC329="ja","true",FALSE)</f>
        <v>0</v>
      </c>
      <c r="AI331" t="b">
        <f>IF(Migrationsartikel!AD329="ja","true",FALSE)</f>
        <v>0</v>
      </c>
      <c r="AJ331" t="b">
        <f>IF(Migrationsartikel!AE329="ja","true",FALSE)</f>
        <v>0</v>
      </c>
      <c r="AK331" t="str">
        <f>IF(Migrationsartikel!AF329="ja","Denner Partner","")</f>
        <v/>
      </c>
      <c r="AL331" t="str">
        <f>IF(Migrationsartikel!AG329="ja","true","false")</f>
        <v>false</v>
      </c>
      <c r="AM331" t="str">
        <f t="shared" si="5"/>
        <v>PLU</v>
      </c>
      <c r="AN331" s="31" t="s">
        <v>219</v>
      </c>
      <c r="AO331" s="31" t="s">
        <v>217</v>
      </c>
    </row>
    <row r="332" spans="2:41" ht="21.75" customHeight="1" x14ac:dyDescent="0.45">
      <c r="B332" t="s">
        <v>99</v>
      </c>
      <c r="E332" s="31" t="s">
        <v>1742</v>
      </c>
      <c r="F332" t="str">
        <f>"Warengruppe&gt;&gt;"&amp;Migrationsartikel!V330&amp;"&gt;&gt;"&amp;Migrationsartikel!W330&amp;"&gt;&gt;"&amp;Migrationsartikel!X330</f>
        <v>Warengruppe&gt;&gt;&gt;&gt;&gt;&gt;</v>
      </c>
      <c r="H332" s="31" t="s">
        <v>109</v>
      </c>
      <c r="I332" s="31" t="s">
        <v>121</v>
      </c>
      <c r="J332" s="31">
        <f>Migrationsartikel!B330</f>
        <v>0</v>
      </c>
      <c r="M332"/>
      <c r="N332"/>
      <c r="O332">
        <f>Migrationsartikel!F330</f>
        <v>0</v>
      </c>
      <c r="P332">
        <f>Migrationsartikel!J330</f>
        <v>0</v>
      </c>
      <c r="Q332">
        <f>Migrationsartikel!N330</f>
        <v>0</v>
      </c>
      <c r="R332">
        <f>Migrationsartikel!G330</f>
        <v>0</v>
      </c>
      <c r="S332">
        <f>Migrationsartikel!K330</f>
        <v>0</v>
      </c>
      <c r="T332">
        <f>Migrationsartikel!O330</f>
        <v>0</v>
      </c>
      <c r="U332" s="31">
        <f>Migrationsartikel!H330</f>
        <v>0</v>
      </c>
      <c r="V332" s="31">
        <f>Migrationsartikel!L330</f>
        <v>0</v>
      </c>
      <c r="W332" s="31">
        <f>Migrationsartikel!P330</f>
        <v>0</v>
      </c>
      <c r="X332">
        <f>Migrationsartikel!I330</f>
        <v>0</v>
      </c>
      <c r="Y332">
        <f>Migrationsartikel!M330</f>
        <v>0</v>
      </c>
      <c r="Z332">
        <f>Migrationsartikel!Q330</f>
        <v>0</v>
      </c>
      <c r="AA332" s="45">
        <f>Migrationsartikel!R330</f>
        <v>0</v>
      </c>
      <c r="AB332" s="46">
        <f>Migrationsartikel!T330</f>
        <v>0</v>
      </c>
      <c r="AC332">
        <f>Migrationsartikel!S330</f>
        <v>0</v>
      </c>
      <c r="AD332">
        <f>Migrationsartikel!U330</f>
        <v>0</v>
      </c>
      <c r="AE332" s="31" t="s">
        <v>179</v>
      </c>
      <c r="AF332" s="31" t="s">
        <v>192</v>
      </c>
      <c r="AG332" t="b">
        <f>IF(Migrationsartikel!AB330="ja","true",FALSE)</f>
        <v>0</v>
      </c>
      <c r="AH332" t="b">
        <f>IF(Migrationsartikel!AC330="ja","true",FALSE)</f>
        <v>0</v>
      </c>
      <c r="AI332" t="b">
        <f>IF(Migrationsartikel!AD330="ja","true",FALSE)</f>
        <v>0</v>
      </c>
      <c r="AJ332" t="b">
        <f>IF(Migrationsartikel!AE330="ja","true",FALSE)</f>
        <v>0</v>
      </c>
      <c r="AK332" t="str">
        <f>IF(Migrationsartikel!AF330="ja","Denner Partner","")</f>
        <v/>
      </c>
      <c r="AL332" t="str">
        <f>IF(Migrationsartikel!AG330="ja","true","false")</f>
        <v>false</v>
      </c>
      <c r="AM332" t="str">
        <f t="shared" si="5"/>
        <v>PLU</v>
      </c>
      <c r="AN332" s="31" t="s">
        <v>219</v>
      </c>
      <c r="AO332" s="31" t="s">
        <v>217</v>
      </c>
    </row>
    <row r="333" spans="2:41" ht="21.75" customHeight="1" x14ac:dyDescent="0.45">
      <c r="B333" t="s">
        <v>99</v>
      </c>
      <c r="E333" s="31" t="s">
        <v>1743</v>
      </c>
      <c r="F333" t="str">
        <f>"Warengruppe&gt;&gt;"&amp;Migrationsartikel!V331&amp;"&gt;&gt;"&amp;Migrationsartikel!W331&amp;"&gt;&gt;"&amp;Migrationsartikel!X331</f>
        <v>Warengruppe&gt;&gt;&gt;&gt;&gt;&gt;</v>
      </c>
      <c r="H333" s="31" t="s">
        <v>109</v>
      </c>
      <c r="I333" s="31" t="s">
        <v>121</v>
      </c>
      <c r="J333" s="31">
        <f>Migrationsartikel!B331</f>
        <v>0</v>
      </c>
      <c r="M333"/>
      <c r="N333"/>
      <c r="O333">
        <f>Migrationsartikel!F331</f>
        <v>0</v>
      </c>
      <c r="P333">
        <f>Migrationsartikel!J331</f>
        <v>0</v>
      </c>
      <c r="Q333">
        <f>Migrationsartikel!N331</f>
        <v>0</v>
      </c>
      <c r="R333">
        <f>Migrationsartikel!G331</f>
        <v>0</v>
      </c>
      <c r="S333">
        <f>Migrationsartikel!K331</f>
        <v>0</v>
      </c>
      <c r="T333">
        <f>Migrationsartikel!O331</f>
        <v>0</v>
      </c>
      <c r="U333" s="31">
        <f>Migrationsartikel!H331</f>
        <v>0</v>
      </c>
      <c r="V333" s="31">
        <f>Migrationsartikel!L331</f>
        <v>0</v>
      </c>
      <c r="W333" s="31">
        <f>Migrationsartikel!P331</f>
        <v>0</v>
      </c>
      <c r="X333">
        <f>Migrationsartikel!I331</f>
        <v>0</v>
      </c>
      <c r="Y333">
        <f>Migrationsartikel!M331</f>
        <v>0</v>
      </c>
      <c r="Z333">
        <f>Migrationsartikel!Q331</f>
        <v>0</v>
      </c>
      <c r="AA333" s="45">
        <f>Migrationsartikel!R331</f>
        <v>0</v>
      </c>
      <c r="AB333" s="46">
        <f>Migrationsartikel!T331</f>
        <v>0</v>
      </c>
      <c r="AC333">
        <f>Migrationsartikel!S331</f>
        <v>0</v>
      </c>
      <c r="AD333">
        <f>Migrationsartikel!U331</f>
        <v>0</v>
      </c>
      <c r="AE333" s="31" t="s">
        <v>179</v>
      </c>
      <c r="AF333" s="31" t="s">
        <v>192</v>
      </c>
      <c r="AG333" t="b">
        <f>IF(Migrationsartikel!AB331="ja","true",FALSE)</f>
        <v>0</v>
      </c>
      <c r="AH333" t="b">
        <f>IF(Migrationsartikel!AC331="ja","true",FALSE)</f>
        <v>0</v>
      </c>
      <c r="AI333" t="b">
        <f>IF(Migrationsartikel!AD331="ja","true",FALSE)</f>
        <v>0</v>
      </c>
      <c r="AJ333" t="b">
        <f>IF(Migrationsartikel!AE331="ja","true",FALSE)</f>
        <v>0</v>
      </c>
      <c r="AK333" t="str">
        <f>IF(Migrationsartikel!AF331="ja","Denner Partner","")</f>
        <v/>
      </c>
      <c r="AL333" t="str">
        <f>IF(Migrationsartikel!AG331="ja","true","false")</f>
        <v>false</v>
      </c>
      <c r="AM333" t="str">
        <f t="shared" si="5"/>
        <v>PLU</v>
      </c>
      <c r="AN333" s="31" t="s">
        <v>219</v>
      </c>
      <c r="AO333" s="31" t="s">
        <v>217</v>
      </c>
    </row>
    <row r="334" spans="2:41" ht="21.75" customHeight="1" x14ac:dyDescent="0.45">
      <c r="B334" t="s">
        <v>99</v>
      </c>
      <c r="E334" s="31" t="s">
        <v>1744</v>
      </c>
      <c r="F334" t="str">
        <f>"Warengruppe&gt;&gt;"&amp;Migrationsartikel!V332&amp;"&gt;&gt;"&amp;Migrationsartikel!W332&amp;"&gt;&gt;"&amp;Migrationsartikel!X332</f>
        <v>Warengruppe&gt;&gt;&gt;&gt;&gt;&gt;</v>
      </c>
      <c r="H334" s="31" t="s">
        <v>109</v>
      </c>
      <c r="I334" s="31" t="s">
        <v>121</v>
      </c>
      <c r="J334" s="31">
        <f>Migrationsartikel!B332</f>
        <v>0</v>
      </c>
      <c r="M334"/>
      <c r="N334"/>
      <c r="O334">
        <f>Migrationsartikel!F332</f>
        <v>0</v>
      </c>
      <c r="P334">
        <f>Migrationsartikel!J332</f>
        <v>0</v>
      </c>
      <c r="Q334">
        <f>Migrationsartikel!N332</f>
        <v>0</v>
      </c>
      <c r="R334">
        <f>Migrationsartikel!G332</f>
        <v>0</v>
      </c>
      <c r="S334">
        <f>Migrationsartikel!K332</f>
        <v>0</v>
      </c>
      <c r="T334">
        <f>Migrationsartikel!O332</f>
        <v>0</v>
      </c>
      <c r="U334" s="31">
        <f>Migrationsartikel!H332</f>
        <v>0</v>
      </c>
      <c r="V334" s="31">
        <f>Migrationsartikel!L332</f>
        <v>0</v>
      </c>
      <c r="W334" s="31">
        <f>Migrationsartikel!P332</f>
        <v>0</v>
      </c>
      <c r="X334">
        <f>Migrationsartikel!I332</f>
        <v>0</v>
      </c>
      <c r="Y334">
        <f>Migrationsartikel!M332</f>
        <v>0</v>
      </c>
      <c r="Z334">
        <f>Migrationsartikel!Q332</f>
        <v>0</v>
      </c>
      <c r="AA334" s="45">
        <f>Migrationsartikel!R332</f>
        <v>0</v>
      </c>
      <c r="AB334" s="46">
        <f>Migrationsartikel!T332</f>
        <v>0</v>
      </c>
      <c r="AC334">
        <f>Migrationsartikel!S332</f>
        <v>0</v>
      </c>
      <c r="AD334">
        <f>Migrationsartikel!U332</f>
        <v>0</v>
      </c>
      <c r="AE334" s="31" t="s">
        <v>179</v>
      </c>
      <c r="AF334" s="31" t="s">
        <v>192</v>
      </c>
      <c r="AG334" t="b">
        <f>IF(Migrationsartikel!AB332="ja","true",FALSE)</f>
        <v>0</v>
      </c>
      <c r="AH334" t="b">
        <f>IF(Migrationsartikel!AC332="ja","true",FALSE)</f>
        <v>0</v>
      </c>
      <c r="AI334" t="b">
        <f>IF(Migrationsartikel!AD332="ja","true",FALSE)</f>
        <v>0</v>
      </c>
      <c r="AJ334" t="b">
        <f>IF(Migrationsartikel!AE332="ja","true",FALSE)</f>
        <v>0</v>
      </c>
      <c r="AK334" t="str">
        <f>IF(Migrationsartikel!AF332="ja","Denner Partner","")</f>
        <v/>
      </c>
      <c r="AL334" t="str">
        <f>IF(Migrationsartikel!AG332="ja","true","false")</f>
        <v>false</v>
      </c>
      <c r="AM334" t="str">
        <f t="shared" si="5"/>
        <v>PLU</v>
      </c>
      <c r="AN334" s="31" t="s">
        <v>219</v>
      </c>
      <c r="AO334" s="31" t="s">
        <v>217</v>
      </c>
    </row>
    <row r="335" spans="2:41" ht="21.75" customHeight="1" x14ac:dyDescent="0.45">
      <c r="B335" t="s">
        <v>99</v>
      </c>
      <c r="E335" s="31" t="s">
        <v>1745</v>
      </c>
      <c r="F335" t="str">
        <f>"Warengruppe&gt;&gt;"&amp;Migrationsartikel!V333&amp;"&gt;&gt;"&amp;Migrationsartikel!W333&amp;"&gt;&gt;"&amp;Migrationsartikel!X333</f>
        <v>Warengruppe&gt;&gt;&gt;&gt;&gt;&gt;</v>
      </c>
      <c r="H335" s="31" t="s">
        <v>109</v>
      </c>
      <c r="I335" s="31" t="s">
        <v>121</v>
      </c>
      <c r="J335" s="31">
        <f>Migrationsartikel!B333</f>
        <v>0</v>
      </c>
      <c r="M335"/>
      <c r="N335"/>
      <c r="O335">
        <f>Migrationsartikel!F333</f>
        <v>0</v>
      </c>
      <c r="P335">
        <f>Migrationsartikel!J333</f>
        <v>0</v>
      </c>
      <c r="Q335">
        <f>Migrationsartikel!N333</f>
        <v>0</v>
      </c>
      <c r="R335">
        <f>Migrationsartikel!G333</f>
        <v>0</v>
      </c>
      <c r="S335">
        <f>Migrationsartikel!K333</f>
        <v>0</v>
      </c>
      <c r="T335">
        <f>Migrationsartikel!O333</f>
        <v>0</v>
      </c>
      <c r="U335" s="31">
        <f>Migrationsartikel!H333</f>
        <v>0</v>
      </c>
      <c r="V335" s="31">
        <f>Migrationsartikel!L333</f>
        <v>0</v>
      </c>
      <c r="W335" s="31">
        <f>Migrationsartikel!P333</f>
        <v>0</v>
      </c>
      <c r="X335">
        <f>Migrationsartikel!I333</f>
        <v>0</v>
      </c>
      <c r="Y335">
        <f>Migrationsartikel!M333</f>
        <v>0</v>
      </c>
      <c r="Z335">
        <f>Migrationsartikel!Q333</f>
        <v>0</v>
      </c>
      <c r="AA335" s="45">
        <f>Migrationsartikel!R333</f>
        <v>0</v>
      </c>
      <c r="AB335" s="46">
        <f>Migrationsartikel!T333</f>
        <v>0</v>
      </c>
      <c r="AC335">
        <f>Migrationsartikel!S333</f>
        <v>0</v>
      </c>
      <c r="AD335">
        <f>Migrationsartikel!U333</f>
        <v>0</v>
      </c>
      <c r="AE335" s="31" t="s">
        <v>179</v>
      </c>
      <c r="AF335" s="31" t="s">
        <v>192</v>
      </c>
      <c r="AG335" t="b">
        <f>IF(Migrationsartikel!AB333="ja","true",FALSE)</f>
        <v>0</v>
      </c>
      <c r="AH335" t="b">
        <f>IF(Migrationsartikel!AC333="ja","true",FALSE)</f>
        <v>0</v>
      </c>
      <c r="AI335" t="b">
        <f>IF(Migrationsartikel!AD333="ja","true",FALSE)</f>
        <v>0</v>
      </c>
      <c r="AJ335" t="b">
        <f>IF(Migrationsartikel!AE333="ja","true",FALSE)</f>
        <v>0</v>
      </c>
      <c r="AK335" t="str">
        <f>IF(Migrationsartikel!AF333="ja","Denner Partner","")</f>
        <v/>
      </c>
      <c r="AL335" t="str">
        <f>IF(Migrationsartikel!AG333="ja","true","false")</f>
        <v>false</v>
      </c>
      <c r="AM335" t="str">
        <f t="shared" si="5"/>
        <v>PLU</v>
      </c>
      <c r="AN335" s="31" t="s">
        <v>219</v>
      </c>
      <c r="AO335" s="31" t="s">
        <v>217</v>
      </c>
    </row>
    <row r="336" spans="2:41" ht="21.75" customHeight="1" x14ac:dyDescent="0.45">
      <c r="B336" t="s">
        <v>99</v>
      </c>
      <c r="E336" s="31" t="s">
        <v>1746</v>
      </c>
      <c r="F336" t="str">
        <f>"Warengruppe&gt;&gt;"&amp;Migrationsartikel!V334&amp;"&gt;&gt;"&amp;Migrationsartikel!W334&amp;"&gt;&gt;"&amp;Migrationsartikel!X334</f>
        <v>Warengruppe&gt;&gt;&gt;&gt;&gt;&gt;</v>
      </c>
      <c r="H336" s="31" t="s">
        <v>109</v>
      </c>
      <c r="I336" s="31" t="s">
        <v>121</v>
      </c>
      <c r="J336" s="31">
        <f>Migrationsartikel!B334</f>
        <v>0</v>
      </c>
      <c r="M336"/>
      <c r="N336"/>
      <c r="O336">
        <f>Migrationsartikel!F334</f>
        <v>0</v>
      </c>
      <c r="P336">
        <f>Migrationsartikel!J334</f>
        <v>0</v>
      </c>
      <c r="Q336">
        <f>Migrationsartikel!N334</f>
        <v>0</v>
      </c>
      <c r="R336">
        <f>Migrationsartikel!G334</f>
        <v>0</v>
      </c>
      <c r="S336">
        <f>Migrationsartikel!K334</f>
        <v>0</v>
      </c>
      <c r="T336">
        <f>Migrationsartikel!O334</f>
        <v>0</v>
      </c>
      <c r="U336" s="31">
        <f>Migrationsartikel!H334</f>
        <v>0</v>
      </c>
      <c r="V336" s="31">
        <f>Migrationsartikel!L334</f>
        <v>0</v>
      </c>
      <c r="W336" s="31">
        <f>Migrationsartikel!P334</f>
        <v>0</v>
      </c>
      <c r="X336">
        <f>Migrationsartikel!I334</f>
        <v>0</v>
      </c>
      <c r="Y336">
        <f>Migrationsartikel!M334</f>
        <v>0</v>
      </c>
      <c r="Z336">
        <f>Migrationsartikel!Q334</f>
        <v>0</v>
      </c>
      <c r="AA336" s="45">
        <f>Migrationsartikel!R334</f>
        <v>0</v>
      </c>
      <c r="AB336" s="46">
        <f>Migrationsartikel!T334</f>
        <v>0</v>
      </c>
      <c r="AC336">
        <f>Migrationsartikel!S334</f>
        <v>0</v>
      </c>
      <c r="AD336">
        <f>Migrationsartikel!U334</f>
        <v>0</v>
      </c>
      <c r="AE336" s="31" t="s">
        <v>179</v>
      </c>
      <c r="AF336" s="31" t="s">
        <v>192</v>
      </c>
      <c r="AG336" t="b">
        <f>IF(Migrationsartikel!AB334="ja","true",FALSE)</f>
        <v>0</v>
      </c>
      <c r="AH336" t="b">
        <f>IF(Migrationsartikel!AC334="ja","true",FALSE)</f>
        <v>0</v>
      </c>
      <c r="AI336" t="b">
        <f>IF(Migrationsartikel!AD334="ja","true",FALSE)</f>
        <v>0</v>
      </c>
      <c r="AJ336" t="b">
        <f>IF(Migrationsartikel!AE334="ja","true",FALSE)</f>
        <v>0</v>
      </c>
      <c r="AK336" t="str">
        <f>IF(Migrationsartikel!AF334="ja","Denner Partner","")</f>
        <v/>
      </c>
      <c r="AL336" t="str">
        <f>IF(Migrationsartikel!AG334="ja","true","false")</f>
        <v>false</v>
      </c>
      <c r="AM336" t="str">
        <f t="shared" si="5"/>
        <v>PLU</v>
      </c>
      <c r="AN336" s="31" t="s">
        <v>219</v>
      </c>
      <c r="AO336" s="31" t="s">
        <v>217</v>
      </c>
    </row>
    <row r="337" spans="2:41" ht="21.75" customHeight="1" x14ac:dyDescent="0.45">
      <c r="B337" t="s">
        <v>99</v>
      </c>
      <c r="E337" s="31" t="s">
        <v>1747</v>
      </c>
      <c r="F337" t="str">
        <f>"Warengruppe&gt;&gt;"&amp;Migrationsartikel!V335&amp;"&gt;&gt;"&amp;Migrationsartikel!W335&amp;"&gt;&gt;"&amp;Migrationsartikel!X335</f>
        <v>Warengruppe&gt;&gt;&gt;&gt;&gt;&gt;</v>
      </c>
      <c r="H337" s="31" t="s">
        <v>109</v>
      </c>
      <c r="I337" s="31" t="s">
        <v>121</v>
      </c>
      <c r="J337" s="31">
        <f>Migrationsartikel!B335</f>
        <v>0</v>
      </c>
      <c r="M337"/>
      <c r="N337"/>
      <c r="O337">
        <f>Migrationsartikel!F335</f>
        <v>0</v>
      </c>
      <c r="P337">
        <f>Migrationsartikel!J335</f>
        <v>0</v>
      </c>
      <c r="Q337">
        <f>Migrationsartikel!N335</f>
        <v>0</v>
      </c>
      <c r="R337">
        <f>Migrationsartikel!G335</f>
        <v>0</v>
      </c>
      <c r="S337">
        <f>Migrationsartikel!K335</f>
        <v>0</v>
      </c>
      <c r="T337">
        <f>Migrationsartikel!O335</f>
        <v>0</v>
      </c>
      <c r="U337" s="31">
        <f>Migrationsartikel!H335</f>
        <v>0</v>
      </c>
      <c r="V337" s="31">
        <f>Migrationsartikel!L335</f>
        <v>0</v>
      </c>
      <c r="W337" s="31">
        <f>Migrationsartikel!P335</f>
        <v>0</v>
      </c>
      <c r="X337">
        <f>Migrationsartikel!I335</f>
        <v>0</v>
      </c>
      <c r="Y337">
        <f>Migrationsartikel!M335</f>
        <v>0</v>
      </c>
      <c r="Z337">
        <f>Migrationsartikel!Q335</f>
        <v>0</v>
      </c>
      <c r="AA337" s="45">
        <f>Migrationsartikel!R335</f>
        <v>0</v>
      </c>
      <c r="AB337" s="46">
        <f>Migrationsartikel!T335</f>
        <v>0</v>
      </c>
      <c r="AC337">
        <f>Migrationsartikel!S335</f>
        <v>0</v>
      </c>
      <c r="AD337">
        <f>Migrationsartikel!U335</f>
        <v>0</v>
      </c>
      <c r="AE337" s="31" t="s">
        <v>179</v>
      </c>
      <c r="AF337" s="31" t="s">
        <v>192</v>
      </c>
      <c r="AG337" t="b">
        <f>IF(Migrationsartikel!AB335="ja","true",FALSE)</f>
        <v>0</v>
      </c>
      <c r="AH337" t="b">
        <f>IF(Migrationsartikel!AC335="ja","true",FALSE)</f>
        <v>0</v>
      </c>
      <c r="AI337" t="b">
        <f>IF(Migrationsartikel!AD335="ja","true",FALSE)</f>
        <v>0</v>
      </c>
      <c r="AJ337" t="b">
        <f>IF(Migrationsartikel!AE335="ja","true",FALSE)</f>
        <v>0</v>
      </c>
      <c r="AK337" t="str">
        <f>IF(Migrationsartikel!AF335="ja","Denner Partner","")</f>
        <v/>
      </c>
      <c r="AL337" t="str">
        <f>IF(Migrationsartikel!AG335="ja","true","false")</f>
        <v>false</v>
      </c>
      <c r="AM337" t="str">
        <f t="shared" si="5"/>
        <v>PLU</v>
      </c>
      <c r="AN337" s="31" t="s">
        <v>219</v>
      </c>
      <c r="AO337" s="31" t="s">
        <v>217</v>
      </c>
    </row>
    <row r="338" spans="2:41" ht="21.75" customHeight="1" x14ac:dyDescent="0.45">
      <c r="B338" t="s">
        <v>99</v>
      </c>
      <c r="E338" s="31" t="s">
        <v>1748</v>
      </c>
      <c r="F338" t="str">
        <f>"Warengruppe&gt;&gt;"&amp;Migrationsartikel!V336&amp;"&gt;&gt;"&amp;Migrationsartikel!W336&amp;"&gt;&gt;"&amp;Migrationsartikel!X336</f>
        <v>Warengruppe&gt;&gt;&gt;&gt;&gt;&gt;</v>
      </c>
      <c r="H338" s="31" t="s">
        <v>109</v>
      </c>
      <c r="I338" s="31" t="s">
        <v>121</v>
      </c>
      <c r="J338" s="31">
        <f>Migrationsartikel!B336</f>
        <v>0</v>
      </c>
      <c r="M338"/>
      <c r="N338"/>
      <c r="O338">
        <f>Migrationsartikel!F336</f>
        <v>0</v>
      </c>
      <c r="P338">
        <f>Migrationsartikel!J336</f>
        <v>0</v>
      </c>
      <c r="Q338">
        <f>Migrationsartikel!N336</f>
        <v>0</v>
      </c>
      <c r="R338">
        <f>Migrationsartikel!G336</f>
        <v>0</v>
      </c>
      <c r="S338">
        <f>Migrationsartikel!K336</f>
        <v>0</v>
      </c>
      <c r="T338">
        <f>Migrationsartikel!O336</f>
        <v>0</v>
      </c>
      <c r="U338" s="31">
        <f>Migrationsartikel!H336</f>
        <v>0</v>
      </c>
      <c r="V338" s="31">
        <f>Migrationsartikel!L336</f>
        <v>0</v>
      </c>
      <c r="W338" s="31">
        <f>Migrationsartikel!P336</f>
        <v>0</v>
      </c>
      <c r="X338">
        <f>Migrationsartikel!I336</f>
        <v>0</v>
      </c>
      <c r="Y338">
        <f>Migrationsartikel!M336</f>
        <v>0</v>
      </c>
      <c r="Z338">
        <f>Migrationsartikel!Q336</f>
        <v>0</v>
      </c>
      <c r="AA338" s="45">
        <f>Migrationsartikel!R336</f>
        <v>0</v>
      </c>
      <c r="AB338" s="46">
        <f>Migrationsartikel!T336</f>
        <v>0</v>
      </c>
      <c r="AC338">
        <f>Migrationsartikel!S336</f>
        <v>0</v>
      </c>
      <c r="AD338">
        <f>Migrationsartikel!U336</f>
        <v>0</v>
      </c>
      <c r="AE338" s="31" t="s">
        <v>179</v>
      </c>
      <c r="AF338" s="31" t="s">
        <v>192</v>
      </c>
      <c r="AG338" t="b">
        <f>IF(Migrationsartikel!AB336="ja","true",FALSE)</f>
        <v>0</v>
      </c>
      <c r="AH338" t="b">
        <f>IF(Migrationsartikel!AC336="ja","true",FALSE)</f>
        <v>0</v>
      </c>
      <c r="AI338" t="b">
        <f>IF(Migrationsartikel!AD336="ja","true",FALSE)</f>
        <v>0</v>
      </c>
      <c r="AJ338" t="b">
        <f>IF(Migrationsartikel!AE336="ja","true",FALSE)</f>
        <v>0</v>
      </c>
      <c r="AK338" t="str">
        <f>IF(Migrationsartikel!AF336="ja","Denner Partner","")</f>
        <v/>
      </c>
      <c r="AL338" t="str">
        <f>IF(Migrationsartikel!AG336="ja","true","false")</f>
        <v>false</v>
      </c>
      <c r="AM338" t="str">
        <f t="shared" si="5"/>
        <v>PLU</v>
      </c>
      <c r="AN338" s="31" t="s">
        <v>219</v>
      </c>
      <c r="AO338" s="31" t="s">
        <v>217</v>
      </c>
    </row>
    <row r="339" spans="2:41" ht="21.75" customHeight="1" x14ac:dyDescent="0.45">
      <c r="B339" t="s">
        <v>99</v>
      </c>
      <c r="E339" s="31" t="s">
        <v>1749</v>
      </c>
      <c r="F339" t="str">
        <f>"Warengruppe&gt;&gt;"&amp;Migrationsartikel!V337&amp;"&gt;&gt;"&amp;Migrationsartikel!W337&amp;"&gt;&gt;"&amp;Migrationsartikel!X337</f>
        <v>Warengruppe&gt;&gt;&gt;&gt;&gt;&gt;</v>
      </c>
      <c r="H339" s="31" t="s">
        <v>109</v>
      </c>
      <c r="I339" s="31" t="s">
        <v>121</v>
      </c>
      <c r="J339" s="31">
        <f>Migrationsartikel!B337</f>
        <v>0</v>
      </c>
      <c r="M339"/>
      <c r="N339"/>
      <c r="O339">
        <f>Migrationsartikel!F337</f>
        <v>0</v>
      </c>
      <c r="P339">
        <f>Migrationsartikel!J337</f>
        <v>0</v>
      </c>
      <c r="Q339">
        <f>Migrationsartikel!N337</f>
        <v>0</v>
      </c>
      <c r="R339">
        <f>Migrationsartikel!G337</f>
        <v>0</v>
      </c>
      <c r="S339">
        <f>Migrationsartikel!K337</f>
        <v>0</v>
      </c>
      <c r="T339">
        <f>Migrationsartikel!O337</f>
        <v>0</v>
      </c>
      <c r="U339" s="31">
        <f>Migrationsartikel!H337</f>
        <v>0</v>
      </c>
      <c r="V339" s="31">
        <f>Migrationsartikel!L337</f>
        <v>0</v>
      </c>
      <c r="W339" s="31">
        <f>Migrationsartikel!P337</f>
        <v>0</v>
      </c>
      <c r="X339">
        <f>Migrationsartikel!I337</f>
        <v>0</v>
      </c>
      <c r="Y339">
        <f>Migrationsartikel!M337</f>
        <v>0</v>
      </c>
      <c r="Z339">
        <f>Migrationsartikel!Q337</f>
        <v>0</v>
      </c>
      <c r="AA339" s="45">
        <f>Migrationsartikel!R337</f>
        <v>0</v>
      </c>
      <c r="AB339" s="46">
        <f>Migrationsartikel!T337</f>
        <v>0</v>
      </c>
      <c r="AC339">
        <f>Migrationsartikel!S337</f>
        <v>0</v>
      </c>
      <c r="AD339">
        <f>Migrationsartikel!U337</f>
        <v>0</v>
      </c>
      <c r="AE339" s="31" t="s">
        <v>179</v>
      </c>
      <c r="AF339" s="31" t="s">
        <v>192</v>
      </c>
      <c r="AG339" t="b">
        <f>IF(Migrationsartikel!AB337="ja","true",FALSE)</f>
        <v>0</v>
      </c>
      <c r="AH339" t="b">
        <f>IF(Migrationsartikel!AC337="ja","true",FALSE)</f>
        <v>0</v>
      </c>
      <c r="AI339" t="b">
        <f>IF(Migrationsartikel!AD337="ja","true",FALSE)</f>
        <v>0</v>
      </c>
      <c r="AJ339" t="b">
        <f>IF(Migrationsartikel!AE337="ja","true",FALSE)</f>
        <v>0</v>
      </c>
      <c r="AK339" t="str">
        <f>IF(Migrationsartikel!AF337="ja","Denner Partner","")</f>
        <v/>
      </c>
      <c r="AL339" t="str">
        <f>IF(Migrationsartikel!AG337="ja","true","false")</f>
        <v>false</v>
      </c>
      <c r="AM339" t="str">
        <f t="shared" si="5"/>
        <v>PLU</v>
      </c>
      <c r="AN339" s="31" t="s">
        <v>219</v>
      </c>
      <c r="AO339" s="31" t="s">
        <v>217</v>
      </c>
    </row>
    <row r="340" spans="2:41" ht="21.75" customHeight="1" x14ac:dyDescent="0.45">
      <c r="B340" t="s">
        <v>99</v>
      </c>
      <c r="E340" s="31" t="s">
        <v>1750</v>
      </c>
      <c r="F340" t="str">
        <f>"Warengruppe&gt;&gt;"&amp;Migrationsartikel!V338&amp;"&gt;&gt;"&amp;Migrationsartikel!W338&amp;"&gt;&gt;"&amp;Migrationsartikel!X338</f>
        <v>Warengruppe&gt;&gt;&gt;&gt;&gt;&gt;</v>
      </c>
      <c r="H340" s="31" t="s">
        <v>109</v>
      </c>
      <c r="I340" s="31" t="s">
        <v>121</v>
      </c>
      <c r="J340" s="31">
        <f>Migrationsartikel!B338</f>
        <v>0</v>
      </c>
      <c r="M340"/>
      <c r="N340"/>
      <c r="O340">
        <f>Migrationsartikel!F338</f>
        <v>0</v>
      </c>
      <c r="P340">
        <f>Migrationsartikel!J338</f>
        <v>0</v>
      </c>
      <c r="Q340">
        <f>Migrationsartikel!N338</f>
        <v>0</v>
      </c>
      <c r="R340">
        <f>Migrationsartikel!G338</f>
        <v>0</v>
      </c>
      <c r="S340">
        <f>Migrationsartikel!K338</f>
        <v>0</v>
      </c>
      <c r="T340">
        <f>Migrationsartikel!O338</f>
        <v>0</v>
      </c>
      <c r="U340" s="31">
        <f>Migrationsartikel!H338</f>
        <v>0</v>
      </c>
      <c r="V340" s="31">
        <f>Migrationsartikel!L338</f>
        <v>0</v>
      </c>
      <c r="W340" s="31">
        <f>Migrationsartikel!P338</f>
        <v>0</v>
      </c>
      <c r="X340">
        <f>Migrationsartikel!I338</f>
        <v>0</v>
      </c>
      <c r="Y340">
        <f>Migrationsartikel!M338</f>
        <v>0</v>
      </c>
      <c r="Z340">
        <f>Migrationsartikel!Q338</f>
        <v>0</v>
      </c>
      <c r="AA340" s="45">
        <f>Migrationsartikel!R338</f>
        <v>0</v>
      </c>
      <c r="AB340" s="46">
        <f>Migrationsartikel!T338</f>
        <v>0</v>
      </c>
      <c r="AC340">
        <f>Migrationsartikel!S338</f>
        <v>0</v>
      </c>
      <c r="AD340">
        <f>Migrationsartikel!U338</f>
        <v>0</v>
      </c>
      <c r="AE340" s="31" t="s">
        <v>179</v>
      </c>
      <c r="AF340" s="31" t="s">
        <v>192</v>
      </c>
      <c r="AG340" t="b">
        <f>IF(Migrationsartikel!AB338="ja","true",FALSE)</f>
        <v>0</v>
      </c>
      <c r="AH340" t="b">
        <f>IF(Migrationsartikel!AC338="ja","true",FALSE)</f>
        <v>0</v>
      </c>
      <c r="AI340" t="b">
        <f>IF(Migrationsartikel!AD338="ja","true",FALSE)</f>
        <v>0</v>
      </c>
      <c r="AJ340" t="b">
        <f>IF(Migrationsartikel!AE338="ja","true",FALSE)</f>
        <v>0</v>
      </c>
      <c r="AK340" t="str">
        <f>IF(Migrationsartikel!AF338="ja","Denner Partner","")</f>
        <v/>
      </c>
      <c r="AL340" t="str">
        <f>IF(Migrationsartikel!AG338="ja","true","false")</f>
        <v>false</v>
      </c>
      <c r="AM340" t="str">
        <f t="shared" si="5"/>
        <v>PLU</v>
      </c>
      <c r="AN340" s="31" t="s">
        <v>219</v>
      </c>
      <c r="AO340" s="31" t="s">
        <v>217</v>
      </c>
    </row>
    <row r="341" spans="2:41" ht="21.75" customHeight="1" x14ac:dyDescent="0.45">
      <c r="B341" t="s">
        <v>99</v>
      </c>
      <c r="E341" s="31" t="s">
        <v>1751</v>
      </c>
      <c r="F341" t="str">
        <f>"Warengruppe&gt;&gt;"&amp;Migrationsartikel!V339&amp;"&gt;&gt;"&amp;Migrationsartikel!W339&amp;"&gt;&gt;"&amp;Migrationsartikel!X339</f>
        <v>Warengruppe&gt;&gt;&gt;&gt;&gt;&gt;</v>
      </c>
      <c r="H341" s="31" t="s">
        <v>109</v>
      </c>
      <c r="I341" s="31" t="s">
        <v>121</v>
      </c>
      <c r="J341" s="31">
        <f>Migrationsartikel!B339</f>
        <v>0</v>
      </c>
      <c r="M341"/>
      <c r="N341"/>
      <c r="O341">
        <f>Migrationsartikel!F339</f>
        <v>0</v>
      </c>
      <c r="P341">
        <f>Migrationsartikel!J339</f>
        <v>0</v>
      </c>
      <c r="Q341">
        <f>Migrationsartikel!N339</f>
        <v>0</v>
      </c>
      <c r="R341">
        <f>Migrationsartikel!G339</f>
        <v>0</v>
      </c>
      <c r="S341">
        <f>Migrationsartikel!K339</f>
        <v>0</v>
      </c>
      <c r="T341">
        <f>Migrationsartikel!O339</f>
        <v>0</v>
      </c>
      <c r="U341" s="31">
        <f>Migrationsartikel!H339</f>
        <v>0</v>
      </c>
      <c r="V341" s="31">
        <f>Migrationsartikel!L339</f>
        <v>0</v>
      </c>
      <c r="W341" s="31">
        <f>Migrationsartikel!P339</f>
        <v>0</v>
      </c>
      <c r="X341">
        <f>Migrationsartikel!I339</f>
        <v>0</v>
      </c>
      <c r="Y341">
        <f>Migrationsartikel!M339</f>
        <v>0</v>
      </c>
      <c r="Z341">
        <f>Migrationsartikel!Q339</f>
        <v>0</v>
      </c>
      <c r="AA341" s="45">
        <f>Migrationsartikel!R339</f>
        <v>0</v>
      </c>
      <c r="AB341" s="46">
        <f>Migrationsartikel!T339</f>
        <v>0</v>
      </c>
      <c r="AC341">
        <f>Migrationsartikel!S339</f>
        <v>0</v>
      </c>
      <c r="AD341">
        <f>Migrationsartikel!U339</f>
        <v>0</v>
      </c>
      <c r="AE341" s="31" t="s">
        <v>179</v>
      </c>
      <c r="AF341" s="31" t="s">
        <v>192</v>
      </c>
      <c r="AG341" t="b">
        <f>IF(Migrationsartikel!AB339="ja","true",FALSE)</f>
        <v>0</v>
      </c>
      <c r="AH341" t="b">
        <f>IF(Migrationsartikel!AC339="ja","true",FALSE)</f>
        <v>0</v>
      </c>
      <c r="AI341" t="b">
        <f>IF(Migrationsartikel!AD339="ja","true",FALSE)</f>
        <v>0</v>
      </c>
      <c r="AJ341" t="b">
        <f>IF(Migrationsartikel!AE339="ja","true",FALSE)</f>
        <v>0</v>
      </c>
      <c r="AK341" t="str">
        <f>IF(Migrationsartikel!AF339="ja","Denner Partner","")</f>
        <v/>
      </c>
      <c r="AL341" t="str">
        <f>IF(Migrationsartikel!AG339="ja","true","false")</f>
        <v>false</v>
      </c>
      <c r="AM341" t="str">
        <f t="shared" si="5"/>
        <v>PLU</v>
      </c>
      <c r="AN341" s="31" t="s">
        <v>219</v>
      </c>
      <c r="AO341" s="31" t="s">
        <v>217</v>
      </c>
    </row>
    <row r="342" spans="2:41" ht="21.75" customHeight="1" x14ac:dyDescent="0.45">
      <c r="B342" t="s">
        <v>99</v>
      </c>
      <c r="E342" s="31" t="s">
        <v>1752</v>
      </c>
      <c r="F342" t="str">
        <f>"Warengruppe&gt;&gt;"&amp;Migrationsartikel!V340&amp;"&gt;&gt;"&amp;Migrationsartikel!W340&amp;"&gt;&gt;"&amp;Migrationsartikel!X340</f>
        <v>Warengruppe&gt;&gt;&gt;&gt;&gt;&gt;</v>
      </c>
      <c r="H342" s="31" t="s">
        <v>109</v>
      </c>
      <c r="I342" s="31" t="s">
        <v>121</v>
      </c>
      <c r="J342" s="31">
        <f>Migrationsartikel!B340</f>
        <v>0</v>
      </c>
      <c r="M342"/>
      <c r="N342"/>
      <c r="O342">
        <f>Migrationsartikel!F340</f>
        <v>0</v>
      </c>
      <c r="P342">
        <f>Migrationsartikel!J340</f>
        <v>0</v>
      </c>
      <c r="Q342">
        <f>Migrationsartikel!N340</f>
        <v>0</v>
      </c>
      <c r="R342">
        <f>Migrationsartikel!G340</f>
        <v>0</v>
      </c>
      <c r="S342">
        <f>Migrationsartikel!K340</f>
        <v>0</v>
      </c>
      <c r="T342">
        <f>Migrationsartikel!O340</f>
        <v>0</v>
      </c>
      <c r="U342" s="31">
        <f>Migrationsartikel!H340</f>
        <v>0</v>
      </c>
      <c r="V342" s="31">
        <f>Migrationsartikel!L340</f>
        <v>0</v>
      </c>
      <c r="W342" s="31">
        <f>Migrationsartikel!P340</f>
        <v>0</v>
      </c>
      <c r="X342">
        <f>Migrationsartikel!I340</f>
        <v>0</v>
      </c>
      <c r="Y342">
        <f>Migrationsartikel!M340</f>
        <v>0</v>
      </c>
      <c r="Z342">
        <f>Migrationsartikel!Q340</f>
        <v>0</v>
      </c>
      <c r="AA342" s="45">
        <f>Migrationsartikel!R340</f>
        <v>0</v>
      </c>
      <c r="AB342" s="46">
        <f>Migrationsartikel!T340</f>
        <v>0</v>
      </c>
      <c r="AC342">
        <f>Migrationsartikel!S340</f>
        <v>0</v>
      </c>
      <c r="AD342">
        <f>Migrationsartikel!U340</f>
        <v>0</v>
      </c>
      <c r="AE342" s="31" t="s">
        <v>179</v>
      </c>
      <c r="AF342" s="31" t="s">
        <v>192</v>
      </c>
      <c r="AG342" t="b">
        <f>IF(Migrationsartikel!AB340="ja","true",FALSE)</f>
        <v>0</v>
      </c>
      <c r="AH342" t="b">
        <f>IF(Migrationsartikel!AC340="ja","true",FALSE)</f>
        <v>0</v>
      </c>
      <c r="AI342" t="b">
        <f>IF(Migrationsartikel!AD340="ja","true",FALSE)</f>
        <v>0</v>
      </c>
      <c r="AJ342" t="b">
        <f>IF(Migrationsartikel!AE340="ja","true",FALSE)</f>
        <v>0</v>
      </c>
      <c r="AK342" t="str">
        <f>IF(Migrationsartikel!AF340="ja","Denner Partner","")</f>
        <v/>
      </c>
      <c r="AL342" t="str">
        <f>IF(Migrationsartikel!AG340="ja","true","false")</f>
        <v>false</v>
      </c>
      <c r="AM342" t="str">
        <f t="shared" si="5"/>
        <v>PLU</v>
      </c>
      <c r="AN342" s="31" t="s">
        <v>219</v>
      </c>
      <c r="AO342" s="31" t="s">
        <v>217</v>
      </c>
    </row>
    <row r="343" spans="2:41" ht="21.75" customHeight="1" x14ac:dyDescent="0.45">
      <c r="B343" t="s">
        <v>99</v>
      </c>
      <c r="E343" s="31" t="s">
        <v>1753</v>
      </c>
      <c r="F343" t="str">
        <f>"Warengruppe&gt;&gt;"&amp;Migrationsartikel!V341&amp;"&gt;&gt;"&amp;Migrationsartikel!W341&amp;"&gt;&gt;"&amp;Migrationsartikel!X341</f>
        <v>Warengruppe&gt;&gt;&gt;&gt;&gt;&gt;</v>
      </c>
      <c r="H343" s="31" t="s">
        <v>109</v>
      </c>
      <c r="I343" s="31" t="s">
        <v>121</v>
      </c>
      <c r="J343" s="31">
        <f>Migrationsartikel!B341</f>
        <v>0</v>
      </c>
      <c r="M343"/>
      <c r="N343"/>
      <c r="O343">
        <f>Migrationsartikel!F341</f>
        <v>0</v>
      </c>
      <c r="P343">
        <f>Migrationsartikel!J341</f>
        <v>0</v>
      </c>
      <c r="Q343">
        <f>Migrationsartikel!N341</f>
        <v>0</v>
      </c>
      <c r="R343">
        <f>Migrationsartikel!G341</f>
        <v>0</v>
      </c>
      <c r="S343">
        <f>Migrationsartikel!K341</f>
        <v>0</v>
      </c>
      <c r="T343">
        <f>Migrationsartikel!O341</f>
        <v>0</v>
      </c>
      <c r="U343" s="31">
        <f>Migrationsartikel!H341</f>
        <v>0</v>
      </c>
      <c r="V343" s="31">
        <f>Migrationsartikel!L341</f>
        <v>0</v>
      </c>
      <c r="W343" s="31">
        <f>Migrationsartikel!P341</f>
        <v>0</v>
      </c>
      <c r="X343">
        <f>Migrationsartikel!I341</f>
        <v>0</v>
      </c>
      <c r="Y343">
        <f>Migrationsartikel!M341</f>
        <v>0</v>
      </c>
      <c r="Z343">
        <f>Migrationsartikel!Q341</f>
        <v>0</v>
      </c>
      <c r="AA343" s="45">
        <f>Migrationsartikel!R341</f>
        <v>0</v>
      </c>
      <c r="AB343" s="46">
        <f>Migrationsartikel!T341</f>
        <v>0</v>
      </c>
      <c r="AC343">
        <f>Migrationsartikel!S341</f>
        <v>0</v>
      </c>
      <c r="AD343">
        <f>Migrationsartikel!U341</f>
        <v>0</v>
      </c>
      <c r="AE343" s="31" t="s">
        <v>179</v>
      </c>
      <c r="AF343" s="31" t="s">
        <v>192</v>
      </c>
      <c r="AG343" t="b">
        <f>IF(Migrationsartikel!AB341="ja","true",FALSE)</f>
        <v>0</v>
      </c>
      <c r="AH343" t="b">
        <f>IF(Migrationsartikel!AC341="ja","true",FALSE)</f>
        <v>0</v>
      </c>
      <c r="AI343" t="b">
        <f>IF(Migrationsartikel!AD341="ja","true",FALSE)</f>
        <v>0</v>
      </c>
      <c r="AJ343" t="b">
        <f>IF(Migrationsartikel!AE341="ja","true",FALSE)</f>
        <v>0</v>
      </c>
      <c r="AK343" t="str">
        <f>IF(Migrationsartikel!AF341="ja","Denner Partner","")</f>
        <v/>
      </c>
      <c r="AL343" t="str">
        <f>IF(Migrationsartikel!AG341="ja","true","false")</f>
        <v>false</v>
      </c>
      <c r="AM343" t="str">
        <f t="shared" si="5"/>
        <v>PLU</v>
      </c>
      <c r="AN343" s="31" t="s">
        <v>219</v>
      </c>
      <c r="AO343" s="31" t="s">
        <v>217</v>
      </c>
    </row>
    <row r="344" spans="2:41" ht="21.75" customHeight="1" x14ac:dyDescent="0.45">
      <c r="B344" t="s">
        <v>99</v>
      </c>
      <c r="E344" s="31" t="s">
        <v>1754</v>
      </c>
      <c r="F344" t="str">
        <f>"Warengruppe&gt;&gt;"&amp;Migrationsartikel!V342&amp;"&gt;&gt;"&amp;Migrationsartikel!W342&amp;"&gt;&gt;"&amp;Migrationsartikel!X342</f>
        <v>Warengruppe&gt;&gt;&gt;&gt;&gt;&gt;</v>
      </c>
      <c r="H344" s="31" t="s">
        <v>109</v>
      </c>
      <c r="I344" s="31" t="s">
        <v>121</v>
      </c>
      <c r="J344" s="31">
        <f>Migrationsartikel!B342</f>
        <v>0</v>
      </c>
      <c r="M344"/>
      <c r="N344"/>
      <c r="O344">
        <f>Migrationsartikel!F342</f>
        <v>0</v>
      </c>
      <c r="P344">
        <f>Migrationsartikel!J342</f>
        <v>0</v>
      </c>
      <c r="Q344">
        <f>Migrationsartikel!N342</f>
        <v>0</v>
      </c>
      <c r="R344">
        <f>Migrationsartikel!G342</f>
        <v>0</v>
      </c>
      <c r="S344">
        <f>Migrationsartikel!K342</f>
        <v>0</v>
      </c>
      <c r="T344">
        <f>Migrationsartikel!O342</f>
        <v>0</v>
      </c>
      <c r="U344" s="31">
        <f>Migrationsartikel!H342</f>
        <v>0</v>
      </c>
      <c r="V344" s="31">
        <f>Migrationsartikel!L342</f>
        <v>0</v>
      </c>
      <c r="W344" s="31">
        <f>Migrationsartikel!P342</f>
        <v>0</v>
      </c>
      <c r="X344">
        <f>Migrationsartikel!I342</f>
        <v>0</v>
      </c>
      <c r="Y344">
        <f>Migrationsartikel!M342</f>
        <v>0</v>
      </c>
      <c r="Z344">
        <f>Migrationsartikel!Q342</f>
        <v>0</v>
      </c>
      <c r="AA344" s="45">
        <f>Migrationsartikel!R342</f>
        <v>0</v>
      </c>
      <c r="AB344" s="46">
        <f>Migrationsartikel!T342</f>
        <v>0</v>
      </c>
      <c r="AC344">
        <f>Migrationsartikel!S342</f>
        <v>0</v>
      </c>
      <c r="AD344">
        <f>Migrationsartikel!U342</f>
        <v>0</v>
      </c>
      <c r="AE344" s="31" t="s">
        <v>179</v>
      </c>
      <c r="AF344" s="31" t="s">
        <v>192</v>
      </c>
      <c r="AG344" t="b">
        <f>IF(Migrationsartikel!AB342="ja","true",FALSE)</f>
        <v>0</v>
      </c>
      <c r="AH344" t="b">
        <f>IF(Migrationsartikel!AC342="ja","true",FALSE)</f>
        <v>0</v>
      </c>
      <c r="AI344" t="b">
        <f>IF(Migrationsartikel!AD342="ja","true",FALSE)</f>
        <v>0</v>
      </c>
      <c r="AJ344" t="b">
        <f>IF(Migrationsartikel!AE342="ja","true",FALSE)</f>
        <v>0</v>
      </c>
      <c r="AK344" t="str">
        <f>IF(Migrationsartikel!AF342="ja","Denner Partner","")</f>
        <v/>
      </c>
      <c r="AL344" t="str">
        <f>IF(Migrationsartikel!AG342="ja","true","false")</f>
        <v>false</v>
      </c>
      <c r="AM344" t="str">
        <f t="shared" si="5"/>
        <v>PLU</v>
      </c>
      <c r="AN344" s="31" t="s">
        <v>219</v>
      </c>
      <c r="AO344" s="31" t="s">
        <v>217</v>
      </c>
    </row>
    <row r="345" spans="2:41" ht="21.75" customHeight="1" x14ac:dyDescent="0.45">
      <c r="B345" t="s">
        <v>99</v>
      </c>
      <c r="E345" s="31" t="s">
        <v>1755</v>
      </c>
      <c r="F345" t="str">
        <f>"Warengruppe&gt;&gt;"&amp;Migrationsartikel!V343&amp;"&gt;&gt;"&amp;Migrationsartikel!W343&amp;"&gt;&gt;"&amp;Migrationsartikel!X343</f>
        <v>Warengruppe&gt;&gt;&gt;&gt;&gt;&gt;</v>
      </c>
      <c r="H345" s="31" t="s">
        <v>109</v>
      </c>
      <c r="I345" s="31" t="s">
        <v>121</v>
      </c>
      <c r="J345" s="31">
        <f>Migrationsartikel!B343</f>
        <v>0</v>
      </c>
      <c r="M345"/>
      <c r="N345"/>
      <c r="O345">
        <f>Migrationsartikel!F343</f>
        <v>0</v>
      </c>
      <c r="P345">
        <f>Migrationsartikel!J343</f>
        <v>0</v>
      </c>
      <c r="Q345">
        <f>Migrationsartikel!N343</f>
        <v>0</v>
      </c>
      <c r="R345">
        <f>Migrationsartikel!G343</f>
        <v>0</v>
      </c>
      <c r="S345">
        <f>Migrationsartikel!K343</f>
        <v>0</v>
      </c>
      <c r="T345">
        <f>Migrationsartikel!O343</f>
        <v>0</v>
      </c>
      <c r="U345" s="31">
        <f>Migrationsartikel!H343</f>
        <v>0</v>
      </c>
      <c r="V345" s="31">
        <f>Migrationsartikel!L343</f>
        <v>0</v>
      </c>
      <c r="W345" s="31">
        <f>Migrationsartikel!P343</f>
        <v>0</v>
      </c>
      <c r="X345">
        <f>Migrationsartikel!I343</f>
        <v>0</v>
      </c>
      <c r="Y345">
        <f>Migrationsartikel!M343</f>
        <v>0</v>
      </c>
      <c r="Z345">
        <f>Migrationsartikel!Q343</f>
        <v>0</v>
      </c>
      <c r="AA345" s="45">
        <f>Migrationsartikel!R343</f>
        <v>0</v>
      </c>
      <c r="AB345" s="46">
        <f>Migrationsartikel!T343</f>
        <v>0</v>
      </c>
      <c r="AC345">
        <f>Migrationsartikel!S343</f>
        <v>0</v>
      </c>
      <c r="AD345">
        <f>Migrationsartikel!U343</f>
        <v>0</v>
      </c>
      <c r="AE345" s="31" t="s">
        <v>179</v>
      </c>
      <c r="AF345" s="31" t="s">
        <v>192</v>
      </c>
      <c r="AG345" t="b">
        <f>IF(Migrationsartikel!AB343="ja","true",FALSE)</f>
        <v>0</v>
      </c>
      <c r="AH345" t="b">
        <f>IF(Migrationsartikel!AC343="ja","true",FALSE)</f>
        <v>0</v>
      </c>
      <c r="AI345" t="b">
        <f>IF(Migrationsartikel!AD343="ja","true",FALSE)</f>
        <v>0</v>
      </c>
      <c r="AJ345" t="b">
        <f>IF(Migrationsartikel!AE343="ja","true",FALSE)</f>
        <v>0</v>
      </c>
      <c r="AK345" t="str">
        <f>IF(Migrationsartikel!AF343="ja","Denner Partner","")</f>
        <v/>
      </c>
      <c r="AL345" t="str">
        <f>IF(Migrationsartikel!AG343="ja","true","false")</f>
        <v>false</v>
      </c>
      <c r="AM345" t="str">
        <f t="shared" si="5"/>
        <v>PLU</v>
      </c>
      <c r="AN345" s="31" t="s">
        <v>219</v>
      </c>
      <c r="AO345" s="31" t="s">
        <v>217</v>
      </c>
    </row>
    <row r="346" spans="2:41" ht="21.75" customHeight="1" x14ac:dyDescent="0.45">
      <c r="B346" t="s">
        <v>99</v>
      </c>
      <c r="E346" s="31" t="s">
        <v>1756</v>
      </c>
      <c r="F346" t="str">
        <f>"Warengruppe&gt;&gt;"&amp;Migrationsartikel!V344&amp;"&gt;&gt;"&amp;Migrationsartikel!W344&amp;"&gt;&gt;"&amp;Migrationsartikel!X344</f>
        <v>Warengruppe&gt;&gt;&gt;&gt;&gt;&gt;</v>
      </c>
      <c r="H346" s="31" t="s">
        <v>109</v>
      </c>
      <c r="I346" s="31" t="s">
        <v>121</v>
      </c>
      <c r="J346" s="31">
        <f>Migrationsartikel!B344</f>
        <v>0</v>
      </c>
      <c r="M346"/>
      <c r="N346"/>
      <c r="O346">
        <f>Migrationsartikel!F344</f>
        <v>0</v>
      </c>
      <c r="P346">
        <f>Migrationsartikel!J344</f>
        <v>0</v>
      </c>
      <c r="Q346">
        <f>Migrationsartikel!N344</f>
        <v>0</v>
      </c>
      <c r="R346">
        <f>Migrationsartikel!G344</f>
        <v>0</v>
      </c>
      <c r="S346">
        <f>Migrationsartikel!K344</f>
        <v>0</v>
      </c>
      <c r="T346">
        <f>Migrationsartikel!O344</f>
        <v>0</v>
      </c>
      <c r="U346" s="31">
        <f>Migrationsartikel!H344</f>
        <v>0</v>
      </c>
      <c r="V346" s="31">
        <f>Migrationsartikel!L344</f>
        <v>0</v>
      </c>
      <c r="W346" s="31">
        <f>Migrationsartikel!P344</f>
        <v>0</v>
      </c>
      <c r="X346">
        <f>Migrationsartikel!I344</f>
        <v>0</v>
      </c>
      <c r="Y346">
        <f>Migrationsartikel!M344</f>
        <v>0</v>
      </c>
      <c r="Z346">
        <f>Migrationsartikel!Q344</f>
        <v>0</v>
      </c>
      <c r="AA346" s="45">
        <f>Migrationsartikel!R344</f>
        <v>0</v>
      </c>
      <c r="AB346" s="46">
        <f>Migrationsartikel!T344</f>
        <v>0</v>
      </c>
      <c r="AC346">
        <f>Migrationsartikel!S344</f>
        <v>0</v>
      </c>
      <c r="AD346">
        <f>Migrationsartikel!U344</f>
        <v>0</v>
      </c>
      <c r="AE346" s="31" t="s">
        <v>179</v>
      </c>
      <c r="AF346" s="31" t="s">
        <v>192</v>
      </c>
      <c r="AG346" t="b">
        <f>IF(Migrationsartikel!AB344="ja","true",FALSE)</f>
        <v>0</v>
      </c>
      <c r="AH346" t="b">
        <f>IF(Migrationsartikel!AC344="ja","true",FALSE)</f>
        <v>0</v>
      </c>
      <c r="AI346" t="b">
        <f>IF(Migrationsartikel!AD344="ja","true",FALSE)</f>
        <v>0</v>
      </c>
      <c r="AJ346" t="b">
        <f>IF(Migrationsartikel!AE344="ja","true",FALSE)</f>
        <v>0</v>
      </c>
      <c r="AK346" t="str">
        <f>IF(Migrationsartikel!AF344="ja","Denner Partner","")</f>
        <v/>
      </c>
      <c r="AL346" t="str">
        <f>IF(Migrationsartikel!AG344="ja","true","false")</f>
        <v>false</v>
      </c>
      <c r="AM346" t="str">
        <f t="shared" si="5"/>
        <v>PLU</v>
      </c>
      <c r="AN346" s="31" t="s">
        <v>219</v>
      </c>
      <c r="AO346" s="31" t="s">
        <v>217</v>
      </c>
    </row>
    <row r="347" spans="2:41" ht="21.75" customHeight="1" x14ac:dyDescent="0.45">
      <c r="B347" t="s">
        <v>99</v>
      </c>
      <c r="E347" s="31" t="s">
        <v>1757</v>
      </c>
      <c r="F347" t="str">
        <f>"Warengruppe&gt;&gt;"&amp;Migrationsartikel!V345&amp;"&gt;&gt;"&amp;Migrationsartikel!W345&amp;"&gt;&gt;"&amp;Migrationsartikel!X345</f>
        <v>Warengruppe&gt;&gt;&gt;&gt;&gt;&gt;</v>
      </c>
      <c r="H347" s="31" t="s">
        <v>109</v>
      </c>
      <c r="I347" s="31" t="s">
        <v>121</v>
      </c>
      <c r="J347" s="31">
        <f>Migrationsartikel!B345</f>
        <v>0</v>
      </c>
      <c r="M347"/>
      <c r="N347"/>
      <c r="O347">
        <f>Migrationsartikel!F345</f>
        <v>0</v>
      </c>
      <c r="P347">
        <f>Migrationsartikel!J345</f>
        <v>0</v>
      </c>
      <c r="Q347">
        <f>Migrationsartikel!N345</f>
        <v>0</v>
      </c>
      <c r="R347">
        <f>Migrationsartikel!G345</f>
        <v>0</v>
      </c>
      <c r="S347">
        <f>Migrationsartikel!K345</f>
        <v>0</v>
      </c>
      <c r="T347">
        <f>Migrationsartikel!O345</f>
        <v>0</v>
      </c>
      <c r="U347" s="31">
        <f>Migrationsartikel!H345</f>
        <v>0</v>
      </c>
      <c r="V347" s="31">
        <f>Migrationsartikel!L345</f>
        <v>0</v>
      </c>
      <c r="W347" s="31">
        <f>Migrationsartikel!P345</f>
        <v>0</v>
      </c>
      <c r="X347">
        <f>Migrationsartikel!I345</f>
        <v>0</v>
      </c>
      <c r="Y347">
        <f>Migrationsartikel!M345</f>
        <v>0</v>
      </c>
      <c r="Z347">
        <f>Migrationsartikel!Q345</f>
        <v>0</v>
      </c>
      <c r="AA347" s="45">
        <f>Migrationsartikel!R345</f>
        <v>0</v>
      </c>
      <c r="AB347" s="46">
        <f>Migrationsartikel!T345</f>
        <v>0</v>
      </c>
      <c r="AC347">
        <f>Migrationsartikel!S345</f>
        <v>0</v>
      </c>
      <c r="AD347">
        <f>Migrationsartikel!U345</f>
        <v>0</v>
      </c>
      <c r="AE347" s="31" t="s">
        <v>179</v>
      </c>
      <c r="AF347" s="31" t="s">
        <v>192</v>
      </c>
      <c r="AG347" t="b">
        <f>IF(Migrationsartikel!AB345="ja","true",FALSE)</f>
        <v>0</v>
      </c>
      <c r="AH347" t="b">
        <f>IF(Migrationsartikel!AC345="ja","true",FALSE)</f>
        <v>0</v>
      </c>
      <c r="AI347" t="b">
        <f>IF(Migrationsartikel!AD345="ja","true",FALSE)</f>
        <v>0</v>
      </c>
      <c r="AJ347" t="b">
        <f>IF(Migrationsartikel!AE345="ja","true",FALSE)</f>
        <v>0</v>
      </c>
      <c r="AK347" t="str">
        <f>IF(Migrationsartikel!AF345="ja","Denner Partner","")</f>
        <v/>
      </c>
      <c r="AL347" t="str">
        <f>IF(Migrationsartikel!AG345="ja","true","false")</f>
        <v>false</v>
      </c>
      <c r="AM347" t="str">
        <f t="shared" si="5"/>
        <v>PLU</v>
      </c>
      <c r="AN347" s="31" t="s">
        <v>219</v>
      </c>
      <c r="AO347" s="31" t="s">
        <v>217</v>
      </c>
    </row>
    <row r="348" spans="2:41" ht="21.75" customHeight="1" x14ac:dyDescent="0.45">
      <c r="B348" t="s">
        <v>99</v>
      </c>
      <c r="E348" s="31" t="s">
        <v>1758</v>
      </c>
      <c r="F348" t="str">
        <f>"Warengruppe&gt;&gt;"&amp;Migrationsartikel!V346&amp;"&gt;&gt;"&amp;Migrationsartikel!W346&amp;"&gt;&gt;"&amp;Migrationsartikel!X346</f>
        <v>Warengruppe&gt;&gt;&gt;&gt;&gt;&gt;</v>
      </c>
      <c r="H348" s="31" t="s">
        <v>109</v>
      </c>
      <c r="I348" s="31" t="s">
        <v>121</v>
      </c>
      <c r="J348" s="31">
        <f>Migrationsartikel!B346</f>
        <v>0</v>
      </c>
      <c r="M348"/>
      <c r="N348"/>
      <c r="O348">
        <f>Migrationsartikel!F346</f>
        <v>0</v>
      </c>
      <c r="P348">
        <f>Migrationsartikel!J346</f>
        <v>0</v>
      </c>
      <c r="Q348">
        <f>Migrationsartikel!N346</f>
        <v>0</v>
      </c>
      <c r="R348">
        <f>Migrationsartikel!G346</f>
        <v>0</v>
      </c>
      <c r="S348">
        <f>Migrationsartikel!K346</f>
        <v>0</v>
      </c>
      <c r="T348">
        <f>Migrationsartikel!O346</f>
        <v>0</v>
      </c>
      <c r="U348" s="31">
        <f>Migrationsartikel!H346</f>
        <v>0</v>
      </c>
      <c r="V348" s="31">
        <f>Migrationsartikel!L346</f>
        <v>0</v>
      </c>
      <c r="W348" s="31">
        <f>Migrationsartikel!P346</f>
        <v>0</v>
      </c>
      <c r="X348">
        <f>Migrationsartikel!I346</f>
        <v>0</v>
      </c>
      <c r="Y348">
        <f>Migrationsartikel!M346</f>
        <v>0</v>
      </c>
      <c r="Z348">
        <f>Migrationsartikel!Q346</f>
        <v>0</v>
      </c>
      <c r="AA348" s="45">
        <f>Migrationsartikel!R346</f>
        <v>0</v>
      </c>
      <c r="AB348" s="46">
        <f>Migrationsartikel!T346</f>
        <v>0</v>
      </c>
      <c r="AC348">
        <f>Migrationsartikel!S346</f>
        <v>0</v>
      </c>
      <c r="AD348">
        <f>Migrationsartikel!U346</f>
        <v>0</v>
      </c>
      <c r="AE348" s="31" t="s">
        <v>179</v>
      </c>
      <c r="AF348" s="31" t="s">
        <v>192</v>
      </c>
      <c r="AG348" t="b">
        <f>IF(Migrationsartikel!AB346="ja","true",FALSE)</f>
        <v>0</v>
      </c>
      <c r="AH348" t="b">
        <f>IF(Migrationsartikel!AC346="ja","true",FALSE)</f>
        <v>0</v>
      </c>
      <c r="AI348" t="b">
        <f>IF(Migrationsartikel!AD346="ja","true",FALSE)</f>
        <v>0</v>
      </c>
      <c r="AJ348" t="b">
        <f>IF(Migrationsartikel!AE346="ja","true",FALSE)</f>
        <v>0</v>
      </c>
      <c r="AK348" t="str">
        <f>IF(Migrationsartikel!AF346="ja","Denner Partner","")</f>
        <v/>
      </c>
      <c r="AL348" t="str">
        <f>IF(Migrationsartikel!AG346="ja","true","false")</f>
        <v>false</v>
      </c>
      <c r="AM348" t="str">
        <f t="shared" si="5"/>
        <v>PLU</v>
      </c>
      <c r="AN348" s="31" t="s">
        <v>219</v>
      </c>
      <c r="AO348" s="31" t="s">
        <v>217</v>
      </c>
    </row>
    <row r="349" spans="2:41" ht="21.75" customHeight="1" x14ac:dyDescent="0.45">
      <c r="B349" t="s">
        <v>99</v>
      </c>
      <c r="E349" s="31" t="s">
        <v>1759</v>
      </c>
      <c r="F349" t="str">
        <f>"Warengruppe&gt;&gt;"&amp;Migrationsartikel!V347&amp;"&gt;&gt;"&amp;Migrationsartikel!W347&amp;"&gt;&gt;"&amp;Migrationsartikel!X347</f>
        <v>Warengruppe&gt;&gt;&gt;&gt;&gt;&gt;</v>
      </c>
      <c r="H349" s="31" t="s">
        <v>109</v>
      </c>
      <c r="I349" s="31" t="s">
        <v>121</v>
      </c>
      <c r="J349" s="31">
        <f>Migrationsartikel!B347</f>
        <v>0</v>
      </c>
      <c r="M349"/>
      <c r="N349"/>
      <c r="O349">
        <f>Migrationsartikel!F347</f>
        <v>0</v>
      </c>
      <c r="P349">
        <f>Migrationsartikel!J347</f>
        <v>0</v>
      </c>
      <c r="Q349">
        <f>Migrationsartikel!N347</f>
        <v>0</v>
      </c>
      <c r="R349">
        <f>Migrationsartikel!G347</f>
        <v>0</v>
      </c>
      <c r="S349">
        <f>Migrationsartikel!K347</f>
        <v>0</v>
      </c>
      <c r="T349">
        <f>Migrationsartikel!O347</f>
        <v>0</v>
      </c>
      <c r="U349" s="31">
        <f>Migrationsartikel!H347</f>
        <v>0</v>
      </c>
      <c r="V349" s="31">
        <f>Migrationsartikel!L347</f>
        <v>0</v>
      </c>
      <c r="W349" s="31">
        <f>Migrationsartikel!P347</f>
        <v>0</v>
      </c>
      <c r="X349">
        <f>Migrationsartikel!I347</f>
        <v>0</v>
      </c>
      <c r="Y349">
        <f>Migrationsartikel!M347</f>
        <v>0</v>
      </c>
      <c r="Z349">
        <f>Migrationsartikel!Q347</f>
        <v>0</v>
      </c>
      <c r="AA349" s="45">
        <f>Migrationsartikel!R347</f>
        <v>0</v>
      </c>
      <c r="AB349" s="46">
        <f>Migrationsartikel!T347</f>
        <v>0</v>
      </c>
      <c r="AC349">
        <f>Migrationsartikel!S347</f>
        <v>0</v>
      </c>
      <c r="AD349">
        <f>Migrationsartikel!U347</f>
        <v>0</v>
      </c>
      <c r="AE349" s="31" t="s">
        <v>179</v>
      </c>
      <c r="AF349" s="31" t="s">
        <v>192</v>
      </c>
      <c r="AG349" t="b">
        <f>IF(Migrationsartikel!AB347="ja","true",FALSE)</f>
        <v>0</v>
      </c>
      <c r="AH349" t="b">
        <f>IF(Migrationsartikel!AC347="ja","true",FALSE)</f>
        <v>0</v>
      </c>
      <c r="AI349" t="b">
        <f>IF(Migrationsartikel!AD347="ja","true",FALSE)</f>
        <v>0</v>
      </c>
      <c r="AJ349" t="b">
        <f>IF(Migrationsartikel!AE347="ja","true",FALSE)</f>
        <v>0</v>
      </c>
      <c r="AK349" t="str">
        <f>IF(Migrationsartikel!AF347="ja","Denner Partner","")</f>
        <v/>
      </c>
      <c r="AL349" t="str">
        <f>IF(Migrationsartikel!AG347="ja","true","false")</f>
        <v>false</v>
      </c>
      <c r="AM349" t="str">
        <f t="shared" si="5"/>
        <v>PLU</v>
      </c>
      <c r="AN349" s="31" t="s">
        <v>219</v>
      </c>
      <c r="AO349" s="31" t="s">
        <v>217</v>
      </c>
    </row>
    <row r="350" spans="2:41" ht="21.75" customHeight="1" x14ac:dyDescent="0.45">
      <c r="B350" t="s">
        <v>99</v>
      </c>
      <c r="E350" s="31" t="s">
        <v>1760</v>
      </c>
      <c r="F350" t="str">
        <f>"Warengruppe&gt;&gt;"&amp;Migrationsartikel!V348&amp;"&gt;&gt;"&amp;Migrationsartikel!W348&amp;"&gt;&gt;"&amp;Migrationsartikel!X348</f>
        <v>Warengruppe&gt;&gt;&gt;&gt;&gt;&gt;</v>
      </c>
      <c r="H350" s="31" t="s">
        <v>109</v>
      </c>
      <c r="I350" s="31" t="s">
        <v>121</v>
      </c>
      <c r="J350" s="31">
        <f>Migrationsartikel!B348</f>
        <v>0</v>
      </c>
      <c r="M350"/>
      <c r="N350"/>
      <c r="O350">
        <f>Migrationsartikel!F348</f>
        <v>0</v>
      </c>
      <c r="P350">
        <f>Migrationsartikel!J348</f>
        <v>0</v>
      </c>
      <c r="Q350">
        <f>Migrationsartikel!N348</f>
        <v>0</v>
      </c>
      <c r="R350">
        <f>Migrationsartikel!G348</f>
        <v>0</v>
      </c>
      <c r="S350">
        <f>Migrationsartikel!K348</f>
        <v>0</v>
      </c>
      <c r="T350">
        <f>Migrationsartikel!O348</f>
        <v>0</v>
      </c>
      <c r="U350" s="31">
        <f>Migrationsartikel!H348</f>
        <v>0</v>
      </c>
      <c r="V350" s="31">
        <f>Migrationsartikel!L348</f>
        <v>0</v>
      </c>
      <c r="W350" s="31">
        <f>Migrationsartikel!P348</f>
        <v>0</v>
      </c>
      <c r="X350">
        <f>Migrationsartikel!I348</f>
        <v>0</v>
      </c>
      <c r="Y350">
        <f>Migrationsartikel!M348</f>
        <v>0</v>
      </c>
      <c r="Z350">
        <f>Migrationsartikel!Q348</f>
        <v>0</v>
      </c>
      <c r="AA350" s="45">
        <f>Migrationsartikel!R348</f>
        <v>0</v>
      </c>
      <c r="AB350" s="46">
        <f>Migrationsartikel!T348</f>
        <v>0</v>
      </c>
      <c r="AC350">
        <f>Migrationsartikel!S348</f>
        <v>0</v>
      </c>
      <c r="AD350">
        <f>Migrationsartikel!U348</f>
        <v>0</v>
      </c>
      <c r="AE350" s="31" t="s">
        <v>179</v>
      </c>
      <c r="AF350" s="31" t="s">
        <v>192</v>
      </c>
      <c r="AG350" t="b">
        <f>IF(Migrationsartikel!AB348="ja","true",FALSE)</f>
        <v>0</v>
      </c>
      <c r="AH350" t="b">
        <f>IF(Migrationsartikel!AC348="ja","true",FALSE)</f>
        <v>0</v>
      </c>
      <c r="AI350" t="b">
        <f>IF(Migrationsartikel!AD348="ja","true",FALSE)</f>
        <v>0</v>
      </c>
      <c r="AJ350" t="b">
        <f>IF(Migrationsartikel!AE348="ja","true",FALSE)</f>
        <v>0</v>
      </c>
      <c r="AK350" t="str">
        <f>IF(Migrationsartikel!AF348="ja","Denner Partner","")</f>
        <v/>
      </c>
      <c r="AL350" t="str">
        <f>IF(Migrationsartikel!AG348="ja","true","false")</f>
        <v>false</v>
      </c>
      <c r="AM350" t="str">
        <f t="shared" si="5"/>
        <v>PLU</v>
      </c>
      <c r="AN350" s="31" t="s">
        <v>219</v>
      </c>
      <c r="AO350" s="31" t="s">
        <v>217</v>
      </c>
    </row>
    <row r="351" spans="2:41" ht="21.75" customHeight="1" x14ac:dyDescent="0.45">
      <c r="B351" t="s">
        <v>99</v>
      </c>
      <c r="E351" s="31" t="s">
        <v>1761</v>
      </c>
      <c r="F351" t="str">
        <f>"Warengruppe&gt;&gt;"&amp;Migrationsartikel!V349&amp;"&gt;&gt;"&amp;Migrationsartikel!W349&amp;"&gt;&gt;"&amp;Migrationsartikel!X349</f>
        <v>Warengruppe&gt;&gt;&gt;&gt;&gt;&gt;</v>
      </c>
      <c r="H351" s="31" t="s">
        <v>109</v>
      </c>
      <c r="I351" s="31" t="s">
        <v>121</v>
      </c>
      <c r="J351" s="31">
        <f>Migrationsartikel!B349</f>
        <v>0</v>
      </c>
      <c r="M351"/>
      <c r="N351"/>
      <c r="O351">
        <f>Migrationsartikel!F349</f>
        <v>0</v>
      </c>
      <c r="P351">
        <f>Migrationsartikel!J349</f>
        <v>0</v>
      </c>
      <c r="Q351">
        <f>Migrationsartikel!N349</f>
        <v>0</v>
      </c>
      <c r="R351">
        <f>Migrationsartikel!G349</f>
        <v>0</v>
      </c>
      <c r="S351">
        <f>Migrationsartikel!K349</f>
        <v>0</v>
      </c>
      <c r="T351">
        <f>Migrationsartikel!O349</f>
        <v>0</v>
      </c>
      <c r="U351" s="31">
        <f>Migrationsartikel!H349</f>
        <v>0</v>
      </c>
      <c r="V351" s="31">
        <f>Migrationsartikel!L349</f>
        <v>0</v>
      </c>
      <c r="W351" s="31">
        <f>Migrationsartikel!P349</f>
        <v>0</v>
      </c>
      <c r="X351">
        <f>Migrationsartikel!I349</f>
        <v>0</v>
      </c>
      <c r="Y351">
        <f>Migrationsartikel!M349</f>
        <v>0</v>
      </c>
      <c r="Z351">
        <f>Migrationsartikel!Q349</f>
        <v>0</v>
      </c>
      <c r="AA351" s="45">
        <f>Migrationsartikel!R349</f>
        <v>0</v>
      </c>
      <c r="AB351" s="46">
        <f>Migrationsartikel!T349</f>
        <v>0</v>
      </c>
      <c r="AC351">
        <f>Migrationsartikel!S349</f>
        <v>0</v>
      </c>
      <c r="AD351">
        <f>Migrationsartikel!U349</f>
        <v>0</v>
      </c>
      <c r="AE351" s="31" t="s">
        <v>179</v>
      </c>
      <c r="AF351" s="31" t="s">
        <v>192</v>
      </c>
      <c r="AG351" t="b">
        <f>IF(Migrationsartikel!AB349="ja","true",FALSE)</f>
        <v>0</v>
      </c>
      <c r="AH351" t="b">
        <f>IF(Migrationsartikel!AC349="ja","true",FALSE)</f>
        <v>0</v>
      </c>
      <c r="AI351" t="b">
        <f>IF(Migrationsartikel!AD349="ja","true",FALSE)</f>
        <v>0</v>
      </c>
      <c r="AJ351" t="b">
        <f>IF(Migrationsartikel!AE349="ja","true",FALSE)</f>
        <v>0</v>
      </c>
      <c r="AK351" t="str">
        <f>IF(Migrationsartikel!AF349="ja","Denner Partner","")</f>
        <v/>
      </c>
      <c r="AL351" t="str">
        <f>IF(Migrationsartikel!AG349="ja","true","false")</f>
        <v>false</v>
      </c>
      <c r="AM351" t="str">
        <f t="shared" si="5"/>
        <v>PLU</v>
      </c>
      <c r="AN351" s="31" t="s">
        <v>219</v>
      </c>
      <c r="AO351" s="31" t="s">
        <v>217</v>
      </c>
    </row>
    <row r="352" spans="2:41" ht="21.75" customHeight="1" x14ac:dyDescent="0.45">
      <c r="B352" t="s">
        <v>99</v>
      </c>
      <c r="E352" s="31" t="s">
        <v>1762</v>
      </c>
      <c r="F352" t="str">
        <f>"Warengruppe&gt;&gt;"&amp;Migrationsartikel!V350&amp;"&gt;&gt;"&amp;Migrationsartikel!W350&amp;"&gt;&gt;"&amp;Migrationsartikel!X350</f>
        <v>Warengruppe&gt;&gt;&gt;&gt;&gt;&gt;</v>
      </c>
      <c r="H352" s="31" t="s">
        <v>109</v>
      </c>
      <c r="I352" s="31" t="s">
        <v>121</v>
      </c>
      <c r="J352" s="31">
        <f>Migrationsartikel!B350</f>
        <v>0</v>
      </c>
      <c r="M352"/>
      <c r="N352"/>
      <c r="O352">
        <f>Migrationsartikel!F350</f>
        <v>0</v>
      </c>
      <c r="P352">
        <f>Migrationsartikel!J350</f>
        <v>0</v>
      </c>
      <c r="Q352">
        <f>Migrationsartikel!N350</f>
        <v>0</v>
      </c>
      <c r="R352">
        <f>Migrationsartikel!G350</f>
        <v>0</v>
      </c>
      <c r="S352">
        <f>Migrationsartikel!K350</f>
        <v>0</v>
      </c>
      <c r="T352">
        <f>Migrationsartikel!O350</f>
        <v>0</v>
      </c>
      <c r="U352" s="31">
        <f>Migrationsartikel!H350</f>
        <v>0</v>
      </c>
      <c r="V352" s="31">
        <f>Migrationsartikel!L350</f>
        <v>0</v>
      </c>
      <c r="W352" s="31">
        <f>Migrationsartikel!P350</f>
        <v>0</v>
      </c>
      <c r="X352">
        <f>Migrationsartikel!I350</f>
        <v>0</v>
      </c>
      <c r="Y352">
        <f>Migrationsartikel!M350</f>
        <v>0</v>
      </c>
      <c r="Z352">
        <f>Migrationsartikel!Q350</f>
        <v>0</v>
      </c>
      <c r="AA352" s="45">
        <f>Migrationsartikel!R350</f>
        <v>0</v>
      </c>
      <c r="AB352" s="46">
        <f>Migrationsartikel!T350</f>
        <v>0</v>
      </c>
      <c r="AC352">
        <f>Migrationsartikel!S350</f>
        <v>0</v>
      </c>
      <c r="AD352">
        <f>Migrationsartikel!U350</f>
        <v>0</v>
      </c>
      <c r="AE352" s="31" t="s">
        <v>179</v>
      </c>
      <c r="AF352" s="31" t="s">
        <v>192</v>
      </c>
      <c r="AG352" t="b">
        <f>IF(Migrationsartikel!AB350="ja","true",FALSE)</f>
        <v>0</v>
      </c>
      <c r="AH352" t="b">
        <f>IF(Migrationsartikel!AC350="ja","true",FALSE)</f>
        <v>0</v>
      </c>
      <c r="AI352" t="b">
        <f>IF(Migrationsartikel!AD350="ja","true",FALSE)</f>
        <v>0</v>
      </c>
      <c r="AJ352" t="b">
        <f>IF(Migrationsartikel!AE350="ja","true",FALSE)</f>
        <v>0</v>
      </c>
      <c r="AK352" t="str">
        <f>IF(Migrationsartikel!AF350="ja","Denner Partner","")</f>
        <v/>
      </c>
      <c r="AL352" t="str">
        <f>IF(Migrationsartikel!AG350="ja","true","false")</f>
        <v>false</v>
      </c>
      <c r="AM352" t="str">
        <f t="shared" si="5"/>
        <v>PLU</v>
      </c>
      <c r="AN352" s="31" t="s">
        <v>219</v>
      </c>
      <c r="AO352" s="31" t="s">
        <v>217</v>
      </c>
    </row>
    <row r="353" spans="2:41" ht="21.75" customHeight="1" x14ac:dyDescent="0.45">
      <c r="B353" t="s">
        <v>99</v>
      </c>
      <c r="E353" s="31" t="s">
        <v>1763</v>
      </c>
      <c r="F353" t="str">
        <f>"Warengruppe&gt;&gt;"&amp;Migrationsartikel!V351&amp;"&gt;&gt;"&amp;Migrationsartikel!W351&amp;"&gt;&gt;"&amp;Migrationsartikel!X351</f>
        <v>Warengruppe&gt;&gt;&gt;&gt;&gt;&gt;</v>
      </c>
      <c r="H353" s="31" t="s">
        <v>109</v>
      </c>
      <c r="I353" s="31" t="s">
        <v>121</v>
      </c>
      <c r="J353" s="31">
        <f>Migrationsartikel!B351</f>
        <v>0</v>
      </c>
      <c r="M353"/>
      <c r="N353"/>
      <c r="O353">
        <f>Migrationsartikel!F351</f>
        <v>0</v>
      </c>
      <c r="P353">
        <f>Migrationsartikel!J351</f>
        <v>0</v>
      </c>
      <c r="Q353">
        <f>Migrationsartikel!N351</f>
        <v>0</v>
      </c>
      <c r="R353">
        <f>Migrationsartikel!G351</f>
        <v>0</v>
      </c>
      <c r="S353">
        <f>Migrationsartikel!K351</f>
        <v>0</v>
      </c>
      <c r="T353">
        <f>Migrationsartikel!O351</f>
        <v>0</v>
      </c>
      <c r="U353" s="31">
        <f>Migrationsartikel!H351</f>
        <v>0</v>
      </c>
      <c r="V353" s="31">
        <f>Migrationsartikel!L351</f>
        <v>0</v>
      </c>
      <c r="W353" s="31">
        <f>Migrationsartikel!P351</f>
        <v>0</v>
      </c>
      <c r="X353">
        <f>Migrationsartikel!I351</f>
        <v>0</v>
      </c>
      <c r="Y353">
        <f>Migrationsartikel!M351</f>
        <v>0</v>
      </c>
      <c r="Z353">
        <f>Migrationsartikel!Q351</f>
        <v>0</v>
      </c>
      <c r="AA353" s="45">
        <f>Migrationsartikel!R351</f>
        <v>0</v>
      </c>
      <c r="AB353" s="46">
        <f>Migrationsartikel!T351</f>
        <v>0</v>
      </c>
      <c r="AC353">
        <f>Migrationsartikel!S351</f>
        <v>0</v>
      </c>
      <c r="AD353">
        <f>Migrationsartikel!U351</f>
        <v>0</v>
      </c>
      <c r="AE353" s="31" t="s">
        <v>179</v>
      </c>
      <c r="AF353" s="31" t="s">
        <v>192</v>
      </c>
      <c r="AG353" t="b">
        <f>IF(Migrationsartikel!AB351="ja","true",FALSE)</f>
        <v>0</v>
      </c>
      <c r="AH353" t="b">
        <f>IF(Migrationsartikel!AC351="ja","true",FALSE)</f>
        <v>0</v>
      </c>
      <c r="AI353" t="b">
        <f>IF(Migrationsartikel!AD351="ja","true",FALSE)</f>
        <v>0</v>
      </c>
      <c r="AJ353" t="b">
        <f>IF(Migrationsartikel!AE351="ja","true",FALSE)</f>
        <v>0</v>
      </c>
      <c r="AK353" t="str">
        <f>IF(Migrationsartikel!AF351="ja","Denner Partner","")</f>
        <v/>
      </c>
      <c r="AL353" t="str">
        <f>IF(Migrationsartikel!AG351="ja","true","false")</f>
        <v>false</v>
      </c>
      <c r="AM353" t="str">
        <f t="shared" si="5"/>
        <v>PLU</v>
      </c>
      <c r="AN353" s="31" t="s">
        <v>219</v>
      </c>
      <c r="AO353" s="31" t="s">
        <v>217</v>
      </c>
    </row>
    <row r="354" spans="2:41" ht="21.75" customHeight="1" x14ac:dyDescent="0.45">
      <c r="B354" t="s">
        <v>99</v>
      </c>
      <c r="E354" s="31" t="s">
        <v>1764</v>
      </c>
      <c r="F354" t="str">
        <f>"Warengruppe&gt;&gt;"&amp;Migrationsartikel!V352&amp;"&gt;&gt;"&amp;Migrationsartikel!W352&amp;"&gt;&gt;"&amp;Migrationsartikel!X352</f>
        <v>Warengruppe&gt;&gt;&gt;&gt;&gt;&gt;</v>
      </c>
      <c r="H354" s="31" t="s">
        <v>109</v>
      </c>
      <c r="I354" s="31" t="s">
        <v>121</v>
      </c>
      <c r="J354" s="31">
        <f>Migrationsartikel!B352</f>
        <v>0</v>
      </c>
      <c r="M354"/>
      <c r="N354"/>
      <c r="O354">
        <f>Migrationsartikel!F352</f>
        <v>0</v>
      </c>
      <c r="P354">
        <f>Migrationsartikel!J352</f>
        <v>0</v>
      </c>
      <c r="Q354">
        <f>Migrationsartikel!N352</f>
        <v>0</v>
      </c>
      <c r="R354">
        <f>Migrationsartikel!G352</f>
        <v>0</v>
      </c>
      <c r="S354">
        <f>Migrationsartikel!K352</f>
        <v>0</v>
      </c>
      <c r="T354">
        <f>Migrationsartikel!O352</f>
        <v>0</v>
      </c>
      <c r="U354" s="31">
        <f>Migrationsartikel!H352</f>
        <v>0</v>
      </c>
      <c r="V354" s="31">
        <f>Migrationsartikel!L352</f>
        <v>0</v>
      </c>
      <c r="W354" s="31">
        <f>Migrationsartikel!P352</f>
        <v>0</v>
      </c>
      <c r="X354">
        <f>Migrationsartikel!I352</f>
        <v>0</v>
      </c>
      <c r="Y354">
        <f>Migrationsartikel!M352</f>
        <v>0</v>
      </c>
      <c r="Z354">
        <f>Migrationsartikel!Q352</f>
        <v>0</v>
      </c>
      <c r="AA354" s="45">
        <f>Migrationsartikel!R352</f>
        <v>0</v>
      </c>
      <c r="AB354" s="46">
        <f>Migrationsartikel!T352</f>
        <v>0</v>
      </c>
      <c r="AC354">
        <f>Migrationsartikel!S352</f>
        <v>0</v>
      </c>
      <c r="AD354">
        <f>Migrationsartikel!U352</f>
        <v>0</v>
      </c>
      <c r="AE354" s="31" t="s">
        <v>179</v>
      </c>
      <c r="AF354" s="31" t="s">
        <v>192</v>
      </c>
      <c r="AG354" t="b">
        <f>IF(Migrationsartikel!AB352="ja","true",FALSE)</f>
        <v>0</v>
      </c>
      <c r="AH354" t="b">
        <f>IF(Migrationsartikel!AC352="ja","true",FALSE)</f>
        <v>0</v>
      </c>
      <c r="AI354" t="b">
        <f>IF(Migrationsartikel!AD352="ja","true",FALSE)</f>
        <v>0</v>
      </c>
      <c r="AJ354" t="b">
        <f>IF(Migrationsartikel!AE352="ja","true",FALSE)</f>
        <v>0</v>
      </c>
      <c r="AK354" t="str">
        <f>IF(Migrationsartikel!AF352="ja","Denner Partner","")</f>
        <v/>
      </c>
      <c r="AL354" t="str">
        <f>IF(Migrationsartikel!AG352="ja","true","false")</f>
        <v>false</v>
      </c>
      <c r="AM354" t="str">
        <f t="shared" si="5"/>
        <v>PLU</v>
      </c>
      <c r="AN354" s="31" t="s">
        <v>219</v>
      </c>
      <c r="AO354" s="31" t="s">
        <v>217</v>
      </c>
    </row>
    <row r="355" spans="2:41" ht="21.75" customHeight="1" x14ac:dyDescent="0.45">
      <c r="B355" t="s">
        <v>99</v>
      </c>
      <c r="E355" s="31" t="s">
        <v>1765</v>
      </c>
      <c r="F355" t="str">
        <f>"Warengruppe&gt;&gt;"&amp;Migrationsartikel!V353&amp;"&gt;&gt;"&amp;Migrationsartikel!W353&amp;"&gt;&gt;"&amp;Migrationsartikel!X353</f>
        <v>Warengruppe&gt;&gt;&gt;&gt;&gt;&gt;</v>
      </c>
      <c r="H355" s="31" t="s">
        <v>109</v>
      </c>
      <c r="I355" s="31" t="s">
        <v>121</v>
      </c>
      <c r="J355" s="31">
        <f>Migrationsartikel!B353</f>
        <v>0</v>
      </c>
      <c r="M355"/>
      <c r="N355"/>
      <c r="O355">
        <f>Migrationsartikel!F353</f>
        <v>0</v>
      </c>
      <c r="P355">
        <f>Migrationsartikel!J353</f>
        <v>0</v>
      </c>
      <c r="Q355">
        <f>Migrationsartikel!N353</f>
        <v>0</v>
      </c>
      <c r="R355">
        <f>Migrationsartikel!G353</f>
        <v>0</v>
      </c>
      <c r="S355">
        <f>Migrationsartikel!K353</f>
        <v>0</v>
      </c>
      <c r="T355">
        <f>Migrationsartikel!O353</f>
        <v>0</v>
      </c>
      <c r="U355" s="31">
        <f>Migrationsartikel!H353</f>
        <v>0</v>
      </c>
      <c r="V355" s="31">
        <f>Migrationsartikel!L353</f>
        <v>0</v>
      </c>
      <c r="W355" s="31">
        <f>Migrationsartikel!P353</f>
        <v>0</v>
      </c>
      <c r="X355">
        <f>Migrationsartikel!I353</f>
        <v>0</v>
      </c>
      <c r="Y355">
        <f>Migrationsartikel!M353</f>
        <v>0</v>
      </c>
      <c r="Z355">
        <f>Migrationsartikel!Q353</f>
        <v>0</v>
      </c>
      <c r="AA355" s="45">
        <f>Migrationsartikel!R353</f>
        <v>0</v>
      </c>
      <c r="AB355" s="46">
        <f>Migrationsartikel!T353</f>
        <v>0</v>
      </c>
      <c r="AC355">
        <f>Migrationsartikel!S353</f>
        <v>0</v>
      </c>
      <c r="AD355">
        <f>Migrationsartikel!U353</f>
        <v>0</v>
      </c>
      <c r="AE355" s="31" t="s">
        <v>179</v>
      </c>
      <c r="AF355" s="31" t="s">
        <v>192</v>
      </c>
      <c r="AG355" t="b">
        <f>IF(Migrationsartikel!AB353="ja","true",FALSE)</f>
        <v>0</v>
      </c>
      <c r="AH355" t="b">
        <f>IF(Migrationsartikel!AC353="ja","true",FALSE)</f>
        <v>0</v>
      </c>
      <c r="AI355" t="b">
        <f>IF(Migrationsartikel!AD353="ja","true",FALSE)</f>
        <v>0</v>
      </c>
      <c r="AJ355" t="b">
        <f>IF(Migrationsartikel!AE353="ja","true",FALSE)</f>
        <v>0</v>
      </c>
      <c r="AK355" t="str">
        <f>IF(Migrationsartikel!AF353="ja","Denner Partner","")</f>
        <v/>
      </c>
      <c r="AL355" t="str">
        <f>IF(Migrationsartikel!AG353="ja","true","false")</f>
        <v>false</v>
      </c>
      <c r="AM355" t="str">
        <f t="shared" si="5"/>
        <v>PLU</v>
      </c>
      <c r="AN355" s="31" t="s">
        <v>219</v>
      </c>
      <c r="AO355" s="31" t="s">
        <v>217</v>
      </c>
    </row>
    <row r="356" spans="2:41" ht="21.75" customHeight="1" x14ac:dyDescent="0.45">
      <c r="B356" t="s">
        <v>99</v>
      </c>
      <c r="E356" s="31" t="s">
        <v>1766</v>
      </c>
      <c r="F356" t="str">
        <f>"Warengruppe&gt;&gt;"&amp;Migrationsartikel!V354&amp;"&gt;&gt;"&amp;Migrationsartikel!W354&amp;"&gt;&gt;"&amp;Migrationsartikel!X354</f>
        <v>Warengruppe&gt;&gt;&gt;&gt;&gt;&gt;</v>
      </c>
      <c r="H356" s="31" t="s">
        <v>109</v>
      </c>
      <c r="I356" s="31" t="s">
        <v>121</v>
      </c>
      <c r="J356" s="31">
        <f>Migrationsartikel!B354</f>
        <v>0</v>
      </c>
      <c r="M356"/>
      <c r="N356"/>
      <c r="O356">
        <f>Migrationsartikel!F354</f>
        <v>0</v>
      </c>
      <c r="P356">
        <f>Migrationsartikel!J354</f>
        <v>0</v>
      </c>
      <c r="Q356">
        <f>Migrationsartikel!N354</f>
        <v>0</v>
      </c>
      <c r="R356">
        <f>Migrationsartikel!G354</f>
        <v>0</v>
      </c>
      <c r="S356">
        <f>Migrationsartikel!K354</f>
        <v>0</v>
      </c>
      <c r="T356">
        <f>Migrationsartikel!O354</f>
        <v>0</v>
      </c>
      <c r="U356" s="31">
        <f>Migrationsartikel!H354</f>
        <v>0</v>
      </c>
      <c r="V356" s="31">
        <f>Migrationsartikel!L354</f>
        <v>0</v>
      </c>
      <c r="W356" s="31">
        <f>Migrationsartikel!P354</f>
        <v>0</v>
      </c>
      <c r="X356">
        <f>Migrationsartikel!I354</f>
        <v>0</v>
      </c>
      <c r="Y356">
        <f>Migrationsartikel!M354</f>
        <v>0</v>
      </c>
      <c r="Z356">
        <f>Migrationsartikel!Q354</f>
        <v>0</v>
      </c>
      <c r="AA356" s="45">
        <f>Migrationsartikel!R354</f>
        <v>0</v>
      </c>
      <c r="AB356" s="46">
        <f>Migrationsartikel!T354</f>
        <v>0</v>
      </c>
      <c r="AC356">
        <f>Migrationsartikel!S354</f>
        <v>0</v>
      </c>
      <c r="AD356">
        <f>Migrationsartikel!U354</f>
        <v>0</v>
      </c>
      <c r="AE356" s="31" t="s">
        <v>179</v>
      </c>
      <c r="AF356" s="31" t="s">
        <v>192</v>
      </c>
      <c r="AG356" t="b">
        <f>IF(Migrationsartikel!AB354="ja","true",FALSE)</f>
        <v>0</v>
      </c>
      <c r="AH356" t="b">
        <f>IF(Migrationsartikel!AC354="ja","true",FALSE)</f>
        <v>0</v>
      </c>
      <c r="AI356" t="b">
        <f>IF(Migrationsartikel!AD354="ja","true",FALSE)</f>
        <v>0</v>
      </c>
      <c r="AJ356" t="b">
        <f>IF(Migrationsartikel!AE354="ja","true",FALSE)</f>
        <v>0</v>
      </c>
      <c r="AK356" t="str">
        <f>IF(Migrationsartikel!AF354="ja","Denner Partner","")</f>
        <v/>
      </c>
      <c r="AL356" t="str">
        <f>IF(Migrationsartikel!AG354="ja","true","false")</f>
        <v>false</v>
      </c>
      <c r="AM356" t="str">
        <f t="shared" si="5"/>
        <v>PLU</v>
      </c>
      <c r="AN356" s="31" t="s">
        <v>219</v>
      </c>
      <c r="AO356" s="31" t="s">
        <v>217</v>
      </c>
    </row>
    <row r="357" spans="2:41" ht="21.75" customHeight="1" x14ac:dyDescent="0.45">
      <c r="B357" t="s">
        <v>99</v>
      </c>
      <c r="E357" s="31" t="s">
        <v>1767</v>
      </c>
      <c r="F357" t="str">
        <f>"Warengruppe&gt;&gt;"&amp;Migrationsartikel!V355&amp;"&gt;&gt;"&amp;Migrationsartikel!W355&amp;"&gt;&gt;"&amp;Migrationsartikel!X355</f>
        <v>Warengruppe&gt;&gt;&gt;&gt;&gt;&gt;</v>
      </c>
      <c r="H357" s="31" t="s">
        <v>109</v>
      </c>
      <c r="I357" s="31" t="s">
        <v>121</v>
      </c>
      <c r="J357" s="31">
        <f>Migrationsartikel!B355</f>
        <v>0</v>
      </c>
      <c r="M357"/>
      <c r="N357"/>
      <c r="O357">
        <f>Migrationsartikel!F355</f>
        <v>0</v>
      </c>
      <c r="P357">
        <f>Migrationsartikel!J355</f>
        <v>0</v>
      </c>
      <c r="Q357">
        <f>Migrationsartikel!N355</f>
        <v>0</v>
      </c>
      <c r="R357">
        <f>Migrationsartikel!G355</f>
        <v>0</v>
      </c>
      <c r="S357">
        <f>Migrationsartikel!K355</f>
        <v>0</v>
      </c>
      <c r="T357">
        <f>Migrationsartikel!O355</f>
        <v>0</v>
      </c>
      <c r="U357" s="31">
        <f>Migrationsartikel!H355</f>
        <v>0</v>
      </c>
      <c r="V357" s="31">
        <f>Migrationsartikel!L355</f>
        <v>0</v>
      </c>
      <c r="W357" s="31">
        <f>Migrationsartikel!P355</f>
        <v>0</v>
      </c>
      <c r="X357">
        <f>Migrationsartikel!I355</f>
        <v>0</v>
      </c>
      <c r="Y357">
        <f>Migrationsartikel!M355</f>
        <v>0</v>
      </c>
      <c r="Z357">
        <f>Migrationsartikel!Q355</f>
        <v>0</v>
      </c>
      <c r="AA357" s="45">
        <f>Migrationsartikel!R355</f>
        <v>0</v>
      </c>
      <c r="AB357" s="46">
        <f>Migrationsartikel!T355</f>
        <v>0</v>
      </c>
      <c r="AC357">
        <f>Migrationsartikel!S355</f>
        <v>0</v>
      </c>
      <c r="AD357">
        <f>Migrationsartikel!U355</f>
        <v>0</v>
      </c>
      <c r="AE357" s="31" t="s">
        <v>179</v>
      </c>
      <c r="AF357" s="31" t="s">
        <v>192</v>
      </c>
      <c r="AG357" t="b">
        <f>IF(Migrationsartikel!AB355="ja","true",FALSE)</f>
        <v>0</v>
      </c>
      <c r="AH357" t="b">
        <f>IF(Migrationsartikel!AC355="ja","true",FALSE)</f>
        <v>0</v>
      </c>
      <c r="AI357" t="b">
        <f>IF(Migrationsartikel!AD355="ja","true",FALSE)</f>
        <v>0</v>
      </c>
      <c r="AJ357" t="b">
        <f>IF(Migrationsartikel!AE355="ja","true",FALSE)</f>
        <v>0</v>
      </c>
      <c r="AK357" t="str">
        <f>IF(Migrationsartikel!AF355="ja","Denner Partner","")</f>
        <v/>
      </c>
      <c r="AL357" t="str">
        <f>IF(Migrationsartikel!AG355="ja","true","false")</f>
        <v>false</v>
      </c>
      <c r="AM357" t="str">
        <f t="shared" si="5"/>
        <v>PLU</v>
      </c>
      <c r="AN357" s="31" t="s">
        <v>219</v>
      </c>
      <c r="AO357" s="31" t="s">
        <v>217</v>
      </c>
    </row>
    <row r="358" spans="2:41" ht="21.75" customHeight="1" x14ac:dyDescent="0.45">
      <c r="B358" t="s">
        <v>99</v>
      </c>
      <c r="E358" s="31" t="s">
        <v>1768</v>
      </c>
      <c r="F358" t="str">
        <f>"Warengruppe&gt;&gt;"&amp;Migrationsartikel!V356&amp;"&gt;&gt;"&amp;Migrationsartikel!W356&amp;"&gt;&gt;"&amp;Migrationsartikel!X356</f>
        <v>Warengruppe&gt;&gt;&gt;&gt;&gt;&gt;</v>
      </c>
      <c r="H358" s="31" t="s">
        <v>109</v>
      </c>
      <c r="I358" s="31" t="s">
        <v>121</v>
      </c>
      <c r="J358" s="31">
        <f>Migrationsartikel!B356</f>
        <v>0</v>
      </c>
      <c r="M358"/>
      <c r="N358"/>
      <c r="O358">
        <f>Migrationsartikel!F356</f>
        <v>0</v>
      </c>
      <c r="P358">
        <f>Migrationsartikel!J356</f>
        <v>0</v>
      </c>
      <c r="Q358">
        <f>Migrationsartikel!N356</f>
        <v>0</v>
      </c>
      <c r="R358">
        <f>Migrationsartikel!G356</f>
        <v>0</v>
      </c>
      <c r="S358">
        <f>Migrationsartikel!K356</f>
        <v>0</v>
      </c>
      <c r="T358">
        <f>Migrationsartikel!O356</f>
        <v>0</v>
      </c>
      <c r="U358" s="31">
        <f>Migrationsartikel!H356</f>
        <v>0</v>
      </c>
      <c r="V358" s="31">
        <f>Migrationsartikel!L356</f>
        <v>0</v>
      </c>
      <c r="W358" s="31">
        <f>Migrationsartikel!P356</f>
        <v>0</v>
      </c>
      <c r="X358">
        <f>Migrationsartikel!I356</f>
        <v>0</v>
      </c>
      <c r="Y358">
        <f>Migrationsartikel!M356</f>
        <v>0</v>
      </c>
      <c r="Z358">
        <f>Migrationsartikel!Q356</f>
        <v>0</v>
      </c>
      <c r="AA358" s="45">
        <f>Migrationsartikel!R356</f>
        <v>0</v>
      </c>
      <c r="AB358" s="46">
        <f>Migrationsartikel!T356</f>
        <v>0</v>
      </c>
      <c r="AC358">
        <f>Migrationsartikel!S356</f>
        <v>0</v>
      </c>
      <c r="AD358">
        <f>Migrationsartikel!U356</f>
        <v>0</v>
      </c>
      <c r="AE358" s="31" t="s">
        <v>179</v>
      </c>
      <c r="AF358" s="31" t="s">
        <v>192</v>
      </c>
      <c r="AG358" t="b">
        <f>IF(Migrationsartikel!AB356="ja","true",FALSE)</f>
        <v>0</v>
      </c>
      <c r="AH358" t="b">
        <f>IF(Migrationsartikel!AC356="ja","true",FALSE)</f>
        <v>0</v>
      </c>
      <c r="AI358" t="b">
        <f>IF(Migrationsartikel!AD356="ja","true",FALSE)</f>
        <v>0</v>
      </c>
      <c r="AJ358" t="b">
        <f>IF(Migrationsartikel!AE356="ja","true",FALSE)</f>
        <v>0</v>
      </c>
      <c r="AK358" t="str">
        <f>IF(Migrationsartikel!AF356="ja","Denner Partner","")</f>
        <v/>
      </c>
      <c r="AL358" t="str">
        <f>IF(Migrationsartikel!AG356="ja","true","false")</f>
        <v>false</v>
      </c>
      <c r="AM358" t="str">
        <f t="shared" si="5"/>
        <v>PLU</v>
      </c>
      <c r="AN358" s="31" t="s">
        <v>219</v>
      </c>
      <c r="AO358" s="31" t="s">
        <v>217</v>
      </c>
    </row>
    <row r="359" spans="2:41" ht="21.75" customHeight="1" x14ac:dyDescent="0.45">
      <c r="B359" t="s">
        <v>99</v>
      </c>
      <c r="E359" s="31" t="s">
        <v>1769</v>
      </c>
      <c r="F359" t="str">
        <f>"Warengruppe&gt;&gt;"&amp;Migrationsartikel!V357&amp;"&gt;&gt;"&amp;Migrationsartikel!W357&amp;"&gt;&gt;"&amp;Migrationsartikel!X357</f>
        <v>Warengruppe&gt;&gt;&gt;&gt;&gt;&gt;</v>
      </c>
      <c r="H359" s="31" t="s">
        <v>109</v>
      </c>
      <c r="I359" s="31" t="s">
        <v>121</v>
      </c>
      <c r="J359" s="31">
        <f>Migrationsartikel!B357</f>
        <v>0</v>
      </c>
      <c r="M359"/>
      <c r="N359"/>
      <c r="O359">
        <f>Migrationsartikel!F357</f>
        <v>0</v>
      </c>
      <c r="P359">
        <f>Migrationsartikel!J357</f>
        <v>0</v>
      </c>
      <c r="Q359">
        <f>Migrationsartikel!N357</f>
        <v>0</v>
      </c>
      <c r="R359">
        <f>Migrationsartikel!G357</f>
        <v>0</v>
      </c>
      <c r="S359">
        <f>Migrationsartikel!K357</f>
        <v>0</v>
      </c>
      <c r="T359">
        <f>Migrationsartikel!O357</f>
        <v>0</v>
      </c>
      <c r="U359" s="31">
        <f>Migrationsartikel!H357</f>
        <v>0</v>
      </c>
      <c r="V359" s="31">
        <f>Migrationsartikel!L357</f>
        <v>0</v>
      </c>
      <c r="W359" s="31">
        <f>Migrationsartikel!P357</f>
        <v>0</v>
      </c>
      <c r="X359">
        <f>Migrationsartikel!I357</f>
        <v>0</v>
      </c>
      <c r="Y359">
        <f>Migrationsartikel!M357</f>
        <v>0</v>
      </c>
      <c r="Z359">
        <f>Migrationsartikel!Q357</f>
        <v>0</v>
      </c>
      <c r="AA359" s="45">
        <f>Migrationsartikel!R357</f>
        <v>0</v>
      </c>
      <c r="AB359" s="46">
        <f>Migrationsartikel!T357</f>
        <v>0</v>
      </c>
      <c r="AC359">
        <f>Migrationsartikel!S357</f>
        <v>0</v>
      </c>
      <c r="AD359">
        <f>Migrationsartikel!U357</f>
        <v>0</v>
      </c>
      <c r="AE359" s="31" t="s">
        <v>179</v>
      </c>
      <c r="AF359" s="31" t="s">
        <v>192</v>
      </c>
      <c r="AG359" t="b">
        <f>IF(Migrationsartikel!AB357="ja","true",FALSE)</f>
        <v>0</v>
      </c>
      <c r="AH359" t="b">
        <f>IF(Migrationsartikel!AC357="ja","true",FALSE)</f>
        <v>0</v>
      </c>
      <c r="AI359" t="b">
        <f>IF(Migrationsartikel!AD357="ja","true",FALSE)</f>
        <v>0</v>
      </c>
      <c r="AJ359" t="b">
        <f>IF(Migrationsartikel!AE357="ja","true",FALSE)</f>
        <v>0</v>
      </c>
      <c r="AK359" t="str">
        <f>IF(Migrationsartikel!AF357="ja","Denner Partner","")</f>
        <v/>
      </c>
      <c r="AL359" t="str">
        <f>IF(Migrationsartikel!AG357="ja","true","false")</f>
        <v>false</v>
      </c>
      <c r="AM359" t="str">
        <f t="shared" si="5"/>
        <v>PLU</v>
      </c>
      <c r="AN359" s="31" t="s">
        <v>219</v>
      </c>
      <c r="AO359" s="31" t="s">
        <v>217</v>
      </c>
    </row>
    <row r="360" spans="2:41" ht="21.75" customHeight="1" x14ac:dyDescent="0.45">
      <c r="B360" t="s">
        <v>99</v>
      </c>
      <c r="E360" s="31" t="s">
        <v>1770</v>
      </c>
      <c r="F360" t="str">
        <f>"Warengruppe&gt;&gt;"&amp;Migrationsartikel!V358&amp;"&gt;&gt;"&amp;Migrationsartikel!W358&amp;"&gt;&gt;"&amp;Migrationsartikel!X358</f>
        <v>Warengruppe&gt;&gt;&gt;&gt;&gt;&gt;</v>
      </c>
      <c r="H360" s="31" t="s">
        <v>109</v>
      </c>
      <c r="I360" s="31" t="s">
        <v>121</v>
      </c>
      <c r="J360" s="31">
        <f>Migrationsartikel!B358</f>
        <v>0</v>
      </c>
      <c r="M360"/>
      <c r="N360"/>
      <c r="O360">
        <f>Migrationsartikel!F358</f>
        <v>0</v>
      </c>
      <c r="P360">
        <f>Migrationsartikel!J358</f>
        <v>0</v>
      </c>
      <c r="Q360">
        <f>Migrationsartikel!N358</f>
        <v>0</v>
      </c>
      <c r="R360">
        <f>Migrationsartikel!G358</f>
        <v>0</v>
      </c>
      <c r="S360">
        <f>Migrationsartikel!K358</f>
        <v>0</v>
      </c>
      <c r="T360">
        <f>Migrationsartikel!O358</f>
        <v>0</v>
      </c>
      <c r="U360" s="31">
        <f>Migrationsartikel!H358</f>
        <v>0</v>
      </c>
      <c r="V360" s="31">
        <f>Migrationsartikel!L358</f>
        <v>0</v>
      </c>
      <c r="W360" s="31">
        <f>Migrationsartikel!P358</f>
        <v>0</v>
      </c>
      <c r="X360">
        <f>Migrationsartikel!I358</f>
        <v>0</v>
      </c>
      <c r="Y360">
        <f>Migrationsartikel!M358</f>
        <v>0</v>
      </c>
      <c r="Z360">
        <f>Migrationsartikel!Q358</f>
        <v>0</v>
      </c>
      <c r="AA360" s="45">
        <f>Migrationsartikel!R358</f>
        <v>0</v>
      </c>
      <c r="AB360" s="46">
        <f>Migrationsartikel!T358</f>
        <v>0</v>
      </c>
      <c r="AC360">
        <f>Migrationsartikel!S358</f>
        <v>0</v>
      </c>
      <c r="AD360">
        <f>Migrationsartikel!U358</f>
        <v>0</v>
      </c>
      <c r="AE360" s="31" t="s">
        <v>179</v>
      </c>
      <c r="AF360" s="31" t="s">
        <v>192</v>
      </c>
      <c r="AG360" t="b">
        <f>IF(Migrationsartikel!AB358="ja","true",FALSE)</f>
        <v>0</v>
      </c>
      <c r="AH360" t="b">
        <f>IF(Migrationsartikel!AC358="ja","true",FALSE)</f>
        <v>0</v>
      </c>
      <c r="AI360" t="b">
        <f>IF(Migrationsartikel!AD358="ja","true",FALSE)</f>
        <v>0</v>
      </c>
      <c r="AJ360" t="b">
        <f>IF(Migrationsartikel!AE358="ja","true",FALSE)</f>
        <v>0</v>
      </c>
      <c r="AK360" t="str">
        <f>IF(Migrationsartikel!AF358="ja","Denner Partner","")</f>
        <v/>
      </c>
      <c r="AL360" t="str">
        <f>IF(Migrationsartikel!AG358="ja","true","false")</f>
        <v>false</v>
      </c>
      <c r="AM360" t="str">
        <f t="shared" si="5"/>
        <v>PLU</v>
      </c>
      <c r="AN360" s="31" t="s">
        <v>219</v>
      </c>
      <c r="AO360" s="31" t="s">
        <v>217</v>
      </c>
    </row>
    <row r="361" spans="2:41" ht="21.75" customHeight="1" x14ac:dyDescent="0.45">
      <c r="B361" t="s">
        <v>99</v>
      </c>
      <c r="E361" s="31" t="s">
        <v>1771</v>
      </c>
      <c r="F361" t="str">
        <f>"Warengruppe&gt;&gt;"&amp;Migrationsartikel!V359&amp;"&gt;&gt;"&amp;Migrationsartikel!W359&amp;"&gt;&gt;"&amp;Migrationsartikel!X359</f>
        <v>Warengruppe&gt;&gt;&gt;&gt;&gt;&gt;</v>
      </c>
      <c r="H361" s="31" t="s">
        <v>109</v>
      </c>
      <c r="I361" s="31" t="s">
        <v>121</v>
      </c>
      <c r="J361" s="31">
        <f>Migrationsartikel!B359</f>
        <v>0</v>
      </c>
      <c r="M361"/>
      <c r="N361"/>
      <c r="O361">
        <f>Migrationsartikel!F359</f>
        <v>0</v>
      </c>
      <c r="P361">
        <f>Migrationsartikel!J359</f>
        <v>0</v>
      </c>
      <c r="Q361">
        <f>Migrationsartikel!N359</f>
        <v>0</v>
      </c>
      <c r="R361">
        <f>Migrationsartikel!G359</f>
        <v>0</v>
      </c>
      <c r="S361">
        <f>Migrationsartikel!K359</f>
        <v>0</v>
      </c>
      <c r="T361">
        <f>Migrationsartikel!O359</f>
        <v>0</v>
      </c>
      <c r="U361" s="31">
        <f>Migrationsartikel!H359</f>
        <v>0</v>
      </c>
      <c r="V361" s="31">
        <f>Migrationsartikel!L359</f>
        <v>0</v>
      </c>
      <c r="W361" s="31">
        <f>Migrationsartikel!P359</f>
        <v>0</v>
      </c>
      <c r="X361">
        <f>Migrationsartikel!I359</f>
        <v>0</v>
      </c>
      <c r="Y361">
        <f>Migrationsartikel!M359</f>
        <v>0</v>
      </c>
      <c r="Z361">
        <f>Migrationsartikel!Q359</f>
        <v>0</v>
      </c>
      <c r="AA361" s="45">
        <f>Migrationsartikel!R359</f>
        <v>0</v>
      </c>
      <c r="AB361" s="46">
        <f>Migrationsartikel!T359</f>
        <v>0</v>
      </c>
      <c r="AC361">
        <f>Migrationsartikel!S359</f>
        <v>0</v>
      </c>
      <c r="AD361">
        <f>Migrationsartikel!U359</f>
        <v>0</v>
      </c>
      <c r="AE361" s="31" t="s">
        <v>179</v>
      </c>
      <c r="AF361" s="31" t="s">
        <v>192</v>
      </c>
      <c r="AG361" t="b">
        <f>IF(Migrationsartikel!AB359="ja","true",FALSE)</f>
        <v>0</v>
      </c>
      <c r="AH361" t="b">
        <f>IF(Migrationsartikel!AC359="ja","true",FALSE)</f>
        <v>0</v>
      </c>
      <c r="AI361" t="b">
        <f>IF(Migrationsartikel!AD359="ja","true",FALSE)</f>
        <v>0</v>
      </c>
      <c r="AJ361" t="b">
        <f>IF(Migrationsartikel!AE359="ja","true",FALSE)</f>
        <v>0</v>
      </c>
      <c r="AK361" t="str">
        <f>IF(Migrationsartikel!AF359="ja","Denner Partner","")</f>
        <v/>
      </c>
      <c r="AL361" t="str">
        <f>IF(Migrationsartikel!AG359="ja","true","false")</f>
        <v>false</v>
      </c>
      <c r="AM361" t="str">
        <f t="shared" si="5"/>
        <v>PLU</v>
      </c>
      <c r="AN361" s="31" t="s">
        <v>219</v>
      </c>
      <c r="AO361" s="31" t="s">
        <v>217</v>
      </c>
    </row>
    <row r="362" spans="2:41" ht="21.75" customHeight="1" x14ac:dyDescent="0.45">
      <c r="B362" t="s">
        <v>99</v>
      </c>
      <c r="E362" s="31" t="s">
        <v>1772</v>
      </c>
      <c r="F362" t="str">
        <f>"Warengruppe&gt;&gt;"&amp;Migrationsartikel!V360&amp;"&gt;&gt;"&amp;Migrationsartikel!W360&amp;"&gt;&gt;"&amp;Migrationsartikel!X360</f>
        <v>Warengruppe&gt;&gt;&gt;&gt;&gt;&gt;</v>
      </c>
      <c r="H362" s="31" t="s">
        <v>109</v>
      </c>
      <c r="I362" s="31" t="s">
        <v>121</v>
      </c>
      <c r="J362" s="31">
        <f>Migrationsartikel!B360</f>
        <v>0</v>
      </c>
      <c r="M362"/>
      <c r="N362"/>
      <c r="O362">
        <f>Migrationsartikel!F360</f>
        <v>0</v>
      </c>
      <c r="P362">
        <f>Migrationsartikel!J360</f>
        <v>0</v>
      </c>
      <c r="Q362">
        <f>Migrationsartikel!N360</f>
        <v>0</v>
      </c>
      <c r="R362">
        <f>Migrationsartikel!G360</f>
        <v>0</v>
      </c>
      <c r="S362">
        <f>Migrationsartikel!K360</f>
        <v>0</v>
      </c>
      <c r="T362">
        <f>Migrationsartikel!O360</f>
        <v>0</v>
      </c>
      <c r="U362" s="31">
        <f>Migrationsartikel!H360</f>
        <v>0</v>
      </c>
      <c r="V362" s="31">
        <f>Migrationsartikel!L360</f>
        <v>0</v>
      </c>
      <c r="W362" s="31">
        <f>Migrationsartikel!P360</f>
        <v>0</v>
      </c>
      <c r="X362">
        <f>Migrationsartikel!I360</f>
        <v>0</v>
      </c>
      <c r="Y362">
        <f>Migrationsartikel!M360</f>
        <v>0</v>
      </c>
      <c r="Z362">
        <f>Migrationsartikel!Q360</f>
        <v>0</v>
      </c>
      <c r="AA362" s="45">
        <f>Migrationsartikel!R360</f>
        <v>0</v>
      </c>
      <c r="AB362" s="46">
        <f>Migrationsartikel!T360</f>
        <v>0</v>
      </c>
      <c r="AC362">
        <f>Migrationsartikel!S360</f>
        <v>0</v>
      </c>
      <c r="AD362">
        <f>Migrationsartikel!U360</f>
        <v>0</v>
      </c>
      <c r="AE362" s="31" t="s">
        <v>179</v>
      </c>
      <c r="AF362" s="31" t="s">
        <v>192</v>
      </c>
      <c r="AG362" t="b">
        <f>IF(Migrationsartikel!AB360="ja","true",FALSE)</f>
        <v>0</v>
      </c>
      <c r="AH362" t="b">
        <f>IF(Migrationsartikel!AC360="ja","true",FALSE)</f>
        <v>0</v>
      </c>
      <c r="AI362" t="b">
        <f>IF(Migrationsartikel!AD360="ja","true",FALSE)</f>
        <v>0</v>
      </c>
      <c r="AJ362" t="b">
        <f>IF(Migrationsartikel!AE360="ja","true",FALSE)</f>
        <v>0</v>
      </c>
      <c r="AK362" t="str">
        <f>IF(Migrationsartikel!AF360="ja","Denner Partner","")</f>
        <v/>
      </c>
      <c r="AL362" t="str">
        <f>IF(Migrationsartikel!AG360="ja","true","false")</f>
        <v>false</v>
      </c>
      <c r="AM362" t="str">
        <f t="shared" si="5"/>
        <v>PLU</v>
      </c>
      <c r="AN362" s="31" t="s">
        <v>219</v>
      </c>
      <c r="AO362" s="31" t="s">
        <v>217</v>
      </c>
    </row>
    <row r="363" spans="2:41" ht="21.75" customHeight="1" x14ac:dyDescent="0.45">
      <c r="B363" t="s">
        <v>99</v>
      </c>
      <c r="E363" s="31" t="s">
        <v>1773</v>
      </c>
      <c r="F363" t="str">
        <f>"Warengruppe&gt;&gt;"&amp;Migrationsartikel!V361&amp;"&gt;&gt;"&amp;Migrationsartikel!W361&amp;"&gt;&gt;"&amp;Migrationsartikel!X361</f>
        <v>Warengruppe&gt;&gt;&gt;&gt;&gt;&gt;</v>
      </c>
      <c r="H363" s="31" t="s">
        <v>109</v>
      </c>
      <c r="I363" s="31" t="s">
        <v>121</v>
      </c>
      <c r="J363" s="31">
        <f>Migrationsartikel!B361</f>
        <v>0</v>
      </c>
      <c r="M363"/>
      <c r="N363"/>
      <c r="O363">
        <f>Migrationsartikel!F361</f>
        <v>0</v>
      </c>
      <c r="P363">
        <f>Migrationsartikel!J361</f>
        <v>0</v>
      </c>
      <c r="Q363">
        <f>Migrationsartikel!N361</f>
        <v>0</v>
      </c>
      <c r="R363">
        <f>Migrationsartikel!G361</f>
        <v>0</v>
      </c>
      <c r="S363">
        <f>Migrationsartikel!K361</f>
        <v>0</v>
      </c>
      <c r="T363">
        <f>Migrationsartikel!O361</f>
        <v>0</v>
      </c>
      <c r="U363" s="31">
        <f>Migrationsartikel!H361</f>
        <v>0</v>
      </c>
      <c r="V363" s="31">
        <f>Migrationsartikel!L361</f>
        <v>0</v>
      </c>
      <c r="W363" s="31">
        <f>Migrationsartikel!P361</f>
        <v>0</v>
      </c>
      <c r="X363">
        <f>Migrationsartikel!I361</f>
        <v>0</v>
      </c>
      <c r="Y363">
        <f>Migrationsartikel!M361</f>
        <v>0</v>
      </c>
      <c r="Z363">
        <f>Migrationsartikel!Q361</f>
        <v>0</v>
      </c>
      <c r="AA363" s="45">
        <f>Migrationsartikel!R361</f>
        <v>0</v>
      </c>
      <c r="AB363" s="46">
        <f>Migrationsartikel!T361</f>
        <v>0</v>
      </c>
      <c r="AC363">
        <f>Migrationsartikel!S361</f>
        <v>0</v>
      </c>
      <c r="AD363">
        <f>Migrationsartikel!U361</f>
        <v>0</v>
      </c>
      <c r="AE363" s="31" t="s">
        <v>179</v>
      </c>
      <c r="AF363" s="31" t="s">
        <v>192</v>
      </c>
      <c r="AG363" t="b">
        <f>IF(Migrationsartikel!AB361="ja","true",FALSE)</f>
        <v>0</v>
      </c>
      <c r="AH363" t="b">
        <f>IF(Migrationsartikel!AC361="ja","true",FALSE)</f>
        <v>0</v>
      </c>
      <c r="AI363" t="b">
        <f>IF(Migrationsartikel!AD361="ja","true",FALSE)</f>
        <v>0</v>
      </c>
      <c r="AJ363" t="b">
        <f>IF(Migrationsartikel!AE361="ja","true",FALSE)</f>
        <v>0</v>
      </c>
      <c r="AK363" t="str">
        <f>IF(Migrationsartikel!AF361="ja","Denner Partner","")</f>
        <v/>
      </c>
      <c r="AL363" t="str">
        <f>IF(Migrationsartikel!AG361="ja","true","false")</f>
        <v>false</v>
      </c>
      <c r="AM363" t="str">
        <f t="shared" si="5"/>
        <v>PLU</v>
      </c>
      <c r="AN363" s="31" t="s">
        <v>219</v>
      </c>
      <c r="AO363" s="31" t="s">
        <v>217</v>
      </c>
    </row>
    <row r="364" spans="2:41" ht="21.75" customHeight="1" x14ac:dyDescent="0.45">
      <c r="B364" t="s">
        <v>99</v>
      </c>
      <c r="E364" s="31" t="s">
        <v>1774</v>
      </c>
      <c r="F364" t="str">
        <f>"Warengruppe&gt;&gt;"&amp;Migrationsartikel!V362&amp;"&gt;&gt;"&amp;Migrationsartikel!W362&amp;"&gt;&gt;"&amp;Migrationsartikel!X362</f>
        <v>Warengruppe&gt;&gt;&gt;&gt;&gt;&gt;</v>
      </c>
      <c r="H364" s="31" t="s">
        <v>109</v>
      </c>
      <c r="I364" s="31" t="s">
        <v>121</v>
      </c>
      <c r="J364" s="31">
        <f>Migrationsartikel!B362</f>
        <v>0</v>
      </c>
      <c r="M364"/>
      <c r="N364"/>
      <c r="O364">
        <f>Migrationsartikel!F362</f>
        <v>0</v>
      </c>
      <c r="P364">
        <f>Migrationsartikel!J362</f>
        <v>0</v>
      </c>
      <c r="Q364">
        <f>Migrationsartikel!N362</f>
        <v>0</v>
      </c>
      <c r="R364">
        <f>Migrationsartikel!G362</f>
        <v>0</v>
      </c>
      <c r="S364">
        <f>Migrationsartikel!K362</f>
        <v>0</v>
      </c>
      <c r="T364">
        <f>Migrationsartikel!O362</f>
        <v>0</v>
      </c>
      <c r="U364" s="31">
        <f>Migrationsartikel!H362</f>
        <v>0</v>
      </c>
      <c r="V364" s="31">
        <f>Migrationsartikel!L362</f>
        <v>0</v>
      </c>
      <c r="W364" s="31">
        <f>Migrationsartikel!P362</f>
        <v>0</v>
      </c>
      <c r="X364">
        <f>Migrationsartikel!I362</f>
        <v>0</v>
      </c>
      <c r="Y364">
        <f>Migrationsartikel!M362</f>
        <v>0</v>
      </c>
      <c r="Z364">
        <f>Migrationsartikel!Q362</f>
        <v>0</v>
      </c>
      <c r="AA364" s="45">
        <f>Migrationsartikel!R362</f>
        <v>0</v>
      </c>
      <c r="AB364" s="46">
        <f>Migrationsartikel!T362</f>
        <v>0</v>
      </c>
      <c r="AC364">
        <f>Migrationsartikel!S362</f>
        <v>0</v>
      </c>
      <c r="AD364">
        <f>Migrationsartikel!U362</f>
        <v>0</v>
      </c>
      <c r="AE364" s="31" t="s">
        <v>179</v>
      </c>
      <c r="AF364" s="31" t="s">
        <v>192</v>
      </c>
      <c r="AG364" t="b">
        <f>IF(Migrationsartikel!AB362="ja","true",FALSE)</f>
        <v>0</v>
      </c>
      <c r="AH364" t="b">
        <f>IF(Migrationsartikel!AC362="ja","true",FALSE)</f>
        <v>0</v>
      </c>
      <c r="AI364" t="b">
        <f>IF(Migrationsartikel!AD362="ja","true",FALSE)</f>
        <v>0</v>
      </c>
      <c r="AJ364" t="b">
        <f>IF(Migrationsartikel!AE362="ja","true",FALSE)</f>
        <v>0</v>
      </c>
      <c r="AK364" t="str">
        <f>IF(Migrationsartikel!AF362="ja","Denner Partner","")</f>
        <v/>
      </c>
      <c r="AL364" t="str">
        <f>IF(Migrationsartikel!AG362="ja","true","false")</f>
        <v>false</v>
      </c>
      <c r="AM364" t="str">
        <f t="shared" si="5"/>
        <v>PLU</v>
      </c>
      <c r="AN364" s="31" t="s">
        <v>219</v>
      </c>
      <c r="AO364" s="31" t="s">
        <v>217</v>
      </c>
    </row>
    <row r="365" spans="2:41" ht="21.75" customHeight="1" x14ac:dyDescent="0.45">
      <c r="B365" t="s">
        <v>99</v>
      </c>
      <c r="E365" s="31" t="s">
        <v>1775</v>
      </c>
      <c r="F365" t="str">
        <f>"Warengruppe&gt;&gt;"&amp;Migrationsartikel!V363&amp;"&gt;&gt;"&amp;Migrationsartikel!W363&amp;"&gt;&gt;"&amp;Migrationsartikel!X363</f>
        <v>Warengruppe&gt;&gt;&gt;&gt;&gt;&gt;</v>
      </c>
      <c r="H365" s="31" t="s">
        <v>109</v>
      </c>
      <c r="I365" s="31" t="s">
        <v>121</v>
      </c>
      <c r="J365" s="31">
        <f>Migrationsartikel!B363</f>
        <v>0</v>
      </c>
      <c r="M365"/>
      <c r="N365"/>
      <c r="O365">
        <f>Migrationsartikel!F363</f>
        <v>0</v>
      </c>
      <c r="P365">
        <f>Migrationsartikel!J363</f>
        <v>0</v>
      </c>
      <c r="Q365">
        <f>Migrationsartikel!N363</f>
        <v>0</v>
      </c>
      <c r="R365">
        <f>Migrationsartikel!G363</f>
        <v>0</v>
      </c>
      <c r="S365">
        <f>Migrationsartikel!K363</f>
        <v>0</v>
      </c>
      <c r="T365">
        <f>Migrationsartikel!O363</f>
        <v>0</v>
      </c>
      <c r="U365" s="31">
        <f>Migrationsartikel!H363</f>
        <v>0</v>
      </c>
      <c r="V365" s="31">
        <f>Migrationsartikel!L363</f>
        <v>0</v>
      </c>
      <c r="W365" s="31">
        <f>Migrationsartikel!P363</f>
        <v>0</v>
      </c>
      <c r="X365">
        <f>Migrationsartikel!I363</f>
        <v>0</v>
      </c>
      <c r="Y365">
        <f>Migrationsartikel!M363</f>
        <v>0</v>
      </c>
      <c r="Z365">
        <f>Migrationsartikel!Q363</f>
        <v>0</v>
      </c>
      <c r="AA365" s="45">
        <f>Migrationsartikel!R363</f>
        <v>0</v>
      </c>
      <c r="AB365" s="46">
        <f>Migrationsartikel!T363</f>
        <v>0</v>
      </c>
      <c r="AC365">
        <f>Migrationsartikel!S363</f>
        <v>0</v>
      </c>
      <c r="AD365">
        <f>Migrationsartikel!U363</f>
        <v>0</v>
      </c>
      <c r="AE365" s="31" t="s">
        <v>179</v>
      </c>
      <c r="AF365" s="31" t="s">
        <v>192</v>
      </c>
      <c r="AG365" t="b">
        <f>IF(Migrationsartikel!AB363="ja","true",FALSE)</f>
        <v>0</v>
      </c>
      <c r="AH365" t="b">
        <f>IF(Migrationsartikel!AC363="ja","true",FALSE)</f>
        <v>0</v>
      </c>
      <c r="AI365" t="b">
        <f>IF(Migrationsartikel!AD363="ja","true",FALSE)</f>
        <v>0</v>
      </c>
      <c r="AJ365" t="b">
        <f>IF(Migrationsartikel!AE363="ja","true",FALSE)</f>
        <v>0</v>
      </c>
      <c r="AK365" t="str">
        <f>IF(Migrationsartikel!AF363="ja","Denner Partner","")</f>
        <v/>
      </c>
      <c r="AL365" t="str">
        <f>IF(Migrationsartikel!AG363="ja","true","false")</f>
        <v>false</v>
      </c>
      <c r="AM365" t="str">
        <f t="shared" si="5"/>
        <v>PLU</v>
      </c>
      <c r="AN365" s="31" t="s">
        <v>219</v>
      </c>
      <c r="AO365" s="31" t="s">
        <v>217</v>
      </c>
    </row>
    <row r="366" spans="2:41" ht="21.75" customHeight="1" x14ac:dyDescent="0.45">
      <c r="B366" t="s">
        <v>99</v>
      </c>
      <c r="E366" s="31" t="s">
        <v>1776</v>
      </c>
      <c r="F366" t="str">
        <f>"Warengruppe&gt;&gt;"&amp;Migrationsartikel!V364&amp;"&gt;&gt;"&amp;Migrationsartikel!W364&amp;"&gt;&gt;"&amp;Migrationsartikel!X364</f>
        <v>Warengruppe&gt;&gt;&gt;&gt;&gt;&gt;</v>
      </c>
      <c r="H366" s="31" t="s">
        <v>109</v>
      </c>
      <c r="I366" s="31" t="s">
        <v>121</v>
      </c>
      <c r="J366" s="31">
        <f>Migrationsartikel!B364</f>
        <v>0</v>
      </c>
      <c r="M366"/>
      <c r="N366"/>
      <c r="O366">
        <f>Migrationsartikel!F364</f>
        <v>0</v>
      </c>
      <c r="P366">
        <f>Migrationsartikel!J364</f>
        <v>0</v>
      </c>
      <c r="Q366">
        <f>Migrationsartikel!N364</f>
        <v>0</v>
      </c>
      <c r="R366">
        <f>Migrationsartikel!G364</f>
        <v>0</v>
      </c>
      <c r="S366">
        <f>Migrationsartikel!K364</f>
        <v>0</v>
      </c>
      <c r="T366">
        <f>Migrationsartikel!O364</f>
        <v>0</v>
      </c>
      <c r="U366" s="31">
        <f>Migrationsartikel!H364</f>
        <v>0</v>
      </c>
      <c r="V366" s="31">
        <f>Migrationsartikel!L364</f>
        <v>0</v>
      </c>
      <c r="W366" s="31">
        <f>Migrationsartikel!P364</f>
        <v>0</v>
      </c>
      <c r="X366">
        <f>Migrationsartikel!I364</f>
        <v>0</v>
      </c>
      <c r="Y366">
        <f>Migrationsartikel!M364</f>
        <v>0</v>
      </c>
      <c r="Z366">
        <f>Migrationsartikel!Q364</f>
        <v>0</v>
      </c>
      <c r="AA366" s="45">
        <f>Migrationsartikel!R364</f>
        <v>0</v>
      </c>
      <c r="AB366" s="46">
        <f>Migrationsartikel!T364</f>
        <v>0</v>
      </c>
      <c r="AC366">
        <f>Migrationsartikel!S364</f>
        <v>0</v>
      </c>
      <c r="AD366">
        <f>Migrationsartikel!U364</f>
        <v>0</v>
      </c>
      <c r="AE366" s="31" t="s">
        <v>179</v>
      </c>
      <c r="AF366" s="31" t="s">
        <v>192</v>
      </c>
      <c r="AG366" t="b">
        <f>IF(Migrationsartikel!AB364="ja","true",FALSE)</f>
        <v>0</v>
      </c>
      <c r="AH366" t="b">
        <f>IF(Migrationsartikel!AC364="ja","true",FALSE)</f>
        <v>0</v>
      </c>
      <c r="AI366" t="b">
        <f>IF(Migrationsartikel!AD364="ja","true",FALSE)</f>
        <v>0</v>
      </c>
      <c r="AJ366" t="b">
        <f>IF(Migrationsartikel!AE364="ja","true",FALSE)</f>
        <v>0</v>
      </c>
      <c r="AK366" t="str">
        <f>IF(Migrationsartikel!AF364="ja","Denner Partner","")</f>
        <v/>
      </c>
      <c r="AL366" t="str">
        <f>IF(Migrationsartikel!AG364="ja","true","false")</f>
        <v>false</v>
      </c>
      <c r="AM366" t="str">
        <f t="shared" si="5"/>
        <v>PLU</v>
      </c>
      <c r="AN366" s="31" t="s">
        <v>219</v>
      </c>
      <c r="AO366" s="31" t="s">
        <v>217</v>
      </c>
    </row>
    <row r="367" spans="2:41" ht="21.75" customHeight="1" x14ac:dyDescent="0.45">
      <c r="B367" t="s">
        <v>99</v>
      </c>
      <c r="E367" s="31" t="s">
        <v>1777</v>
      </c>
      <c r="F367" t="str">
        <f>"Warengruppe&gt;&gt;"&amp;Migrationsartikel!V365&amp;"&gt;&gt;"&amp;Migrationsartikel!W365&amp;"&gt;&gt;"&amp;Migrationsartikel!X365</f>
        <v>Warengruppe&gt;&gt;&gt;&gt;&gt;&gt;</v>
      </c>
      <c r="H367" s="31" t="s">
        <v>109</v>
      </c>
      <c r="I367" s="31" t="s">
        <v>121</v>
      </c>
      <c r="J367" s="31">
        <f>Migrationsartikel!B365</f>
        <v>0</v>
      </c>
      <c r="M367"/>
      <c r="N367"/>
      <c r="O367">
        <f>Migrationsartikel!F365</f>
        <v>0</v>
      </c>
      <c r="P367">
        <f>Migrationsartikel!J365</f>
        <v>0</v>
      </c>
      <c r="Q367">
        <f>Migrationsartikel!N365</f>
        <v>0</v>
      </c>
      <c r="R367">
        <f>Migrationsartikel!G365</f>
        <v>0</v>
      </c>
      <c r="S367">
        <f>Migrationsartikel!K365</f>
        <v>0</v>
      </c>
      <c r="T367">
        <f>Migrationsartikel!O365</f>
        <v>0</v>
      </c>
      <c r="U367" s="31">
        <f>Migrationsartikel!H365</f>
        <v>0</v>
      </c>
      <c r="V367" s="31">
        <f>Migrationsartikel!L365</f>
        <v>0</v>
      </c>
      <c r="W367" s="31">
        <f>Migrationsartikel!P365</f>
        <v>0</v>
      </c>
      <c r="X367">
        <f>Migrationsartikel!I365</f>
        <v>0</v>
      </c>
      <c r="Y367">
        <f>Migrationsartikel!M365</f>
        <v>0</v>
      </c>
      <c r="Z367">
        <f>Migrationsartikel!Q365</f>
        <v>0</v>
      </c>
      <c r="AA367" s="45">
        <f>Migrationsartikel!R365</f>
        <v>0</v>
      </c>
      <c r="AB367" s="46">
        <f>Migrationsartikel!T365</f>
        <v>0</v>
      </c>
      <c r="AC367">
        <f>Migrationsartikel!S365</f>
        <v>0</v>
      </c>
      <c r="AD367">
        <f>Migrationsartikel!U365</f>
        <v>0</v>
      </c>
      <c r="AE367" s="31" t="s">
        <v>179</v>
      </c>
      <c r="AF367" s="31" t="s">
        <v>192</v>
      </c>
      <c r="AG367" t="b">
        <f>IF(Migrationsartikel!AB365="ja","true",FALSE)</f>
        <v>0</v>
      </c>
      <c r="AH367" t="b">
        <f>IF(Migrationsartikel!AC365="ja","true",FALSE)</f>
        <v>0</v>
      </c>
      <c r="AI367" t="b">
        <f>IF(Migrationsartikel!AD365="ja","true",FALSE)</f>
        <v>0</v>
      </c>
      <c r="AJ367" t="b">
        <f>IF(Migrationsartikel!AE365="ja","true",FALSE)</f>
        <v>0</v>
      </c>
      <c r="AK367" t="str">
        <f>IF(Migrationsartikel!AF365="ja","Denner Partner","")</f>
        <v/>
      </c>
      <c r="AL367" t="str">
        <f>IF(Migrationsartikel!AG365="ja","true","false")</f>
        <v>false</v>
      </c>
      <c r="AM367" t="str">
        <f t="shared" si="5"/>
        <v>PLU</v>
      </c>
      <c r="AN367" s="31" t="s">
        <v>219</v>
      </c>
      <c r="AO367" s="31" t="s">
        <v>217</v>
      </c>
    </row>
    <row r="368" spans="2:41" ht="21.75" customHeight="1" x14ac:dyDescent="0.45">
      <c r="B368" t="s">
        <v>99</v>
      </c>
      <c r="E368" s="31" t="s">
        <v>1778</v>
      </c>
      <c r="F368" t="str">
        <f>"Warengruppe&gt;&gt;"&amp;Migrationsartikel!V366&amp;"&gt;&gt;"&amp;Migrationsartikel!W366&amp;"&gt;&gt;"&amp;Migrationsartikel!X366</f>
        <v>Warengruppe&gt;&gt;&gt;&gt;&gt;&gt;</v>
      </c>
      <c r="H368" s="31" t="s">
        <v>109</v>
      </c>
      <c r="I368" s="31" t="s">
        <v>121</v>
      </c>
      <c r="J368" s="31">
        <f>Migrationsartikel!B366</f>
        <v>0</v>
      </c>
      <c r="M368"/>
      <c r="N368"/>
      <c r="O368">
        <f>Migrationsartikel!F366</f>
        <v>0</v>
      </c>
      <c r="P368">
        <f>Migrationsartikel!J366</f>
        <v>0</v>
      </c>
      <c r="Q368">
        <f>Migrationsartikel!N366</f>
        <v>0</v>
      </c>
      <c r="R368">
        <f>Migrationsartikel!G366</f>
        <v>0</v>
      </c>
      <c r="S368">
        <f>Migrationsartikel!K366</f>
        <v>0</v>
      </c>
      <c r="T368">
        <f>Migrationsartikel!O366</f>
        <v>0</v>
      </c>
      <c r="U368" s="31">
        <f>Migrationsartikel!H366</f>
        <v>0</v>
      </c>
      <c r="V368" s="31">
        <f>Migrationsartikel!L366</f>
        <v>0</v>
      </c>
      <c r="W368" s="31">
        <f>Migrationsartikel!P366</f>
        <v>0</v>
      </c>
      <c r="X368">
        <f>Migrationsartikel!I366</f>
        <v>0</v>
      </c>
      <c r="Y368">
        <f>Migrationsartikel!M366</f>
        <v>0</v>
      </c>
      <c r="Z368">
        <f>Migrationsartikel!Q366</f>
        <v>0</v>
      </c>
      <c r="AA368" s="45">
        <f>Migrationsartikel!R366</f>
        <v>0</v>
      </c>
      <c r="AB368" s="46">
        <f>Migrationsartikel!T366</f>
        <v>0</v>
      </c>
      <c r="AC368">
        <f>Migrationsartikel!S366</f>
        <v>0</v>
      </c>
      <c r="AD368">
        <f>Migrationsartikel!U366</f>
        <v>0</v>
      </c>
      <c r="AE368" s="31" t="s">
        <v>179</v>
      </c>
      <c r="AF368" s="31" t="s">
        <v>192</v>
      </c>
      <c r="AG368" t="b">
        <f>IF(Migrationsartikel!AB366="ja","true",FALSE)</f>
        <v>0</v>
      </c>
      <c r="AH368" t="b">
        <f>IF(Migrationsartikel!AC366="ja","true",FALSE)</f>
        <v>0</v>
      </c>
      <c r="AI368" t="b">
        <f>IF(Migrationsartikel!AD366="ja","true",FALSE)</f>
        <v>0</v>
      </c>
      <c r="AJ368" t="b">
        <f>IF(Migrationsartikel!AE366="ja","true",FALSE)</f>
        <v>0</v>
      </c>
      <c r="AK368" t="str">
        <f>IF(Migrationsartikel!AF366="ja","Denner Partner","")</f>
        <v/>
      </c>
      <c r="AL368" t="str">
        <f>IF(Migrationsartikel!AG366="ja","true","false")</f>
        <v>false</v>
      </c>
      <c r="AM368" t="str">
        <f t="shared" si="5"/>
        <v>PLU</v>
      </c>
      <c r="AN368" s="31" t="s">
        <v>219</v>
      </c>
      <c r="AO368" s="31" t="s">
        <v>217</v>
      </c>
    </row>
    <row r="369" spans="2:41" ht="21.75" customHeight="1" x14ac:dyDescent="0.45">
      <c r="B369" t="s">
        <v>99</v>
      </c>
      <c r="E369" s="31" t="s">
        <v>1779</v>
      </c>
      <c r="F369" t="str">
        <f>"Warengruppe&gt;&gt;"&amp;Migrationsartikel!V367&amp;"&gt;&gt;"&amp;Migrationsartikel!W367&amp;"&gt;&gt;"&amp;Migrationsartikel!X367</f>
        <v>Warengruppe&gt;&gt;&gt;&gt;&gt;&gt;</v>
      </c>
      <c r="H369" s="31" t="s">
        <v>109</v>
      </c>
      <c r="I369" s="31" t="s">
        <v>121</v>
      </c>
      <c r="J369" s="31">
        <f>Migrationsartikel!B367</f>
        <v>0</v>
      </c>
      <c r="M369"/>
      <c r="N369"/>
      <c r="O369">
        <f>Migrationsartikel!F367</f>
        <v>0</v>
      </c>
      <c r="P369">
        <f>Migrationsartikel!J367</f>
        <v>0</v>
      </c>
      <c r="Q369">
        <f>Migrationsartikel!N367</f>
        <v>0</v>
      </c>
      <c r="R369">
        <f>Migrationsartikel!G367</f>
        <v>0</v>
      </c>
      <c r="S369">
        <f>Migrationsartikel!K367</f>
        <v>0</v>
      </c>
      <c r="T369">
        <f>Migrationsartikel!O367</f>
        <v>0</v>
      </c>
      <c r="U369" s="31">
        <f>Migrationsartikel!H367</f>
        <v>0</v>
      </c>
      <c r="V369" s="31">
        <f>Migrationsartikel!L367</f>
        <v>0</v>
      </c>
      <c r="W369" s="31">
        <f>Migrationsartikel!P367</f>
        <v>0</v>
      </c>
      <c r="X369">
        <f>Migrationsartikel!I367</f>
        <v>0</v>
      </c>
      <c r="Y369">
        <f>Migrationsartikel!M367</f>
        <v>0</v>
      </c>
      <c r="Z369">
        <f>Migrationsartikel!Q367</f>
        <v>0</v>
      </c>
      <c r="AA369" s="45">
        <f>Migrationsartikel!R367</f>
        <v>0</v>
      </c>
      <c r="AB369" s="46">
        <f>Migrationsartikel!T367</f>
        <v>0</v>
      </c>
      <c r="AC369">
        <f>Migrationsartikel!S367</f>
        <v>0</v>
      </c>
      <c r="AD369">
        <f>Migrationsartikel!U367</f>
        <v>0</v>
      </c>
      <c r="AE369" s="31" t="s">
        <v>179</v>
      </c>
      <c r="AF369" s="31" t="s">
        <v>192</v>
      </c>
      <c r="AG369" t="b">
        <f>IF(Migrationsartikel!AB367="ja","true",FALSE)</f>
        <v>0</v>
      </c>
      <c r="AH369" t="b">
        <f>IF(Migrationsartikel!AC367="ja","true",FALSE)</f>
        <v>0</v>
      </c>
      <c r="AI369" t="b">
        <f>IF(Migrationsartikel!AD367="ja","true",FALSE)</f>
        <v>0</v>
      </c>
      <c r="AJ369" t="b">
        <f>IF(Migrationsartikel!AE367="ja","true",FALSE)</f>
        <v>0</v>
      </c>
      <c r="AK369" t="str">
        <f>IF(Migrationsartikel!AF367="ja","Denner Partner","")</f>
        <v/>
      </c>
      <c r="AL369" t="str">
        <f>IF(Migrationsartikel!AG367="ja","true","false")</f>
        <v>false</v>
      </c>
      <c r="AM369" t="str">
        <f t="shared" si="5"/>
        <v>PLU</v>
      </c>
      <c r="AN369" s="31" t="s">
        <v>219</v>
      </c>
      <c r="AO369" s="31" t="s">
        <v>217</v>
      </c>
    </row>
    <row r="370" spans="2:41" ht="21.75" customHeight="1" x14ac:dyDescent="0.45">
      <c r="B370" t="s">
        <v>99</v>
      </c>
      <c r="E370" s="31" t="s">
        <v>1780</v>
      </c>
      <c r="F370" t="str">
        <f>"Warengruppe&gt;&gt;"&amp;Migrationsartikel!V368&amp;"&gt;&gt;"&amp;Migrationsartikel!W368&amp;"&gt;&gt;"&amp;Migrationsartikel!X368</f>
        <v>Warengruppe&gt;&gt;&gt;&gt;&gt;&gt;</v>
      </c>
      <c r="H370" s="31" t="s">
        <v>109</v>
      </c>
      <c r="I370" s="31" t="s">
        <v>121</v>
      </c>
      <c r="J370" s="31">
        <f>Migrationsartikel!B368</f>
        <v>0</v>
      </c>
      <c r="M370"/>
      <c r="N370"/>
      <c r="O370">
        <f>Migrationsartikel!F368</f>
        <v>0</v>
      </c>
      <c r="P370">
        <f>Migrationsartikel!J368</f>
        <v>0</v>
      </c>
      <c r="Q370">
        <f>Migrationsartikel!N368</f>
        <v>0</v>
      </c>
      <c r="R370">
        <f>Migrationsartikel!G368</f>
        <v>0</v>
      </c>
      <c r="S370">
        <f>Migrationsartikel!K368</f>
        <v>0</v>
      </c>
      <c r="T370">
        <f>Migrationsartikel!O368</f>
        <v>0</v>
      </c>
      <c r="U370" s="31">
        <f>Migrationsartikel!H368</f>
        <v>0</v>
      </c>
      <c r="V370" s="31">
        <f>Migrationsartikel!L368</f>
        <v>0</v>
      </c>
      <c r="W370" s="31">
        <f>Migrationsartikel!P368</f>
        <v>0</v>
      </c>
      <c r="X370">
        <f>Migrationsartikel!I368</f>
        <v>0</v>
      </c>
      <c r="Y370">
        <f>Migrationsartikel!M368</f>
        <v>0</v>
      </c>
      <c r="Z370">
        <f>Migrationsartikel!Q368</f>
        <v>0</v>
      </c>
      <c r="AA370" s="45">
        <f>Migrationsartikel!R368</f>
        <v>0</v>
      </c>
      <c r="AB370" s="46">
        <f>Migrationsartikel!T368</f>
        <v>0</v>
      </c>
      <c r="AC370">
        <f>Migrationsartikel!S368</f>
        <v>0</v>
      </c>
      <c r="AD370">
        <f>Migrationsartikel!U368</f>
        <v>0</v>
      </c>
      <c r="AE370" s="31" t="s">
        <v>179</v>
      </c>
      <c r="AF370" s="31" t="s">
        <v>192</v>
      </c>
      <c r="AG370" t="b">
        <f>IF(Migrationsartikel!AB368="ja","true",FALSE)</f>
        <v>0</v>
      </c>
      <c r="AH370" t="b">
        <f>IF(Migrationsartikel!AC368="ja","true",FALSE)</f>
        <v>0</v>
      </c>
      <c r="AI370" t="b">
        <f>IF(Migrationsartikel!AD368="ja","true",FALSE)</f>
        <v>0</v>
      </c>
      <c r="AJ370" t="b">
        <f>IF(Migrationsartikel!AE368="ja","true",FALSE)</f>
        <v>0</v>
      </c>
      <c r="AK370" t="str">
        <f>IF(Migrationsartikel!AF368="ja","Denner Partner","")</f>
        <v/>
      </c>
      <c r="AL370" t="str">
        <f>IF(Migrationsartikel!AG368="ja","true","false")</f>
        <v>false</v>
      </c>
      <c r="AM370" t="str">
        <f t="shared" si="5"/>
        <v>PLU</v>
      </c>
      <c r="AN370" s="31" t="s">
        <v>219</v>
      </c>
      <c r="AO370" s="31" t="s">
        <v>217</v>
      </c>
    </row>
    <row r="371" spans="2:41" ht="21.75" customHeight="1" x14ac:dyDescent="0.45">
      <c r="B371" t="s">
        <v>99</v>
      </c>
      <c r="E371" s="31" t="s">
        <v>1781</v>
      </c>
      <c r="F371" t="str">
        <f>"Warengruppe&gt;&gt;"&amp;Migrationsartikel!V369&amp;"&gt;&gt;"&amp;Migrationsartikel!W369&amp;"&gt;&gt;"&amp;Migrationsartikel!X369</f>
        <v>Warengruppe&gt;&gt;&gt;&gt;&gt;&gt;</v>
      </c>
      <c r="H371" s="31" t="s">
        <v>109</v>
      </c>
      <c r="I371" s="31" t="s">
        <v>121</v>
      </c>
      <c r="J371" s="31">
        <f>Migrationsartikel!B369</f>
        <v>0</v>
      </c>
      <c r="M371"/>
      <c r="N371"/>
      <c r="O371">
        <f>Migrationsartikel!F369</f>
        <v>0</v>
      </c>
      <c r="P371">
        <f>Migrationsartikel!J369</f>
        <v>0</v>
      </c>
      <c r="Q371">
        <f>Migrationsartikel!N369</f>
        <v>0</v>
      </c>
      <c r="R371">
        <f>Migrationsartikel!G369</f>
        <v>0</v>
      </c>
      <c r="S371">
        <f>Migrationsartikel!K369</f>
        <v>0</v>
      </c>
      <c r="T371">
        <f>Migrationsartikel!O369</f>
        <v>0</v>
      </c>
      <c r="U371" s="31">
        <f>Migrationsartikel!H369</f>
        <v>0</v>
      </c>
      <c r="V371" s="31">
        <f>Migrationsartikel!L369</f>
        <v>0</v>
      </c>
      <c r="W371" s="31">
        <f>Migrationsartikel!P369</f>
        <v>0</v>
      </c>
      <c r="X371">
        <f>Migrationsartikel!I369</f>
        <v>0</v>
      </c>
      <c r="Y371">
        <f>Migrationsartikel!M369</f>
        <v>0</v>
      </c>
      <c r="Z371">
        <f>Migrationsartikel!Q369</f>
        <v>0</v>
      </c>
      <c r="AA371" s="45">
        <f>Migrationsartikel!R369</f>
        <v>0</v>
      </c>
      <c r="AB371" s="46">
        <f>Migrationsartikel!T369</f>
        <v>0</v>
      </c>
      <c r="AC371">
        <f>Migrationsartikel!S369</f>
        <v>0</v>
      </c>
      <c r="AD371">
        <f>Migrationsartikel!U369</f>
        <v>0</v>
      </c>
      <c r="AE371" s="31" t="s">
        <v>179</v>
      </c>
      <c r="AF371" s="31" t="s">
        <v>192</v>
      </c>
      <c r="AG371" t="b">
        <f>IF(Migrationsartikel!AB369="ja","true",FALSE)</f>
        <v>0</v>
      </c>
      <c r="AH371" t="b">
        <f>IF(Migrationsartikel!AC369="ja","true",FALSE)</f>
        <v>0</v>
      </c>
      <c r="AI371" t="b">
        <f>IF(Migrationsartikel!AD369="ja","true",FALSE)</f>
        <v>0</v>
      </c>
      <c r="AJ371" t="b">
        <f>IF(Migrationsartikel!AE369="ja","true",FALSE)</f>
        <v>0</v>
      </c>
      <c r="AK371" t="str">
        <f>IF(Migrationsartikel!AF369="ja","Denner Partner","")</f>
        <v/>
      </c>
      <c r="AL371" t="str">
        <f>IF(Migrationsartikel!AG369="ja","true","false")</f>
        <v>false</v>
      </c>
      <c r="AM371" t="str">
        <f t="shared" si="5"/>
        <v>PLU</v>
      </c>
      <c r="AN371" s="31" t="s">
        <v>219</v>
      </c>
      <c r="AO371" s="31" t="s">
        <v>217</v>
      </c>
    </row>
    <row r="372" spans="2:41" ht="21.75" customHeight="1" x14ac:dyDescent="0.45">
      <c r="B372" t="s">
        <v>99</v>
      </c>
      <c r="E372" s="31" t="s">
        <v>1782</v>
      </c>
      <c r="F372" t="str">
        <f>"Warengruppe&gt;&gt;"&amp;Migrationsartikel!V370&amp;"&gt;&gt;"&amp;Migrationsartikel!W370&amp;"&gt;&gt;"&amp;Migrationsartikel!X370</f>
        <v>Warengruppe&gt;&gt;&gt;&gt;&gt;&gt;</v>
      </c>
      <c r="H372" s="31" t="s">
        <v>109</v>
      </c>
      <c r="I372" s="31" t="s">
        <v>121</v>
      </c>
      <c r="J372" s="31">
        <f>Migrationsartikel!B370</f>
        <v>0</v>
      </c>
      <c r="M372"/>
      <c r="N372"/>
      <c r="O372">
        <f>Migrationsartikel!F370</f>
        <v>0</v>
      </c>
      <c r="P372">
        <f>Migrationsartikel!J370</f>
        <v>0</v>
      </c>
      <c r="Q372">
        <f>Migrationsartikel!N370</f>
        <v>0</v>
      </c>
      <c r="R372">
        <f>Migrationsartikel!G370</f>
        <v>0</v>
      </c>
      <c r="S372">
        <f>Migrationsartikel!K370</f>
        <v>0</v>
      </c>
      <c r="T372">
        <f>Migrationsartikel!O370</f>
        <v>0</v>
      </c>
      <c r="U372" s="31">
        <f>Migrationsartikel!H370</f>
        <v>0</v>
      </c>
      <c r="V372" s="31">
        <f>Migrationsartikel!L370</f>
        <v>0</v>
      </c>
      <c r="W372" s="31">
        <f>Migrationsartikel!P370</f>
        <v>0</v>
      </c>
      <c r="X372">
        <f>Migrationsartikel!I370</f>
        <v>0</v>
      </c>
      <c r="Y372">
        <f>Migrationsartikel!M370</f>
        <v>0</v>
      </c>
      <c r="Z372">
        <f>Migrationsartikel!Q370</f>
        <v>0</v>
      </c>
      <c r="AA372" s="45">
        <f>Migrationsartikel!R370</f>
        <v>0</v>
      </c>
      <c r="AB372" s="46">
        <f>Migrationsartikel!T370</f>
        <v>0</v>
      </c>
      <c r="AC372">
        <f>Migrationsartikel!S370</f>
        <v>0</v>
      </c>
      <c r="AD372">
        <f>Migrationsartikel!U370</f>
        <v>0</v>
      </c>
      <c r="AE372" s="31" t="s">
        <v>179</v>
      </c>
      <c r="AF372" s="31" t="s">
        <v>192</v>
      </c>
      <c r="AG372" t="b">
        <f>IF(Migrationsartikel!AB370="ja","true",FALSE)</f>
        <v>0</v>
      </c>
      <c r="AH372" t="b">
        <f>IF(Migrationsartikel!AC370="ja","true",FALSE)</f>
        <v>0</v>
      </c>
      <c r="AI372" t="b">
        <f>IF(Migrationsartikel!AD370="ja","true",FALSE)</f>
        <v>0</v>
      </c>
      <c r="AJ372" t="b">
        <f>IF(Migrationsartikel!AE370="ja","true",FALSE)</f>
        <v>0</v>
      </c>
      <c r="AK372" t="str">
        <f>IF(Migrationsartikel!AF370="ja","Denner Partner","")</f>
        <v/>
      </c>
      <c r="AL372" t="str">
        <f>IF(Migrationsartikel!AG370="ja","true","false")</f>
        <v>false</v>
      </c>
      <c r="AM372" t="str">
        <f t="shared" si="5"/>
        <v>PLU</v>
      </c>
      <c r="AN372" s="31" t="s">
        <v>219</v>
      </c>
      <c r="AO372" s="31" t="s">
        <v>217</v>
      </c>
    </row>
    <row r="373" spans="2:41" ht="21.75" customHeight="1" x14ac:dyDescent="0.45">
      <c r="B373" t="s">
        <v>99</v>
      </c>
      <c r="E373" s="31" t="s">
        <v>1783</v>
      </c>
      <c r="F373" t="str">
        <f>"Warengruppe&gt;&gt;"&amp;Migrationsartikel!V371&amp;"&gt;&gt;"&amp;Migrationsartikel!W371&amp;"&gt;&gt;"&amp;Migrationsartikel!X371</f>
        <v>Warengruppe&gt;&gt;&gt;&gt;&gt;&gt;</v>
      </c>
      <c r="H373" s="31" t="s">
        <v>109</v>
      </c>
      <c r="I373" s="31" t="s">
        <v>121</v>
      </c>
      <c r="J373" s="31">
        <f>Migrationsartikel!B371</f>
        <v>0</v>
      </c>
      <c r="M373"/>
      <c r="N373"/>
      <c r="O373">
        <f>Migrationsartikel!F371</f>
        <v>0</v>
      </c>
      <c r="P373">
        <f>Migrationsartikel!J371</f>
        <v>0</v>
      </c>
      <c r="Q373">
        <f>Migrationsartikel!N371</f>
        <v>0</v>
      </c>
      <c r="R373">
        <f>Migrationsartikel!G371</f>
        <v>0</v>
      </c>
      <c r="S373">
        <f>Migrationsartikel!K371</f>
        <v>0</v>
      </c>
      <c r="T373">
        <f>Migrationsartikel!O371</f>
        <v>0</v>
      </c>
      <c r="U373" s="31">
        <f>Migrationsartikel!H371</f>
        <v>0</v>
      </c>
      <c r="V373" s="31">
        <f>Migrationsartikel!L371</f>
        <v>0</v>
      </c>
      <c r="W373" s="31">
        <f>Migrationsartikel!P371</f>
        <v>0</v>
      </c>
      <c r="X373">
        <f>Migrationsartikel!I371</f>
        <v>0</v>
      </c>
      <c r="Y373">
        <f>Migrationsartikel!M371</f>
        <v>0</v>
      </c>
      <c r="Z373">
        <f>Migrationsartikel!Q371</f>
        <v>0</v>
      </c>
      <c r="AA373" s="45">
        <f>Migrationsartikel!R371</f>
        <v>0</v>
      </c>
      <c r="AB373" s="46">
        <f>Migrationsartikel!T371</f>
        <v>0</v>
      </c>
      <c r="AC373">
        <f>Migrationsartikel!S371</f>
        <v>0</v>
      </c>
      <c r="AD373">
        <f>Migrationsartikel!U371</f>
        <v>0</v>
      </c>
      <c r="AE373" s="31" t="s">
        <v>179</v>
      </c>
      <c r="AF373" s="31" t="s">
        <v>192</v>
      </c>
      <c r="AG373" t="b">
        <f>IF(Migrationsartikel!AB371="ja","true",FALSE)</f>
        <v>0</v>
      </c>
      <c r="AH373" t="b">
        <f>IF(Migrationsartikel!AC371="ja","true",FALSE)</f>
        <v>0</v>
      </c>
      <c r="AI373" t="b">
        <f>IF(Migrationsartikel!AD371="ja","true",FALSE)</f>
        <v>0</v>
      </c>
      <c r="AJ373" t="b">
        <f>IF(Migrationsartikel!AE371="ja","true",FALSE)</f>
        <v>0</v>
      </c>
      <c r="AK373" t="str">
        <f>IF(Migrationsartikel!AF371="ja","Denner Partner","")</f>
        <v/>
      </c>
      <c r="AL373" t="str">
        <f>IF(Migrationsartikel!AG371="ja","true","false")</f>
        <v>false</v>
      </c>
      <c r="AM373" t="str">
        <f t="shared" si="5"/>
        <v>PLU</v>
      </c>
      <c r="AN373" s="31" t="s">
        <v>219</v>
      </c>
      <c r="AO373" s="31" t="s">
        <v>217</v>
      </c>
    </row>
    <row r="374" spans="2:41" ht="21.75" customHeight="1" x14ac:dyDescent="0.45">
      <c r="B374" t="s">
        <v>99</v>
      </c>
      <c r="E374" s="31" t="s">
        <v>1784</v>
      </c>
      <c r="F374" t="str">
        <f>"Warengruppe&gt;&gt;"&amp;Migrationsartikel!V372&amp;"&gt;&gt;"&amp;Migrationsartikel!W372&amp;"&gt;&gt;"&amp;Migrationsartikel!X372</f>
        <v>Warengruppe&gt;&gt;&gt;&gt;&gt;&gt;</v>
      </c>
      <c r="H374" s="31" t="s">
        <v>109</v>
      </c>
      <c r="I374" s="31" t="s">
        <v>121</v>
      </c>
      <c r="J374" s="31">
        <f>Migrationsartikel!B372</f>
        <v>0</v>
      </c>
      <c r="M374"/>
      <c r="N374"/>
      <c r="O374">
        <f>Migrationsartikel!F372</f>
        <v>0</v>
      </c>
      <c r="P374">
        <f>Migrationsartikel!J372</f>
        <v>0</v>
      </c>
      <c r="Q374">
        <f>Migrationsartikel!N372</f>
        <v>0</v>
      </c>
      <c r="R374">
        <f>Migrationsartikel!G372</f>
        <v>0</v>
      </c>
      <c r="S374">
        <f>Migrationsartikel!K372</f>
        <v>0</v>
      </c>
      <c r="T374">
        <f>Migrationsartikel!O372</f>
        <v>0</v>
      </c>
      <c r="U374" s="31">
        <f>Migrationsartikel!H372</f>
        <v>0</v>
      </c>
      <c r="V374" s="31">
        <f>Migrationsartikel!L372</f>
        <v>0</v>
      </c>
      <c r="W374" s="31">
        <f>Migrationsartikel!P372</f>
        <v>0</v>
      </c>
      <c r="X374">
        <f>Migrationsartikel!I372</f>
        <v>0</v>
      </c>
      <c r="Y374">
        <f>Migrationsartikel!M372</f>
        <v>0</v>
      </c>
      <c r="Z374">
        <f>Migrationsartikel!Q372</f>
        <v>0</v>
      </c>
      <c r="AA374" s="45">
        <f>Migrationsartikel!R372</f>
        <v>0</v>
      </c>
      <c r="AB374" s="46">
        <f>Migrationsartikel!T372</f>
        <v>0</v>
      </c>
      <c r="AC374">
        <f>Migrationsartikel!S372</f>
        <v>0</v>
      </c>
      <c r="AD374">
        <f>Migrationsartikel!U372</f>
        <v>0</v>
      </c>
      <c r="AE374" s="31" t="s">
        <v>179</v>
      </c>
      <c r="AF374" s="31" t="s">
        <v>192</v>
      </c>
      <c r="AG374" t="b">
        <f>IF(Migrationsartikel!AB372="ja","true",FALSE)</f>
        <v>0</v>
      </c>
      <c r="AH374" t="b">
        <f>IF(Migrationsartikel!AC372="ja","true",FALSE)</f>
        <v>0</v>
      </c>
      <c r="AI374" t="b">
        <f>IF(Migrationsartikel!AD372="ja","true",FALSE)</f>
        <v>0</v>
      </c>
      <c r="AJ374" t="b">
        <f>IF(Migrationsartikel!AE372="ja","true",FALSE)</f>
        <v>0</v>
      </c>
      <c r="AK374" t="str">
        <f>IF(Migrationsartikel!AF372="ja","Denner Partner","")</f>
        <v/>
      </c>
      <c r="AL374" t="str">
        <f>IF(Migrationsartikel!AG372="ja","true","false")</f>
        <v>false</v>
      </c>
      <c r="AM374" t="str">
        <f t="shared" si="5"/>
        <v>PLU</v>
      </c>
      <c r="AN374" s="31" t="s">
        <v>219</v>
      </c>
      <c r="AO374" s="31" t="s">
        <v>217</v>
      </c>
    </row>
    <row r="375" spans="2:41" ht="21.75" customHeight="1" x14ac:dyDescent="0.45">
      <c r="B375" t="s">
        <v>99</v>
      </c>
      <c r="E375" s="31" t="s">
        <v>1785</v>
      </c>
      <c r="F375" t="str">
        <f>"Warengruppe&gt;&gt;"&amp;Migrationsartikel!V373&amp;"&gt;&gt;"&amp;Migrationsartikel!W373&amp;"&gt;&gt;"&amp;Migrationsartikel!X373</f>
        <v>Warengruppe&gt;&gt;&gt;&gt;&gt;&gt;</v>
      </c>
      <c r="H375" s="31" t="s">
        <v>109</v>
      </c>
      <c r="I375" s="31" t="s">
        <v>121</v>
      </c>
      <c r="J375" s="31">
        <f>Migrationsartikel!B373</f>
        <v>0</v>
      </c>
      <c r="M375"/>
      <c r="N375"/>
      <c r="O375">
        <f>Migrationsartikel!F373</f>
        <v>0</v>
      </c>
      <c r="P375">
        <f>Migrationsartikel!J373</f>
        <v>0</v>
      </c>
      <c r="Q375">
        <f>Migrationsartikel!N373</f>
        <v>0</v>
      </c>
      <c r="R375">
        <f>Migrationsartikel!G373</f>
        <v>0</v>
      </c>
      <c r="S375">
        <f>Migrationsartikel!K373</f>
        <v>0</v>
      </c>
      <c r="T375">
        <f>Migrationsartikel!O373</f>
        <v>0</v>
      </c>
      <c r="U375" s="31">
        <f>Migrationsartikel!H373</f>
        <v>0</v>
      </c>
      <c r="V375" s="31">
        <f>Migrationsartikel!L373</f>
        <v>0</v>
      </c>
      <c r="W375" s="31">
        <f>Migrationsartikel!P373</f>
        <v>0</v>
      </c>
      <c r="X375">
        <f>Migrationsartikel!I373</f>
        <v>0</v>
      </c>
      <c r="Y375">
        <f>Migrationsartikel!M373</f>
        <v>0</v>
      </c>
      <c r="Z375">
        <f>Migrationsartikel!Q373</f>
        <v>0</v>
      </c>
      <c r="AA375" s="45">
        <f>Migrationsartikel!R373</f>
        <v>0</v>
      </c>
      <c r="AB375" s="46">
        <f>Migrationsartikel!T373</f>
        <v>0</v>
      </c>
      <c r="AC375">
        <f>Migrationsartikel!S373</f>
        <v>0</v>
      </c>
      <c r="AD375">
        <f>Migrationsartikel!U373</f>
        <v>0</v>
      </c>
      <c r="AE375" s="31" t="s">
        <v>179</v>
      </c>
      <c r="AF375" s="31" t="s">
        <v>192</v>
      </c>
      <c r="AG375" t="b">
        <f>IF(Migrationsartikel!AB373="ja","true",FALSE)</f>
        <v>0</v>
      </c>
      <c r="AH375" t="b">
        <f>IF(Migrationsartikel!AC373="ja","true",FALSE)</f>
        <v>0</v>
      </c>
      <c r="AI375" t="b">
        <f>IF(Migrationsartikel!AD373="ja","true",FALSE)</f>
        <v>0</v>
      </c>
      <c r="AJ375" t="b">
        <f>IF(Migrationsartikel!AE373="ja","true",FALSE)</f>
        <v>0</v>
      </c>
      <c r="AK375" t="str">
        <f>IF(Migrationsartikel!AF373="ja","Denner Partner","")</f>
        <v/>
      </c>
      <c r="AL375" t="str">
        <f>IF(Migrationsartikel!AG373="ja","true","false")</f>
        <v>false</v>
      </c>
      <c r="AM375" t="str">
        <f t="shared" si="5"/>
        <v>PLU</v>
      </c>
      <c r="AN375" s="31" t="s">
        <v>219</v>
      </c>
      <c r="AO375" s="31" t="s">
        <v>217</v>
      </c>
    </row>
    <row r="376" spans="2:41" ht="21.75" customHeight="1" x14ac:dyDescent="0.45">
      <c r="B376" t="s">
        <v>99</v>
      </c>
      <c r="E376" s="31" t="s">
        <v>1786</v>
      </c>
      <c r="F376" t="str">
        <f>"Warengruppe&gt;&gt;"&amp;Migrationsartikel!V374&amp;"&gt;&gt;"&amp;Migrationsartikel!W374&amp;"&gt;&gt;"&amp;Migrationsartikel!X374</f>
        <v>Warengruppe&gt;&gt;&gt;&gt;&gt;&gt;</v>
      </c>
      <c r="H376" s="31" t="s">
        <v>109</v>
      </c>
      <c r="I376" s="31" t="s">
        <v>121</v>
      </c>
      <c r="J376" s="31">
        <f>Migrationsartikel!B374</f>
        <v>0</v>
      </c>
      <c r="M376"/>
      <c r="N376"/>
      <c r="O376">
        <f>Migrationsartikel!F374</f>
        <v>0</v>
      </c>
      <c r="P376">
        <f>Migrationsartikel!J374</f>
        <v>0</v>
      </c>
      <c r="Q376">
        <f>Migrationsartikel!N374</f>
        <v>0</v>
      </c>
      <c r="R376">
        <f>Migrationsartikel!G374</f>
        <v>0</v>
      </c>
      <c r="S376">
        <f>Migrationsartikel!K374</f>
        <v>0</v>
      </c>
      <c r="T376">
        <f>Migrationsartikel!O374</f>
        <v>0</v>
      </c>
      <c r="U376" s="31">
        <f>Migrationsartikel!H374</f>
        <v>0</v>
      </c>
      <c r="V376" s="31">
        <f>Migrationsartikel!L374</f>
        <v>0</v>
      </c>
      <c r="W376" s="31">
        <f>Migrationsartikel!P374</f>
        <v>0</v>
      </c>
      <c r="X376">
        <f>Migrationsartikel!I374</f>
        <v>0</v>
      </c>
      <c r="Y376">
        <f>Migrationsartikel!M374</f>
        <v>0</v>
      </c>
      <c r="Z376">
        <f>Migrationsartikel!Q374</f>
        <v>0</v>
      </c>
      <c r="AA376" s="45">
        <f>Migrationsartikel!R374</f>
        <v>0</v>
      </c>
      <c r="AB376" s="46">
        <f>Migrationsartikel!T374</f>
        <v>0</v>
      </c>
      <c r="AC376">
        <f>Migrationsartikel!S374</f>
        <v>0</v>
      </c>
      <c r="AD376">
        <f>Migrationsartikel!U374</f>
        <v>0</v>
      </c>
      <c r="AE376" s="31" t="s">
        <v>179</v>
      </c>
      <c r="AF376" s="31" t="s">
        <v>192</v>
      </c>
      <c r="AG376" t="b">
        <f>IF(Migrationsartikel!AB374="ja","true",FALSE)</f>
        <v>0</v>
      </c>
      <c r="AH376" t="b">
        <f>IF(Migrationsartikel!AC374="ja","true",FALSE)</f>
        <v>0</v>
      </c>
      <c r="AI376" t="b">
        <f>IF(Migrationsartikel!AD374="ja","true",FALSE)</f>
        <v>0</v>
      </c>
      <c r="AJ376" t="b">
        <f>IF(Migrationsartikel!AE374="ja","true",FALSE)</f>
        <v>0</v>
      </c>
      <c r="AK376" t="str">
        <f>IF(Migrationsartikel!AF374="ja","Denner Partner","")</f>
        <v/>
      </c>
      <c r="AL376" t="str">
        <f>IF(Migrationsartikel!AG374="ja","true","false")</f>
        <v>false</v>
      </c>
      <c r="AM376" t="str">
        <f t="shared" si="5"/>
        <v>PLU</v>
      </c>
      <c r="AN376" s="31" t="s">
        <v>219</v>
      </c>
      <c r="AO376" s="31" t="s">
        <v>217</v>
      </c>
    </row>
    <row r="377" spans="2:41" ht="21.75" customHeight="1" x14ac:dyDescent="0.45">
      <c r="B377" t="s">
        <v>99</v>
      </c>
      <c r="E377" s="31" t="s">
        <v>1787</v>
      </c>
      <c r="F377" t="str">
        <f>"Warengruppe&gt;&gt;"&amp;Migrationsartikel!V375&amp;"&gt;&gt;"&amp;Migrationsartikel!W375&amp;"&gt;&gt;"&amp;Migrationsartikel!X375</f>
        <v>Warengruppe&gt;&gt;&gt;&gt;&gt;&gt;</v>
      </c>
      <c r="H377" s="31" t="s">
        <v>109</v>
      </c>
      <c r="I377" s="31" t="s">
        <v>121</v>
      </c>
      <c r="J377" s="31">
        <f>Migrationsartikel!B375</f>
        <v>0</v>
      </c>
      <c r="M377"/>
      <c r="N377"/>
      <c r="O377">
        <f>Migrationsartikel!F375</f>
        <v>0</v>
      </c>
      <c r="P377">
        <f>Migrationsartikel!J375</f>
        <v>0</v>
      </c>
      <c r="Q377">
        <f>Migrationsartikel!N375</f>
        <v>0</v>
      </c>
      <c r="R377">
        <f>Migrationsartikel!G375</f>
        <v>0</v>
      </c>
      <c r="S377">
        <f>Migrationsartikel!K375</f>
        <v>0</v>
      </c>
      <c r="T377">
        <f>Migrationsartikel!O375</f>
        <v>0</v>
      </c>
      <c r="U377" s="31">
        <f>Migrationsartikel!H375</f>
        <v>0</v>
      </c>
      <c r="V377" s="31">
        <f>Migrationsartikel!L375</f>
        <v>0</v>
      </c>
      <c r="W377" s="31">
        <f>Migrationsartikel!P375</f>
        <v>0</v>
      </c>
      <c r="X377">
        <f>Migrationsartikel!I375</f>
        <v>0</v>
      </c>
      <c r="Y377">
        <f>Migrationsartikel!M375</f>
        <v>0</v>
      </c>
      <c r="Z377">
        <f>Migrationsartikel!Q375</f>
        <v>0</v>
      </c>
      <c r="AA377" s="45">
        <f>Migrationsartikel!R375</f>
        <v>0</v>
      </c>
      <c r="AB377" s="46">
        <f>Migrationsartikel!T375</f>
        <v>0</v>
      </c>
      <c r="AC377">
        <f>Migrationsartikel!S375</f>
        <v>0</v>
      </c>
      <c r="AD377">
        <f>Migrationsartikel!U375</f>
        <v>0</v>
      </c>
      <c r="AE377" s="31" t="s">
        <v>179</v>
      </c>
      <c r="AF377" s="31" t="s">
        <v>192</v>
      </c>
      <c r="AG377" t="b">
        <f>IF(Migrationsartikel!AB375="ja","true",FALSE)</f>
        <v>0</v>
      </c>
      <c r="AH377" t="b">
        <f>IF(Migrationsartikel!AC375="ja","true",FALSE)</f>
        <v>0</v>
      </c>
      <c r="AI377" t="b">
        <f>IF(Migrationsartikel!AD375="ja","true",FALSE)</f>
        <v>0</v>
      </c>
      <c r="AJ377" t="b">
        <f>IF(Migrationsartikel!AE375="ja","true",FALSE)</f>
        <v>0</v>
      </c>
      <c r="AK377" t="str">
        <f>IF(Migrationsartikel!AF375="ja","Denner Partner","")</f>
        <v/>
      </c>
      <c r="AL377" t="str">
        <f>IF(Migrationsartikel!AG375="ja","true","false")</f>
        <v>false</v>
      </c>
      <c r="AM377" t="str">
        <f t="shared" si="5"/>
        <v>PLU</v>
      </c>
      <c r="AN377" s="31" t="s">
        <v>219</v>
      </c>
      <c r="AO377" s="31" t="s">
        <v>217</v>
      </c>
    </row>
    <row r="378" spans="2:41" ht="21.75" customHeight="1" x14ac:dyDescent="0.45">
      <c r="B378" t="s">
        <v>99</v>
      </c>
      <c r="E378" s="31" t="s">
        <v>1788</v>
      </c>
      <c r="F378" t="str">
        <f>"Warengruppe&gt;&gt;"&amp;Migrationsartikel!V376&amp;"&gt;&gt;"&amp;Migrationsartikel!W376&amp;"&gt;&gt;"&amp;Migrationsartikel!X376</f>
        <v>Warengruppe&gt;&gt;&gt;&gt;&gt;&gt;</v>
      </c>
      <c r="H378" s="31" t="s">
        <v>109</v>
      </c>
      <c r="I378" s="31" t="s">
        <v>121</v>
      </c>
      <c r="J378" s="31">
        <f>Migrationsartikel!B376</f>
        <v>0</v>
      </c>
      <c r="M378"/>
      <c r="N378"/>
      <c r="O378">
        <f>Migrationsartikel!F376</f>
        <v>0</v>
      </c>
      <c r="P378">
        <f>Migrationsartikel!J376</f>
        <v>0</v>
      </c>
      <c r="Q378">
        <f>Migrationsartikel!N376</f>
        <v>0</v>
      </c>
      <c r="R378">
        <f>Migrationsartikel!G376</f>
        <v>0</v>
      </c>
      <c r="S378">
        <f>Migrationsartikel!K376</f>
        <v>0</v>
      </c>
      <c r="T378">
        <f>Migrationsartikel!O376</f>
        <v>0</v>
      </c>
      <c r="U378" s="31">
        <f>Migrationsartikel!H376</f>
        <v>0</v>
      </c>
      <c r="V378" s="31">
        <f>Migrationsartikel!L376</f>
        <v>0</v>
      </c>
      <c r="W378" s="31">
        <f>Migrationsartikel!P376</f>
        <v>0</v>
      </c>
      <c r="X378">
        <f>Migrationsartikel!I376</f>
        <v>0</v>
      </c>
      <c r="Y378">
        <f>Migrationsartikel!M376</f>
        <v>0</v>
      </c>
      <c r="Z378">
        <f>Migrationsartikel!Q376</f>
        <v>0</v>
      </c>
      <c r="AA378" s="45">
        <f>Migrationsartikel!R376</f>
        <v>0</v>
      </c>
      <c r="AB378" s="46">
        <f>Migrationsartikel!T376</f>
        <v>0</v>
      </c>
      <c r="AC378">
        <f>Migrationsartikel!S376</f>
        <v>0</v>
      </c>
      <c r="AD378">
        <f>Migrationsartikel!U376</f>
        <v>0</v>
      </c>
      <c r="AE378" s="31" t="s">
        <v>179</v>
      </c>
      <c r="AF378" s="31" t="s">
        <v>192</v>
      </c>
      <c r="AG378" t="b">
        <f>IF(Migrationsartikel!AB376="ja","true",FALSE)</f>
        <v>0</v>
      </c>
      <c r="AH378" t="b">
        <f>IF(Migrationsartikel!AC376="ja","true",FALSE)</f>
        <v>0</v>
      </c>
      <c r="AI378" t="b">
        <f>IF(Migrationsartikel!AD376="ja","true",FALSE)</f>
        <v>0</v>
      </c>
      <c r="AJ378" t="b">
        <f>IF(Migrationsartikel!AE376="ja","true",FALSE)</f>
        <v>0</v>
      </c>
      <c r="AK378" t="str">
        <f>IF(Migrationsartikel!AF376="ja","Denner Partner","")</f>
        <v/>
      </c>
      <c r="AL378" t="str">
        <f>IF(Migrationsartikel!AG376="ja","true","false")</f>
        <v>false</v>
      </c>
      <c r="AM378" t="str">
        <f t="shared" si="5"/>
        <v>PLU</v>
      </c>
      <c r="AN378" s="31" t="s">
        <v>219</v>
      </c>
      <c r="AO378" s="31" t="s">
        <v>217</v>
      </c>
    </row>
    <row r="379" spans="2:41" ht="21.75" customHeight="1" x14ac:dyDescent="0.45">
      <c r="B379" t="s">
        <v>99</v>
      </c>
      <c r="E379" s="31" t="s">
        <v>1789</v>
      </c>
      <c r="F379" t="str">
        <f>"Warengruppe&gt;&gt;"&amp;Migrationsartikel!V377&amp;"&gt;&gt;"&amp;Migrationsartikel!W377&amp;"&gt;&gt;"&amp;Migrationsartikel!X377</f>
        <v>Warengruppe&gt;&gt;&gt;&gt;&gt;&gt;</v>
      </c>
      <c r="H379" s="31" t="s">
        <v>109</v>
      </c>
      <c r="I379" s="31" t="s">
        <v>121</v>
      </c>
      <c r="J379" s="31">
        <f>Migrationsartikel!B377</f>
        <v>0</v>
      </c>
      <c r="M379"/>
      <c r="N379"/>
      <c r="O379">
        <f>Migrationsartikel!F377</f>
        <v>0</v>
      </c>
      <c r="P379">
        <f>Migrationsartikel!J377</f>
        <v>0</v>
      </c>
      <c r="Q379">
        <f>Migrationsartikel!N377</f>
        <v>0</v>
      </c>
      <c r="R379">
        <f>Migrationsartikel!G377</f>
        <v>0</v>
      </c>
      <c r="S379">
        <f>Migrationsartikel!K377</f>
        <v>0</v>
      </c>
      <c r="T379">
        <f>Migrationsartikel!O377</f>
        <v>0</v>
      </c>
      <c r="U379" s="31">
        <f>Migrationsartikel!H377</f>
        <v>0</v>
      </c>
      <c r="V379" s="31">
        <f>Migrationsartikel!L377</f>
        <v>0</v>
      </c>
      <c r="W379" s="31">
        <f>Migrationsartikel!P377</f>
        <v>0</v>
      </c>
      <c r="X379">
        <f>Migrationsartikel!I377</f>
        <v>0</v>
      </c>
      <c r="Y379">
        <f>Migrationsartikel!M377</f>
        <v>0</v>
      </c>
      <c r="Z379">
        <f>Migrationsartikel!Q377</f>
        <v>0</v>
      </c>
      <c r="AA379" s="45">
        <f>Migrationsartikel!R377</f>
        <v>0</v>
      </c>
      <c r="AB379" s="46">
        <f>Migrationsartikel!T377</f>
        <v>0</v>
      </c>
      <c r="AC379">
        <f>Migrationsartikel!S377</f>
        <v>0</v>
      </c>
      <c r="AD379">
        <f>Migrationsartikel!U377</f>
        <v>0</v>
      </c>
      <c r="AE379" s="31" t="s">
        <v>179</v>
      </c>
      <c r="AF379" s="31" t="s">
        <v>192</v>
      </c>
      <c r="AG379" t="b">
        <f>IF(Migrationsartikel!AB377="ja","true",FALSE)</f>
        <v>0</v>
      </c>
      <c r="AH379" t="b">
        <f>IF(Migrationsartikel!AC377="ja","true",FALSE)</f>
        <v>0</v>
      </c>
      <c r="AI379" t="b">
        <f>IF(Migrationsartikel!AD377="ja","true",FALSE)</f>
        <v>0</v>
      </c>
      <c r="AJ379" t="b">
        <f>IF(Migrationsartikel!AE377="ja","true",FALSE)</f>
        <v>0</v>
      </c>
      <c r="AK379" t="str">
        <f>IF(Migrationsartikel!AF377="ja","Denner Partner","")</f>
        <v/>
      </c>
      <c r="AL379" t="str">
        <f>IF(Migrationsartikel!AG377="ja","true","false")</f>
        <v>false</v>
      </c>
      <c r="AM379" t="str">
        <f t="shared" si="5"/>
        <v>PLU</v>
      </c>
      <c r="AN379" s="31" t="s">
        <v>219</v>
      </c>
      <c r="AO379" s="31" t="s">
        <v>217</v>
      </c>
    </row>
    <row r="380" spans="2:41" ht="21.75" customHeight="1" x14ac:dyDescent="0.45">
      <c r="B380" t="s">
        <v>99</v>
      </c>
      <c r="E380" s="31" t="s">
        <v>1790</v>
      </c>
      <c r="F380" t="str">
        <f>"Warengruppe&gt;&gt;"&amp;Migrationsartikel!V378&amp;"&gt;&gt;"&amp;Migrationsartikel!W378&amp;"&gt;&gt;"&amp;Migrationsartikel!X378</f>
        <v>Warengruppe&gt;&gt;&gt;&gt;&gt;&gt;</v>
      </c>
      <c r="H380" s="31" t="s">
        <v>109</v>
      </c>
      <c r="I380" s="31" t="s">
        <v>121</v>
      </c>
      <c r="J380" s="31">
        <f>Migrationsartikel!B378</f>
        <v>0</v>
      </c>
      <c r="M380"/>
      <c r="N380"/>
      <c r="O380">
        <f>Migrationsartikel!F378</f>
        <v>0</v>
      </c>
      <c r="P380">
        <f>Migrationsartikel!J378</f>
        <v>0</v>
      </c>
      <c r="Q380">
        <f>Migrationsartikel!N378</f>
        <v>0</v>
      </c>
      <c r="R380">
        <f>Migrationsartikel!G378</f>
        <v>0</v>
      </c>
      <c r="S380">
        <f>Migrationsartikel!K378</f>
        <v>0</v>
      </c>
      <c r="T380">
        <f>Migrationsartikel!O378</f>
        <v>0</v>
      </c>
      <c r="U380" s="31">
        <f>Migrationsartikel!H378</f>
        <v>0</v>
      </c>
      <c r="V380" s="31">
        <f>Migrationsartikel!L378</f>
        <v>0</v>
      </c>
      <c r="W380" s="31">
        <f>Migrationsartikel!P378</f>
        <v>0</v>
      </c>
      <c r="X380">
        <f>Migrationsartikel!I378</f>
        <v>0</v>
      </c>
      <c r="Y380">
        <f>Migrationsartikel!M378</f>
        <v>0</v>
      </c>
      <c r="Z380">
        <f>Migrationsartikel!Q378</f>
        <v>0</v>
      </c>
      <c r="AA380" s="45">
        <f>Migrationsartikel!R378</f>
        <v>0</v>
      </c>
      <c r="AB380" s="46">
        <f>Migrationsartikel!T378</f>
        <v>0</v>
      </c>
      <c r="AC380">
        <f>Migrationsartikel!S378</f>
        <v>0</v>
      </c>
      <c r="AD380">
        <f>Migrationsartikel!U378</f>
        <v>0</v>
      </c>
      <c r="AE380" s="31" t="s">
        <v>179</v>
      </c>
      <c r="AF380" s="31" t="s">
        <v>192</v>
      </c>
      <c r="AG380" t="b">
        <f>IF(Migrationsartikel!AB378="ja","true",FALSE)</f>
        <v>0</v>
      </c>
      <c r="AH380" t="b">
        <f>IF(Migrationsartikel!AC378="ja","true",FALSE)</f>
        <v>0</v>
      </c>
      <c r="AI380" t="b">
        <f>IF(Migrationsartikel!AD378="ja","true",FALSE)</f>
        <v>0</v>
      </c>
      <c r="AJ380" t="b">
        <f>IF(Migrationsartikel!AE378="ja","true",FALSE)</f>
        <v>0</v>
      </c>
      <c r="AK380" t="str">
        <f>IF(Migrationsartikel!AF378="ja","Denner Partner","")</f>
        <v/>
      </c>
      <c r="AL380" t="str">
        <f>IF(Migrationsartikel!AG378="ja","true","false")</f>
        <v>false</v>
      </c>
      <c r="AM380" t="str">
        <f t="shared" si="5"/>
        <v>PLU</v>
      </c>
      <c r="AN380" s="31" t="s">
        <v>219</v>
      </c>
      <c r="AO380" s="31" t="s">
        <v>217</v>
      </c>
    </row>
    <row r="381" spans="2:41" ht="21.75" customHeight="1" x14ac:dyDescent="0.45">
      <c r="B381" t="s">
        <v>99</v>
      </c>
      <c r="E381" s="31" t="s">
        <v>1791</v>
      </c>
      <c r="F381" t="str">
        <f>"Warengruppe&gt;&gt;"&amp;Migrationsartikel!V379&amp;"&gt;&gt;"&amp;Migrationsartikel!W379&amp;"&gt;&gt;"&amp;Migrationsartikel!X379</f>
        <v>Warengruppe&gt;&gt;&gt;&gt;&gt;&gt;</v>
      </c>
      <c r="H381" s="31" t="s">
        <v>109</v>
      </c>
      <c r="I381" s="31" t="s">
        <v>121</v>
      </c>
      <c r="J381" s="31">
        <f>Migrationsartikel!B379</f>
        <v>0</v>
      </c>
      <c r="M381"/>
      <c r="N381"/>
      <c r="O381">
        <f>Migrationsartikel!F379</f>
        <v>0</v>
      </c>
      <c r="P381">
        <f>Migrationsartikel!J379</f>
        <v>0</v>
      </c>
      <c r="Q381">
        <f>Migrationsartikel!N379</f>
        <v>0</v>
      </c>
      <c r="R381">
        <f>Migrationsartikel!G379</f>
        <v>0</v>
      </c>
      <c r="S381">
        <f>Migrationsartikel!K379</f>
        <v>0</v>
      </c>
      <c r="T381">
        <f>Migrationsartikel!O379</f>
        <v>0</v>
      </c>
      <c r="U381" s="31">
        <f>Migrationsartikel!H379</f>
        <v>0</v>
      </c>
      <c r="V381" s="31">
        <f>Migrationsartikel!L379</f>
        <v>0</v>
      </c>
      <c r="W381" s="31">
        <f>Migrationsartikel!P379</f>
        <v>0</v>
      </c>
      <c r="X381">
        <f>Migrationsartikel!I379</f>
        <v>0</v>
      </c>
      <c r="Y381">
        <f>Migrationsartikel!M379</f>
        <v>0</v>
      </c>
      <c r="Z381">
        <f>Migrationsartikel!Q379</f>
        <v>0</v>
      </c>
      <c r="AA381" s="45">
        <f>Migrationsartikel!R379</f>
        <v>0</v>
      </c>
      <c r="AB381" s="46">
        <f>Migrationsartikel!T379</f>
        <v>0</v>
      </c>
      <c r="AC381">
        <f>Migrationsartikel!S379</f>
        <v>0</v>
      </c>
      <c r="AD381">
        <f>Migrationsartikel!U379</f>
        <v>0</v>
      </c>
      <c r="AE381" s="31" t="s">
        <v>179</v>
      </c>
      <c r="AF381" s="31" t="s">
        <v>192</v>
      </c>
      <c r="AG381" t="b">
        <f>IF(Migrationsartikel!AB379="ja","true",FALSE)</f>
        <v>0</v>
      </c>
      <c r="AH381" t="b">
        <f>IF(Migrationsartikel!AC379="ja","true",FALSE)</f>
        <v>0</v>
      </c>
      <c r="AI381" t="b">
        <f>IF(Migrationsartikel!AD379="ja","true",FALSE)</f>
        <v>0</v>
      </c>
      <c r="AJ381" t="b">
        <f>IF(Migrationsartikel!AE379="ja","true",FALSE)</f>
        <v>0</v>
      </c>
      <c r="AK381" t="str">
        <f>IF(Migrationsartikel!AF379="ja","Denner Partner","")</f>
        <v/>
      </c>
      <c r="AL381" t="str">
        <f>IF(Migrationsartikel!AG379="ja","true","false")</f>
        <v>false</v>
      </c>
      <c r="AM381" t="str">
        <f t="shared" si="5"/>
        <v>PLU</v>
      </c>
      <c r="AN381" s="31" t="s">
        <v>219</v>
      </c>
      <c r="AO381" s="31" t="s">
        <v>217</v>
      </c>
    </row>
    <row r="382" spans="2:41" ht="21.75" customHeight="1" x14ac:dyDescent="0.45">
      <c r="B382" t="s">
        <v>99</v>
      </c>
      <c r="E382" s="31" t="s">
        <v>1792</v>
      </c>
      <c r="F382" t="str">
        <f>"Warengruppe&gt;&gt;"&amp;Migrationsartikel!V380&amp;"&gt;&gt;"&amp;Migrationsartikel!W380&amp;"&gt;&gt;"&amp;Migrationsartikel!X380</f>
        <v>Warengruppe&gt;&gt;&gt;&gt;&gt;&gt;</v>
      </c>
      <c r="H382" s="31" t="s">
        <v>109</v>
      </c>
      <c r="I382" s="31" t="s">
        <v>121</v>
      </c>
      <c r="J382" s="31">
        <f>Migrationsartikel!B380</f>
        <v>0</v>
      </c>
      <c r="M382"/>
      <c r="N382"/>
      <c r="O382">
        <f>Migrationsartikel!F380</f>
        <v>0</v>
      </c>
      <c r="P382">
        <f>Migrationsartikel!J380</f>
        <v>0</v>
      </c>
      <c r="Q382">
        <f>Migrationsartikel!N380</f>
        <v>0</v>
      </c>
      <c r="R382">
        <f>Migrationsartikel!G380</f>
        <v>0</v>
      </c>
      <c r="S382">
        <f>Migrationsartikel!K380</f>
        <v>0</v>
      </c>
      <c r="T382">
        <f>Migrationsartikel!O380</f>
        <v>0</v>
      </c>
      <c r="U382" s="31">
        <f>Migrationsartikel!H380</f>
        <v>0</v>
      </c>
      <c r="V382" s="31">
        <f>Migrationsartikel!L380</f>
        <v>0</v>
      </c>
      <c r="W382" s="31">
        <f>Migrationsartikel!P380</f>
        <v>0</v>
      </c>
      <c r="X382">
        <f>Migrationsartikel!I380</f>
        <v>0</v>
      </c>
      <c r="Y382">
        <f>Migrationsartikel!M380</f>
        <v>0</v>
      </c>
      <c r="Z382">
        <f>Migrationsartikel!Q380</f>
        <v>0</v>
      </c>
      <c r="AA382" s="45">
        <f>Migrationsartikel!R380</f>
        <v>0</v>
      </c>
      <c r="AB382" s="46">
        <f>Migrationsartikel!T380</f>
        <v>0</v>
      </c>
      <c r="AC382">
        <f>Migrationsartikel!S380</f>
        <v>0</v>
      </c>
      <c r="AD382">
        <f>Migrationsartikel!U380</f>
        <v>0</v>
      </c>
      <c r="AE382" s="31" t="s">
        <v>179</v>
      </c>
      <c r="AF382" s="31" t="s">
        <v>192</v>
      </c>
      <c r="AG382" t="b">
        <f>IF(Migrationsartikel!AB380="ja","true",FALSE)</f>
        <v>0</v>
      </c>
      <c r="AH382" t="b">
        <f>IF(Migrationsartikel!AC380="ja","true",FALSE)</f>
        <v>0</v>
      </c>
      <c r="AI382" t="b">
        <f>IF(Migrationsartikel!AD380="ja","true",FALSE)</f>
        <v>0</v>
      </c>
      <c r="AJ382" t="b">
        <f>IF(Migrationsartikel!AE380="ja","true",FALSE)</f>
        <v>0</v>
      </c>
      <c r="AK382" t="str">
        <f>IF(Migrationsartikel!AF380="ja","Denner Partner","")</f>
        <v/>
      </c>
      <c r="AL382" t="str">
        <f>IF(Migrationsartikel!AG380="ja","true","false")</f>
        <v>false</v>
      </c>
      <c r="AM382" t="str">
        <f t="shared" si="5"/>
        <v>PLU</v>
      </c>
      <c r="AN382" s="31" t="s">
        <v>219</v>
      </c>
      <c r="AO382" s="31" t="s">
        <v>217</v>
      </c>
    </row>
    <row r="383" spans="2:41" ht="21.75" customHeight="1" x14ac:dyDescent="0.45">
      <c r="B383" t="s">
        <v>99</v>
      </c>
      <c r="E383" s="31" t="s">
        <v>1793</v>
      </c>
      <c r="F383" t="str">
        <f>"Warengruppe&gt;&gt;"&amp;Migrationsartikel!V381&amp;"&gt;&gt;"&amp;Migrationsartikel!W381&amp;"&gt;&gt;"&amp;Migrationsartikel!X381</f>
        <v>Warengruppe&gt;&gt;&gt;&gt;&gt;&gt;</v>
      </c>
      <c r="H383" s="31" t="s">
        <v>109</v>
      </c>
      <c r="I383" s="31" t="s">
        <v>121</v>
      </c>
      <c r="J383" s="31">
        <f>Migrationsartikel!B381</f>
        <v>0</v>
      </c>
      <c r="M383"/>
      <c r="N383"/>
      <c r="O383">
        <f>Migrationsartikel!F381</f>
        <v>0</v>
      </c>
      <c r="P383">
        <f>Migrationsartikel!J381</f>
        <v>0</v>
      </c>
      <c r="Q383">
        <f>Migrationsartikel!N381</f>
        <v>0</v>
      </c>
      <c r="R383">
        <f>Migrationsartikel!G381</f>
        <v>0</v>
      </c>
      <c r="S383">
        <f>Migrationsartikel!K381</f>
        <v>0</v>
      </c>
      <c r="T383">
        <f>Migrationsartikel!O381</f>
        <v>0</v>
      </c>
      <c r="U383" s="31">
        <f>Migrationsartikel!H381</f>
        <v>0</v>
      </c>
      <c r="V383" s="31">
        <f>Migrationsartikel!L381</f>
        <v>0</v>
      </c>
      <c r="W383" s="31">
        <f>Migrationsartikel!P381</f>
        <v>0</v>
      </c>
      <c r="X383">
        <f>Migrationsartikel!I381</f>
        <v>0</v>
      </c>
      <c r="Y383">
        <f>Migrationsartikel!M381</f>
        <v>0</v>
      </c>
      <c r="Z383">
        <f>Migrationsartikel!Q381</f>
        <v>0</v>
      </c>
      <c r="AA383" s="45">
        <f>Migrationsartikel!R381</f>
        <v>0</v>
      </c>
      <c r="AB383" s="46">
        <f>Migrationsartikel!T381</f>
        <v>0</v>
      </c>
      <c r="AC383">
        <f>Migrationsartikel!S381</f>
        <v>0</v>
      </c>
      <c r="AD383">
        <f>Migrationsartikel!U381</f>
        <v>0</v>
      </c>
      <c r="AE383" s="31" t="s">
        <v>179</v>
      </c>
      <c r="AF383" s="31" t="s">
        <v>192</v>
      </c>
      <c r="AG383" t="b">
        <f>IF(Migrationsartikel!AB381="ja","true",FALSE)</f>
        <v>0</v>
      </c>
      <c r="AH383" t="b">
        <f>IF(Migrationsartikel!AC381="ja","true",FALSE)</f>
        <v>0</v>
      </c>
      <c r="AI383" t="b">
        <f>IF(Migrationsartikel!AD381="ja","true",FALSE)</f>
        <v>0</v>
      </c>
      <c r="AJ383" t="b">
        <f>IF(Migrationsartikel!AE381="ja","true",FALSE)</f>
        <v>0</v>
      </c>
      <c r="AK383" t="str">
        <f>IF(Migrationsartikel!AF381="ja","Denner Partner","")</f>
        <v/>
      </c>
      <c r="AL383" t="str">
        <f>IF(Migrationsartikel!AG381="ja","true","false")</f>
        <v>false</v>
      </c>
      <c r="AM383" t="str">
        <f t="shared" si="5"/>
        <v>PLU</v>
      </c>
      <c r="AN383" s="31" t="s">
        <v>219</v>
      </c>
      <c r="AO383" s="31" t="s">
        <v>217</v>
      </c>
    </row>
    <row r="384" spans="2:41" ht="21.75" customHeight="1" x14ac:dyDescent="0.45">
      <c r="B384" t="s">
        <v>99</v>
      </c>
      <c r="E384" s="31" t="s">
        <v>1794</v>
      </c>
      <c r="F384" t="str">
        <f>"Warengruppe&gt;&gt;"&amp;Migrationsartikel!V382&amp;"&gt;&gt;"&amp;Migrationsartikel!W382&amp;"&gt;&gt;"&amp;Migrationsartikel!X382</f>
        <v>Warengruppe&gt;&gt;&gt;&gt;&gt;&gt;</v>
      </c>
      <c r="H384" s="31" t="s">
        <v>109</v>
      </c>
      <c r="I384" s="31" t="s">
        <v>121</v>
      </c>
      <c r="J384" s="31">
        <f>Migrationsartikel!B382</f>
        <v>0</v>
      </c>
      <c r="M384"/>
      <c r="N384"/>
      <c r="O384">
        <f>Migrationsartikel!F382</f>
        <v>0</v>
      </c>
      <c r="P384">
        <f>Migrationsartikel!J382</f>
        <v>0</v>
      </c>
      <c r="Q384">
        <f>Migrationsartikel!N382</f>
        <v>0</v>
      </c>
      <c r="R384">
        <f>Migrationsartikel!G382</f>
        <v>0</v>
      </c>
      <c r="S384">
        <f>Migrationsartikel!K382</f>
        <v>0</v>
      </c>
      <c r="T384">
        <f>Migrationsartikel!O382</f>
        <v>0</v>
      </c>
      <c r="U384" s="31">
        <f>Migrationsartikel!H382</f>
        <v>0</v>
      </c>
      <c r="V384" s="31">
        <f>Migrationsartikel!L382</f>
        <v>0</v>
      </c>
      <c r="W384" s="31">
        <f>Migrationsartikel!P382</f>
        <v>0</v>
      </c>
      <c r="X384">
        <f>Migrationsartikel!I382</f>
        <v>0</v>
      </c>
      <c r="Y384">
        <f>Migrationsartikel!M382</f>
        <v>0</v>
      </c>
      <c r="Z384">
        <f>Migrationsartikel!Q382</f>
        <v>0</v>
      </c>
      <c r="AA384" s="45">
        <f>Migrationsartikel!R382</f>
        <v>0</v>
      </c>
      <c r="AB384" s="46">
        <f>Migrationsartikel!T382</f>
        <v>0</v>
      </c>
      <c r="AC384">
        <f>Migrationsartikel!S382</f>
        <v>0</v>
      </c>
      <c r="AD384">
        <f>Migrationsartikel!U382</f>
        <v>0</v>
      </c>
      <c r="AE384" s="31" t="s">
        <v>179</v>
      </c>
      <c r="AF384" s="31" t="s">
        <v>192</v>
      </c>
      <c r="AG384" t="b">
        <f>IF(Migrationsartikel!AB382="ja","true",FALSE)</f>
        <v>0</v>
      </c>
      <c r="AH384" t="b">
        <f>IF(Migrationsartikel!AC382="ja","true",FALSE)</f>
        <v>0</v>
      </c>
      <c r="AI384" t="b">
        <f>IF(Migrationsartikel!AD382="ja","true",FALSE)</f>
        <v>0</v>
      </c>
      <c r="AJ384" t="b">
        <f>IF(Migrationsartikel!AE382="ja","true",FALSE)</f>
        <v>0</v>
      </c>
      <c r="AK384" t="str">
        <f>IF(Migrationsartikel!AF382="ja","Denner Partner","")</f>
        <v/>
      </c>
      <c r="AL384" t="str">
        <f>IF(Migrationsartikel!AG382="ja","true","false")</f>
        <v>false</v>
      </c>
      <c r="AM384" t="str">
        <f t="shared" si="5"/>
        <v>PLU</v>
      </c>
      <c r="AN384" s="31" t="s">
        <v>219</v>
      </c>
      <c r="AO384" s="31" t="s">
        <v>217</v>
      </c>
    </row>
    <row r="385" spans="2:41" ht="21.75" customHeight="1" x14ac:dyDescent="0.45">
      <c r="B385" t="s">
        <v>99</v>
      </c>
      <c r="E385" s="31" t="s">
        <v>1795</v>
      </c>
      <c r="F385" t="str">
        <f>"Warengruppe&gt;&gt;"&amp;Migrationsartikel!V383&amp;"&gt;&gt;"&amp;Migrationsartikel!W383&amp;"&gt;&gt;"&amp;Migrationsartikel!X383</f>
        <v>Warengruppe&gt;&gt;&gt;&gt;&gt;&gt;</v>
      </c>
      <c r="H385" s="31" t="s">
        <v>109</v>
      </c>
      <c r="I385" s="31" t="s">
        <v>121</v>
      </c>
      <c r="J385" s="31">
        <f>Migrationsartikel!B383</f>
        <v>0</v>
      </c>
      <c r="M385"/>
      <c r="N385"/>
      <c r="O385">
        <f>Migrationsartikel!F383</f>
        <v>0</v>
      </c>
      <c r="P385">
        <f>Migrationsartikel!J383</f>
        <v>0</v>
      </c>
      <c r="Q385">
        <f>Migrationsartikel!N383</f>
        <v>0</v>
      </c>
      <c r="R385">
        <f>Migrationsartikel!G383</f>
        <v>0</v>
      </c>
      <c r="S385">
        <f>Migrationsartikel!K383</f>
        <v>0</v>
      </c>
      <c r="T385">
        <f>Migrationsartikel!O383</f>
        <v>0</v>
      </c>
      <c r="U385" s="31">
        <f>Migrationsartikel!H383</f>
        <v>0</v>
      </c>
      <c r="V385" s="31">
        <f>Migrationsartikel!L383</f>
        <v>0</v>
      </c>
      <c r="W385" s="31">
        <f>Migrationsartikel!P383</f>
        <v>0</v>
      </c>
      <c r="X385">
        <f>Migrationsartikel!I383</f>
        <v>0</v>
      </c>
      <c r="Y385">
        <f>Migrationsartikel!M383</f>
        <v>0</v>
      </c>
      <c r="Z385">
        <f>Migrationsartikel!Q383</f>
        <v>0</v>
      </c>
      <c r="AA385" s="45">
        <f>Migrationsartikel!R383</f>
        <v>0</v>
      </c>
      <c r="AB385" s="46">
        <f>Migrationsartikel!T383</f>
        <v>0</v>
      </c>
      <c r="AC385">
        <f>Migrationsartikel!S383</f>
        <v>0</v>
      </c>
      <c r="AD385">
        <f>Migrationsartikel!U383</f>
        <v>0</v>
      </c>
      <c r="AE385" s="31" t="s">
        <v>179</v>
      </c>
      <c r="AF385" s="31" t="s">
        <v>192</v>
      </c>
      <c r="AG385" t="b">
        <f>IF(Migrationsartikel!AB383="ja","true",FALSE)</f>
        <v>0</v>
      </c>
      <c r="AH385" t="b">
        <f>IF(Migrationsartikel!AC383="ja","true",FALSE)</f>
        <v>0</v>
      </c>
      <c r="AI385" t="b">
        <f>IF(Migrationsartikel!AD383="ja","true",FALSE)</f>
        <v>0</v>
      </c>
      <c r="AJ385" t="b">
        <f>IF(Migrationsartikel!AE383="ja","true",FALSE)</f>
        <v>0</v>
      </c>
      <c r="AK385" t="str">
        <f>IF(Migrationsartikel!AF383="ja","Denner Partner","")</f>
        <v/>
      </c>
      <c r="AL385" t="str">
        <f>IF(Migrationsartikel!AG383="ja","true","false")</f>
        <v>false</v>
      </c>
      <c r="AM385" t="str">
        <f t="shared" si="5"/>
        <v>PLU</v>
      </c>
      <c r="AN385" s="31" t="s">
        <v>219</v>
      </c>
      <c r="AO385" s="31" t="s">
        <v>217</v>
      </c>
    </row>
    <row r="386" spans="2:41" ht="21.75" customHeight="1" x14ac:dyDescent="0.45">
      <c r="B386" t="s">
        <v>99</v>
      </c>
      <c r="E386" s="31" t="s">
        <v>1796</v>
      </c>
      <c r="F386" t="str">
        <f>"Warengruppe&gt;&gt;"&amp;Migrationsartikel!V384&amp;"&gt;&gt;"&amp;Migrationsartikel!W384&amp;"&gt;&gt;"&amp;Migrationsartikel!X384</f>
        <v>Warengruppe&gt;&gt;&gt;&gt;&gt;&gt;</v>
      </c>
      <c r="H386" s="31" t="s">
        <v>109</v>
      </c>
      <c r="I386" s="31" t="s">
        <v>121</v>
      </c>
      <c r="J386" s="31">
        <f>Migrationsartikel!B384</f>
        <v>0</v>
      </c>
      <c r="M386"/>
      <c r="N386"/>
      <c r="O386">
        <f>Migrationsartikel!F384</f>
        <v>0</v>
      </c>
      <c r="P386">
        <f>Migrationsartikel!J384</f>
        <v>0</v>
      </c>
      <c r="Q386">
        <f>Migrationsartikel!N384</f>
        <v>0</v>
      </c>
      <c r="R386">
        <f>Migrationsartikel!G384</f>
        <v>0</v>
      </c>
      <c r="S386">
        <f>Migrationsartikel!K384</f>
        <v>0</v>
      </c>
      <c r="T386">
        <f>Migrationsartikel!O384</f>
        <v>0</v>
      </c>
      <c r="U386" s="31">
        <f>Migrationsartikel!H384</f>
        <v>0</v>
      </c>
      <c r="V386" s="31">
        <f>Migrationsartikel!L384</f>
        <v>0</v>
      </c>
      <c r="W386" s="31">
        <f>Migrationsartikel!P384</f>
        <v>0</v>
      </c>
      <c r="X386">
        <f>Migrationsartikel!I384</f>
        <v>0</v>
      </c>
      <c r="Y386">
        <f>Migrationsartikel!M384</f>
        <v>0</v>
      </c>
      <c r="Z386">
        <f>Migrationsartikel!Q384</f>
        <v>0</v>
      </c>
      <c r="AA386" s="45">
        <f>Migrationsartikel!R384</f>
        <v>0</v>
      </c>
      <c r="AB386" s="46">
        <f>Migrationsartikel!T384</f>
        <v>0</v>
      </c>
      <c r="AC386">
        <f>Migrationsartikel!S384</f>
        <v>0</v>
      </c>
      <c r="AD386">
        <f>Migrationsartikel!U384</f>
        <v>0</v>
      </c>
      <c r="AE386" s="31" t="s">
        <v>179</v>
      </c>
      <c r="AF386" s="31" t="s">
        <v>192</v>
      </c>
      <c r="AG386" t="b">
        <f>IF(Migrationsartikel!AB384="ja","true",FALSE)</f>
        <v>0</v>
      </c>
      <c r="AH386" t="b">
        <f>IF(Migrationsartikel!AC384="ja","true",FALSE)</f>
        <v>0</v>
      </c>
      <c r="AI386" t="b">
        <f>IF(Migrationsartikel!AD384="ja","true",FALSE)</f>
        <v>0</v>
      </c>
      <c r="AJ386" t="b">
        <f>IF(Migrationsartikel!AE384="ja","true",FALSE)</f>
        <v>0</v>
      </c>
      <c r="AK386" t="str">
        <f>IF(Migrationsartikel!AF384="ja","Denner Partner","")</f>
        <v/>
      </c>
      <c r="AL386" t="str">
        <f>IF(Migrationsartikel!AG384="ja","true","false")</f>
        <v>false</v>
      </c>
      <c r="AM386" t="str">
        <f t="shared" si="5"/>
        <v>PLU</v>
      </c>
      <c r="AN386" s="31" t="s">
        <v>219</v>
      </c>
      <c r="AO386" s="31" t="s">
        <v>217</v>
      </c>
    </row>
    <row r="387" spans="2:41" ht="21.75" customHeight="1" x14ac:dyDescent="0.45">
      <c r="B387" t="s">
        <v>99</v>
      </c>
      <c r="E387" s="31" t="s">
        <v>1797</v>
      </c>
      <c r="F387" t="str">
        <f>"Warengruppe&gt;&gt;"&amp;Migrationsartikel!V385&amp;"&gt;&gt;"&amp;Migrationsartikel!W385&amp;"&gt;&gt;"&amp;Migrationsartikel!X385</f>
        <v>Warengruppe&gt;&gt;&gt;&gt;&gt;&gt;</v>
      </c>
      <c r="H387" s="31" t="s">
        <v>109</v>
      </c>
      <c r="I387" s="31" t="s">
        <v>121</v>
      </c>
      <c r="J387" s="31">
        <f>Migrationsartikel!B385</f>
        <v>0</v>
      </c>
      <c r="M387"/>
      <c r="N387"/>
      <c r="O387">
        <f>Migrationsartikel!F385</f>
        <v>0</v>
      </c>
      <c r="P387">
        <f>Migrationsartikel!J385</f>
        <v>0</v>
      </c>
      <c r="Q387">
        <f>Migrationsartikel!N385</f>
        <v>0</v>
      </c>
      <c r="R387">
        <f>Migrationsartikel!G385</f>
        <v>0</v>
      </c>
      <c r="S387">
        <f>Migrationsartikel!K385</f>
        <v>0</v>
      </c>
      <c r="T387">
        <f>Migrationsartikel!O385</f>
        <v>0</v>
      </c>
      <c r="U387" s="31">
        <f>Migrationsartikel!H385</f>
        <v>0</v>
      </c>
      <c r="V387" s="31">
        <f>Migrationsartikel!L385</f>
        <v>0</v>
      </c>
      <c r="W387" s="31">
        <f>Migrationsartikel!P385</f>
        <v>0</v>
      </c>
      <c r="X387">
        <f>Migrationsartikel!I385</f>
        <v>0</v>
      </c>
      <c r="Y387">
        <f>Migrationsartikel!M385</f>
        <v>0</v>
      </c>
      <c r="Z387">
        <f>Migrationsartikel!Q385</f>
        <v>0</v>
      </c>
      <c r="AA387" s="45">
        <f>Migrationsartikel!R385</f>
        <v>0</v>
      </c>
      <c r="AB387" s="46">
        <f>Migrationsartikel!T385</f>
        <v>0</v>
      </c>
      <c r="AC387">
        <f>Migrationsartikel!S385</f>
        <v>0</v>
      </c>
      <c r="AD387">
        <f>Migrationsartikel!U385</f>
        <v>0</v>
      </c>
      <c r="AE387" s="31" t="s">
        <v>179</v>
      </c>
      <c r="AF387" s="31" t="s">
        <v>192</v>
      </c>
      <c r="AG387" t="b">
        <f>IF(Migrationsartikel!AB385="ja","true",FALSE)</f>
        <v>0</v>
      </c>
      <c r="AH387" t="b">
        <f>IF(Migrationsartikel!AC385="ja","true",FALSE)</f>
        <v>0</v>
      </c>
      <c r="AI387" t="b">
        <f>IF(Migrationsartikel!AD385="ja","true",FALSE)</f>
        <v>0</v>
      </c>
      <c r="AJ387" t="b">
        <f>IF(Migrationsartikel!AE385="ja","true",FALSE)</f>
        <v>0</v>
      </c>
      <c r="AK387" t="str">
        <f>IF(Migrationsartikel!AF385="ja","Denner Partner","")</f>
        <v/>
      </c>
      <c r="AL387" t="str">
        <f>IF(Migrationsartikel!AG385="ja","true","false")</f>
        <v>false</v>
      </c>
      <c r="AM387" t="str">
        <f t="shared" si="5"/>
        <v>PLU</v>
      </c>
      <c r="AN387" s="31" t="s">
        <v>219</v>
      </c>
      <c r="AO387" s="31" t="s">
        <v>217</v>
      </c>
    </row>
    <row r="388" spans="2:41" ht="21.75" customHeight="1" x14ac:dyDescent="0.45">
      <c r="B388" t="s">
        <v>99</v>
      </c>
      <c r="E388" s="31" t="s">
        <v>1798</v>
      </c>
      <c r="F388" t="str">
        <f>"Warengruppe&gt;&gt;"&amp;Migrationsartikel!V386&amp;"&gt;&gt;"&amp;Migrationsartikel!W386&amp;"&gt;&gt;"&amp;Migrationsartikel!X386</f>
        <v>Warengruppe&gt;&gt;&gt;&gt;&gt;&gt;</v>
      </c>
      <c r="H388" s="31" t="s">
        <v>109</v>
      </c>
      <c r="I388" s="31" t="s">
        <v>121</v>
      </c>
      <c r="J388" s="31">
        <f>Migrationsartikel!B386</f>
        <v>0</v>
      </c>
      <c r="M388"/>
      <c r="N388"/>
      <c r="O388">
        <f>Migrationsartikel!F386</f>
        <v>0</v>
      </c>
      <c r="P388">
        <f>Migrationsartikel!J386</f>
        <v>0</v>
      </c>
      <c r="Q388">
        <f>Migrationsartikel!N386</f>
        <v>0</v>
      </c>
      <c r="R388">
        <f>Migrationsartikel!G386</f>
        <v>0</v>
      </c>
      <c r="S388">
        <f>Migrationsartikel!K386</f>
        <v>0</v>
      </c>
      <c r="T388">
        <f>Migrationsartikel!O386</f>
        <v>0</v>
      </c>
      <c r="U388" s="31">
        <f>Migrationsartikel!H386</f>
        <v>0</v>
      </c>
      <c r="V388" s="31">
        <f>Migrationsartikel!L386</f>
        <v>0</v>
      </c>
      <c r="W388" s="31">
        <f>Migrationsartikel!P386</f>
        <v>0</v>
      </c>
      <c r="X388">
        <f>Migrationsartikel!I386</f>
        <v>0</v>
      </c>
      <c r="Y388">
        <f>Migrationsartikel!M386</f>
        <v>0</v>
      </c>
      <c r="Z388">
        <f>Migrationsartikel!Q386</f>
        <v>0</v>
      </c>
      <c r="AA388" s="45">
        <f>Migrationsartikel!R386</f>
        <v>0</v>
      </c>
      <c r="AB388" s="46">
        <f>Migrationsartikel!T386</f>
        <v>0</v>
      </c>
      <c r="AC388">
        <f>Migrationsartikel!S386</f>
        <v>0</v>
      </c>
      <c r="AD388">
        <f>Migrationsartikel!U386</f>
        <v>0</v>
      </c>
      <c r="AE388" s="31" t="s">
        <v>179</v>
      </c>
      <c r="AF388" s="31" t="s">
        <v>192</v>
      </c>
      <c r="AG388" t="b">
        <f>IF(Migrationsartikel!AB386="ja","true",FALSE)</f>
        <v>0</v>
      </c>
      <c r="AH388" t="b">
        <f>IF(Migrationsartikel!AC386="ja","true",FALSE)</f>
        <v>0</v>
      </c>
      <c r="AI388" t="b">
        <f>IF(Migrationsartikel!AD386="ja","true",FALSE)</f>
        <v>0</v>
      </c>
      <c r="AJ388" t="b">
        <f>IF(Migrationsartikel!AE386="ja","true",FALSE)</f>
        <v>0</v>
      </c>
      <c r="AK388" t="str">
        <f>IF(Migrationsartikel!AF386="ja","Denner Partner","")</f>
        <v/>
      </c>
      <c r="AL388" t="str">
        <f>IF(Migrationsartikel!AG386="ja","true","false")</f>
        <v>false</v>
      </c>
      <c r="AM388" t="str">
        <f t="shared" ref="AM388:AM452" si="6">IF(J388&lt;&gt;"","PLU","Kassentastenbelegung (ohne GTIN/PLU)")</f>
        <v>PLU</v>
      </c>
      <c r="AN388" s="31" t="s">
        <v>219</v>
      </c>
      <c r="AO388" s="31" t="s">
        <v>217</v>
      </c>
    </row>
    <row r="389" spans="2:41" ht="21.75" customHeight="1" x14ac:dyDescent="0.45">
      <c r="B389" t="s">
        <v>99</v>
      </c>
      <c r="E389" s="31" t="s">
        <v>1799</v>
      </c>
      <c r="F389" t="str">
        <f>"Warengruppe&gt;&gt;"&amp;Migrationsartikel!V387&amp;"&gt;&gt;"&amp;Migrationsartikel!W387&amp;"&gt;&gt;"&amp;Migrationsartikel!X387</f>
        <v>Warengruppe&gt;&gt;&gt;&gt;&gt;&gt;</v>
      </c>
      <c r="H389" s="31" t="s">
        <v>109</v>
      </c>
      <c r="I389" s="31" t="s">
        <v>121</v>
      </c>
      <c r="J389" s="31">
        <f>Migrationsartikel!B387</f>
        <v>0</v>
      </c>
      <c r="M389"/>
      <c r="N389"/>
      <c r="O389">
        <f>Migrationsartikel!F387</f>
        <v>0</v>
      </c>
      <c r="P389">
        <f>Migrationsartikel!J387</f>
        <v>0</v>
      </c>
      <c r="Q389">
        <f>Migrationsartikel!N387</f>
        <v>0</v>
      </c>
      <c r="R389">
        <f>Migrationsartikel!G387</f>
        <v>0</v>
      </c>
      <c r="S389">
        <f>Migrationsartikel!K387</f>
        <v>0</v>
      </c>
      <c r="T389">
        <f>Migrationsartikel!O387</f>
        <v>0</v>
      </c>
      <c r="U389" s="31">
        <f>Migrationsartikel!H387</f>
        <v>0</v>
      </c>
      <c r="V389" s="31">
        <f>Migrationsartikel!L387</f>
        <v>0</v>
      </c>
      <c r="W389" s="31">
        <f>Migrationsartikel!P387</f>
        <v>0</v>
      </c>
      <c r="X389">
        <f>Migrationsartikel!I387</f>
        <v>0</v>
      </c>
      <c r="Y389">
        <f>Migrationsartikel!M387</f>
        <v>0</v>
      </c>
      <c r="Z389">
        <f>Migrationsartikel!Q387</f>
        <v>0</v>
      </c>
      <c r="AA389" s="45">
        <f>Migrationsartikel!R387</f>
        <v>0</v>
      </c>
      <c r="AB389" s="46">
        <f>Migrationsartikel!T387</f>
        <v>0</v>
      </c>
      <c r="AC389">
        <f>Migrationsartikel!S387</f>
        <v>0</v>
      </c>
      <c r="AD389">
        <f>Migrationsartikel!U387</f>
        <v>0</v>
      </c>
      <c r="AE389" s="31" t="s">
        <v>179</v>
      </c>
      <c r="AF389" s="31" t="s">
        <v>192</v>
      </c>
      <c r="AG389" t="b">
        <f>IF(Migrationsartikel!AB387="ja","true",FALSE)</f>
        <v>0</v>
      </c>
      <c r="AH389" t="b">
        <f>IF(Migrationsartikel!AC387="ja","true",FALSE)</f>
        <v>0</v>
      </c>
      <c r="AI389" t="b">
        <f>IF(Migrationsartikel!AD387="ja","true",FALSE)</f>
        <v>0</v>
      </c>
      <c r="AJ389" t="b">
        <f>IF(Migrationsartikel!AE387="ja","true",FALSE)</f>
        <v>0</v>
      </c>
      <c r="AK389" t="str">
        <f>IF(Migrationsartikel!AF387="ja","Denner Partner","")</f>
        <v/>
      </c>
      <c r="AL389" t="str">
        <f>IF(Migrationsartikel!AG387="ja","true","false")</f>
        <v>false</v>
      </c>
      <c r="AM389" t="str">
        <f t="shared" si="6"/>
        <v>PLU</v>
      </c>
      <c r="AN389" s="31" t="s">
        <v>219</v>
      </c>
      <c r="AO389" s="31" t="s">
        <v>217</v>
      </c>
    </row>
    <row r="390" spans="2:41" ht="21.75" customHeight="1" x14ac:dyDescent="0.45">
      <c r="B390" t="s">
        <v>99</v>
      </c>
      <c r="E390" s="31" t="s">
        <v>1800</v>
      </c>
      <c r="F390" t="str">
        <f>"Warengruppe&gt;&gt;"&amp;Migrationsartikel!V388&amp;"&gt;&gt;"&amp;Migrationsartikel!W388&amp;"&gt;&gt;"&amp;Migrationsartikel!X388</f>
        <v>Warengruppe&gt;&gt;&gt;&gt;&gt;&gt;</v>
      </c>
      <c r="H390" s="31" t="s">
        <v>109</v>
      </c>
      <c r="I390" s="31" t="s">
        <v>121</v>
      </c>
      <c r="J390" s="31">
        <f>Migrationsartikel!B388</f>
        <v>0</v>
      </c>
      <c r="M390"/>
      <c r="N390"/>
      <c r="O390">
        <f>Migrationsartikel!F388</f>
        <v>0</v>
      </c>
      <c r="P390">
        <f>Migrationsartikel!J388</f>
        <v>0</v>
      </c>
      <c r="Q390">
        <f>Migrationsartikel!N388</f>
        <v>0</v>
      </c>
      <c r="R390">
        <f>Migrationsartikel!G388</f>
        <v>0</v>
      </c>
      <c r="S390">
        <f>Migrationsartikel!K388</f>
        <v>0</v>
      </c>
      <c r="T390">
        <f>Migrationsartikel!O388</f>
        <v>0</v>
      </c>
      <c r="U390" s="31">
        <f>Migrationsartikel!H388</f>
        <v>0</v>
      </c>
      <c r="V390" s="31">
        <f>Migrationsartikel!L388</f>
        <v>0</v>
      </c>
      <c r="W390" s="31">
        <f>Migrationsartikel!P388</f>
        <v>0</v>
      </c>
      <c r="X390">
        <f>Migrationsartikel!I388</f>
        <v>0</v>
      </c>
      <c r="Y390">
        <f>Migrationsartikel!M388</f>
        <v>0</v>
      </c>
      <c r="Z390">
        <f>Migrationsartikel!Q388</f>
        <v>0</v>
      </c>
      <c r="AA390" s="45">
        <f>Migrationsartikel!R388</f>
        <v>0</v>
      </c>
      <c r="AB390" s="46">
        <f>Migrationsartikel!T388</f>
        <v>0</v>
      </c>
      <c r="AC390">
        <f>Migrationsartikel!S388</f>
        <v>0</v>
      </c>
      <c r="AD390">
        <f>Migrationsartikel!U388</f>
        <v>0</v>
      </c>
      <c r="AE390" s="31" t="s">
        <v>179</v>
      </c>
      <c r="AF390" s="31" t="s">
        <v>192</v>
      </c>
      <c r="AG390" t="b">
        <f>IF(Migrationsartikel!AB388="ja","true",FALSE)</f>
        <v>0</v>
      </c>
      <c r="AH390" t="b">
        <f>IF(Migrationsartikel!AC388="ja","true",FALSE)</f>
        <v>0</v>
      </c>
      <c r="AI390" t="b">
        <f>IF(Migrationsartikel!AD388="ja","true",FALSE)</f>
        <v>0</v>
      </c>
      <c r="AJ390" t="b">
        <f>IF(Migrationsartikel!AE388="ja","true",FALSE)</f>
        <v>0</v>
      </c>
      <c r="AK390" t="str">
        <f>IF(Migrationsartikel!AF388="ja","Denner Partner","")</f>
        <v/>
      </c>
      <c r="AL390" t="str">
        <f>IF(Migrationsartikel!AG388="ja","true","false")</f>
        <v>false</v>
      </c>
      <c r="AM390" t="str">
        <f t="shared" si="6"/>
        <v>PLU</v>
      </c>
      <c r="AN390" s="31" t="s">
        <v>219</v>
      </c>
      <c r="AO390" s="31" t="s">
        <v>217</v>
      </c>
    </row>
    <row r="391" spans="2:41" ht="21.75" customHeight="1" x14ac:dyDescent="0.45">
      <c r="B391" t="s">
        <v>99</v>
      </c>
      <c r="E391" s="31" t="s">
        <v>1801</v>
      </c>
      <c r="F391" t="str">
        <f>"Warengruppe&gt;&gt;"&amp;Migrationsartikel!V389&amp;"&gt;&gt;"&amp;Migrationsartikel!W389&amp;"&gt;&gt;"&amp;Migrationsartikel!X389</f>
        <v>Warengruppe&gt;&gt;&gt;&gt;&gt;&gt;</v>
      </c>
      <c r="H391" s="31" t="s">
        <v>109</v>
      </c>
      <c r="I391" s="31" t="s">
        <v>121</v>
      </c>
      <c r="J391" s="31">
        <f>Migrationsartikel!B389</f>
        <v>0</v>
      </c>
      <c r="M391"/>
      <c r="N391"/>
      <c r="O391">
        <f>Migrationsartikel!F389</f>
        <v>0</v>
      </c>
      <c r="P391">
        <f>Migrationsartikel!J389</f>
        <v>0</v>
      </c>
      <c r="Q391">
        <f>Migrationsartikel!N389</f>
        <v>0</v>
      </c>
      <c r="R391">
        <f>Migrationsartikel!G389</f>
        <v>0</v>
      </c>
      <c r="S391">
        <f>Migrationsartikel!K389</f>
        <v>0</v>
      </c>
      <c r="T391">
        <f>Migrationsartikel!O389</f>
        <v>0</v>
      </c>
      <c r="U391" s="31">
        <f>Migrationsartikel!H389</f>
        <v>0</v>
      </c>
      <c r="V391" s="31">
        <f>Migrationsartikel!L389</f>
        <v>0</v>
      </c>
      <c r="W391" s="31">
        <f>Migrationsartikel!P389</f>
        <v>0</v>
      </c>
      <c r="X391">
        <f>Migrationsartikel!I389</f>
        <v>0</v>
      </c>
      <c r="Y391">
        <f>Migrationsartikel!M389</f>
        <v>0</v>
      </c>
      <c r="Z391">
        <f>Migrationsartikel!Q389</f>
        <v>0</v>
      </c>
      <c r="AA391" s="45">
        <f>Migrationsartikel!R389</f>
        <v>0</v>
      </c>
      <c r="AB391" s="46">
        <f>Migrationsartikel!T389</f>
        <v>0</v>
      </c>
      <c r="AC391">
        <f>Migrationsartikel!S389</f>
        <v>0</v>
      </c>
      <c r="AD391">
        <f>Migrationsartikel!U389</f>
        <v>0</v>
      </c>
      <c r="AE391" s="31" t="s">
        <v>179</v>
      </c>
      <c r="AF391" s="31" t="s">
        <v>192</v>
      </c>
      <c r="AG391" t="b">
        <f>IF(Migrationsartikel!AB389="ja","true",FALSE)</f>
        <v>0</v>
      </c>
      <c r="AH391" t="b">
        <f>IF(Migrationsartikel!AC389="ja","true",FALSE)</f>
        <v>0</v>
      </c>
      <c r="AI391" t="b">
        <f>IF(Migrationsartikel!AD389="ja","true",FALSE)</f>
        <v>0</v>
      </c>
      <c r="AJ391" t="b">
        <f>IF(Migrationsartikel!AE389="ja","true",FALSE)</f>
        <v>0</v>
      </c>
      <c r="AK391" t="str">
        <f>IF(Migrationsartikel!AF389="ja","Denner Partner","")</f>
        <v/>
      </c>
      <c r="AL391" t="str">
        <f>IF(Migrationsartikel!AG389="ja","true","false")</f>
        <v>false</v>
      </c>
      <c r="AM391" t="str">
        <f t="shared" si="6"/>
        <v>PLU</v>
      </c>
      <c r="AN391" s="31" t="s">
        <v>219</v>
      </c>
      <c r="AO391" s="31" t="s">
        <v>217</v>
      </c>
    </row>
    <row r="392" spans="2:41" ht="21.75" customHeight="1" x14ac:dyDescent="0.45">
      <c r="B392" t="s">
        <v>99</v>
      </c>
      <c r="E392" s="31" t="s">
        <v>1802</v>
      </c>
      <c r="F392" t="str">
        <f>"Warengruppe&gt;&gt;"&amp;Migrationsartikel!V390&amp;"&gt;&gt;"&amp;Migrationsartikel!W390&amp;"&gt;&gt;"&amp;Migrationsartikel!X390</f>
        <v>Warengruppe&gt;&gt;&gt;&gt;&gt;&gt;</v>
      </c>
      <c r="H392" s="31" t="s">
        <v>109</v>
      </c>
      <c r="I392" s="31" t="s">
        <v>121</v>
      </c>
      <c r="J392" s="31">
        <f>Migrationsartikel!B390</f>
        <v>0</v>
      </c>
      <c r="M392"/>
      <c r="N392"/>
      <c r="O392">
        <f>Migrationsartikel!F390</f>
        <v>0</v>
      </c>
      <c r="P392">
        <f>Migrationsartikel!J390</f>
        <v>0</v>
      </c>
      <c r="Q392">
        <f>Migrationsartikel!N390</f>
        <v>0</v>
      </c>
      <c r="R392">
        <f>Migrationsartikel!G390</f>
        <v>0</v>
      </c>
      <c r="S392">
        <f>Migrationsartikel!K390</f>
        <v>0</v>
      </c>
      <c r="T392">
        <f>Migrationsartikel!O390</f>
        <v>0</v>
      </c>
      <c r="U392" s="31">
        <f>Migrationsartikel!H390</f>
        <v>0</v>
      </c>
      <c r="V392" s="31">
        <f>Migrationsartikel!L390</f>
        <v>0</v>
      </c>
      <c r="W392" s="31">
        <f>Migrationsartikel!P390</f>
        <v>0</v>
      </c>
      <c r="X392">
        <f>Migrationsartikel!I390</f>
        <v>0</v>
      </c>
      <c r="Y392">
        <f>Migrationsartikel!M390</f>
        <v>0</v>
      </c>
      <c r="Z392">
        <f>Migrationsartikel!Q390</f>
        <v>0</v>
      </c>
      <c r="AA392" s="45">
        <f>Migrationsartikel!R390</f>
        <v>0</v>
      </c>
      <c r="AB392" s="46">
        <f>Migrationsartikel!T390</f>
        <v>0</v>
      </c>
      <c r="AC392">
        <f>Migrationsartikel!S390</f>
        <v>0</v>
      </c>
      <c r="AD392">
        <f>Migrationsartikel!U390</f>
        <v>0</v>
      </c>
      <c r="AE392" s="31" t="s">
        <v>179</v>
      </c>
      <c r="AF392" s="31" t="s">
        <v>192</v>
      </c>
      <c r="AG392" t="b">
        <f>IF(Migrationsartikel!AB390="ja","true",FALSE)</f>
        <v>0</v>
      </c>
      <c r="AH392" t="b">
        <f>IF(Migrationsartikel!AC390="ja","true",FALSE)</f>
        <v>0</v>
      </c>
      <c r="AI392" t="b">
        <f>IF(Migrationsartikel!AD390="ja","true",FALSE)</f>
        <v>0</v>
      </c>
      <c r="AJ392" t="b">
        <f>IF(Migrationsartikel!AE390="ja","true",FALSE)</f>
        <v>0</v>
      </c>
      <c r="AK392" t="str">
        <f>IF(Migrationsartikel!AF390="ja","Denner Partner","")</f>
        <v/>
      </c>
      <c r="AL392" t="str">
        <f>IF(Migrationsartikel!AG390="ja","true","false")</f>
        <v>false</v>
      </c>
      <c r="AM392" t="str">
        <f t="shared" si="6"/>
        <v>PLU</v>
      </c>
      <c r="AN392" s="31" t="s">
        <v>219</v>
      </c>
      <c r="AO392" s="31" t="s">
        <v>217</v>
      </c>
    </row>
    <row r="393" spans="2:41" ht="21.75" customHeight="1" x14ac:dyDescent="0.45">
      <c r="B393" t="s">
        <v>99</v>
      </c>
      <c r="E393" s="31" t="s">
        <v>1803</v>
      </c>
      <c r="F393" t="str">
        <f>"Warengruppe&gt;&gt;"&amp;Migrationsartikel!V391&amp;"&gt;&gt;"&amp;Migrationsartikel!W391&amp;"&gt;&gt;"&amp;Migrationsartikel!X391</f>
        <v>Warengruppe&gt;&gt;&gt;&gt;&gt;&gt;</v>
      </c>
      <c r="H393" s="31" t="s">
        <v>109</v>
      </c>
      <c r="I393" s="31" t="s">
        <v>121</v>
      </c>
      <c r="J393" s="31">
        <f>Migrationsartikel!B391</f>
        <v>0</v>
      </c>
      <c r="M393"/>
      <c r="N393"/>
      <c r="O393">
        <f>Migrationsartikel!F391</f>
        <v>0</v>
      </c>
      <c r="P393">
        <f>Migrationsartikel!J391</f>
        <v>0</v>
      </c>
      <c r="Q393">
        <f>Migrationsartikel!N391</f>
        <v>0</v>
      </c>
      <c r="R393">
        <f>Migrationsartikel!G391</f>
        <v>0</v>
      </c>
      <c r="S393">
        <f>Migrationsartikel!K391</f>
        <v>0</v>
      </c>
      <c r="T393">
        <f>Migrationsartikel!O391</f>
        <v>0</v>
      </c>
      <c r="U393" s="31">
        <f>Migrationsartikel!H391</f>
        <v>0</v>
      </c>
      <c r="V393" s="31">
        <f>Migrationsartikel!L391</f>
        <v>0</v>
      </c>
      <c r="W393" s="31">
        <f>Migrationsartikel!P391</f>
        <v>0</v>
      </c>
      <c r="X393">
        <f>Migrationsartikel!I391</f>
        <v>0</v>
      </c>
      <c r="Y393">
        <f>Migrationsartikel!M391</f>
        <v>0</v>
      </c>
      <c r="Z393">
        <f>Migrationsartikel!Q391</f>
        <v>0</v>
      </c>
      <c r="AA393" s="45">
        <f>Migrationsartikel!R391</f>
        <v>0</v>
      </c>
      <c r="AB393" s="46">
        <f>Migrationsartikel!T391</f>
        <v>0</v>
      </c>
      <c r="AC393">
        <f>Migrationsartikel!S391</f>
        <v>0</v>
      </c>
      <c r="AD393">
        <f>Migrationsartikel!U391</f>
        <v>0</v>
      </c>
      <c r="AE393" s="31" t="s">
        <v>179</v>
      </c>
      <c r="AF393" s="31" t="s">
        <v>192</v>
      </c>
      <c r="AG393" t="b">
        <f>IF(Migrationsartikel!AB391="ja","true",FALSE)</f>
        <v>0</v>
      </c>
      <c r="AH393" t="b">
        <f>IF(Migrationsartikel!AC391="ja","true",FALSE)</f>
        <v>0</v>
      </c>
      <c r="AI393" t="b">
        <f>IF(Migrationsartikel!AD391="ja","true",FALSE)</f>
        <v>0</v>
      </c>
      <c r="AJ393" t="b">
        <f>IF(Migrationsartikel!AE391="ja","true",FALSE)</f>
        <v>0</v>
      </c>
      <c r="AK393" t="str">
        <f>IF(Migrationsartikel!AF391="ja","Denner Partner","")</f>
        <v/>
      </c>
      <c r="AL393" t="str">
        <f>IF(Migrationsartikel!AG391="ja","true","false")</f>
        <v>false</v>
      </c>
      <c r="AM393" t="str">
        <f t="shared" si="6"/>
        <v>PLU</v>
      </c>
      <c r="AN393" s="31" t="s">
        <v>219</v>
      </c>
      <c r="AO393" s="31" t="s">
        <v>217</v>
      </c>
    </row>
    <row r="394" spans="2:41" ht="21.75" customHeight="1" x14ac:dyDescent="0.45">
      <c r="B394" t="s">
        <v>99</v>
      </c>
      <c r="E394" s="31" t="s">
        <v>1804</v>
      </c>
      <c r="F394" t="str">
        <f>"Warengruppe&gt;&gt;"&amp;Migrationsartikel!V392&amp;"&gt;&gt;"&amp;Migrationsartikel!W392&amp;"&gt;&gt;"&amp;Migrationsartikel!X392</f>
        <v>Warengruppe&gt;&gt;&gt;&gt;&gt;&gt;</v>
      </c>
      <c r="H394" s="31" t="s">
        <v>109</v>
      </c>
      <c r="I394" s="31" t="s">
        <v>121</v>
      </c>
      <c r="J394" s="31">
        <f>Migrationsartikel!B392</f>
        <v>0</v>
      </c>
      <c r="M394"/>
      <c r="N394"/>
      <c r="O394">
        <f>Migrationsartikel!F392</f>
        <v>0</v>
      </c>
      <c r="P394">
        <f>Migrationsartikel!J392</f>
        <v>0</v>
      </c>
      <c r="Q394">
        <f>Migrationsartikel!N392</f>
        <v>0</v>
      </c>
      <c r="R394">
        <f>Migrationsartikel!G392</f>
        <v>0</v>
      </c>
      <c r="S394">
        <f>Migrationsartikel!K392</f>
        <v>0</v>
      </c>
      <c r="T394">
        <f>Migrationsartikel!O392</f>
        <v>0</v>
      </c>
      <c r="U394" s="31">
        <f>Migrationsartikel!H392</f>
        <v>0</v>
      </c>
      <c r="V394" s="31">
        <f>Migrationsartikel!L392</f>
        <v>0</v>
      </c>
      <c r="W394" s="31">
        <f>Migrationsartikel!P392</f>
        <v>0</v>
      </c>
      <c r="X394">
        <f>Migrationsartikel!I392</f>
        <v>0</v>
      </c>
      <c r="Y394">
        <f>Migrationsartikel!M392</f>
        <v>0</v>
      </c>
      <c r="Z394">
        <f>Migrationsartikel!Q392</f>
        <v>0</v>
      </c>
      <c r="AA394" s="45">
        <f>Migrationsartikel!R392</f>
        <v>0</v>
      </c>
      <c r="AB394" s="46">
        <f>Migrationsartikel!T392</f>
        <v>0</v>
      </c>
      <c r="AC394">
        <f>Migrationsartikel!S392</f>
        <v>0</v>
      </c>
      <c r="AD394">
        <f>Migrationsartikel!U392</f>
        <v>0</v>
      </c>
      <c r="AE394" s="31" t="s">
        <v>179</v>
      </c>
      <c r="AF394" s="31" t="s">
        <v>192</v>
      </c>
      <c r="AG394" t="b">
        <f>IF(Migrationsartikel!AB392="ja","true",FALSE)</f>
        <v>0</v>
      </c>
      <c r="AH394" t="b">
        <f>IF(Migrationsartikel!AC392="ja","true",FALSE)</f>
        <v>0</v>
      </c>
      <c r="AI394" t="b">
        <f>IF(Migrationsartikel!AD392="ja","true",FALSE)</f>
        <v>0</v>
      </c>
      <c r="AJ394" t="b">
        <f>IF(Migrationsartikel!AE392="ja","true",FALSE)</f>
        <v>0</v>
      </c>
      <c r="AK394" t="str">
        <f>IF(Migrationsartikel!AF392="ja","Denner Partner","")</f>
        <v/>
      </c>
      <c r="AL394" t="str">
        <f>IF(Migrationsartikel!AG392="ja","true","false")</f>
        <v>false</v>
      </c>
      <c r="AM394" t="str">
        <f t="shared" si="6"/>
        <v>PLU</v>
      </c>
      <c r="AN394" s="31" t="s">
        <v>219</v>
      </c>
      <c r="AO394" s="31" t="s">
        <v>217</v>
      </c>
    </row>
    <row r="395" spans="2:41" ht="21.75" customHeight="1" x14ac:dyDescent="0.45">
      <c r="B395" t="s">
        <v>99</v>
      </c>
      <c r="E395" s="31" t="s">
        <v>1805</v>
      </c>
      <c r="F395" t="str">
        <f>"Warengruppe&gt;&gt;"&amp;Migrationsartikel!V393&amp;"&gt;&gt;"&amp;Migrationsartikel!W393&amp;"&gt;&gt;"&amp;Migrationsartikel!X393</f>
        <v>Warengruppe&gt;&gt;&gt;&gt;&gt;&gt;</v>
      </c>
      <c r="H395" s="31" t="s">
        <v>109</v>
      </c>
      <c r="I395" s="31" t="s">
        <v>121</v>
      </c>
      <c r="J395" s="31">
        <f>Migrationsartikel!B393</f>
        <v>0</v>
      </c>
      <c r="M395"/>
      <c r="N395"/>
      <c r="O395">
        <f>Migrationsartikel!F393</f>
        <v>0</v>
      </c>
      <c r="P395">
        <f>Migrationsartikel!J393</f>
        <v>0</v>
      </c>
      <c r="Q395">
        <f>Migrationsartikel!N393</f>
        <v>0</v>
      </c>
      <c r="R395">
        <f>Migrationsartikel!G393</f>
        <v>0</v>
      </c>
      <c r="S395">
        <f>Migrationsartikel!K393</f>
        <v>0</v>
      </c>
      <c r="T395">
        <f>Migrationsartikel!O393</f>
        <v>0</v>
      </c>
      <c r="U395" s="31">
        <f>Migrationsartikel!H393</f>
        <v>0</v>
      </c>
      <c r="V395" s="31">
        <f>Migrationsartikel!L393</f>
        <v>0</v>
      </c>
      <c r="W395" s="31">
        <f>Migrationsartikel!P393</f>
        <v>0</v>
      </c>
      <c r="X395">
        <f>Migrationsartikel!I393</f>
        <v>0</v>
      </c>
      <c r="Y395">
        <f>Migrationsartikel!M393</f>
        <v>0</v>
      </c>
      <c r="Z395">
        <f>Migrationsartikel!Q393</f>
        <v>0</v>
      </c>
      <c r="AA395" s="45">
        <f>Migrationsartikel!R393</f>
        <v>0</v>
      </c>
      <c r="AB395" s="46">
        <f>Migrationsartikel!T393</f>
        <v>0</v>
      </c>
      <c r="AC395">
        <f>Migrationsartikel!S393</f>
        <v>0</v>
      </c>
      <c r="AD395">
        <f>Migrationsartikel!U393</f>
        <v>0</v>
      </c>
      <c r="AE395" s="31" t="s">
        <v>179</v>
      </c>
      <c r="AF395" s="31" t="s">
        <v>192</v>
      </c>
      <c r="AG395" t="b">
        <f>IF(Migrationsartikel!AB393="ja","true",FALSE)</f>
        <v>0</v>
      </c>
      <c r="AH395" t="b">
        <f>IF(Migrationsartikel!AC393="ja","true",FALSE)</f>
        <v>0</v>
      </c>
      <c r="AI395" t="b">
        <f>IF(Migrationsartikel!AD393="ja","true",FALSE)</f>
        <v>0</v>
      </c>
      <c r="AJ395" t="b">
        <f>IF(Migrationsartikel!AE393="ja","true",FALSE)</f>
        <v>0</v>
      </c>
      <c r="AK395" t="str">
        <f>IF(Migrationsartikel!AF393="ja","Denner Partner","")</f>
        <v/>
      </c>
      <c r="AL395" t="str">
        <f>IF(Migrationsartikel!AG393="ja","true","false")</f>
        <v>false</v>
      </c>
      <c r="AM395" t="str">
        <f t="shared" si="6"/>
        <v>PLU</v>
      </c>
      <c r="AN395" s="31" t="s">
        <v>219</v>
      </c>
      <c r="AO395" s="31" t="s">
        <v>217</v>
      </c>
    </row>
    <row r="396" spans="2:41" ht="21.75" customHeight="1" x14ac:dyDescent="0.45">
      <c r="B396" t="s">
        <v>99</v>
      </c>
      <c r="E396" s="31" t="s">
        <v>1806</v>
      </c>
      <c r="F396" t="str">
        <f>"Warengruppe&gt;&gt;"&amp;Migrationsartikel!V394&amp;"&gt;&gt;"&amp;Migrationsartikel!W394&amp;"&gt;&gt;"&amp;Migrationsartikel!X394</f>
        <v>Warengruppe&gt;&gt;&gt;&gt;&gt;&gt;</v>
      </c>
      <c r="H396" s="31" t="s">
        <v>109</v>
      </c>
      <c r="I396" s="31" t="s">
        <v>121</v>
      </c>
      <c r="J396" s="31">
        <f>Migrationsartikel!B394</f>
        <v>0</v>
      </c>
      <c r="M396"/>
      <c r="N396"/>
      <c r="O396">
        <f>Migrationsartikel!F394</f>
        <v>0</v>
      </c>
      <c r="P396">
        <f>Migrationsartikel!J394</f>
        <v>0</v>
      </c>
      <c r="Q396">
        <f>Migrationsartikel!N394</f>
        <v>0</v>
      </c>
      <c r="R396">
        <f>Migrationsartikel!G394</f>
        <v>0</v>
      </c>
      <c r="S396">
        <f>Migrationsartikel!K394</f>
        <v>0</v>
      </c>
      <c r="T396">
        <f>Migrationsartikel!O394</f>
        <v>0</v>
      </c>
      <c r="U396" s="31">
        <f>Migrationsartikel!H394</f>
        <v>0</v>
      </c>
      <c r="V396" s="31">
        <f>Migrationsartikel!L394</f>
        <v>0</v>
      </c>
      <c r="W396" s="31">
        <f>Migrationsartikel!P394</f>
        <v>0</v>
      </c>
      <c r="X396">
        <f>Migrationsartikel!I394</f>
        <v>0</v>
      </c>
      <c r="Y396">
        <f>Migrationsartikel!M394</f>
        <v>0</v>
      </c>
      <c r="Z396">
        <f>Migrationsartikel!Q394</f>
        <v>0</v>
      </c>
      <c r="AA396" s="45">
        <f>Migrationsartikel!R394</f>
        <v>0</v>
      </c>
      <c r="AB396" s="46">
        <f>Migrationsartikel!T394</f>
        <v>0</v>
      </c>
      <c r="AC396">
        <f>Migrationsartikel!S394</f>
        <v>0</v>
      </c>
      <c r="AD396">
        <f>Migrationsartikel!U394</f>
        <v>0</v>
      </c>
      <c r="AE396" s="31" t="s">
        <v>179</v>
      </c>
      <c r="AF396" s="31" t="s">
        <v>192</v>
      </c>
      <c r="AG396" t="b">
        <f>IF(Migrationsartikel!AB394="ja","true",FALSE)</f>
        <v>0</v>
      </c>
      <c r="AH396" t="b">
        <f>IF(Migrationsartikel!AC394="ja","true",FALSE)</f>
        <v>0</v>
      </c>
      <c r="AI396" t="b">
        <f>IF(Migrationsartikel!AD394="ja","true",FALSE)</f>
        <v>0</v>
      </c>
      <c r="AJ396" t="b">
        <f>IF(Migrationsartikel!AE394="ja","true",FALSE)</f>
        <v>0</v>
      </c>
      <c r="AK396" t="str">
        <f>IF(Migrationsartikel!AF394="ja","Denner Partner","")</f>
        <v/>
      </c>
      <c r="AL396" t="str">
        <f>IF(Migrationsartikel!AG394="ja","true","false")</f>
        <v>false</v>
      </c>
      <c r="AM396" t="str">
        <f t="shared" si="6"/>
        <v>PLU</v>
      </c>
      <c r="AN396" s="31" t="s">
        <v>219</v>
      </c>
      <c r="AO396" s="31" t="s">
        <v>217</v>
      </c>
    </row>
    <row r="397" spans="2:41" ht="21.75" customHeight="1" x14ac:dyDescent="0.45">
      <c r="B397" t="s">
        <v>99</v>
      </c>
      <c r="E397" s="31" t="s">
        <v>1807</v>
      </c>
      <c r="F397" t="str">
        <f>"Warengruppe&gt;&gt;"&amp;Migrationsartikel!V395&amp;"&gt;&gt;"&amp;Migrationsartikel!W395&amp;"&gt;&gt;"&amp;Migrationsartikel!X395</f>
        <v>Warengruppe&gt;&gt;&gt;&gt;&gt;&gt;</v>
      </c>
      <c r="H397" s="31" t="s">
        <v>109</v>
      </c>
      <c r="I397" s="31" t="s">
        <v>121</v>
      </c>
      <c r="J397" s="31">
        <f>Migrationsartikel!B395</f>
        <v>0</v>
      </c>
      <c r="M397"/>
      <c r="N397"/>
      <c r="O397">
        <f>Migrationsartikel!F395</f>
        <v>0</v>
      </c>
      <c r="P397">
        <f>Migrationsartikel!J395</f>
        <v>0</v>
      </c>
      <c r="Q397">
        <f>Migrationsartikel!N395</f>
        <v>0</v>
      </c>
      <c r="R397">
        <f>Migrationsartikel!G395</f>
        <v>0</v>
      </c>
      <c r="S397">
        <f>Migrationsartikel!K395</f>
        <v>0</v>
      </c>
      <c r="T397">
        <f>Migrationsartikel!O395</f>
        <v>0</v>
      </c>
      <c r="U397" s="31">
        <f>Migrationsartikel!H395</f>
        <v>0</v>
      </c>
      <c r="V397" s="31">
        <f>Migrationsartikel!L395</f>
        <v>0</v>
      </c>
      <c r="W397" s="31">
        <f>Migrationsartikel!P395</f>
        <v>0</v>
      </c>
      <c r="X397">
        <f>Migrationsartikel!I395</f>
        <v>0</v>
      </c>
      <c r="Y397">
        <f>Migrationsartikel!M395</f>
        <v>0</v>
      </c>
      <c r="Z397">
        <f>Migrationsartikel!Q395</f>
        <v>0</v>
      </c>
      <c r="AA397" s="45">
        <f>Migrationsartikel!R395</f>
        <v>0</v>
      </c>
      <c r="AB397" s="46">
        <f>Migrationsartikel!T395</f>
        <v>0</v>
      </c>
      <c r="AC397">
        <f>Migrationsartikel!S395</f>
        <v>0</v>
      </c>
      <c r="AD397">
        <f>Migrationsartikel!U395</f>
        <v>0</v>
      </c>
      <c r="AE397" s="31" t="s">
        <v>179</v>
      </c>
      <c r="AF397" s="31" t="s">
        <v>192</v>
      </c>
      <c r="AG397" t="b">
        <f>IF(Migrationsartikel!AB395="ja","true",FALSE)</f>
        <v>0</v>
      </c>
      <c r="AH397" t="b">
        <f>IF(Migrationsartikel!AC395="ja","true",FALSE)</f>
        <v>0</v>
      </c>
      <c r="AI397" t="b">
        <f>IF(Migrationsartikel!AD395="ja","true",FALSE)</f>
        <v>0</v>
      </c>
      <c r="AJ397" t="b">
        <f>IF(Migrationsartikel!AE395="ja","true",FALSE)</f>
        <v>0</v>
      </c>
      <c r="AK397" t="str">
        <f>IF(Migrationsartikel!AF395="ja","Denner Partner","")</f>
        <v/>
      </c>
      <c r="AL397" t="str">
        <f>IF(Migrationsartikel!AG395="ja","true","false")</f>
        <v>false</v>
      </c>
      <c r="AM397" t="str">
        <f t="shared" si="6"/>
        <v>PLU</v>
      </c>
      <c r="AN397" s="31" t="s">
        <v>219</v>
      </c>
      <c r="AO397" s="31" t="s">
        <v>217</v>
      </c>
    </row>
    <row r="398" spans="2:41" ht="21.75" customHeight="1" x14ac:dyDescent="0.45">
      <c r="B398" t="s">
        <v>99</v>
      </c>
      <c r="E398" s="31" t="s">
        <v>1808</v>
      </c>
      <c r="F398" t="str">
        <f>"Warengruppe&gt;&gt;"&amp;Migrationsartikel!V396&amp;"&gt;&gt;"&amp;Migrationsartikel!W396&amp;"&gt;&gt;"&amp;Migrationsartikel!X396</f>
        <v>Warengruppe&gt;&gt;&gt;&gt;&gt;&gt;</v>
      </c>
      <c r="H398" s="31" t="s">
        <v>109</v>
      </c>
      <c r="I398" s="31" t="s">
        <v>121</v>
      </c>
      <c r="J398" s="31">
        <f>Migrationsartikel!B396</f>
        <v>0</v>
      </c>
      <c r="M398"/>
      <c r="N398"/>
      <c r="O398">
        <f>Migrationsartikel!F396</f>
        <v>0</v>
      </c>
      <c r="P398">
        <f>Migrationsartikel!J396</f>
        <v>0</v>
      </c>
      <c r="Q398">
        <f>Migrationsartikel!N396</f>
        <v>0</v>
      </c>
      <c r="R398">
        <f>Migrationsartikel!G396</f>
        <v>0</v>
      </c>
      <c r="S398">
        <f>Migrationsartikel!K396</f>
        <v>0</v>
      </c>
      <c r="T398">
        <f>Migrationsartikel!O396</f>
        <v>0</v>
      </c>
      <c r="U398" s="31">
        <f>Migrationsartikel!H396</f>
        <v>0</v>
      </c>
      <c r="V398" s="31">
        <f>Migrationsartikel!L396</f>
        <v>0</v>
      </c>
      <c r="W398" s="31">
        <f>Migrationsartikel!P396</f>
        <v>0</v>
      </c>
      <c r="X398">
        <f>Migrationsartikel!I396</f>
        <v>0</v>
      </c>
      <c r="Y398">
        <f>Migrationsartikel!M396</f>
        <v>0</v>
      </c>
      <c r="Z398">
        <f>Migrationsartikel!Q396</f>
        <v>0</v>
      </c>
      <c r="AA398" s="45">
        <f>Migrationsartikel!R396</f>
        <v>0</v>
      </c>
      <c r="AB398" s="46">
        <f>Migrationsartikel!T396</f>
        <v>0</v>
      </c>
      <c r="AC398">
        <f>Migrationsartikel!S396</f>
        <v>0</v>
      </c>
      <c r="AD398">
        <f>Migrationsartikel!U396</f>
        <v>0</v>
      </c>
      <c r="AE398" s="31" t="s">
        <v>179</v>
      </c>
      <c r="AF398" s="31" t="s">
        <v>192</v>
      </c>
      <c r="AG398" t="b">
        <f>IF(Migrationsartikel!AB396="ja","true",FALSE)</f>
        <v>0</v>
      </c>
      <c r="AH398" t="b">
        <f>IF(Migrationsartikel!AC396="ja","true",FALSE)</f>
        <v>0</v>
      </c>
      <c r="AI398" t="b">
        <f>IF(Migrationsartikel!AD396="ja","true",FALSE)</f>
        <v>0</v>
      </c>
      <c r="AJ398" t="b">
        <f>IF(Migrationsartikel!AE396="ja","true",FALSE)</f>
        <v>0</v>
      </c>
      <c r="AK398" t="str">
        <f>IF(Migrationsartikel!AF396="ja","Denner Partner","")</f>
        <v/>
      </c>
      <c r="AL398" t="str">
        <f>IF(Migrationsartikel!AG396="ja","true","false")</f>
        <v>false</v>
      </c>
      <c r="AM398" t="str">
        <f t="shared" si="6"/>
        <v>PLU</v>
      </c>
      <c r="AN398" s="31" t="s">
        <v>219</v>
      </c>
      <c r="AO398" s="31" t="s">
        <v>217</v>
      </c>
    </row>
    <row r="399" spans="2:41" ht="21.75" customHeight="1" x14ac:dyDescent="0.45">
      <c r="B399" t="s">
        <v>99</v>
      </c>
      <c r="E399" s="31" t="s">
        <v>1809</v>
      </c>
      <c r="F399" t="str">
        <f>"Warengruppe&gt;&gt;"&amp;Migrationsartikel!V397&amp;"&gt;&gt;"&amp;Migrationsartikel!W397&amp;"&gt;&gt;"&amp;Migrationsartikel!X397</f>
        <v>Warengruppe&gt;&gt;&gt;&gt;&gt;&gt;</v>
      </c>
      <c r="H399" s="31" t="s">
        <v>109</v>
      </c>
      <c r="I399" s="31" t="s">
        <v>121</v>
      </c>
      <c r="J399" s="31">
        <f>Migrationsartikel!B397</f>
        <v>0</v>
      </c>
      <c r="M399"/>
      <c r="N399"/>
      <c r="O399">
        <f>Migrationsartikel!F397</f>
        <v>0</v>
      </c>
      <c r="P399">
        <f>Migrationsartikel!J397</f>
        <v>0</v>
      </c>
      <c r="Q399">
        <f>Migrationsartikel!N397</f>
        <v>0</v>
      </c>
      <c r="R399">
        <f>Migrationsartikel!G397</f>
        <v>0</v>
      </c>
      <c r="S399">
        <f>Migrationsartikel!K397</f>
        <v>0</v>
      </c>
      <c r="T399">
        <f>Migrationsartikel!O397</f>
        <v>0</v>
      </c>
      <c r="U399" s="31">
        <f>Migrationsartikel!H397</f>
        <v>0</v>
      </c>
      <c r="V399" s="31">
        <f>Migrationsartikel!L397</f>
        <v>0</v>
      </c>
      <c r="W399" s="31">
        <f>Migrationsartikel!P397</f>
        <v>0</v>
      </c>
      <c r="X399">
        <f>Migrationsartikel!I397</f>
        <v>0</v>
      </c>
      <c r="Y399">
        <f>Migrationsartikel!M397</f>
        <v>0</v>
      </c>
      <c r="Z399">
        <f>Migrationsartikel!Q397</f>
        <v>0</v>
      </c>
      <c r="AA399" s="45">
        <f>Migrationsartikel!R397</f>
        <v>0</v>
      </c>
      <c r="AB399" s="46">
        <f>Migrationsartikel!T397</f>
        <v>0</v>
      </c>
      <c r="AC399">
        <f>Migrationsartikel!S397</f>
        <v>0</v>
      </c>
      <c r="AD399">
        <f>Migrationsartikel!U397</f>
        <v>0</v>
      </c>
      <c r="AE399" s="31" t="s">
        <v>179</v>
      </c>
      <c r="AF399" s="31" t="s">
        <v>192</v>
      </c>
      <c r="AG399" t="b">
        <f>IF(Migrationsartikel!AB397="ja","true",FALSE)</f>
        <v>0</v>
      </c>
      <c r="AH399" t="b">
        <f>IF(Migrationsartikel!AC397="ja","true",FALSE)</f>
        <v>0</v>
      </c>
      <c r="AI399" t="b">
        <f>IF(Migrationsartikel!AD397="ja","true",FALSE)</f>
        <v>0</v>
      </c>
      <c r="AJ399" t="b">
        <f>IF(Migrationsartikel!AE397="ja","true",FALSE)</f>
        <v>0</v>
      </c>
      <c r="AK399" t="str">
        <f>IF(Migrationsartikel!AF397="ja","Denner Partner","")</f>
        <v/>
      </c>
      <c r="AL399" t="str">
        <f>IF(Migrationsartikel!AG397="ja","true","false")</f>
        <v>false</v>
      </c>
      <c r="AM399" t="str">
        <f t="shared" si="6"/>
        <v>PLU</v>
      </c>
      <c r="AN399" s="31" t="s">
        <v>219</v>
      </c>
      <c r="AO399" s="31" t="s">
        <v>217</v>
      </c>
    </row>
    <row r="400" spans="2:41" ht="21.75" customHeight="1" x14ac:dyDescent="0.45">
      <c r="B400" t="s">
        <v>99</v>
      </c>
      <c r="E400" s="31" t="s">
        <v>1810</v>
      </c>
      <c r="F400" t="str">
        <f>"Warengruppe&gt;&gt;"&amp;Migrationsartikel!V398&amp;"&gt;&gt;"&amp;Migrationsartikel!W398&amp;"&gt;&gt;"&amp;Migrationsartikel!X398</f>
        <v>Warengruppe&gt;&gt;&gt;&gt;&gt;&gt;</v>
      </c>
      <c r="H400" s="31" t="s">
        <v>109</v>
      </c>
      <c r="I400" s="31" t="s">
        <v>121</v>
      </c>
      <c r="J400" s="31">
        <f>Migrationsartikel!B398</f>
        <v>0</v>
      </c>
      <c r="M400"/>
      <c r="N400"/>
      <c r="O400">
        <f>Migrationsartikel!F398</f>
        <v>0</v>
      </c>
      <c r="P400">
        <f>Migrationsartikel!J398</f>
        <v>0</v>
      </c>
      <c r="Q400">
        <f>Migrationsartikel!N398</f>
        <v>0</v>
      </c>
      <c r="R400">
        <f>Migrationsartikel!G398</f>
        <v>0</v>
      </c>
      <c r="S400">
        <f>Migrationsartikel!K398</f>
        <v>0</v>
      </c>
      <c r="T400">
        <f>Migrationsartikel!O398</f>
        <v>0</v>
      </c>
      <c r="U400" s="31">
        <f>Migrationsartikel!H398</f>
        <v>0</v>
      </c>
      <c r="V400" s="31">
        <f>Migrationsartikel!L398</f>
        <v>0</v>
      </c>
      <c r="W400" s="31">
        <f>Migrationsartikel!P398</f>
        <v>0</v>
      </c>
      <c r="X400">
        <f>Migrationsartikel!I398</f>
        <v>0</v>
      </c>
      <c r="Y400">
        <f>Migrationsartikel!M398</f>
        <v>0</v>
      </c>
      <c r="Z400">
        <f>Migrationsartikel!Q398</f>
        <v>0</v>
      </c>
      <c r="AA400" s="45">
        <f>Migrationsartikel!R398</f>
        <v>0</v>
      </c>
      <c r="AB400" s="46">
        <f>Migrationsartikel!T398</f>
        <v>0</v>
      </c>
      <c r="AC400">
        <f>Migrationsartikel!S398</f>
        <v>0</v>
      </c>
      <c r="AD400">
        <f>Migrationsartikel!U398</f>
        <v>0</v>
      </c>
      <c r="AE400" s="31" t="s">
        <v>179</v>
      </c>
      <c r="AF400" s="31" t="s">
        <v>192</v>
      </c>
      <c r="AG400" t="b">
        <f>IF(Migrationsartikel!AB398="ja","true",FALSE)</f>
        <v>0</v>
      </c>
      <c r="AH400" t="b">
        <f>IF(Migrationsartikel!AC398="ja","true",FALSE)</f>
        <v>0</v>
      </c>
      <c r="AI400" t="b">
        <f>IF(Migrationsartikel!AD398="ja","true",FALSE)</f>
        <v>0</v>
      </c>
      <c r="AJ400" t="b">
        <f>IF(Migrationsartikel!AE398="ja","true",FALSE)</f>
        <v>0</v>
      </c>
      <c r="AK400" t="str">
        <f>IF(Migrationsartikel!AF398="ja","Denner Partner","")</f>
        <v/>
      </c>
      <c r="AL400" t="str">
        <f>IF(Migrationsartikel!AG398="ja","true","false")</f>
        <v>false</v>
      </c>
      <c r="AM400" t="str">
        <f t="shared" si="6"/>
        <v>PLU</v>
      </c>
      <c r="AN400" s="31" t="s">
        <v>219</v>
      </c>
      <c r="AO400" s="31" t="s">
        <v>217</v>
      </c>
    </row>
    <row r="401" spans="2:41" ht="21.75" customHeight="1" x14ac:dyDescent="0.45">
      <c r="B401" t="s">
        <v>99</v>
      </c>
      <c r="E401" s="31" t="s">
        <v>1811</v>
      </c>
      <c r="F401" t="str">
        <f>"Warengruppe&gt;&gt;"&amp;Migrationsartikel!V399&amp;"&gt;&gt;"&amp;Migrationsartikel!W399&amp;"&gt;&gt;"&amp;Migrationsartikel!X399</f>
        <v>Warengruppe&gt;&gt;&gt;&gt;&gt;&gt;</v>
      </c>
      <c r="H401" s="31" t="s">
        <v>109</v>
      </c>
      <c r="I401" s="31" t="s">
        <v>121</v>
      </c>
      <c r="J401" s="31">
        <f>Migrationsartikel!B399</f>
        <v>0</v>
      </c>
      <c r="M401"/>
      <c r="N401"/>
      <c r="O401">
        <f>Migrationsartikel!F399</f>
        <v>0</v>
      </c>
      <c r="P401">
        <f>Migrationsartikel!J399</f>
        <v>0</v>
      </c>
      <c r="Q401">
        <f>Migrationsartikel!N399</f>
        <v>0</v>
      </c>
      <c r="R401">
        <f>Migrationsartikel!G399</f>
        <v>0</v>
      </c>
      <c r="S401">
        <f>Migrationsartikel!K399</f>
        <v>0</v>
      </c>
      <c r="T401">
        <f>Migrationsartikel!O399</f>
        <v>0</v>
      </c>
      <c r="U401" s="31">
        <f>Migrationsartikel!H399</f>
        <v>0</v>
      </c>
      <c r="V401" s="31">
        <f>Migrationsartikel!L399</f>
        <v>0</v>
      </c>
      <c r="W401" s="31">
        <f>Migrationsartikel!P399</f>
        <v>0</v>
      </c>
      <c r="X401">
        <f>Migrationsartikel!I399</f>
        <v>0</v>
      </c>
      <c r="Y401">
        <f>Migrationsartikel!M399</f>
        <v>0</v>
      </c>
      <c r="Z401">
        <f>Migrationsartikel!Q399</f>
        <v>0</v>
      </c>
      <c r="AA401" s="45">
        <f>Migrationsartikel!R399</f>
        <v>0</v>
      </c>
      <c r="AB401" s="46">
        <f>Migrationsartikel!T399</f>
        <v>0</v>
      </c>
      <c r="AC401">
        <f>Migrationsartikel!S399</f>
        <v>0</v>
      </c>
      <c r="AD401">
        <f>Migrationsartikel!U399</f>
        <v>0</v>
      </c>
      <c r="AE401" s="31" t="s">
        <v>179</v>
      </c>
      <c r="AF401" s="31" t="s">
        <v>192</v>
      </c>
      <c r="AG401" t="b">
        <f>IF(Migrationsartikel!AB399="ja","true",FALSE)</f>
        <v>0</v>
      </c>
      <c r="AH401" t="b">
        <f>IF(Migrationsartikel!AC399="ja","true",FALSE)</f>
        <v>0</v>
      </c>
      <c r="AI401" t="b">
        <f>IF(Migrationsartikel!AD399="ja","true",FALSE)</f>
        <v>0</v>
      </c>
      <c r="AJ401" t="b">
        <f>IF(Migrationsartikel!AE399="ja","true",FALSE)</f>
        <v>0</v>
      </c>
      <c r="AK401" t="str">
        <f>IF(Migrationsartikel!AF399="ja","Denner Partner","")</f>
        <v/>
      </c>
      <c r="AL401" t="str">
        <f>IF(Migrationsartikel!AG399="ja","true","false")</f>
        <v>false</v>
      </c>
      <c r="AM401" t="str">
        <f t="shared" si="6"/>
        <v>PLU</v>
      </c>
      <c r="AN401" s="31" t="s">
        <v>219</v>
      </c>
      <c r="AO401" s="31" t="s">
        <v>217</v>
      </c>
    </row>
    <row r="402" spans="2:41" ht="21.75" customHeight="1" x14ac:dyDescent="0.45">
      <c r="B402" t="s">
        <v>99</v>
      </c>
      <c r="E402" s="31" t="s">
        <v>1812</v>
      </c>
      <c r="F402" t="str">
        <f>"Warengruppe&gt;&gt;"&amp;Migrationsartikel!V400&amp;"&gt;&gt;"&amp;Migrationsartikel!W400&amp;"&gt;&gt;"&amp;Migrationsartikel!X400</f>
        <v>Warengruppe&gt;&gt;&gt;&gt;&gt;&gt;</v>
      </c>
      <c r="H402" s="31" t="s">
        <v>109</v>
      </c>
      <c r="I402" s="31" t="s">
        <v>121</v>
      </c>
      <c r="J402" s="31">
        <f>Migrationsartikel!B400</f>
        <v>0</v>
      </c>
      <c r="M402"/>
      <c r="N402"/>
      <c r="O402">
        <f>Migrationsartikel!F400</f>
        <v>0</v>
      </c>
      <c r="P402">
        <f>Migrationsartikel!J400</f>
        <v>0</v>
      </c>
      <c r="Q402">
        <f>Migrationsartikel!N400</f>
        <v>0</v>
      </c>
      <c r="R402">
        <f>Migrationsartikel!G400</f>
        <v>0</v>
      </c>
      <c r="S402">
        <f>Migrationsartikel!K400</f>
        <v>0</v>
      </c>
      <c r="T402">
        <f>Migrationsartikel!O400</f>
        <v>0</v>
      </c>
      <c r="U402" s="31">
        <f>Migrationsartikel!H400</f>
        <v>0</v>
      </c>
      <c r="V402" s="31">
        <f>Migrationsartikel!L400</f>
        <v>0</v>
      </c>
      <c r="W402" s="31">
        <f>Migrationsartikel!P400</f>
        <v>0</v>
      </c>
      <c r="X402">
        <f>Migrationsartikel!I400</f>
        <v>0</v>
      </c>
      <c r="Y402">
        <f>Migrationsartikel!M400</f>
        <v>0</v>
      </c>
      <c r="Z402">
        <f>Migrationsartikel!Q400</f>
        <v>0</v>
      </c>
      <c r="AA402" s="45">
        <f>Migrationsartikel!R400</f>
        <v>0</v>
      </c>
      <c r="AB402" s="46">
        <f>Migrationsartikel!T400</f>
        <v>0</v>
      </c>
      <c r="AC402">
        <f>Migrationsartikel!S400</f>
        <v>0</v>
      </c>
      <c r="AD402">
        <f>Migrationsartikel!U400</f>
        <v>0</v>
      </c>
      <c r="AE402" s="31" t="s">
        <v>179</v>
      </c>
      <c r="AF402" s="31" t="s">
        <v>192</v>
      </c>
      <c r="AG402" t="b">
        <f>IF(Migrationsartikel!AB400="ja","true",FALSE)</f>
        <v>0</v>
      </c>
      <c r="AH402" t="b">
        <f>IF(Migrationsartikel!AC400="ja","true",FALSE)</f>
        <v>0</v>
      </c>
      <c r="AI402" t="b">
        <f>IF(Migrationsartikel!AD400="ja","true",FALSE)</f>
        <v>0</v>
      </c>
      <c r="AJ402" t="b">
        <f>IF(Migrationsartikel!AE400="ja","true",FALSE)</f>
        <v>0</v>
      </c>
      <c r="AK402" t="str">
        <f>IF(Migrationsartikel!AF400="ja","Denner Partner","")</f>
        <v/>
      </c>
      <c r="AL402" t="str">
        <f>IF(Migrationsartikel!AG400="ja","true","false")</f>
        <v>false</v>
      </c>
      <c r="AM402" t="str">
        <f t="shared" si="6"/>
        <v>PLU</v>
      </c>
      <c r="AN402" s="31" t="s">
        <v>219</v>
      </c>
      <c r="AO402" s="31" t="s">
        <v>217</v>
      </c>
    </row>
    <row r="403" spans="2:41" ht="21.75" customHeight="1" x14ac:dyDescent="0.45">
      <c r="B403" t="s">
        <v>99</v>
      </c>
      <c r="E403" s="31" t="s">
        <v>1813</v>
      </c>
      <c r="F403" t="str">
        <f>"Warengruppe&gt;&gt;"&amp;Migrationsartikel!V401&amp;"&gt;&gt;"&amp;Migrationsartikel!W401&amp;"&gt;&gt;"&amp;Migrationsartikel!X401</f>
        <v>Warengruppe&gt;&gt;&gt;&gt;&gt;&gt;</v>
      </c>
      <c r="H403" s="31" t="s">
        <v>109</v>
      </c>
      <c r="I403" s="31" t="s">
        <v>121</v>
      </c>
      <c r="J403" s="31">
        <f>Migrationsartikel!B401</f>
        <v>0</v>
      </c>
      <c r="M403"/>
      <c r="N403"/>
      <c r="O403">
        <f>Migrationsartikel!F401</f>
        <v>0</v>
      </c>
      <c r="P403">
        <f>Migrationsartikel!J401</f>
        <v>0</v>
      </c>
      <c r="Q403">
        <f>Migrationsartikel!N401</f>
        <v>0</v>
      </c>
      <c r="R403">
        <f>Migrationsartikel!G401</f>
        <v>0</v>
      </c>
      <c r="S403">
        <f>Migrationsartikel!K401</f>
        <v>0</v>
      </c>
      <c r="T403">
        <f>Migrationsartikel!O401</f>
        <v>0</v>
      </c>
      <c r="U403" s="31">
        <f>Migrationsartikel!H401</f>
        <v>0</v>
      </c>
      <c r="V403" s="31">
        <f>Migrationsartikel!L401</f>
        <v>0</v>
      </c>
      <c r="W403" s="31">
        <f>Migrationsartikel!P401</f>
        <v>0</v>
      </c>
      <c r="X403">
        <f>Migrationsartikel!I401</f>
        <v>0</v>
      </c>
      <c r="Y403">
        <f>Migrationsartikel!M401</f>
        <v>0</v>
      </c>
      <c r="Z403">
        <f>Migrationsartikel!Q401</f>
        <v>0</v>
      </c>
      <c r="AA403" s="45">
        <f>Migrationsartikel!R401</f>
        <v>0</v>
      </c>
      <c r="AB403" s="46">
        <f>Migrationsartikel!T401</f>
        <v>0</v>
      </c>
      <c r="AC403">
        <f>Migrationsartikel!S401</f>
        <v>0</v>
      </c>
      <c r="AD403">
        <f>Migrationsartikel!U401</f>
        <v>0</v>
      </c>
      <c r="AE403" s="31" t="s">
        <v>179</v>
      </c>
      <c r="AF403" s="31" t="s">
        <v>192</v>
      </c>
      <c r="AG403" t="b">
        <f>IF(Migrationsartikel!AB401="ja","true",FALSE)</f>
        <v>0</v>
      </c>
      <c r="AH403" t="b">
        <f>IF(Migrationsartikel!AC401="ja","true",FALSE)</f>
        <v>0</v>
      </c>
      <c r="AI403" t="b">
        <f>IF(Migrationsartikel!AD401="ja","true",FALSE)</f>
        <v>0</v>
      </c>
      <c r="AJ403" t="b">
        <f>IF(Migrationsartikel!AE401="ja","true",FALSE)</f>
        <v>0</v>
      </c>
      <c r="AK403" t="str">
        <f>IF(Migrationsartikel!AF401="ja","Denner Partner","")</f>
        <v/>
      </c>
      <c r="AL403" t="str">
        <f>IF(Migrationsartikel!AG401="ja","true","false")</f>
        <v>false</v>
      </c>
      <c r="AM403" t="str">
        <f t="shared" si="6"/>
        <v>PLU</v>
      </c>
      <c r="AN403" s="31" t="s">
        <v>219</v>
      </c>
      <c r="AO403" s="31" t="s">
        <v>217</v>
      </c>
    </row>
    <row r="404" spans="2:41" ht="21.75" customHeight="1" x14ac:dyDescent="0.45">
      <c r="B404" t="s">
        <v>99</v>
      </c>
      <c r="E404" s="31" t="s">
        <v>1814</v>
      </c>
      <c r="F404" t="str">
        <f>"Warengruppe&gt;&gt;"&amp;Migrationsartikel!V402&amp;"&gt;&gt;"&amp;Migrationsartikel!W402&amp;"&gt;&gt;"&amp;Migrationsartikel!X402</f>
        <v>Warengruppe&gt;&gt;&gt;&gt;&gt;&gt;</v>
      </c>
      <c r="H404" s="31" t="s">
        <v>109</v>
      </c>
      <c r="I404" s="31" t="s">
        <v>121</v>
      </c>
      <c r="J404" s="31">
        <f>Migrationsartikel!B402</f>
        <v>0</v>
      </c>
      <c r="M404"/>
      <c r="N404"/>
      <c r="O404">
        <f>Migrationsartikel!F402</f>
        <v>0</v>
      </c>
      <c r="P404">
        <f>Migrationsartikel!J402</f>
        <v>0</v>
      </c>
      <c r="Q404">
        <f>Migrationsartikel!N402</f>
        <v>0</v>
      </c>
      <c r="R404">
        <f>Migrationsartikel!G402</f>
        <v>0</v>
      </c>
      <c r="S404">
        <f>Migrationsartikel!K402</f>
        <v>0</v>
      </c>
      <c r="T404">
        <f>Migrationsartikel!O402</f>
        <v>0</v>
      </c>
      <c r="U404" s="31">
        <f>Migrationsartikel!H402</f>
        <v>0</v>
      </c>
      <c r="V404" s="31">
        <f>Migrationsartikel!L402</f>
        <v>0</v>
      </c>
      <c r="W404" s="31">
        <f>Migrationsartikel!P402</f>
        <v>0</v>
      </c>
      <c r="X404">
        <f>Migrationsartikel!I402</f>
        <v>0</v>
      </c>
      <c r="Y404">
        <f>Migrationsartikel!M402</f>
        <v>0</v>
      </c>
      <c r="Z404">
        <f>Migrationsartikel!Q402</f>
        <v>0</v>
      </c>
      <c r="AA404" s="45">
        <f>Migrationsartikel!R402</f>
        <v>0</v>
      </c>
      <c r="AB404" s="46">
        <f>Migrationsartikel!T402</f>
        <v>0</v>
      </c>
      <c r="AC404">
        <f>Migrationsartikel!S402</f>
        <v>0</v>
      </c>
      <c r="AD404">
        <f>Migrationsartikel!U402</f>
        <v>0</v>
      </c>
      <c r="AE404" s="31" t="s">
        <v>179</v>
      </c>
      <c r="AF404" s="31" t="s">
        <v>192</v>
      </c>
      <c r="AG404" t="b">
        <f>IF(Migrationsartikel!AB402="ja","true",FALSE)</f>
        <v>0</v>
      </c>
      <c r="AH404" t="b">
        <f>IF(Migrationsartikel!AC402="ja","true",FALSE)</f>
        <v>0</v>
      </c>
      <c r="AI404" t="b">
        <f>IF(Migrationsartikel!AD402="ja","true",FALSE)</f>
        <v>0</v>
      </c>
      <c r="AJ404" t="b">
        <f>IF(Migrationsartikel!AE402="ja","true",FALSE)</f>
        <v>0</v>
      </c>
      <c r="AK404" t="str">
        <f>IF(Migrationsartikel!AF402="ja","Denner Partner","")</f>
        <v/>
      </c>
      <c r="AL404" t="str">
        <f>IF(Migrationsartikel!AG402="ja","true","false")</f>
        <v>false</v>
      </c>
      <c r="AM404" t="str">
        <f t="shared" si="6"/>
        <v>PLU</v>
      </c>
      <c r="AN404" s="31" t="s">
        <v>219</v>
      </c>
      <c r="AO404" s="31" t="s">
        <v>217</v>
      </c>
    </row>
    <row r="405" spans="2:41" ht="21.75" customHeight="1" x14ac:dyDescent="0.45">
      <c r="B405" t="s">
        <v>99</v>
      </c>
      <c r="E405" s="31" t="s">
        <v>1815</v>
      </c>
      <c r="F405" t="str">
        <f>"Warengruppe&gt;&gt;"&amp;Migrationsartikel!V403&amp;"&gt;&gt;"&amp;Migrationsartikel!W403&amp;"&gt;&gt;"&amp;Migrationsartikel!X403</f>
        <v>Warengruppe&gt;&gt;&gt;&gt;&gt;&gt;</v>
      </c>
      <c r="H405" s="31" t="s">
        <v>109</v>
      </c>
      <c r="I405" s="31" t="s">
        <v>121</v>
      </c>
      <c r="J405" s="31">
        <f>Migrationsartikel!B403</f>
        <v>0</v>
      </c>
      <c r="M405"/>
      <c r="N405"/>
      <c r="O405">
        <f>Migrationsartikel!F403</f>
        <v>0</v>
      </c>
      <c r="P405">
        <f>Migrationsartikel!J403</f>
        <v>0</v>
      </c>
      <c r="Q405">
        <f>Migrationsartikel!N403</f>
        <v>0</v>
      </c>
      <c r="R405">
        <f>Migrationsartikel!G403</f>
        <v>0</v>
      </c>
      <c r="S405">
        <f>Migrationsartikel!K403</f>
        <v>0</v>
      </c>
      <c r="T405">
        <f>Migrationsartikel!O403</f>
        <v>0</v>
      </c>
      <c r="U405" s="31">
        <f>Migrationsartikel!H403</f>
        <v>0</v>
      </c>
      <c r="V405" s="31">
        <f>Migrationsartikel!L403</f>
        <v>0</v>
      </c>
      <c r="W405" s="31">
        <f>Migrationsartikel!P403</f>
        <v>0</v>
      </c>
      <c r="X405">
        <f>Migrationsartikel!I403</f>
        <v>0</v>
      </c>
      <c r="Y405">
        <f>Migrationsartikel!M403</f>
        <v>0</v>
      </c>
      <c r="Z405">
        <f>Migrationsartikel!Q403</f>
        <v>0</v>
      </c>
      <c r="AA405" s="45">
        <f>Migrationsartikel!R403</f>
        <v>0</v>
      </c>
      <c r="AB405" s="46">
        <f>Migrationsartikel!T403</f>
        <v>0</v>
      </c>
      <c r="AC405">
        <f>Migrationsartikel!S403</f>
        <v>0</v>
      </c>
      <c r="AD405">
        <f>Migrationsartikel!U403</f>
        <v>0</v>
      </c>
      <c r="AE405" s="31" t="s">
        <v>179</v>
      </c>
      <c r="AF405" s="31" t="s">
        <v>192</v>
      </c>
      <c r="AG405" t="b">
        <f>IF(Migrationsartikel!AB403="ja","true",FALSE)</f>
        <v>0</v>
      </c>
      <c r="AH405" t="b">
        <f>IF(Migrationsartikel!AC403="ja","true",FALSE)</f>
        <v>0</v>
      </c>
      <c r="AI405" t="b">
        <f>IF(Migrationsartikel!AD403="ja","true",FALSE)</f>
        <v>0</v>
      </c>
      <c r="AJ405" t="b">
        <f>IF(Migrationsartikel!AE403="ja","true",FALSE)</f>
        <v>0</v>
      </c>
      <c r="AK405" t="str">
        <f>IF(Migrationsartikel!AF403="ja","Denner Partner","")</f>
        <v/>
      </c>
      <c r="AL405" t="str">
        <f>IF(Migrationsartikel!AG403="ja","true","false")</f>
        <v>false</v>
      </c>
      <c r="AM405" t="str">
        <f t="shared" si="6"/>
        <v>PLU</v>
      </c>
      <c r="AN405" s="31" t="s">
        <v>219</v>
      </c>
      <c r="AO405" s="31" t="s">
        <v>217</v>
      </c>
    </row>
    <row r="406" spans="2:41" ht="21.75" customHeight="1" x14ac:dyDescent="0.45">
      <c r="B406" t="s">
        <v>99</v>
      </c>
      <c r="E406" s="31" t="s">
        <v>1816</v>
      </c>
      <c r="F406" t="str">
        <f>"Warengruppe&gt;&gt;"&amp;Migrationsartikel!V404&amp;"&gt;&gt;"&amp;Migrationsartikel!W404&amp;"&gt;&gt;"&amp;Migrationsartikel!X404</f>
        <v>Warengruppe&gt;&gt;&gt;&gt;&gt;&gt;</v>
      </c>
      <c r="H406" s="31" t="s">
        <v>109</v>
      </c>
      <c r="I406" s="31" t="s">
        <v>121</v>
      </c>
      <c r="J406" s="31">
        <f>Migrationsartikel!B404</f>
        <v>0</v>
      </c>
      <c r="M406"/>
      <c r="N406"/>
      <c r="O406">
        <f>Migrationsartikel!F404</f>
        <v>0</v>
      </c>
      <c r="P406">
        <f>Migrationsartikel!J404</f>
        <v>0</v>
      </c>
      <c r="Q406">
        <f>Migrationsartikel!N404</f>
        <v>0</v>
      </c>
      <c r="R406">
        <f>Migrationsartikel!G404</f>
        <v>0</v>
      </c>
      <c r="S406">
        <f>Migrationsartikel!K404</f>
        <v>0</v>
      </c>
      <c r="T406">
        <f>Migrationsartikel!O404</f>
        <v>0</v>
      </c>
      <c r="U406" s="31">
        <f>Migrationsartikel!H404</f>
        <v>0</v>
      </c>
      <c r="V406" s="31">
        <f>Migrationsartikel!L404</f>
        <v>0</v>
      </c>
      <c r="W406" s="31">
        <f>Migrationsartikel!P404</f>
        <v>0</v>
      </c>
      <c r="X406">
        <f>Migrationsartikel!I404</f>
        <v>0</v>
      </c>
      <c r="Y406">
        <f>Migrationsartikel!M404</f>
        <v>0</v>
      </c>
      <c r="Z406">
        <f>Migrationsartikel!Q404</f>
        <v>0</v>
      </c>
      <c r="AA406" s="45">
        <f>Migrationsartikel!R404</f>
        <v>0</v>
      </c>
      <c r="AB406" s="46">
        <f>Migrationsartikel!T404</f>
        <v>0</v>
      </c>
      <c r="AC406">
        <f>Migrationsartikel!S404</f>
        <v>0</v>
      </c>
      <c r="AD406">
        <f>Migrationsartikel!U404</f>
        <v>0</v>
      </c>
      <c r="AE406" s="31" t="s">
        <v>179</v>
      </c>
      <c r="AF406" s="31" t="s">
        <v>192</v>
      </c>
      <c r="AG406" t="b">
        <f>IF(Migrationsartikel!AB404="ja","true",FALSE)</f>
        <v>0</v>
      </c>
      <c r="AH406" t="b">
        <f>IF(Migrationsartikel!AC404="ja","true",FALSE)</f>
        <v>0</v>
      </c>
      <c r="AI406" t="b">
        <f>IF(Migrationsartikel!AD404="ja","true",FALSE)</f>
        <v>0</v>
      </c>
      <c r="AJ406" t="b">
        <f>IF(Migrationsartikel!AE404="ja","true",FALSE)</f>
        <v>0</v>
      </c>
      <c r="AK406" t="str">
        <f>IF(Migrationsartikel!AF404="ja","Denner Partner","")</f>
        <v/>
      </c>
      <c r="AL406" t="str">
        <f>IF(Migrationsartikel!AG404="ja","true","false")</f>
        <v>false</v>
      </c>
      <c r="AM406" t="str">
        <f t="shared" si="6"/>
        <v>PLU</v>
      </c>
      <c r="AN406" s="31" t="s">
        <v>219</v>
      </c>
      <c r="AO406" s="31" t="s">
        <v>217</v>
      </c>
    </row>
    <row r="407" spans="2:41" ht="21.75" customHeight="1" x14ac:dyDescent="0.45">
      <c r="B407" t="s">
        <v>99</v>
      </c>
      <c r="E407" s="31" t="s">
        <v>1817</v>
      </c>
      <c r="F407" t="str">
        <f>"Warengruppe&gt;&gt;"&amp;Migrationsartikel!V405&amp;"&gt;&gt;"&amp;Migrationsartikel!W405&amp;"&gt;&gt;"&amp;Migrationsartikel!X405</f>
        <v>Warengruppe&gt;&gt;&gt;&gt;&gt;&gt;</v>
      </c>
      <c r="H407" s="31" t="s">
        <v>109</v>
      </c>
      <c r="I407" s="31" t="s">
        <v>121</v>
      </c>
      <c r="J407" s="31">
        <f>Migrationsartikel!B405</f>
        <v>0</v>
      </c>
      <c r="M407"/>
      <c r="N407"/>
      <c r="O407">
        <f>Migrationsartikel!F405</f>
        <v>0</v>
      </c>
      <c r="P407">
        <f>Migrationsartikel!J405</f>
        <v>0</v>
      </c>
      <c r="Q407">
        <f>Migrationsartikel!N405</f>
        <v>0</v>
      </c>
      <c r="R407">
        <f>Migrationsartikel!G405</f>
        <v>0</v>
      </c>
      <c r="S407">
        <f>Migrationsartikel!K405</f>
        <v>0</v>
      </c>
      <c r="T407">
        <f>Migrationsartikel!O405</f>
        <v>0</v>
      </c>
      <c r="U407" s="31">
        <f>Migrationsartikel!H405</f>
        <v>0</v>
      </c>
      <c r="V407" s="31">
        <f>Migrationsartikel!L405</f>
        <v>0</v>
      </c>
      <c r="W407" s="31">
        <f>Migrationsartikel!P405</f>
        <v>0</v>
      </c>
      <c r="X407">
        <f>Migrationsartikel!I405</f>
        <v>0</v>
      </c>
      <c r="Y407">
        <f>Migrationsartikel!M405</f>
        <v>0</v>
      </c>
      <c r="Z407">
        <f>Migrationsartikel!Q405</f>
        <v>0</v>
      </c>
      <c r="AA407" s="45">
        <f>Migrationsartikel!R405</f>
        <v>0</v>
      </c>
      <c r="AB407" s="46">
        <f>Migrationsartikel!T405</f>
        <v>0</v>
      </c>
      <c r="AC407">
        <f>Migrationsartikel!S405</f>
        <v>0</v>
      </c>
      <c r="AD407">
        <f>Migrationsartikel!U405</f>
        <v>0</v>
      </c>
      <c r="AE407" s="31" t="s">
        <v>179</v>
      </c>
      <c r="AF407" s="31" t="s">
        <v>192</v>
      </c>
      <c r="AG407" t="b">
        <f>IF(Migrationsartikel!AB405="ja","true",FALSE)</f>
        <v>0</v>
      </c>
      <c r="AH407" t="b">
        <f>IF(Migrationsartikel!AC405="ja","true",FALSE)</f>
        <v>0</v>
      </c>
      <c r="AI407" t="b">
        <f>IF(Migrationsartikel!AD405="ja","true",FALSE)</f>
        <v>0</v>
      </c>
      <c r="AJ407" t="b">
        <f>IF(Migrationsartikel!AE405="ja","true",FALSE)</f>
        <v>0</v>
      </c>
      <c r="AK407" t="str">
        <f>IF(Migrationsartikel!AF405="ja","Denner Partner","")</f>
        <v/>
      </c>
      <c r="AL407" t="str">
        <f>IF(Migrationsartikel!AG405="ja","true","false")</f>
        <v>false</v>
      </c>
      <c r="AM407" t="str">
        <f t="shared" si="6"/>
        <v>PLU</v>
      </c>
      <c r="AN407" s="31" t="s">
        <v>219</v>
      </c>
      <c r="AO407" s="31" t="s">
        <v>217</v>
      </c>
    </row>
    <row r="408" spans="2:41" ht="21.75" customHeight="1" x14ac:dyDescent="0.45">
      <c r="B408" t="s">
        <v>99</v>
      </c>
      <c r="E408" s="31" t="s">
        <v>1818</v>
      </c>
      <c r="F408" t="str">
        <f>"Warengruppe&gt;&gt;"&amp;Migrationsartikel!V406&amp;"&gt;&gt;"&amp;Migrationsartikel!W406&amp;"&gt;&gt;"&amp;Migrationsartikel!X406</f>
        <v>Warengruppe&gt;&gt;&gt;&gt;&gt;&gt;</v>
      </c>
      <c r="H408" s="31" t="s">
        <v>109</v>
      </c>
      <c r="I408" s="31" t="s">
        <v>121</v>
      </c>
      <c r="J408" s="31">
        <f>Migrationsartikel!B406</f>
        <v>0</v>
      </c>
      <c r="M408"/>
      <c r="N408"/>
      <c r="O408">
        <f>Migrationsartikel!F406</f>
        <v>0</v>
      </c>
      <c r="P408">
        <f>Migrationsartikel!J406</f>
        <v>0</v>
      </c>
      <c r="Q408">
        <f>Migrationsartikel!N406</f>
        <v>0</v>
      </c>
      <c r="R408">
        <f>Migrationsartikel!G406</f>
        <v>0</v>
      </c>
      <c r="S408">
        <f>Migrationsartikel!K406</f>
        <v>0</v>
      </c>
      <c r="T408">
        <f>Migrationsartikel!O406</f>
        <v>0</v>
      </c>
      <c r="U408" s="31">
        <f>Migrationsartikel!H406</f>
        <v>0</v>
      </c>
      <c r="V408" s="31">
        <f>Migrationsartikel!L406</f>
        <v>0</v>
      </c>
      <c r="W408" s="31">
        <f>Migrationsartikel!P406</f>
        <v>0</v>
      </c>
      <c r="X408">
        <f>Migrationsartikel!I406</f>
        <v>0</v>
      </c>
      <c r="Y408">
        <f>Migrationsartikel!M406</f>
        <v>0</v>
      </c>
      <c r="Z408">
        <f>Migrationsartikel!Q406</f>
        <v>0</v>
      </c>
      <c r="AA408" s="45">
        <f>Migrationsartikel!R406</f>
        <v>0</v>
      </c>
      <c r="AB408" s="46">
        <f>Migrationsartikel!T406</f>
        <v>0</v>
      </c>
      <c r="AC408">
        <f>Migrationsartikel!S406</f>
        <v>0</v>
      </c>
      <c r="AD408">
        <f>Migrationsartikel!U406</f>
        <v>0</v>
      </c>
      <c r="AE408" s="31" t="s">
        <v>179</v>
      </c>
      <c r="AF408" s="31" t="s">
        <v>192</v>
      </c>
      <c r="AG408" t="b">
        <f>IF(Migrationsartikel!AB406="ja","true",FALSE)</f>
        <v>0</v>
      </c>
      <c r="AH408" t="b">
        <f>IF(Migrationsartikel!AC406="ja","true",FALSE)</f>
        <v>0</v>
      </c>
      <c r="AI408" t="b">
        <f>IF(Migrationsartikel!AD406="ja","true",FALSE)</f>
        <v>0</v>
      </c>
      <c r="AJ408" t="b">
        <f>IF(Migrationsartikel!AE406="ja","true",FALSE)</f>
        <v>0</v>
      </c>
      <c r="AK408" t="str">
        <f>IF(Migrationsartikel!AF406="ja","Denner Partner","")</f>
        <v/>
      </c>
      <c r="AL408" t="str">
        <f>IF(Migrationsartikel!AG406="ja","true","false")</f>
        <v>false</v>
      </c>
      <c r="AM408" t="str">
        <f t="shared" si="6"/>
        <v>PLU</v>
      </c>
      <c r="AN408" s="31" t="s">
        <v>219</v>
      </c>
      <c r="AO408" s="31" t="s">
        <v>217</v>
      </c>
    </row>
    <row r="409" spans="2:41" ht="21.75" customHeight="1" x14ac:dyDescent="0.45">
      <c r="B409" t="s">
        <v>99</v>
      </c>
      <c r="E409" s="31" t="s">
        <v>1819</v>
      </c>
      <c r="F409" t="str">
        <f>"Warengruppe&gt;&gt;"&amp;Migrationsartikel!V407&amp;"&gt;&gt;"&amp;Migrationsartikel!W407&amp;"&gt;&gt;"&amp;Migrationsartikel!X407</f>
        <v>Warengruppe&gt;&gt;&gt;&gt;&gt;&gt;</v>
      </c>
      <c r="H409" s="31" t="s">
        <v>109</v>
      </c>
      <c r="I409" s="31" t="s">
        <v>121</v>
      </c>
      <c r="J409" s="31">
        <f>Migrationsartikel!B407</f>
        <v>0</v>
      </c>
      <c r="M409"/>
      <c r="N409"/>
      <c r="O409">
        <f>Migrationsartikel!F407</f>
        <v>0</v>
      </c>
      <c r="P409">
        <f>Migrationsartikel!J407</f>
        <v>0</v>
      </c>
      <c r="Q409">
        <f>Migrationsartikel!N407</f>
        <v>0</v>
      </c>
      <c r="R409">
        <f>Migrationsartikel!G407</f>
        <v>0</v>
      </c>
      <c r="S409">
        <f>Migrationsartikel!K407</f>
        <v>0</v>
      </c>
      <c r="T409">
        <f>Migrationsartikel!O407</f>
        <v>0</v>
      </c>
      <c r="U409" s="31">
        <f>Migrationsartikel!H407</f>
        <v>0</v>
      </c>
      <c r="V409" s="31">
        <f>Migrationsartikel!L407</f>
        <v>0</v>
      </c>
      <c r="W409" s="31">
        <f>Migrationsartikel!P407</f>
        <v>0</v>
      </c>
      <c r="X409">
        <f>Migrationsartikel!I407</f>
        <v>0</v>
      </c>
      <c r="Y409">
        <f>Migrationsartikel!M407</f>
        <v>0</v>
      </c>
      <c r="Z409">
        <f>Migrationsartikel!Q407</f>
        <v>0</v>
      </c>
      <c r="AA409" s="45">
        <f>Migrationsartikel!R407</f>
        <v>0</v>
      </c>
      <c r="AB409" s="46">
        <f>Migrationsartikel!T407</f>
        <v>0</v>
      </c>
      <c r="AC409">
        <f>Migrationsartikel!S407</f>
        <v>0</v>
      </c>
      <c r="AD409">
        <f>Migrationsartikel!U407</f>
        <v>0</v>
      </c>
      <c r="AE409" s="31" t="s">
        <v>179</v>
      </c>
      <c r="AF409" s="31" t="s">
        <v>192</v>
      </c>
      <c r="AG409" t="b">
        <f>IF(Migrationsartikel!AB407="ja","true",FALSE)</f>
        <v>0</v>
      </c>
      <c r="AH409" t="b">
        <f>IF(Migrationsartikel!AC407="ja","true",FALSE)</f>
        <v>0</v>
      </c>
      <c r="AI409" t="b">
        <f>IF(Migrationsartikel!AD407="ja","true",FALSE)</f>
        <v>0</v>
      </c>
      <c r="AJ409" t="b">
        <f>IF(Migrationsartikel!AE407="ja","true",FALSE)</f>
        <v>0</v>
      </c>
      <c r="AK409" t="str">
        <f>IF(Migrationsartikel!AF407="ja","Denner Partner","")</f>
        <v/>
      </c>
      <c r="AL409" t="str">
        <f>IF(Migrationsartikel!AG407="ja","true","false")</f>
        <v>false</v>
      </c>
      <c r="AM409" t="str">
        <f t="shared" si="6"/>
        <v>PLU</v>
      </c>
      <c r="AN409" s="31" t="s">
        <v>219</v>
      </c>
      <c r="AO409" s="31" t="s">
        <v>217</v>
      </c>
    </row>
    <row r="410" spans="2:41" ht="21.75" customHeight="1" x14ac:dyDescent="0.45">
      <c r="B410" t="s">
        <v>99</v>
      </c>
      <c r="E410" s="31" t="s">
        <v>1820</v>
      </c>
      <c r="F410" t="str">
        <f>"Warengruppe&gt;&gt;"&amp;Migrationsartikel!V408&amp;"&gt;&gt;"&amp;Migrationsartikel!W408&amp;"&gt;&gt;"&amp;Migrationsartikel!X408</f>
        <v>Warengruppe&gt;&gt;&gt;&gt;&gt;&gt;</v>
      </c>
      <c r="H410" s="31" t="s">
        <v>109</v>
      </c>
      <c r="I410" s="31" t="s">
        <v>121</v>
      </c>
      <c r="J410" s="31">
        <f>Migrationsartikel!B408</f>
        <v>0</v>
      </c>
      <c r="O410">
        <f>Migrationsartikel!F408</f>
        <v>0</v>
      </c>
      <c r="P410">
        <f>Migrationsartikel!J408</f>
        <v>0</v>
      </c>
      <c r="Q410">
        <f>Migrationsartikel!N408</f>
        <v>0</v>
      </c>
      <c r="R410">
        <f>Migrationsartikel!G408</f>
        <v>0</v>
      </c>
      <c r="S410">
        <f>Migrationsartikel!K408</f>
        <v>0</v>
      </c>
      <c r="T410">
        <f>Migrationsartikel!O408</f>
        <v>0</v>
      </c>
      <c r="U410" s="31">
        <f>Migrationsartikel!H408</f>
        <v>0</v>
      </c>
      <c r="V410" s="31">
        <f>Migrationsartikel!L408</f>
        <v>0</v>
      </c>
      <c r="W410" s="31">
        <f>Migrationsartikel!P408</f>
        <v>0</v>
      </c>
      <c r="X410">
        <f>Migrationsartikel!I408</f>
        <v>0</v>
      </c>
      <c r="Y410">
        <f>Migrationsartikel!M408</f>
        <v>0</v>
      </c>
      <c r="Z410">
        <f>Migrationsartikel!Q408</f>
        <v>0</v>
      </c>
      <c r="AA410" s="45">
        <f>Migrationsartikel!R408</f>
        <v>0</v>
      </c>
      <c r="AB410" s="46">
        <f>Migrationsartikel!T408</f>
        <v>0</v>
      </c>
      <c r="AC410">
        <f>Migrationsartikel!S408</f>
        <v>0</v>
      </c>
      <c r="AD410">
        <f>Migrationsartikel!U408</f>
        <v>0</v>
      </c>
      <c r="AE410" s="31" t="s">
        <v>179</v>
      </c>
      <c r="AF410" s="31" t="s">
        <v>192</v>
      </c>
      <c r="AG410" t="b">
        <f>IF(Migrationsartikel!AB408="ja","true",FALSE)</f>
        <v>0</v>
      </c>
      <c r="AH410" t="b">
        <f>IF(Migrationsartikel!AC408="ja","true",FALSE)</f>
        <v>0</v>
      </c>
      <c r="AI410" t="b">
        <f>IF(Migrationsartikel!AD408="ja","true",FALSE)</f>
        <v>0</v>
      </c>
      <c r="AJ410" t="b">
        <f>IF(Migrationsartikel!AE408="ja","true",FALSE)</f>
        <v>0</v>
      </c>
      <c r="AK410" t="str">
        <f>IF(Migrationsartikel!AF408="ja","Denner Partner","")</f>
        <v/>
      </c>
      <c r="AL410" t="str">
        <f>IF(Migrationsartikel!AG408="ja","true","false")</f>
        <v>false</v>
      </c>
      <c r="AM410" t="str">
        <f t="shared" si="6"/>
        <v>PLU</v>
      </c>
      <c r="AN410" s="31" t="s">
        <v>219</v>
      </c>
      <c r="AO410" s="31" t="s">
        <v>217</v>
      </c>
    </row>
    <row r="411" spans="2:41" ht="21.75" customHeight="1" x14ac:dyDescent="0.45">
      <c r="B411" t="s">
        <v>99</v>
      </c>
      <c r="E411" s="31" t="s">
        <v>1821</v>
      </c>
      <c r="F411" t="str">
        <f>"Warengruppe&gt;&gt;"&amp;Migrationsartikel!V409&amp;"&gt;&gt;"&amp;Migrationsartikel!W409&amp;"&gt;&gt;"&amp;Migrationsartikel!X409</f>
        <v>Warengruppe&gt;&gt;&gt;&gt;&gt;&gt;</v>
      </c>
      <c r="H411" s="31" t="s">
        <v>109</v>
      </c>
      <c r="I411" s="31" t="s">
        <v>121</v>
      </c>
      <c r="J411" s="31">
        <f>Migrationsartikel!B409</f>
        <v>0</v>
      </c>
      <c r="O411">
        <f>Migrationsartikel!F409</f>
        <v>0</v>
      </c>
      <c r="P411">
        <f>Migrationsartikel!J409</f>
        <v>0</v>
      </c>
      <c r="Q411">
        <f>Migrationsartikel!N409</f>
        <v>0</v>
      </c>
      <c r="R411">
        <f>Migrationsartikel!G409</f>
        <v>0</v>
      </c>
      <c r="S411">
        <f>Migrationsartikel!K409</f>
        <v>0</v>
      </c>
      <c r="T411">
        <f>Migrationsartikel!O409</f>
        <v>0</v>
      </c>
      <c r="U411" s="31">
        <f>Migrationsartikel!H409</f>
        <v>0</v>
      </c>
      <c r="V411" s="31">
        <f>Migrationsartikel!L409</f>
        <v>0</v>
      </c>
      <c r="W411" s="31">
        <f>Migrationsartikel!P409</f>
        <v>0</v>
      </c>
      <c r="X411">
        <f>Migrationsartikel!I409</f>
        <v>0</v>
      </c>
      <c r="Y411">
        <f>Migrationsartikel!M409</f>
        <v>0</v>
      </c>
      <c r="Z411">
        <f>Migrationsartikel!Q409</f>
        <v>0</v>
      </c>
      <c r="AA411" s="45">
        <f>Migrationsartikel!R409</f>
        <v>0</v>
      </c>
      <c r="AB411" s="46">
        <f>Migrationsartikel!T409</f>
        <v>0</v>
      </c>
      <c r="AC411">
        <f>Migrationsartikel!S409</f>
        <v>0</v>
      </c>
      <c r="AD411">
        <f>Migrationsartikel!U409</f>
        <v>0</v>
      </c>
      <c r="AE411" s="31" t="s">
        <v>179</v>
      </c>
      <c r="AF411" s="31" t="s">
        <v>192</v>
      </c>
      <c r="AG411" t="b">
        <f>IF(Migrationsartikel!AB409="ja","true",FALSE)</f>
        <v>0</v>
      </c>
      <c r="AH411" t="b">
        <f>IF(Migrationsartikel!AC409="ja","true",FALSE)</f>
        <v>0</v>
      </c>
      <c r="AI411" t="b">
        <f>IF(Migrationsartikel!AD409="ja","true",FALSE)</f>
        <v>0</v>
      </c>
      <c r="AJ411" t="b">
        <f>IF(Migrationsartikel!AE409="ja","true",FALSE)</f>
        <v>0</v>
      </c>
      <c r="AK411" t="str">
        <f>IF(Migrationsartikel!AF409="ja","Denner Partner","")</f>
        <v/>
      </c>
      <c r="AL411" t="str">
        <f>IF(Migrationsartikel!AG409="ja","true","false")</f>
        <v>false</v>
      </c>
      <c r="AM411" t="str">
        <f t="shared" si="6"/>
        <v>PLU</v>
      </c>
      <c r="AN411" s="31" t="s">
        <v>219</v>
      </c>
      <c r="AO411" s="31" t="s">
        <v>217</v>
      </c>
    </row>
    <row r="412" spans="2:41" ht="21.75" customHeight="1" x14ac:dyDescent="0.45">
      <c r="B412" t="s">
        <v>99</v>
      </c>
      <c r="E412" s="31" t="s">
        <v>1822</v>
      </c>
      <c r="F412" t="str">
        <f>"Warengruppe&gt;&gt;"&amp;Migrationsartikel!V410&amp;"&gt;&gt;"&amp;Migrationsartikel!W410&amp;"&gt;&gt;"&amp;Migrationsartikel!X410</f>
        <v>Warengruppe&gt;&gt;&gt;&gt;&gt;&gt;</v>
      </c>
      <c r="H412" s="31" t="s">
        <v>109</v>
      </c>
      <c r="I412" s="31" t="s">
        <v>121</v>
      </c>
      <c r="J412" s="31">
        <f>Migrationsartikel!B410</f>
        <v>0</v>
      </c>
      <c r="O412">
        <f>Migrationsartikel!F410</f>
        <v>0</v>
      </c>
      <c r="P412">
        <f>Migrationsartikel!J410</f>
        <v>0</v>
      </c>
      <c r="Q412">
        <f>Migrationsartikel!N410</f>
        <v>0</v>
      </c>
      <c r="R412">
        <f>Migrationsartikel!G410</f>
        <v>0</v>
      </c>
      <c r="S412">
        <f>Migrationsartikel!K410</f>
        <v>0</v>
      </c>
      <c r="T412">
        <f>Migrationsartikel!O410</f>
        <v>0</v>
      </c>
      <c r="U412" s="31">
        <f>Migrationsartikel!H410</f>
        <v>0</v>
      </c>
      <c r="V412" s="31">
        <f>Migrationsartikel!L410</f>
        <v>0</v>
      </c>
      <c r="W412" s="31">
        <f>Migrationsartikel!P410</f>
        <v>0</v>
      </c>
      <c r="X412">
        <f>Migrationsartikel!I410</f>
        <v>0</v>
      </c>
      <c r="Y412">
        <f>Migrationsartikel!M410</f>
        <v>0</v>
      </c>
      <c r="Z412">
        <f>Migrationsartikel!Q410</f>
        <v>0</v>
      </c>
      <c r="AA412" s="45">
        <f>Migrationsartikel!R410</f>
        <v>0</v>
      </c>
      <c r="AB412" s="46">
        <f>Migrationsartikel!T410</f>
        <v>0</v>
      </c>
      <c r="AC412">
        <f>Migrationsartikel!S410</f>
        <v>0</v>
      </c>
      <c r="AD412">
        <f>Migrationsartikel!U410</f>
        <v>0</v>
      </c>
      <c r="AE412" s="31" t="s">
        <v>179</v>
      </c>
      <c r="AF412" s="31" t="s">
        <v>192</v>
      </c>
      <c r="AG412" t="b">
        <f>IF(Migrationsartikel!AB410="ja","true",FALSE)</f>
        <v>0</v>
      </c>
      <c r="AH412" t="b">
        <f>IF(Migrationsartikel!AC410="ja","true",FALSE)</f>
        <v>0</v>
      </c>
      <c r="AI412" t="b">
        <f>IF(Migrationsartikel!AD410="ja","true",FALSE)</f>
        <v>0</v>
      </c>
      <c r="AJ412" t="b">
        <f>IF(Migrationsartikel!AE410="ja","true",FALSE)</f>
        <v>0</v>
      </c>
      <c r="AK412" t="str">
        <f>IF(Migrationsartikel!AF410="ja","Denner Partner","")</f>
        <v/>
      </c>
      <c r="AL412" t="str">
        <f>IF(Migrationsartikel!AG410="ja","true","false")</f>
        <v>false</v>
      </c>
      <c r="AM412" t="str">
        <f t="shared" si="6"/>
        <v>PLU</v>
      </c>
      <c r="AN412" s="31" t="s">
        <v>219</v>
      </c>
      <c r="AO412" s="31" t="s">
        <v>217</v>
      </c>
    </row>
    <row r="413" spans="2:41" ht="21.75" customHeight="1" x14ac:dyDescent="0.45">
      <c r="B413" t="s">
        <v>99</v>
      </c>
      <c r="E413" s="31" t="s">
        <v>1823</v>
      </c>
      <c r="F413" t="str">
        <f>"Warengruppe&gt;&gt;"&amp;Migrationsartikel!V411&amp;"&gt;&gt;"&amp;Migrationsartikel!W411&amp;"&gt;&gt;"&amp;Migrationsartikel!X411</f>
        <v>Warengruppe&gt;&gt;&gt;&gt;&gt;&gt;</v>
      </c>
      <c r="H413" s="31" t="s">
        <v>109</v>
      </c>
      <c r="I413" s="31" t="s">
        <v>121</v>
      </c>
      <c r="J413" s="31">
        <f>Migrationsartikel!B411</f>
        <v>0</v>
      </c>
      <c r="O413">
        <f>Migrationsartikel!F411</f>
        <v>0</v>
      </c>
      <c r="P413">
        <f>Migrationsartikel!J411</f>
        <v>0</v>
      </c>
      <c r="Q413">
        <f>Migrationsartikel!N411</f>
        <v>0</v>
      </c>
      <c r="R413">
        <f>Migrationsartikel!G411</f>
        <v>0</v>
      </c>
      <c r="S413">
        <f>Migrationsartikel!K411</f>
        <v>0</v>
      </c>
      <c r="T413">
        <f>Migrationsartikel!O411</f>
        <v>0</v>
      </c>
      <c r="U413" s="31">
        <f>Migrationsartikel!H411</f>
        <v>0</v>
      </c>
      <c r="V413" s="31">
        <f>Migrationsartikel!L411</f>
        <v>0</v>
      </c>
      <c r="W413" s="31">
        <f>Migrationsartikel!P411</f>
        <v>0</v>
      </c>
      <c r="X413">
        <f>Migrationsartikel!I411</f>
        <v>0</v>
      </c>
      <c r="Y413">
        <f>Migrationsartikel!M411</f>
        <v>0</v>
      </c>
      <c r="Z413">
        <f>Migrationsartikel!Q411</f>
        <v>0</v>
      </c>
      <c r="AA413" s="45">
        <f>Migrationsartikel!R411</f>
        <v>0</v>
      </c>
      <c r="AB413" s="46">
        <f>Migrationsartikel!T411</f>
        <v>0</v>
      </c>
      <c r="AC413">
        <f>Migrationsartikel!S411</f>
        <v>0</v>
      </c>
      <c r="AD413">
        <f>Migrationsartikel!U411</f>
        <v>0</v>
      </c>
      <c r="AE413" s="31" t="s">
        <v>179</v>
      </c>
      <c r="AF413" s="31" t="s">
        <v>192</v>
      </c>
      <c r="AG413" t="b">
        <f>IF(Migrationsartikel!AB411="ja","true",FALSE)</f>
        <v>0</v>
      </c>
      <c r="AH413" t="b">
        <f>IF(Migrationsartikel!AC411="ja","true",FALSE)</f>
        <v>0</v>
      </c>
      <c r="AI413" t="b">
        <f>IF(Migrationsartikel!AD411="ja","true",FALSE)</f>
        <v>0</v>
      </c>
      <c r="AJ413" t="b">
        <f>IF(Migrationsartikel!AE411="ja","true",FALSE)</f>
        <v>0</v>
      </c>
      <c r="AK413" t="str">
        <f>IF(Migrationsartikel!AF411="ja","Denner Partner","")</f>
        <v/>
      </c>
      <c r="AL413" t="str">
        <f>IF(Migrationsartikel!AG411="ja","true","false")</f>
        <v>false</v>
      </c>
      <c r="AM413" t="str">
        <f t="shared" si="6"/>
        <v>PLU</v>
      </c>
      <c r="AN413" s="31" t="s">
        <v>219</v>
      </c>
      <c r="AO413" s="31" t="s">
        <v>217</v>
      </c>
    </row>
    <row r="414" spans="2:41" ht="21.75" customHeight="1" x14ac:dyDescent="0.45">
      <c r="B414" t="s">
        <v>99</v>
      </c>
      <c r="E414" s="31" t="s">
        <v>1824</v>
      </c>
      <c r="F414" t="str">
        <f>"Warengruppe&gt;&gt;"&amp;Migrationsartikel!V412&amp;"&gt;&gt;"&amp;Migrationsartikel!W412&amp;"&gt;&gt;"&amp;Migrationsartikel!X412</f>
        <v>Warengruppe&gt;&gt;&gt;&gt;&gt;&gt;</v>
      </c>
      <c r="H414" s="31" t="s">
        <v>109</v>
      </c>
      <c r="I414" s="31" t="s">
        <v>121</v>
      </c>
      <c r="J414" s="31">
        <f>Migrationsartikel!B412</f>
        <v>0</v>
      </c>
      <c r="O414">
        <f>Migrationsartikel!F412</f>
        <v>0</v>
      </c>
      <c r="P414">
        <f>Migrationsartikel!J412</f>
        <v>0</v>
      </c>
      <c r="Q414">
        <f>Migrationsartikel!N412</f>
        <v>0</v>
      </c>
      <c r="R414">
        <f>Migrationsartikel!G412</f>
        <v>0</v>
      </c>
      <c r="S414">
        <f>Migrationsartikel!K412</f>
        <v>0</v>
      </c>
      <c r="T414">
        <f>Migrationsartikel!O412</f>
        <v>0</v>
      </c>
      <c r="U414" s="31">
        <f>Migrationsartikel!H412</f>
        <v>0</v>
      </c>
      <c r="V414" s="31">
        <f>Migrationsartikel!L412</f>
        <v>0</v>
      </c>
      <c r="W414" s="31">
        <f>Migrationsartikel!P412</f>
        <v>0</v>
      </c>
      <c r="X414">
        <f>Migrationsartikel!I412</f>
        <v>0</v>
      </c>
      <c r="Y414">
        <f>Migrationsartikel!M412</f>
        <v>0</v>
      </c>
      <c r="Z414">
        <f>Migrationsartikel!Q412</f>
        <v>0</v>
      </c>
      <c r="AA414" s="45">
        <f>Migrationsartikel!R412</f>
        <v>0</v>
      </c>
      <c r="AB414" s="46">
        <f>Migrationsartikel!T412</f>
        <v>0</v>
      </c>
      <c r="AC414">
        <f>Migrationsartikel!S412</f>
        <v>0</v>
      </c>
      <c r="AD414">
        <f>Migrationsartikel!U412</f>
        <v>0</v>
      </c>
      <c r="AE414" s="31" t="s">
        <v>179</v>
      </c>
      <c r="AF414" s="31" t="s">
        <v>192</v>
      </c>
      <c r="AG414" t="b">
        <f>IF(Migrationsartikel!AB412="ja","true",FALSE)</f>
        <v>0</v>
      </c>
      <c r="AH414" t="b">
        <f>IF(Migrationsartikel!AC412="ja","true",FALSE)</f>
        <v>0</v>
      </c>
      <c r="AI414" t="b">
        <f>IF(Migrationsartikel!AD412="ja","true",FALSE)</f>
        <v>0</v>
      </c>
      <c r="AJ414" t="b">
        <f>IF(Migrationsartikel!AE412="ja","true",FALSE)</f>
        <v>0</v>
      </c>
      <c r="AK414" t="str">
        <f>IF(Migrationsartikel!AF412="ja","Denner Partner","")</f>
        <v/>
      </c>
      <c r="AL414" t="str">
        <f>IF(Migrationsartikel!AG412="ja","true","false")</f>
        <v>false</v>
      </c>
      <c r="AM414" t="str">
        <f t="shared" si="6"/>
        <v>PLU</v>
      </c>
      <c r="AN414" s="31" t="s">
        <v>219</v>
      </c>
      <c r="AO414" s="31" t="s">
        <v>217</v>
      </c>
    </row>
    <row r="415" spans="2:41" ht="21.75" customHeight="1" x14ac:dyDescent="0.45">
      <c r="B415" t="s">
        <v>99</v>
      </c>
      <c r="E415" s="31" t="s">
        <v>1825</v>
      </c>
      <c r="F415" t="str">
        <f>"Warengruppe&gt;&gt;"&amp;Migrationsartikel!V413&amp;"&gt;&gt;"&amp;Migrationsartikel!W413&amp;"&gt;&gt;"&amp;Migrationsartikel!X413</f>
        <v>Warengruppe&gt;&gt;&gt;&gt;&gt;&gt;</v>
      </c>
      <c r="H415" s="31" t="s">
        <v>109</v>
      </c>
      <c r="I415" s="31" t="s">
        <v>121</v>
      </c>
      <c r="J415" s="31">
        <f>Migrationsartikel!B413</f>
        <v>0</v>
      </c>
      <c r="O415">
        <f>Migrationsartikel!F413</f>
        <v>0</v>
      </c>
      <c r="P415">
        <f>Migrationsartikel!J413</f>
        <v>0</v>
      </c>
      <c r="Q415">
        <f>Migrationsartikel!N413</f>
        <v>0</v>
      </c>
      <c r="R415">
        <f>Migrationsartikel!G413</f>
        <v>0</v>
      </c>
      <c r="S415">
        <f>Migrationsartikel!K413</f>
        <v>0</v>
      </c>
      <c r="T415">
        <f>Migrationsartikel!O413</f>
        <v>0</v>
      </c>
      <c r="U415" s="31">
        <f>Migrationsartikel!H413</f>
        <v>0</v>
      </c>
      <c r="V415" s="31">
        <f>Migrationsartikel!L413</f>
        <v>0</v>
      </c>
      <c r="W415" s="31">
        <f>Migrationsartikel!P413</f>
        <v>0</v>
      </c>
      <c r="X415">
        <f>Migrationsartikel!I413</f>
        <v>0</v>
      </c>
      <c r="Y415">
        <f>Migrationsartikel!M413</f>
        <v>0</v>
      </c>
      <c r="Z415">
        <f>Migrationsartikel!Q413</f>
        <v>0</v>
      </c>
      <c r="AA415" s="45">
        <f>Migrationsartikel!R413</f>
        <v>0</v>
      </c>
      <c r="AB415" s="46">
        <f>Migrationsartikel!T413</f>
        <v>0</v>
      </c>
      <c r="AC415">
        <f>Migrationsartikel!S413</f>
        <v>0</v>
      </c>
      <c r="AD415">
        <f>Migrationsartikel!U413</f>
        <v>0</v>
      </c>
      <c r="AE415" s="31" t="s">
        <v>179</v>
      </c>
      <c r="AF415" s="31" t="s">
        <v>192</v>
      </c>
      <c r="AG415" t="b">
        <f>IF(Migrationsartikel!AB413="ja","true",FALSE)</f>
        <v>0</v>
      </c>
      <c r="AH415" t="b">
        <f>IF(Migrationsartikel!AC413="ja","true",FALSE)</f>
        <v>0</v>
      </c>
      <c r="AI415" t="b">
        <f>IF(Migrationsartikel!AD413="ja","true",FALSE)</f>
        <v>0</v>
      </c>
      <c r="AJ415" t="b">
        <f>IF(Migrationsartikel!AE413="ja","true",FALSE)</f>
        <v>0</v>
      </c>
      <c r="AK415" t="str">
        <f>IF(Migrationsartikel!AF413="ja","Denner Partner","")</f>
        <v/>
      </c>
      <c r="AL415" t="str">
        <f>IF(Migrationsartikel!AG413="ja","true","false")</f>
        <v>false</v>
      </c>
      <c r="AM415" t="str">
        <f t="shared" si="6"/>
        <v>PLU</v>
      </c>
      <c r="AN415" s="31" t="s">
        <v>219</v>
      </c>
      <c r="AO415" s="31" t="s">
        <v>217</v>
      </c>
    </row>
    <row r="416" spans="2:41" ht="21.75" customHeight="1" x14ac:dyDescent="0.45">
      <c r="B416" t="s">
        <v>99</v>
      </c>
      <c r="E416" s="31" t="s">
        <v>1826</v>
      </c>
      <c r="F416" t="str">
        <f>"Warengruppe&gt;&gt;"&amp;Migrationsartikel!V414&amp;"&gt;&gt;"&amp;Migrationsartikel!W414&amp;"&gt;&gt;"&amp;Migrationsartikel!X414</f>
        <v>Warengruppe&gt;&gt;&gt;&gt;&gt;&gt;</v>
      </c>
      <c r="H416" s="31" t="s">
        <v>109</v>
      </c>
      <c r="I416" s="31" t="s">
        <v>121</v>
      </c>
      <c r="J416" s="31">
        <f>Migrationsartikel!B414</f>
        <v>0</v>
      </c>
      <c r="O416">
        <f>Migrationsartikel!F414</f>
        <v>0</v>
      </c>
      <c r="P416">
        <f>Migrationsartikel!J414</f>
        <v>0</v>
      </c>
      <c r="Q416">
        <f>Migrationsartikel!N414</f>
        <v>0</v>
      </c>
      <c r="R416">
        <f>Migrationsartikel!G414</f>
        <v>0</v>
      </c>
      <c r="S416">
        <f>Migrationsartikel!K414</f>
        <v>0</v>
      </c>
      <c r="T416">
        <f>Migrationsartikel!O414</f>
        <v>0</v>
      </c>
      <c r="U416" s="31">
        <f>Migrationsartikel!H414</f>
        <v>0</v>
      </c>
      <c r="V416" s="31">
        <f>Migrationsartikel!L414</f>
        <v>0</v>
      </c>
      <c r="W416" s="31">
        <f>Migrationsartikel!P414</f>
        <v>0</v>
      </c>
      <c r="X416">
        <f>Migrationsartikel!I414</f>
        <v>0</v>
      </c>
      <c r="Y416">
        <f>Migrationsartikel!M414</f>
        <v>0</v>
      </c>
      <c r="Z416">
        <f>Migrationsartikel!Q414</f>
        <v>0</v>
      </c>
      <c r="AA416" s="45">
        <f>Migrationsartikel!R414</f>
        <v>0</v>
      </c>
      <c r="AB416" s="46">
        <f>Migrationsartikel!T414</f>
        <v>0</v>
      </c>
      <c r="AC416">
        <f>Migrationsartikel!S414</f>
        <v>0</v>
      </c>
      <c r="AD416">
        <f>Migrationsartikel!U414</f>
        <v>0</v>
      </c>
      <c r="AE416" s="31" t="s">
        <v>179</v>
      </c>
      <c r="AF416" s="31" t="s">
        <v>192</v>
      </c>
      <c r="AG416" t="b">
        <f>IF(Migrationsartikel!AB414="ja","true",FALSE)</f>
        <v>0</v>
      </c>
      <c r="AH416" t="b">
        <f>IF(Migrationsartikel!AC414="ja","true",FALSE)</f>
        <v>0</v>
      </c>
      <c r="AI416" t="b">
        <f>IF(Migrationsartikel!AD414="ja","true",FALSE)</f>
        <v>0</v>
      </c>
      <c r="AJ416" t="b">
        <f>IF(Migrationsartikel!AE414="ja","true",FALSE)</f>
        <v>0</v>
      </c>
      <c r="AK416" t="str">
        <f>IF(Migrationsartikel!AF414="ja","Denner Partner","")</f>
        <v/>
      </c>
      <c r="AL416" t="str">
        <f>IF(Migrationsartikel!AG414="ja","true","false")</f>
        <v>false</v>
      </c>
      <c r="AM416" t="str">
        <f t="shared" si="6"/>
        <v>PLU</v>
      </c>
      <c r="AN416" s="31" t="s">
        <v>219</v>
      </c>
      <c r="AO416" s="31" t="s">
        <v>217</v>
      </c>
    </row>
    <row r="417" spans="2:41" ht="21.75" customHeight="1" x14ac:dyDescent="0.45">
      <c r="B417" t="s">
        <v>99</v>
      </c>
      <c r="E417" s="31" t="s">
        <v>1827</v>
      </c>
      <c r="F417" t="str">
        <f>"Warengruppe&gt;&gt;"&amp;Migrationsartikel!V415&amp;"&gt;&gt;"&amp;Migrationsartikel!W415&amp;"&gt;&gt;"&amp;Migrationsartikel!X415</f>
        <v>Warengruppe&gt;&gt;&gt;&gt;&gt;&gt;</v>
      </c>
      <c r="H417" s="31" t="s">
        <v>109</v>
      </c>
      <c r="I417" s="31" t="s">
        <v>121</v>
      </c>
      <c r="J417" s="31">
        <f>Migrationsartikel!B415</f>
        <v>0</v>
      </c>
      <c r="O417">
        <f>Migrationsartikel!F415</f>
        <v>0</v>
      </c>
      <c r="P417">
        <f>Migrationsartikel!J415</f>
        <v>0</v>
      </c>
      <c r="Q417">
        <f>Migrationsartikel!N415</f>
        <v>0</v>
      </c>
      <c r="R417">
        <f>Migrationsartikel!G415</f>
        <v>0</v>
      </c>
      <c r="S417">
        <f>Migrationsartikel!K415</f>
        <v>0</v>
      </c>
      <c r="T417">
        <f>Migrationsartikel!O415</f>
        <v>0</v>
      </c>
      <c r="U417" s="31">
        <f>Migrationsartikel!H415</f>
        <v>0</v>
      </c>
      <c r="V417" s="31">
        <f>Migrationsartikel!L415</f>
        <v>0</v>
      </c>
      <c r="W417" s="31">
        <f>Migrationsartikel!P415</f>
        <v>0</v>
      </c>
      <c r="X417">
        <f>Migrationsartikel!I415</f>
        <v>0</v>
      </c>
      <c r="Y417">
        <f>Migrationsartikel!M415</f>
        <v>0</v>
      </c>
      <c r="Z417">
        <f>Migrationsartikel!Q415</f>
        <v>0</v>
      </c>
      <c r="AA417" s="45">
        <f>Migrationsartikel!R415</f>
        <v>0</v>
      </c>
      <c r="AB417" s="46">
        <f>Migrationsartikel!T415</f>
        <v>0</v>
      </c>
      <c r="AC417">
        <f>Migrationsartikel!S415</f>
        <v>0</v>
      </c>
      <c r="AD417">
        <f>Migrationsartikel!U415</f>
        <v>0</v>
      </c>
      <c r="AE417" s="31" t="s">
        <v>179</v>
      </c>
      <c r="AF417" s="31" t="s">
        <v>192</v>
      </c>
      <c r="AG417" t="b">
        <f>IF(Migrationsartikel!AB415="ja","true",FALSE)</f>
        <v>0</v>
      </c>
      <c r="AH417" t="b">
        <f>IF(Migrationsartikel!AC415="ja","true",FALSE)</f>
        <v>0</v>
      </c>
      <c r="AI417" t="b">
        <f>IF(Migrationsartikel!AD415="ja","true",FALSE)</f>
        <v>0</v>
      </c>
      <c r="AJ417" t="b">
        <f>IF(Migrationsartikel!AE415="ja","true",FALSE)</f>
        <v>0</v>
      </c>
      <c r="AK417" t="str">
        <f>IF(Migrationsartikel!AF415="ja","Denner Partner","")</f>
        <v/>
      </c>
      <c r="AL417" t="str">
        <f>IF(Migrationsartikel!AG415="ja","true","false")</f>
        <v>false</v>
      </c>
      <c r="AM417" t="str">
        <f t="shared" si="6"/>
        <v>PLU</v>
      </c>
      <c r="AN417" s="31" t="s">
        <v>219</v>
      </c>
      <c r="AO417" s="31" t="s">
        <v>217</v>
      </c>
    </row>
    <row r="418" spans="2:41" ht="21.75" customHeight="1" x14ac:dyDescent="0.45">
      <c r="B418" t="s">
        <v>99</v>
      </c>
      <c r="E418" s="31" t="s">
        <v>1828</v>
      </c>
      <c r="F418" t="str">
        <f>"Warengruppe&gt;&gt;"&amp;Migrationsartikel!V416&amp;"&gt;&gt;"&amp;Migrationsartikel!W416&amp;"&gt;&gt;"&amp;Migrationsartikel!X416</f>
        <v>Warengruppe&gt;&gt;&gt;&gt;&gt;&gt;</v>
      </c>
      <c r="H418" s="31" t="s">
        <v>109</v>
      </c>
      <c r="I418" s="31" t="s">
        <v>121</v>
      </c>
      <c r="J418" s="31">
        <f>Migrationsartikel!B416</f>
        <v>0</v>
      </c>
      <c r="O418">
        <f>Migrationsartikel!F416</f>
        <v>0</v>
      </c>
      <c r="P418">
        <f>Migrationsartikel!J416</f>
        <v>0</v>
      </c>
      <c r="Q418">
        <f>Migrationsartikel!N416</f>
        <v>0</v>
      </c>
      <c r="R418">
        <f>Migrationsartikel!G416</f>
        <v>0</v>
      </c>
      <c r="S418">
        <f>Migrationsartikel!K416</f>
        <v>0</v>
      </c>
      <c r="T418">
        <f>Migrationsartikel!O416</f>
        <v>0</v>
      </c>
      <c r="U418" s="31">
        <f>Migrationsartikel!H416</f>
        <v>0</v>
      </c>
      <c r="V418" s="31">
        <f>Migrationsartikel!L416</f>
        <v>0</v>
      </c>
      <c r="W418" s="31">
        <f>Migrationsartikel!P416</f>
        <v>0</v>
      </c>
      <c r="X418">
        <f>Migrationsartikel!I416</f>
        <v>0</v>
      </c>
      <c r="Y418">
        <f>Migrationsartikel!M416</f>
        <v>0</v>
      </c>
      <c r="Z418">
        <f>Migrationsartikel!Q416</f>
        <v>0</v>
      </c>
      <c r="AA418" s="45">
        <f>Migrationsartikel!R416</f>
        <v>0</v>
      </c>
      <c r="AB418" s="46">
        <f>Migrationsartikel!T416</f>
        <v>0</v>
      </c>
      <c r="AC418">
        <f>Migrationsartikel!S416</f>
        <v>0</v>
      </c>
      <c r="AD418">
        <f>Migrationsartikel!U416</f>
        <v>0</v>
      </c>
      <c r="AE418" s="31" t="s">
        <v>179</v>
      </c>
      <c r="AF418" s="31" t="s">
        <v>192</v>
      </c>
      <c r="AG418" t="b">
        <f>IF(Migrationsartikel!AB416="ja","true",FALSE)</f>
        <v>0</v>
      </c>
      <c r="AH418" t="b">
        <f>IF(Migrationsartikel!AC416="ja","true",FALSE)</f>
        <v>0</v>
      </c>
      <c r="AI418" t="b">
        <f>IF(Migrationsartikel!AD416="ja","true",FALSE)</f>
        <v>0</v>
      </c>
      <c r="AJ418" t="b">
        <f>IF(Migrationsartikel!AE416="ja","true",FALSE)</f>
        <v>0</v>
      </c>
      <c r="AK418" t="str">
        <f>IF(Migrationsartikel!AF416="ja","Denner Partner","")</f>
        <v/>
      </c>
      <c r="AL418" t="str">
        <f>IF(Migrationsartikel!AG416="ja","true","false")</f>
        <v>false</v>
      </c>
      <c r="AM418" t="str">
        <f t="shared" si="6"/>
        <v>PLU</v>
      </c>
      <c r="AN418" s="31" t="s">
        <v>219</v>
      </c>
      <c r="AO418" s="31" t="s">
        <v>217</v>
      </c>
    </row>
    <row r="419" spans="2:41" ht="21.75" customHeight="1" x14ac:dyDescent="0.45">
      <c r="B419" t="s">
        <v>99</v>
      </c>
      <c r="E419" s="31" t="s">
        <v>1829</v>
      </c>
      <c r="F419" t="str">
        <f>"Warengruppe&gt;&gt;"&amp;Migrationsartikel!V417&amp;"&gt;&gt;"&amp;Migrationsartikel!W417&amp;"&gt;&gt;"&amp;Migrationsartikel!X417</f>
        <v>Warengruppe&gt;&gt;&gt;&gt;&gt;&gt;</v>
      </c>
      <c r="H419" s="31" t="s">
        <v>109</v>
      </c>
      <c r="I419" s="31" t="s">
        <v>121</v>
      </c>
      <c r="J419" s="31">
        <f>Migrationsartikel!B417</f>
        <v>0</v>
      </c>
      <c r="O419">
        <f>Migrationsartikel!F417</f>
        <v>0</v>
      </c>
      <c r="P419">
        <f>Migrationsartikel!J417</f>
        <v>0</v>
      </c>
      <c r="Q419">
        <f>Migrationsartikel!N417</f>
        <v>0</v>
      </c>
      <c r="R419">
        <f>Migrationsartikel!G417</f>
        <v>0</v>
      </c>
      <c r="S419">
        <f>Migrationsartikel!K417</f>
        <v>0</v>
      </c>
      <c r="T419">
        <f>Migrationsartikel!O417</f>
        <v>0</v>
      </c>
      <c r="U419" s="31">
        <f>Migrationsartikel!H417</f>
        <v>0</v>
      </c>
      <c r="V419" s="31">
        <f>Migrationsartikel!L417</f>
        <v>0</v>
      </c>
      <c r="W419" s="31">
        <f>Migrationsartikel!P417</f>
        <v>0</v>
      </c>
      <c r="X419">
        <f>Migrationsartikel!I417</f>
        <v>0</v>
      </c>
      <c r="Y419">
        <f>Migrationsartikel!M417</f>
        <v>0</v>
      </c>
      <c r="Z419">
        <f>Migrationsartikel!Q417</f>
        <v>0</v>
      </c>
      <c r="AA419" s="45">
        <f>Migrationsartikel!R417</f>
        <v>0</v>
      </c>
      <c r="AB419" s="46">
        <f>Migrationsartikel!T417</f>
        <v>0</v>
      </c>
      <c r="AC419">
        <f>Migrationsartikel!S417</f>
        <v>0</v>
      </c>
      <c r="AD419">
        <f>Migrationsartikel!U417</f>
        <v>0</v>
      </c>
      <c r="AE419" s="31" t="s">
        <v>179</v>
      </c>
      <c r="AF419" s="31" t="s">
        <v>192</v>
      </c>
      <c r="AG419" t="b">
        <f>IF(Migrationsartikel!AB417="ja","true",FALSE)</f>
        <v>0</v>
      </c>
      <c r="AH419" t="b">
        <f>IF(Migrationsartikel!AC417="ja","true",FALSE)</f>
        <v>0</v>
      </c>
      <c r="AI419" t="b">
        <f>IF(Migrationsartikel!AD417="ja","true",FALSE)</f>
        <v>0</v>
      </c>
      <c r="AJ419" t="b">
        <f>IF(Migrationsartikel!AE417="ja","true",FALSE)</f>
        <v>0</v>
      </c>
      <c r="AK419" t="str">
        <f>IF(Migrationsartikel!AF417="ja","Denner Partner","")</f>
        <v/>
      </c>
      <c r="AL419" t="str">
        <f>IF(Migrationsartikel!AG417="ja","true","false")</f>
        <v>false</v>
      </c>
      <c r="AM419" t="str">
        <f t="shared" si="6"/>
        <v>PLU</v>
      </c>
      <c r="AN419" s="31" t="s">
        <v>219</v>
      </c>
      <c r="AO419" s="31" t="s">
        <v>217</v>
      </c>
    </row>
    <row r="420" spans="2:41" ht="21.75" customHeight="1" x14ac:dyDescent="0.45">
      <c r="B420" t="s">
        <v>99</v>
      </c>
      <c r="E420" s="31" t="s">
        <v>1830</v>
      </c>
      <c r="F420" t="str">
        <f>"Warengruppe&gt;&gt;"&amp;Migrationsartikel!V418&amp;"&gt;&gt;"&amp;Migrationsartikel!W418&amp;"&gt;&gt;"&amp;Migrationsartikel!X418</f>
        <v>Warengruppe&gt;&gt;&gt;&gt;&gt;&gt;</v>
      </c>
      <c r="H420" s="31" t="s">
        <v>109</v>
      </c>
      <c r="I420" s="31" t="s">
        <v>121</v>
      </c>
      <c r="J420" s="31">
        <f>Migrationsartikel!B418</f>
        <v>0</v>
      </c>
      <c r="O420">
        <f>Migrationsartikel!F418</f>
        <v>0</v>
      </c>
      <c r="P420">
        <f>Migrationsartikel!J418</f>
        <v>0</v>
      </c>
      <c r="Q420">
        <f>Migrationsartikel!N418</f>
        <v>0</v>
      </c>
      <c r="R420">
        <f>Migrationsartikel!G418</f>
        <v>0</v>
      </c>
      <c r="S420">
        <f>Migrationsartikel!K418</f>
        <v>0</v>
      </c>
      <c r="T420">
        <f>Migrationsartikel!O418</f>
        <v>0</v>
      </c>
      <c r="U420" s="31">
        <f>Migrationsartikel!H418</f>
        <v>0</v>
      </c>
      <c r="V420" s="31">
        <f>Migrationsartikel!L418</f>
        <v>0</v>
      </c>
      <c r="W420" s="31">
        <f>Migrationsartikel!P418</f>
        <v>0</v>
      </c>
      <c r="X420">
        <f>Migrationsartikel!I418</f>
        <v>0</v>
      </c>
      <c r="Y420">
        <f>Migrationsartikel!M418</f>
        <v>0</v>
      </c>
      <c r="Z420">
        <f>Migrationsartikel!Q418</f>
        <v>0</v>
      </c>
      <c r="AA420" s="45">
        <f>Migrationsartikel!R418</f>
        <v>0</v>
      </c>
      <c r="AB420" s="46">
        <f>Migrationsartikel!T418</f>
        <v>0</v>
      </c>
      <c r="AC420">
        <f>Migrationsartikel!S418</f>
        <v>0</v>
      </c>
      <c r="AD420">
        <f>Migrationsartikel!U418</f>
        <v>0</v>
      </c>
      <c r="AE420" s="31" t="s">
        <v>179</v>
      </c>
      <c r="AF420" s="31" t="s">
        <v>192</v>
      </c>
      <c r="AG420" t="b">
        <f>IF(Migrationsartikel!AB418="ja","true",FALSE)</f>
        <v>0</v>
      </c>
      <c r="AH420" t="b">
        <f>IF(Migrationsartikel!AC418="ja","true",FALSE)</f>
        <v>0</v>
      </c>
      <c r="AI420" t="b">
        <f>IF(Migrationsartikel!AD418="ja","true",FALSE)</f>
        <v>0</v>
      </c>
      <c r="AJ420" t="b">
        <f>IF(Migrationsartikel!AE418="ja","true",FALSE)</f>
        <v>0</v>
      </c>
      <c r="AK420" t="str">
        <f>IF(Migrationsartikel!AF418="ja","Denner Partner","")</f>
        <v/>
      </c>
      <c r="AL420" t="str">
        <f>IF(Migrationsartikel!AG418="ja","true","false")</f>
        <v>false</v>
      </c>
      <c r="AM420" t="str">
        <f t="shared" si="6"/>
        <v>PLU</v>
      </c>
      <c r="AN420" s="31" t="s">
        <v>219</v>
      </c>
      <c r="AO420" s="31" t="s">
        <v>217</v>
      </c>
    </row>
    <row r="421" spans="2:41" ht="21.75" customHeight="1" x14ac:dyDescent="0.45">
      <c r="B421" t="s">
        <v>99</v>
      </c>
      <c r="E421" s="31" t="s">
        <v>1831</v>
      </c>
      <c r="F421" t="str">
        <f>"Warengruppe&gt;&gt;"&amp;Migrationsartikel!V419&amp;"&gt;&gt;"&amp;Migrationsartikel!W419&amp;"&gt;&gt;"&amp;Migrationsartikel!X419</f>
        <v>Warengruppe&gt;&gt;&gt;&gt;&gt;&gt;</v>
      </c>
      <c r="H421" s="31" t="s">
        <v>109</v>
      </c>
      <c r="I421" s="31" t="s">
        <v>121</v>
      </c>
      <c r="J421" s="31">
        <f>Migrationsartikel!B419</f>
        <v>0</v>
      </c>
      <c r="O421">
        <f>Migrationsartikel!F419</f>
        <v>0</v>
      </c>
      <c r="P421">
        <f>Migrationsartikel!J419</f>
        <v>0</v>
      </c>
      <c r="Q421">
        <f>Migrationsartikel!N419</f>
        <v>0</v>
      </c>
      <c r="R421">
        <f>Migrationsartikel!G419</f>
        <v>0</v>
      </c>
      <c r="S421">
        <f>Migrationsartikel!K419</f>
        <v>0</v>
      </c>
      <c r="T421">
        <f>Migrationsartikel!O419</f>
        <v>0</v>
      </c>
      <c r="U421" s="31">
        <f>Migrationsartikel!H419</f>
        <v>0</v>
      </c>
      <c r="V421" s="31">
        <f>Migrationsartikel!L419</f>
        <v>0</v>
      </c>
      <c r="W421" s="31">
        <f>Migrationsartikel!P419</f>
        <v>0</v>
      </c>
      <c r="X421">
        <f>Migrationsartikel!I419</f>
        <v>0</v>
      </c>
      <c r="Y421">
        <f>Migrationsartikel!M419</f>
        <v>0</v>
      </c>
      <c r="Z421">
        <f>Migrationsartikel!Q419</f>
        <v>0</v>
      </c>
      <c r="AA421" s="45">
        <f>Migrationsartikel!R419</f>
        <v>0</v>
      </c>
      <c r="AB421" s="46">
        <f>Migrationsartikel!T419</f>
        <v>0</v>
      </c>
      <c r="AC421">
        <f>Migrationsartikel!S419</f>
        <v>0</v>
      </c>
      <c r="AD421">
        <f>Migrationsartikel!U419</f>
        <v>0</v>
      </c>
      <c r="AE421" s="31" t="s">
        <v>179</v>
      </c>
      <c r="AF421" s="31" t="s">
        <v>192</v>
      </c>
      <c r="AG421" t="b">
        <f>IF(Migrationsartikel!AB419="ja","true",FALSE)</f>
        <v>0</v>
      </c>
      <c r="AH421" t="b">
        <f>IF(Migrationsartikel!AC419="ja","true",FALSE)</f>
        <v>0</v>
      </c>
      <c r="AI421" t="b">
        <f>IF(Migrationsartikel!AD419="ja","true",FALSE)</f>
        <v>0</v>
      </c>
      <c r="AJ421" t="b">
        <f>IF(Migrationsartikel!AE419="ja","true",FALSE)</f>
        <v>0</v>
      </c>
      <c r="AK421" t="str">
        <f>IF(Migrationsartikel!AF419="ja","Denner Partner","")</f>
        <v/>
      </c>
      <c r="AL421" t="str">
        <f>IF(Migrationsartikel!AG419="ja","true","false")</f>
        <v>false</v>
      </c>
      <c r="AM421" t="str">
        <f t="shared" si="6"/>
        <v>PLU</v>
      </c>
      <c r="AN421" s="31" t="s">
        <v>219</v>
      </c>
      <c r="AO421" s="31" t="s">
        <v>217</v>
      </c>
    </row>
    <row r="422" spans="2:41" ht="21.75" customHeight="1" x14ac:dyDescent="0.45">
      <c r="B422" t="s">
        <v>99</v>
      </c>
      <c r="E422" s="31" t="s">
        <v>1832</v>
      </c>
      <c r="F422" t="str">
        <f>"Warengruppe&gt;&gt;"&amp;Migrationsartikel!V420&amp;"&gt;&gt;"&amp;Migrationsartikel!W420&amp;"&gt;&gt;"&amp;Migrationsartikel!X420</f>
        <v>Warengruppe&gt;&gt;&gt;&gt;&gt;&gt;</v>
      </c>
      <c r="H422" s="31" t="s">
        <v>109</v>
      </c>
      <c r="I422" s="31" t="s">
        <v>121</v>
      </c>
      <c r="J422" s="31">
        <f>Migrationsartikel!B420</f>
        <v>0</v>
      </c>
      <c r="O422">
        <f>Migrationsartikel!F420</f>
        <v>0</v>
      </c>
      <c r="P422">
        <f>Migrationsartikel!J420</f>
        <v>0</v>
      </c>
      <c r="Q422">
        <f>Migrationsartikel!N420</f>
        <v>0</v>
      </c>
      <c r="R422">
        <f>Migrationsartikel!G420</f>
        <v>0</v>
      </c>
      <c r="S422">
        <f>Migrationsartikel!K420</f>
        <v>0</v>
      </c>
      <c r="T422">
        <f>Migrationsartikel!O420</f>
        <v>0</v>
      </c>
      <c r="U422" s="31">
        <f>Migrationsartikel!H420</f>
        <v>0</v>
      </c>
      <c r="V422" s="31">
        <f>Migrationsartikel!L420</f>
        <v>0</v>
      </c>
      <c r="W422" s="31">
        <f>Migrationsartikel!P420</f>
        <v>0</v>
      </c>
      <c r="X422">
        <f>Migrationsartikel!I420</f>
        <v>0</v>
      </c>
      <c r="Y422">
        <f>Migrationsartikel!M420</f>
        <v>0</v>
      </c>
      <c r="Z422">
        <f>Migrationsartikel!Q420</f>
        <v>0</v>
      </c>
      <c r="AA422" s="45">
        <f>Migrationsartikel!R420</f>
        <v>0</v>
      </c>
      <c r="AB422" s="46">
        <f>Migrationsartikel!T420</f>
        <v>0</v>
      </c>
      <c r="AC422">
        <f>Migrationsartikel!S420</f>
        <v>0</v>
      </c>
      <c r="AD422">
        <f>Migrationsartikel!U420</f>
        <v>0</v>
      </c>
      <c r="AE422" s="31" t="s">
        <v>179</v>
      </c>
      <c r="AF422" s="31" t="s">
        <v>192</v>
      </c>
      <c r="AG422" t="b">
        <f>IF(Migrationsartikel!AB420="ja","true",FALSE)</f>
        <v>0</v>
      </c>
      <c r="AH422" t="b">
        <f>IF(Migrationsartikel!AC420="ja","true",FALSE)</f>
        <v>0</v>
      </c>
      <c r="AI422" t="b">
        <f>IF(Migrationsartikel!AD420="ja","true",FALSE)</f>
        <v>0</v>
      </c>
      <c r="AJ422" t="b">
        <f>IF(Migrationsartikel!AE420="ja","true",FALSE)</f>
        <v>0</v>
      </c>
      <c r="AK422" t="str">
        <f>IF(Migrationsartikel!AF420="ja","Denner Partner","")</f>
        <v/>
      </c>
      <c r="AL422" t="str">
        <f>IF(Migrationsartikel!AG420="ja","true","false")</f>
        <v>false</v>
      </c>
      <c r="AM422" t="str">
        <f t="shared" si="6"/>
        <v>PLU</v>
      </c>
      <c r="AN422" s="31" t="s">
        <v>219</v>
      </c>
      <c r="AO422" s="31" t="s">
        <v>217</v>
      </c>
    </row>
    <row r="423" spans="2:41" ht="21.75" customHeight="1" x14ac:dyDescent="0.45">
      <c r="B423" t="s">
        <v>99</v>
      </c>
      <c r="E423" s="31" t="s">
        <v>1833</v>
      </c>
      <c r="F423" t="str">
        <f>"Warengruppe&gt;&gt;"&amp;Migrationsartikel!V421&amp;"&gt;&gt;"&amp;Migrationsartikel!W421&amp;"&gt;&gt;"&amp;Migrationsartikel!X421</f>
        <v>Warengruppe&gt;&gt;&gt;&gt;&gt;&gt;</v>
      </c>
      <c r="H423" s="31" t="s">
        <v>109</v>
      </c>
      <c r="I423" s="31" t="s">
        <v>121</v>
      </c>
      <c r="J423" s="31">
        <f>Migrationsartikel!B421</f>
        <v>0</v>
      </c>
      <c r="O423">
        <f>Migrationsartikel!F421</f>
        <v>0</v>
      </c>
      <c r="P423">
        <f>Migrationsartikel!J421</f>
        <v>0</v>
      </c>
      <c r="Q423">
        <f>Migrationsartikel!N421</f>
        <v>0</v>
      </c>
      <c r="R423">
        <f>Migrationsartikel!G421</f>
        <v>0</v>
      </c>
      <c r="S423">
        <f>Migrationsartikel!K421</f>
        <v>0</v>
      </c>
      <c r="T423">
        <f>Migrationsartikel!O421</f>
        <v>0</v>
      </c>
      <c r="U423" s="31">
        <f>Migrationsartikel!H421</f>
        <v>0</v>
      </c>
      <c r="V423" s="31">
        <f>Migrationsartikel!L421</f>
        <v>0</v>
      </c>
      <c r="W423" s="31">
        <f>Migrationsartikel!P421</f>
        <v>0</v>
      </c>
      <c r="X423">
        <f>Migrationsartikel!I421</f>
        <v>0</v>
      </c>
      <c r="Y423">
        <f>Migrationsartikel!M421</f>
        <v>0</v>
      </c>
      <c r="Z423">
        <f>Migrationsartikel!Q421</f>
        <v>0</v>
      </c>
      <c r="AA423" s="45">
        <f>Migrationsartikel!R421</f>
        <v>0</v>
      </c>
      <c r="AB423" s="46">
        <f>Migrationsartikel!T421</f>
        <v>0</v>
      </c>
      <c r="AC423">
        <f>Migrationsartikel!S421</f>
        <v>0</v>
      </c>
      <c r="AD423">
        <f>Migrationsartikel!U421</f>
        <v>0</v>
      </c>
      <c r="AE423" s="31" t="s">
        <v>179</v>
      </c>
      <c r="AF423" s="31" t="s">
        <v>192</v>
      </c>
      <c r="AG423" t="b">
        <f>IF(Migrationsartikel!AB421="ja","true",FALSE)</f>
        <v>0</v>
      </c>
      <c r="AH423" t="b">
        <f>IF(Migrationsartikel!AC421="ja","true",FALSE)</f>
        <v>0</v>
      </c>
      <c r="AI423" t="b">
        <f>IF(Migrationsartikel!AD421="ja","true",FALSE)</f>
        <v>0</v>
      </c>
      <c r="AJ423" t="b">
        <f>IF(Migrationsartikel!AE421="ja","true",FALSE)</f>
        <v>0</v>
      </c>
      <c r="AK423" t="str">
        <f>IF(Migrationsartikel!AF421="ja","Denner Partner","")</f>
        <v/>
      </c>
      <c r="AL423" t="str">
        <f>IF(Migrationsartikel!AG421="ja","true","false")</f>
        <v>false</v>
      </c>
      <c r="AM423" t="str">
        <f t="shared" si="6"/>
        <v>PLU</v>
      </c>
      <c r="AN423" s="31" t="s">
        <v>219</v>
      </c>
      <c r="AO423" s="31" t="s">
        <v>217</v>
      </c>
    </row>
    <row r="424" spans="2:41" ht="21.75" customHeight="1" x14ac:dyDescent="0.45">
      <c r="B424" t="s">
        <v>99</v>
      </c>
      <c r="E424" s="31" t="s">
        <v>1834</v>
      </c>
      <c r="F424" t="str">
        <f>"Warengruppe&gt;&gt;"&amp;Migrationsartikel!V422&amp;"&gt;&gt;"&amp;Migrationsartikel!W422&amp;"&gt;&gt;"&amp;Migrationsartikel!X422</f>
        <v>Warengruppe&gt;&gt;&gt;&gt;&gt;&gt;</v>
      </c>
      <c r="H424" s="31" t="s">
        <v>109</v>
      </c>
      <c r="I424" s="31" t="s">
        <v>121</v>
      </c>
      <c r="J424" s="31">
        <f>Migrationsartikel!B422</f>
        <v>0</v>
      </c>
      <c r="O424">
        <f>Migrationsartikel!F422</f>
        <v>0</v>
      </c>
      <c r="P424">
        <f>Migrationsartikel!J422</f>
        <v>0</v>
      </c>
      <c r="Q424">
        <f>Migrationsartikel!N422</f>
        <v>0</v>
      </c>
      <c r="R424">
        <f>Migrationsartikel!G422</f>
        <v>0</v>
      </c>
      <c r="S424">
        <f>Migrationsartikel!K422</f>
        <v>0</v>
      </c>
      <c r="T424">
        <f>Migrationsartikel!O422</f>
        <v>0</v>
      </c>
      <c r="U424" s="31">
        <f>Migrationsartikel!H422</f>
        <v>0</v>
      </c>
      <c r="V424" s="31">
        <f>Migrationsartikel!L422</f>
        <v>0</v>
      </c>
      <c r="W424" s="31">
        <f>Migrationsartikel!P422</f>
        <v>0</v>
      </c>
      <c r="X424">
        <f>Migrationsartikel!I422</f>
        <v>0</v>
      </c>
      <c r="Y424">
        <f>Migrationsartikel!M422</f>
        <v>0</v>
      </c>
      <c r="Z424">
        <f>Migrationsartikel!Q422</f>
        <v>0</v>
      </c>
      <c r="AA424" s="45">
        <f>Migrationsartikel!R422</f>
        <v>0</v>
      </c>
      <c r="AB424" s="46">
        <f>Migrationsartikel!T422</f>
        <v>0</v>
      </c>
      <c r="AC424">
        <f>Migrationsartikel!S422</f>
        <v>0</v>
      </c>
      <c r="AD424">
        <f>Migrationsartikel!U422</f>
        <v>0</v>
      </c>
      <c r="AE424" s="31" t="s">
        <v>179</v>
      </c>
      <c r="AF424" s="31" t="s">
        <v>192</v>
      </c>
      <c r="AG424" t="b">
        <f>IF(Migrationsartikel!AB422="ja","true",FALSE)</f>
        <v>0</v>
      </c>
      <c r="AH424" t="b">
        <f>IF(Migrationsartikel!AC422="ja","true",FALSE)</f>
        <v>0</v>
      </c>
      <c r="AI424" t="b">
        <f>IF(Migrationsartikel!AD422="ja","true",FALSE)</f>
        <v>0</v>
      </c>
      <c r="AJ424" t="b">
        <f>IF(Migrationsartikel!AE422="ja","true",FALSE)</f>
        <v>0</v>
      </c>
      <c r="AK424" t="str">
        <f>IF(Migrationsartikel!AF422="ja","Denner Partner","")</f>
        <v/>
      </c>
      <c r="AL424" t="str">
        <f>IF(Migrationsartikel!AG422="ja","true","false")</f>
        <v>false</v>
      </c>
      <c r="AM424" t="str">
        <f t="shared" si="6"/>
        <v>PLU</v>
      </c>
      <c r="AN424" s="31" t="s">
        <v>219</v>
      </c>
      <c r="AO424" s="31" t="s">
        <v>217</v>
      </c>
    </row>
    <row r="425" spans="2:41" ht="21.75" customHeight="1" x14ac:dyDescent="0.45">
      <c r="B425" t="s">
        <v>99</v>
      </c>
      <c r="E425" s="31" t="s">
        <v>1835</v>
      </c>
      <c r="F425" t="str">
        <f>"Warengruppe&gt;&gt;"&amp;Migrationsartikel!V423&amp;"&gt;&gt;"&amp;Migrationsartikel!W423&amp;"&gt;&gt;"&amp;Migrationsartikel!X423</f>
        <v>Warengruppe&gt;&gt;&gt;&gt;&gt;&gt;</v>
      </c>
      <c r="H425" s="31" t="s">
        <v>109</v>
      </c>
      <c r="I425" s="31" t="s">
        <v>121</v>
      </c>
      <c r="J425" s="31">
        <f>Migrationsartikel!B423</f>
        <v>0</v>
      </c>
      <c r="O425">
        <f>Migrationsartikel!F423</f>
        <v>0</v>
      </c>
      <c r="P425">
        <f>Migrationsartikel!J423</f>
        <v>0</v>
      </c>
      <c r="Q425">
        <f>Migrationsartikel!N423</f>
        <v>0</v>
      </c>
      <c r="R425">
        <f>Migrationsartikel!G423</f>
        <v>0</v>
      </c>
      <c r="S425">
        <f>Migrationsartikel!K423</f>
        <v>0</v>
      </c>
      <c r="T425">
        <f>Migrationsartikel!O423</f>
        <v>0</v>
      </c>
      <c r="U425" s="31">
        <f>Migrationsartikel!H423</f>
        <v>0</v>
      </c>
      <c r="V425" s="31">
        <f>Migrationsartikel!L423</f>
        <v>0</v>
      </c>
      <c r="W425" s="31">
        <f>Migrationsartikel!P423</f>
        <v>0</v>
      </c>
      <c r="X425">
        <f>Migrationsartikel!I423</f>
        <v>0</v>
      </c>
      <c r="Y425">
        <f>Migrationsartikel!M423</f>
        <v>0</v>
      </c>
      <c r="Z425">
        <f>Migrationsartikel!Q423</f>
        <v>0</v>
      </c>
      <c r="AA425" s="45">
        <f>Migrationsartikel!R423</f>
        <v>0</v>
      </c>
      <c r="AB425" s="46">
        <f>Migrationsartikel!T423</f>
        <v>0</v>
      </c>
      <c r="AC425">
        <f>Migrationsartikel!S423</f>
        <v>0</v>
      </c>
      <c r="AD425">
        <f>Migrationsartikel!U423</f>
        <v>0</v>
      </c>
      <c r="AE425" s="31" t="s">
        <v>179</v>
      </c>
      <c r="AF425" s="31" t="s">
        <v>192</v>
      </c>
      <c r="AG425" t="b">
        <f>IF(Migrationsartikel!AB423="ja","true",FALSE)</f>
        <v>0</v>
      </c>
      <c r="AH425" t="b">
        <f>IF(Migrationsartikel!AC423="ja","true",FALSE)</f>
        <v>0</v>
      </c>
      <c r="AI425" t="b">
        <f>IF(Migrationsartikel!AD423="ja","true",FALSE)</f>
        <v>0</v>
      </c>
      <c r="AJ425" t="b">
        <f>IF(Migrationsartikel!AE423="ja","true",FALSE)</f>
        <v>0</v>
      </c>
      <c r="AK425" t="str">
        <f>IF(Migrationsartikel!AF423="ja","Denner Partner","")</f>
        <v/>
      </c>
      <c r="AL425" t="str">
        <f>IF(Migrationsartikel!AG423="ja","true","false")</f>
        <v>false</v>
      </c>
      <c r="AM425" t="str">
        <f t="shared" si="6"/>
        <v>PLU</v>
      </c>
      <c r="AN425" s="31" t="s">
        <v>219</v>
      </c>
      <c r="AO425" s="31" t="s">
        <v>217</v>
      </c>
    </row>
    <row r="426" spans="2:41" ht="21.75" customHeight="1" x14ac:dyDescent="0.45">
      <c r="B426" t="s">
        <v>99</v>
      </c>
      <c r="E426" s="31" t="s">
        <v>1836</v>
      </c>
      <c r="F426" t="str">
        <f>"Warengruppe&gt;&gt;"&amp;Migrationsartikel!V424&amp;"&gt;&gt;"&amp;Migrationsartikel!W424&amp;"&gt;&gt;"&amp;Migrationsartikel!X424</f>
        <v>Warengruppe&gt;&gt;&gt;&gt;&gt;&gt;</v>
      </c>
      <c r="H426" s="31" t="s">
        <v>109</v>
      </c>
      <c r="I426" s="31" t="s">
        <v>121</v>
      </c>
      <c r="J426" s="31">
        <f>Migrationsartikel!B424</f>
        <v>0</v>
      </c>
      <c r="O426">
        <f>Migrationsartikel!F424</f>
        <v>0</v>
      </c>
      <c r="P426">
        <f>Migrationsartikel!J424</f>
        <v>0</v>
      </c>
      <c r="Q426">
        <f>Migrationsartikel!N424</f>
        <v>0</v>
      </c>
      <c r="R426">
        <f>Migrationsartikel!G424</f>
        <v>0</v>
      </c>
      <c r="S426">
        <f>Migrationsartikel!K424</f>
        <v>0</v>
      </c>
      <c r="T426">
        <f>Migrationsartikel!O424</f>
        <v>0</v>
      </c>
      <c r="U426" s="31">
        <f>Migrationsartikel!H424</f>
        <v>0</v>
      </c>
      <c r="V426" s="31">
        <f>Migrationsartikel!L424</f>
        <v>0</v>
      </c>
      <c r="W426" s="31">
        <f>Migrationsartikel!P424</f>
        <v>0</v>
      </c>
      <c r="X426">
        <f>Migrationsartikel!I424</f>
        <v>0</v>
      </c>
      <c r="Y426">
        <f>Migrationsartikel!M424</f>
        <v>0</v>
      </c>
      <c r="Z426">
        <f>Migrationsartikel!Q424</f>
        <v>0</v>
      </c>
      <c r="AA426" s="45">
        <f>Migrationsartikel!R424</f>
        <v>0</v>
      </c>
      <c r="AB426" s="46">
        <f>Migrationsartikel!T424</f>
        <v>0</v>
      </c>
      <c r="AC426">
        <f>Migrationsartikel!S424</f>
        <v>0</v>
      </c>
      <c r="AD426">
        <f>Migrationsartikel!U424</f>
        <v>0</v>
      </c>
      <c r="AE426" s="31" t="s">
        <v>179</v>
      </c>
      <c r="AF426" s="31" t="s">
        <v>192</v>
      </c>
      <c r="AG426" t="b">
        <f>IF(Migrationsartikel!AB424="ja","true",FALSE)</f>
        <v>0</v>
      </c>
      <c r="AH426" t="b">
        <f>IF(Migrationsartikel!AC424="ja","true",FALSE)</f>
        <v>0</v>
      </c>
      <c r="AI426" t="b">
        <f>IF(Migrationsartikel!AD424="ja","true",FALSE)</f>
        <v>0</v>
      </c>
      <c r="AJ426" t="b">
        <f>IF(Migrationsartikel!AE424="ja","true",FALSE)</f>
        <v>0</v>
      </c>
      <c r="AK426" t="str">
        <f>IF(Migrationsartikel!AF424="ja","Denner Partner","")</f>
        <v/>
      </c>
      <c r="AL426" t="str">
        <f>IF(Migrationsartikel!AG424="ja","true","false")</f>
        <v>false</v>
      </c>
      <c r="AM426" t="str">
        <f t="shared" si="6"/>
        <v>PLU</v>
      </c>
      <c r="AN426" s="31" t="s">
        <v>219</v>
      </c>
      <c r="AO426" s="31" t="s">
        <v>217</v>
      </c>
    </row>
    <row r="427" spans="2:41" ht="21.75" customHeight="1" x14ac:dyDescent="0.45">
      <c r="B427" t="s">
        <v>99</v>
      </c>
      <c r="E427" s="31" t="s">
        <v>1837</v>
      </c>
      <c r="F427" t="str">
        <f>"Warengruppe&gt;&gt;"&amp;Migrationsartikel!V425&amp;"&gt;&gt;"&amp;Migrationsartikel!W425&amp;"&gt;&gt;"&amp;Migrationsartikel!X425</f>
        <v>Warengruppe&gt;&gt;&gt;&gt;&gt;&gt;</v>
      </c>
      <c r="H427" s="31" t="s">
        <v>109</v>
      </c>
      <c r="I427" s="31" t="s">
        <v>121</v>
      </c>
      <c r="J427" s="31">
        <f>Migrationsartikel!B425</f>
        <v>0</v>
      </c>
      <c r="O427">
        <f>Migrationsartikel!F425</f>
        <v>0</v>
      </c>
      <c r="P427">
        <f>Migrationsartikel!J425</f>
        <v>0</v>
      </c>
      <c r="Q427">
        <f>Migrationsartikel!N425</f>
        <v>0</v>
      </c>
      <c r="R427">
        <f>Migrationsartikel!G425</f>
        <v>0</v>
      </c>
      <c r="S427">
        <f>Migrationsartikel!K425</f>
        <v>0</v>
      </c>
      <c r="T427">
        <f>Migrationsartikel!O425</f>
        <v>0</v>
      </c>
      <c r="U427" s="31">
        <f>Migrationsartikel!H425</f>
        <v>0</v>
      </c>
      <c r="V427" s="31">
        <f>Migrationsartikel!L425</f>
        <v>0</v>
      </c>
      <c r="W427" s="31">
        <f>Migrationsartikel!P425</f>
        <v>0</v>
      </c>
      <c r="X427">
        <f>Migrationsartikel!I425</f>
        <v>0</v>
      </c>
      <c r="Y427">
        <f>Migrationsartikel!M425</f>
        <v>0</v>
      </c>
      <c r="Z427">
        <f>Migrationsartikel!Q425</f>
        <v>0</v>
      </c>
      <c r="AA427" s="45">
        <f>Migrationsartikel!R425</f>
        <v>0</v>
      </c>
      <c r="AB427" s="46">
        <f>Migrationsartikel!T425</f>
        <v>0</v>
      </c>
      <c r="AC427">
        <f>Migrationsartikel!S425</f>
        <v>0</v>
      </c>
      <c r="AD427">
        <f>Migrationsartikel!U425</f>
        <v>0</v>
      </c>
      <c r="AE427" s="31" t="s">
        <v>179</v>
      </c>
      <c r="AF427" s="31" t="s">
        <v>192</v>
      </c>
      <c r="AG427" t="b">
        <f>IF(Migrationsartikel!AB425="ja","true",FALSE)</f>
        <v>0</v>
      </c>
      <c r="AH427" t="b">
        <f>IF(Migrationsartikel!AC425="ja","true",FALSE)</f>
        <v>0</v>
      </c>
      <c r="AI427" t="b">
        <f>IF(Migrationsartikel!AD425="ja","true",FALSE)</f>
        <v>0</v>
      </c>
      <c r="AJ427" t="b">
        <f>IF(Migrationsartikel!AE425="ja","true",FALSE)</f>
        <v>0</v>
      </c>
      <c r="AK427" t="str">
        <f>IF(Migrationsartikel!AF425="ja","Denner Partner","")</f>
        <v/>
      </c>
      <c r="AL427" t="str">
        <f>IF(Migrationsartikel!AG425="ja","true","false")</f>
        <v>false</v>
      </c>
      <c r="AM427" t="str">
        <f t="shared" si="6"/>
        <v>PLU</v>
      </c>
      <c r="AN427" s="31" t="s">
        <v>219</v>
      </c>
      <c r="AO427" s="31" t="s">
        <v>217</v>
      </c>
    </row>
    <row r="428" spans="2:41" ht="21.75" customHeight="1" x14ac:dyDescent="0.45">
      <c r="B428" t="s">
        <v>99</v>
      </c>
      <c r="E428" s="31" t="s">
        <v>1838</v>
      </c>
      <c r="F428" t="str">
        <f>"Warengruppe&gt;&gt;"&amp;Migrationsartikel!V426&amp;"&gt;&gt;"&amp;Migrationsartikel!W426&amp;"&gt;&gt;"&amp;Migrationsartikel!X426</f>
        <v>Warengruppe&gt;&gt;&gt;&gt;&gt;&gt;</v>
      </c>
      <c r="H428" s="31" t="s">
        <v>109</v>
      </c>
      <c r="I428" s="31" t="s">
        <v>121</v>
      </c>
      <c r="J428" s="31">
        <f>Migrationsartikel!B426</f>
        <v>0</v>
      </c>
      <c r="O428">
        <f>Migrationsartikel!F426</f>
        <v>0</v>
      </c>
      <c r="P428">
        <f>Migrationsartikel!J426</f>
        <v>0</v>
      </c>
      <c r="Q428">
        <f>Migrationsartikel!N426</f>
        <v>0</v>
      </c>
      <c r="R428">
        <f>Migrationsartikel!G426</f>
        <v>0</v>
      </c>
      <c r="S428">
        <f>Migrationsartikel!K426</f>
        <v>0</v>
      </c>
      <c r="T428">
        <f>Migrationsartikel!O426</f>
        <v>0</v>
      </c>
      <c r="U428" s="31">
        <f>Migrationsartikel!H426</f>
        <v>0</v>
      </c>
      <c r="V428" s="31">
        <f>Migrationsartikel!L426</f>
        <v>0</v>
      </c>
      <c r="W428" s="31">
        <f>Migrationsartikel!P426</f>
        <v>0</v>
      </c>
      <c r="X428">
        <f>Migrationsartikel!I426</f>
        <v>0</v>
      </c>
      <c r="Y428">
        <f>Migrationsartikel!M426</f>
        <v>0</v>
      </c>
      <c r="Z428">
        <f>Migrationsartikel!Q426</f>
        <v>0</v>
      </c>
      <c r="AA428" s="45">
        <f>Migrationsartikel!R426</f>
        <v>0</v>
      </c>
      <c r="AB428" s="46">
        <f>Migrationsartikel!T426</f>
        <v>0</v>
      </c>
      <c r="AC428">
        <f>Migrationsartikel!S426</f>
        <v>0</v>
      </c>
      <c r="AD428">
        <f>Migrationsartikel!U426</f>
        <v>0</v>
      </c>
      <c r="AE428" s="31" t="s">
        <v>179</v>
      </c>
      <c r="AF428" s="31" t="s">
        <v>192</v>
      </c>
      <c r="AG428" t="b">
        <f>IF(Migrationsartikel!AB426="ja","true",FALSE)</f>
        <v>0</v>
      </c>
      <c r="AH428" t="b">
        <f>IF(Migrationsartikel!AC426="ja","true",FALSE)</f>
        <v>0</v>
      </c>
      <c r="AI428" t="b">
        <f>IF(Migrationsartikel!AD426="ja","true",FALSE)</f>
        <v>0</v>
      </c>
      <c r="AJ428" t="b">
        <f>IF(Migrationsartikel!AE426="ja","true",FALSE)</f>
        <v>0</v>
      </c>
      <c r="AK428" t="str">
        <f>IF(Migrationsartikel!AF426="ja","Denner Partner","")</f>
        <v/>
      </c>
      <c r="AL428" t="str">
        <f>IF(Migrationsartikel!AG426="ja","true","false")</f>
        <v>false</v>
      </c>
      <c r="AM428" t="str">
        <f t="shared" si="6"/>
        <v>PLU</v>
      </c>
      <c r="AN428" s="31" t="s">
        <v>219</v>
      </c>
      <c r="AO428" s="31" t="s">
        <v>217</v>
      </c>
    </row>
    <row r="429" spans="2:41" ht="21.75" customHeight="1" x14ac:dyDescent="0.45">
      <c r="B429" t="s">
        <v>99</v>
      </c>
      <c r="E429" s="31" t="s">
        <v>1839</v>
      </c>
      <c r="F429" t="str">
        <f>"Warengruppe&gt;&gt;"&amp;Migrationsartikel!V427&amp;"&gt;&gt;"&amp;Migrationsartikel!W427&amp;"&gt;&gt;"&amp;Migrationsartikel!X427</f>
        <v>Warengruppe&gt;&gt;&gt;&gt;&gt;&gt;</v>
      </c>
      <c r="H429" s="31" t="s">
        <v>109</v>
      </c>
      <c r="I429" s="31" t="s">
        <v>121</v>
      </c>
      <c r="J429" s="31">
        <f>Migrationsartikel!B427</f>
        <v>0</v>
      </c>
      <c r="O429">
        <f>Migrationsartikel!F427</f>
        <v>0</v>
      </c>
      <c r="P429">
        <f>Migrationsartikel!J427</f>
        <v>0</v>
      </c>
      <c r="Q429">
        <f>Migrationsartikel!N427</f>
        <v>0</v>
      </c>
      <c r="R429">
        <f>Migrationsartikel!G427</f>
        <v>0</v>
      </c>
      <c r="S429">
        <f>Migrationsartikel!K427</f>
        <v>0</v>
      </c>
      <c r="T429">
        <f>Migrationsartikel!O427</f>
        <v>0</v>
      </c>
      <c r="U429" s="31">
        <f>Migrationsartikel!H427</f>
        <v>0</v>
      </c>
      <c r="V429" s="31">
        <f>Migrationsartikel!L427</f>
        <v>0</v>
      </c>
      <c r="W429" s="31">
        <f>Migrationsartikel!P427</f>
        <v>0</v>
      </c>
      <c r="X429">
        <f>Migrationsartikel!I427</f>
        <v>0</v>
      </c>
      <c r="Y429">
        <f>Migrationsartikel!M427</f>
        <v>0</v>
      </c>
      <c r="Z429">
        <f>Migrationsartikel!Q427</f>
        <v>0</v>
      </c>
      <c r="AA429" s="45">
        <f>Migrationsartikel!R427</f>
        <v>0</v>
      </c>
      <c r="AB429" s="46">
        <f>Migrationsartikel!T427</f>
        <v>0</v>
      </c>
      <c r="AC429">
        <f>Migrationsartikel!S427</f>
        <v>0</v>
      </c>
      <c r="AD429">
        <f>Migrationsartikel!U427</f>
        <v>0</v>
      </c>
      <c r="AE429" s="31" t="s">
        <v>179</v>
      </c>
      <c r="AF429" s="31" t="s">
        <v>192</v>
      </c>
      <c r="AG429" t="b">
        <f>IF(Migrationsartikel!AB427="ja","true",FALSE)</f>
        <v>0</v>
      </c>
      <c r="AH429" t="b">
        <f>IF(Migrationsartikel!AC427="ja","true",FALSE)</f>
        <v>0</v>
      </c>
      <c r="AI429" t="b">
        <f>IF(Migrationsartikel!AD427="ja","true",FALSE)</f>
        <v>0</v>
      </c>
      <c r="AJ429" t="b">
        <f>IF(Migrationsartikel!AE427="ja","true",FALSE)</f>
        <v>0</v>
      </c>
      <c r="AK429" t="str">
        <f>IF(Migrationsartikel!AF427="ja","Denner Partner","")</f>
        <v/>
      </c>
      <c r="AL429" t="str">
        <f>IF(Migrationsartikel!AG427="ja","true","false")</f>
        <v>false</v>
      </c>
      <c r="AM429" t="str">
        <f t="shared" si="6"/>
        <v>PLU</v>
      </c>
      <c r="AN429" s="31" t="s">
        <v>219</v>
      </c>
      <c r="AO429" s="31" t="s">
        <v>217</v>
      </c>
    </row>
    <row r="430" spans="2:41" ht="21.75" customHeight="1" x14ac:dyDescent="0.45">
      <c r="B430" t="s">
        <v>99</v>
      </c>
      <c r="E430" s="31" t="s">
        <v>1840</v>
      </c>
      <c r="F430" t="str">
        <f>"Warengruppe&gt;&gt;"&amp;Migrationsartikel!V428&amp;"&gt;&gt;"&amp;Migrationsartikel!W428&amp;"&gt;&gt;"&amp;Migrationsartikel!X428</f>
        <v>Warengruppe&gt;&gt;&gt;&gt;&gt;&gt;</v>
      </c>
      <c r="H430" s="31" t="s">
        <v>109</v>
      </c>
      <c r="I430" s="31" t="s">
        <v>121</v>
      </c>
      <c r="J430" s="31">
        <f>Migrationsartikel!B428</f>
        <v>0</v>
      </c>
      <c r="O430">
        <f>Migrationsartikel!F428</f>
        <v>0</v>
      </c>
      <c r="P430">
        <f>Migrationsartikel!J428</f>
        <v>0</v>
      </c>
      <c r="Q430">
        <f>Migrationsartikel!N428</f>
        <v>0</v>
      </c>
      <c r="R430">
        <f>Migrationsartikel!G428</f>
        <v>0</v>
      </c>
      <c r="S430">
        <f>Migrationsartikel!K428</f>
        <v>0</v>
      </c>
      <c r="T430">
        <f>Migrationsartikel!O428</f>
        <v>0</v>
      </c>
      <c r="U430" s="31">
        <f>Migrationsartikel!H428</f>
        <v>0</v>
      </c>
      <c r="V430" s="31">
        <f>Migrationsartikel!L428</f>
        <v>0</v>
      </c>
      <c r="W430" s="31">
        <f>Migrationsartikel!P428</f>
        <v>0</v>
      </c>
      <c r="X430">
        <f>Migrationsartikel!I428</f>
        <v>0</v>
      </c>
      <c r="Y430">
        <f>Migrationsartikel!M428</f>
        <v>0</v>
      </c>
      <c r="Z430">
        <f>Migrationsartikel!Q428</f>
        <v>0</v>
      </c>
      <c r="AA430" s="45">
        <f>Migrationsartikel!R428</f>
        <v>0</v>
      </c>
      <c r="AB430" s="46">
        <f>Migrationsartikel!T428</f>
        <v>0</v>
      </c>
      <c r="AC430">
        <f>Migrationsartikel!S428</f>
        <v>0</v>
      </c>
      <c r="AD430">
        <f>Migrationsartikel!U428</f>
        <v>0</v>
      </c>
      <c r="AE430" s="31" t="s">
        <v>179</v>
      </c>
      <c r="AF430" s="31" t="s">
        <v>192</v>
      </c>
      <c r="AG430" t="b">
        <f>IF(Migrationsartikel!AB428="ja","true",FALSE)</f>
        <v>0</v>
      </c>
      <c r="AH430" t="b">
        <f>IF(Migrationsartikel!AC428="ja","true",FALSE)</f>
        <v>0</v>
      </c>
      <c r="AI430" t="b">
        <f>IF(Migrationsartikel!AD428="ja","true",FALSE)</f>
        <v>0</v>
      </c>
      <c r="AJ430" t="b">
        <f>IF(Migrationsartikel!AE428="ja","true",FALSE)</f>
        <v>0</v>
      </c>
      <c r="AK430" t="str">
        <f>IF(Migrationsartikel!AF428="ja","Denner Partner","")</f>
        <v/>
      </c>
      <c r="AL430" t="str">
        <f>IF(Migrationsartikel!AG428="ja","true","false")</f>
        <v>false</v>
      </c>
      <c r="AM430" t="str">
        <f t="shared" si="6"/>
        <v>PLU</v>
      </c>
      <c r="AN430" s="31" t="s">
        <v>219</v>
      </c>
      <c r="AO430" s="31" t="s">
        <v>217</v>
      </c>
    </row>
    <row r="431" spans="2:41" ht="21.75" customHeight="1" x14ac:dyDescent="0.45">
      <c r="B431" t="s">
        <v>99</v>
      </c>
      <c r="E431" s="31" t="s">
        <v>1841</v>
      </c>
      <c r="F431" t="str">
        <f>"Warengruppe&gt;&gt;"&amp;Migrationsartikel!V429&amp;"&gt;&gt;"&amp;Migrationsartikel!W429&amp;"&gt;&gt;"&amp;Migrationsartikel!X429</f>
        <v>Warengruppe&gt;&gt;&gt;&gt;&gt;&gt;</v>
      </c>
      <c r="H431" s="31" t="s">
        <v>109</v>
      </c>
      <c r="I431" s="31" t="s">
        <v>121</v>
      </c>
      <c r="J431" s="31">
        <f>Migrationsartikel!B429</f>
        <v>0</v>
      </c>
      <c r="O431">
        <f>Migrationsartikel!F429</f>
        <v>0</v>
      </c>
      <c r="P431">
        <f>Migrationsartikel!J429</f>
        <v>0</v>
      </c>
      <c r="Q431">
        <f>Migrationsartikel!N429</f>
        <v>0</v>
      </c>
      <c r="R431">
        <f>Migrationsartikel!G429</f>
        <v>0</v>
      </c>
      <c r="S431">
        <f>Migrationsartikel!K429</f>
        <v>0</v>
      </c>
      <c r="T431">
        <f>Migrationsartikel!O429</f>
        <v>0</v>
      </c>
      <c r="U431" s="31">
        <f>Migrationsartikel!H429</f>
        <v>0</v>
      </c>
      <c r="V431" s="31">
        <f>Migrationsartikel!L429</f>
        <v>0</v>
      </c>
      <c r="W431" s="31">
        <f>Migrationsartikel!P429</f>
        <v>0</v>
      </c>
      <c r="X431">
        <f>Migrationsartikel!I429</f>
        <v>0</v>
      </c>
      <c r="Y431">
        <f>Migrationsartikel!M429</f>
        <v>0</v>
      </c>
      <c r="Z431">
        <f>Migrationsartikel!Q429</f>
        <v>0</v>
      </c>
      <c r="AA431" s="45">
        <f>Migrationsartikel!R429</f>
        <v>0</v>
      </c>
      <c r="AB431" s="46">
        <f>Migrationsartikel!T429</f>
        <v>0</v>
      </c>
      <c r="AC431">
        <f>Migrationsartikel!S429</f>
        <v>0</v>
      </c>
      <c r="AD431">
        <f>Migrationsartikel!U429</f>
        <v>0</v>
      </c>
      <c r="AE431" s="31" t="s">
        <v>179</v>
      </c>
      <c r="AF431" s="31" t="s">
        <v>192</v>
      </c>
      <c r="AG431" t="b">
        <f>IF(Migrationsartikel!AB429="ja","true",FALSE)</f>
        <v>0</v>
      </c>
      <c r="AH431" t="b">
        <f>IF(Migrationsartikel!AC429="ja","true",FALSE)</f>
        <v>0</v>
      </c>
      <c r="AI431" t="b">
        <f>IF(Migrationsartikel!AD429="ja","true",FALSE)</f>
        <v>0</v>
      </c>
      <c r="AJ431" t="b">
        <f>IF(Migrationsartikel!AE429="ja","true",FALSE)</f>
        <v>0</v>
      </c>
      <c r="AK431" t="str">
        <f>IF(Migrationsartikel!AF429="ja","Denner Partner","")</f>
        <v/>
      </c>
      <c r="AL431" t="str">
        <f>IF(Migrationsartikel!AG429="ja","true","false")</f>
        <v>false</v>
      </c>
      <c r="AM431" t="str">
        <f t="shared" si="6"/>
        <v>PLU</v>
      </c>
      <c r="AN431" s="31" t="s">
        <v>219</v>
      </c>
      <c r="AO431" s="31" t="s">
        <v>217</v>
      </c>
    </row>
    <row r="432" spans="2:41" ht="21.75" customHeight="1" x14ac:dyDescent="0.45">
      <c r="B432" t="s">
        <v>99</v>
      </c>
      <c r="E432" s="31" t="s">
        <v>1842</v>
      </c>
      <c r="F432" t="str">
        <f>"Warengruppe&gt;&gt;"&amp;Migrationsartikel!V430&amp;"&gt;&gt;"&amp;Migrationsartikel!W430&amp;"&gt;&gt;"&amp;Migrationsartikel!X430</f>
        <v>Warengruppe&gt;&gt;&gt;&gt;&gt;&gt;</v>
      </c>
      <c r="H432" s="31" t="s">
        <v>109</v>
      </c>
      <c r="I432" s="31" t="s">
        <v>121</v>
      </c>
      <c r="J432" s="31">
        <f>Migrationsartikel!B430</f>
        <v>0</v>
      </c>
      <c r="O432">
        <f>Migrationsartikel!F430</f>
        <v>0</v>
      </c>
      <c r="P432">
        <f>Migrationsartikel!J430</f>
        <v>0</v>
      </c>
      <c r="Q432">
        <f>Migrationsartikel!N430</f>
        <v>0</v>
      </c>
      <c r="R432">
        <f>Migrationsartikel!G430</f>
        <v>0</v>
      </c>
      <c r="S432">
        <f>Migrationsartikel!K430</f>
        <v>0</v>
      </c>
      <c r="T432">
        <f>Migrationsartikel!O430</f>
        <v>0</v>
      </c>
      <c r="U432" s="31">
        <f>Migrationsartikel!H430</f>
        <v>0</v>
      </c>
      <c r="V432" s="31">
        <f>Migrationsartikel!L430</f>
        <v>0</v>
      </c>
      <c r="W432" s="31">
        <f>Migrationsartikel!P430</f>
        <v>0</v>
      </c>
      <c r="X432">
        <f>Migrationsartikel!I430</f>
        <v>0</v>
      </c>
      <c r="Y432">
        <f>Migrationsartikel!M430</f>
        <v>0</v>
      </c>
      <c r="Z432">
        <f>Migrationsartikel!Q430</f>
        <v>0</v>
      </c>
      <c r="AA432" s="45">
        <f>Migrationsartikel!R430</f>
        <v>0</v>
      </c>
      <c r="AB432" s="46">
        <f>Migrationsartikel!T430</f>
        <v>0</v>
      </c>
      <c r="AC432">
        <f>Migrationsartikel!S430</f>
        <v>0</v>
      </c>
      <c r="AD432">
        <f>Migrationsartikel!U430</f>
        <v>0</v>
      </c>
      <c r="AE432" s="31" t="s">
        <v>179</v>
      </c>
      <c r="AF432" s="31" t="s">
        <v>192</v>
      </c>
      <c r="AG432" t="b">
        <f>IF(Migrationsartikel!AB430="ja","true",FALSE)</f>
        <v>0</v>
      </c>
      <c r="AH432" t="b">
        <f>IF(Migrationsartikel!AC430="ja","true",FALSE)</f>
        <v>0</v>
      </c>
      <c r="AI432" t="b">
        <f>IF(Migrationsartikel!AD430="ja","true",FALSE)</f>
        <v>0</v>
      </c>
      <c r="AJ432" t="b">
        <f>IF(Migrationsartikel!AE430="ja","true",FALSE)</f>
        <v>0</v>
      </c>
      <c r="AK432" t="str">
        <f>IF(Migrationsartikel!AF430="ja","Denner Partner","")</f>
        <v/>
      </c>
      <c r="AL432" t="str">
        <f>IF(Migrationsartikel!AG430="ja","true","false")</f>
        <v>false</v>
      </c>
      <c r="AM432" t="str">
        <f t="shared" si="6"/>
        <v>PLU</v>
      </c>
      <c r="AN432" s="31" t="s">
        <v>219</v>
      </c>
      <c r="AO432" s="31" t="s">
        <v>217</v>
      </c>
    </row>
    <row r="433" spans="2:41" ht="21.75" customHeight="1" x14ac:dyDescent="0.45">
      <c r="B433" t="s">
        <v>99</v>
      </c>
      <c r="E433" s="31" t="s">
        <v>1843</v>
      </c>
      <c r="F433" t="str">
        <f>"Warengruppe&gt;&gt;"&amp;Migrationsartikel!V431&amp;"&gt;&gt;"&amp;Migrationsartikel!W431&amp;"&gt;&gt;"&amp;Migrationsartikel!X431</f>
        <v>Warengruppe&gt;&gt;&gt;&gt;&gt;&gt;</v>
      </c>
      <c r="H433" s="31" t="s">
        <v>109</v>
      </c>
      <c r="I433" s="31" t="s">
        <v>121</v>
      </c>
      <c r="J433" s="31">
        <f>Migrationsartikel!B431</f>
        <v>0</v>
      </c>
      <c r="O433">
        <f>Migrationsartikel!F431</f>
        <v>0</v>
      </c>
      <c r="P433">
        <f>Migrationsartikel!J431</f>
        <v>0</v>
      </c>
      <c r="Q433">
        <f>Migrationsartikel!N431</f>
        <v>0</v>
      </c>
      <c r="R433">
        <f>Migrationsartikel!G431</f>
        <v>0</v>
      </c>
      <c r="S433">
        <f>Migrationsartikel!K431</f>
        <v>0</v>
      </c>
      <c r="T433">
        <f>Migrationsartikel!O431</f>
        <v>0</v>
      </c>
      <c r="U433" s="31">
        <f>Migrationsartikel!H431</f>
        <v>0</v>
      </c>
      <c r="V433" s="31">
        <f>Migrationsartikel!L431</f>
        <v>0</v>
      </c>
      <c r="W433" s="31">
        <f>Migrationsartikel!P431</f>
        <v>0</v>
      </c>
      <c r="X433">
        <f>Migrationsartikel!I431</f>
        <v>0</v>
      </c>
      <c r="Y433">
        <f>Migrationsartikel!M431</f>
        <v>0</v>
      </c>
      <c r="Z433">
        <f>Migrationsartikel!Q431</f>
        <v>0</v>
      </c>
      <c r="AA433" s="45">
        <f>Migrationsartikel!R431</f>
        <v>0</v>
      </c>
      <c r="AB433" s="46">
        <f>Migrationsartikel!T431</f>
        <v>0</v>
      </c>
      <c r="AC433">
        <f>Migrationsartikel!S431</f>
        <v>0</v>
      </c>
      <c r="AD433">
        <f>Migrationsartikel!U431</f>
        <v>0</v>
      </c>
      <c r="AE433" s="31" t="s">
        <v>179</v>
      </c>
      <c r="AF433" s="31" t="s">
        <v>192</v>
      </c>
      <c r="AG433" t="b">
        <f>IF(Migrationsartikel!AB431="ja","true",FALSE)</f>
        <v>0</v>
      </c>
      <c r="AH433" t="b">
        <f>IF(Migrationsartikel!AC431="ja","true",FALSE)</f>
        <v>0</v>
      </c>
      <c r="AI433" t="b">
        <f>IF(Migrationsartikel!AD431="ja","true",FALSE)</f>
        <v>0</v>
      </c>
      <c r="AJ433" t="b">
        <f>IF(Migrationsartikel!AE431="ja","true",FALSE)</f>
        <v>0</v>
      </c>
      <c r="AK433" t="str">
        <f>IF(Migrationsartikel!AF431="ja","Denner Partner","")</f>
        <v/>
      </c>
      <c r="AL433" t="str">
        <f>IF(Migrationsartikel!AG431="ja","true","false")</f>
        <v>false</v>
      </c>
      <c r="AM433" t="str">
        <f t="shared" si="6"/>
        <v>PLU</v>
      </c>
      <c r="AN433" s="31" t="s">
        <v>219</v>
      </c>
      <c r="AO433" s="31" t="s">
        <v>217</v>
      </c>
    </row>
    <row r="434" spans="2:41" ht="21.75" customHeight="1" x14ac:dyDescent="0.45">
      <c r="B434" t="s">
        <v>99</v>
      </c>
      <c r="E434" s="31" t="s">
        <v>1844</v>
      </c>
      <c r="F434" t="str">
        <f>"Warengruppe&gt;&gt;"&amp;Migrationsartikel!V432&amp;"&gt;&gt;"&amp;Migrationsartikel!W432&amp;"&gt;&gt;"&amp;Migrationsartikel!X432</f>
        <v>Warengruppe&gt;&gt;&gt;&gt;&gt;&gt;</v>
      </c>
      <c r="H434" s="31" t="s">
        <v>109</v>
      </c>
      <c r="I434" s="31" t="s">
        <v>121</v>
      </c>
      <c r="J434" s="31">
        <f>Migrationsartikel!B432</f>
        <v>0</v>
      </c>
      <c r="O434">
        <f>Migrationsartikel!F432</f>
        <v>0</v>
      </c>
      <c r="P434">
        <f>Migrationsartikel!J432</f>
        <v>0</v>
      </c>
      <c r="Q434">
        <f>Migrationsartikel!N432</f>
        <v>0</v>
      </c>
      <c r="R434">
        <f>Migrationsartikel!G432</f>
        <v>0</v>
      </c>
      <c r="S434">
        <f>Migrationsartikel!K432</f>
        <v>0</v>
      </c>
      <c r="T434">
        <f>Migrationsartikel!O432</f>
        <v>0</v>
      </c>
      <c r="U434" s="31">
        <f>Migrationsartikel!H432</f>
        <v>0</v>
      </c>
      <c r="V434" s="31">
        <f>Migrationsartikel!L432</f>
        <v>0</v>
      </c>
      <c r="W434" s="31">
        <f>Migrationsartikel!P432</f>
        <v>0</v>
      </c>
      <c r="X434">
        <f>Migrationsartikel!I432</f>
        <v>0</v>
      </c>
      <c r="Y434">
        <f>Migrationsartikel!M432</f>
        <v>0</v>
      </c>
      <c r="Z434">
        <f>Migrationsartikel!Q432</f>
        <v>0</v>
      </c>
      <c r="AA434" s="45">
        <f>Migrationsartikel!R432</f>
        <v>0</v>
      </c>
      <c r="AB434" s="46">
        <f>Migrationsartikel!T432</f>
        <v>0</v>
      </c>
      <c r="AC434">
        <f>Migrationsartikel!S432</f>
        <v>0</v>
      </c>
      <c r="AD434">
        <f>Migrationsartikel!U432</f>
        <v>0</v>
      </c>
      <c r="AE434" s="31" t="s">
        <v>179</v>
      </c>
      <c r="AF434" s="31" t="s">
        <v>192</v>
      </c>
      <c r="AG434" t="b">
        <f>IF(Migrationsartikel!AB432="ja","true",FALSE)</f>
        <v>0</v>
      </c>
      <c r="AH434" t="b">
        <f>IF(Migrationsartikel!AC432="ja","true",FALSE)</f>
        <v>0</v>
      </c>
      <c r="AI434" t="b">
        <f>IF(Migrationsartikel!AD432="ja","true",FALSE)</f>
        <v>0</v>
      </c>
      <c r="AJ434" t="b">
        <f>IF(Migrationsartikel!AE432="ja","true",FALSE)</f>
        <v>0</v>
      </c>
      <c r="AK434" t="str">
        <f>IF(Migrationsartikel!AF432="ja","Denner Partner","")</f>
        <v/>
      </c>
      <c r="AL434" t="str">
        <f>IF(Migrationsartikel!AG432="ja","true","false")</f>
        <v>false</v>
      </c>
      <c r="AM434" t="str">
        <f t="shared" si="6"/>
        <v>PLU</v>
      </c>
      <c r="AN434" s="31" t="s">
        <v>219</v>
      </c>
      <c r="AO434" s="31" t="s">
        <v>217</v>
      </c>
    </row>
    <row r="435" spans="2:41" ht="21.75" customHeight="1" x14ac:dyDescent="0.45">
      <c r="B435" t="s">
        <v>99</v>
      </c>
      <c r="E435" s="31" t="s">
        <v>1845</v>
      </c>
      <c r="F435" t="str">
        <f>"Warengruppe&gt;&gt;"&amp;Migrationsartikel!V433&amp;"&gt;&gt;"&amp;Migrationsartikel!W433&amp;"&gt;&gt;"&amp;Migrationsartikel!X433</f>
        <v>Warengruppe&gt;&gt;&gt;&gt;&gt;&gt;</v>
      </c>
      <c r="H435" s="31" t="s">
        <v>109</v>
      </c>
      <c r="I435" s="31" t="s">
        <v>121</v>
      </c>
      <c r="J435" s="31">
        <f>Migrationsartikel!B433</f>
        <v>0</v>
      </c>
      <c r="O435">
        <f>Migrationsartikel!F433</f>
        <v>0</v>
      </c>
      <c r="P435">
        <f>Migrationsartikel!J433</f>
        <v>0</v>
      </c>
      <c r="Q435">
        <f>Migrationsartikel!N433</f>
        <v>0</v>
      </c>
      <c r="R435">
        <f>Migrationsartikel!G433</f>
        <v>0</v>
      </c>
      <c r="S435">
        <f>Migrationsartikel!K433</f>
        <v>0</v>
      </c>
      <c r="T435">
        <f>Migrationsartikel!O433</f>
        <v>0</v>
      </c>
      <c r="U435" s="31">
        <f>Migrationsartikel!H433</f>
        <v>0</v>
      </c>
      <c r="V435" s="31">
        <f>Migrationsartikel!L433</f>
        <v>0</v>
      </c>
      <c r="W435" s="31">
        <f>Migrationsartikel!P433</f>
        <v>0</v>
      </c>
      <c r="X435">
        <f>Migrationsartikel!I433</f>
        <v>0</v>
      </c>
      <c r="Y435">
        <f>Migrationsartikel!M433</f>
        <v>0</v>
      </c>
      <c r="Z435">
        <f>Migrationsartikel!Q433</f>
        <v>0</v>
      </c>
      <c r="AA435" s="45">
        <f>Migrationsartikel!R433</f>
        <v>0</v>
      </c>
      <c r="AB435" s="46">
        <f>Migrationsartikel!T433</f>
        <v>0</v>
      </c>
      <c r="AC435">
        <f>Migrationsartikel!S433</f>
        <v>0</v>
      </c>
      <c r="AD435">
        <f>Migrationsartikel!U433</f>
        <v>0</v>
      </c>
      <c r="AE435" s="31" t="s">
        <v>179</v>
      </c>
      <c r="AF435" s="31" t="s">
        <v>192</v>
      </c>
      <c r="AG435" t="b">
        <f>IF(Migrationsartikel!AB433="ja","true",FALSE)</f>
        <v>0</v>
      </c>
      <c r="AH435" t="b">
        <f>IF(Migrationsartikel!AC433="ja","true",FALSE)</f>
        <v>0</v>
      </c>
      <c r="AI435" t="b">
        <f>IF(Migrationsartikel!AD433="ja","true",FALSE)</f>
        <v>0</v>
      </c>
      <c r="AJ435" t="b">
        <f>IF(Migrationsartikel!AE433="ja","true",FALSE)</f>
        <v>0</v>
      </c>
      <c r="AK435" t="str">
        <f>IF(Migrationsartikel!AF433="ja","Denner Partner","")</f>
        <v/>
      </c>
      <c r="AL435" t="str">
        <f>IF(Migrationsartikel!AG433="ja","true","false")</f>
        <v>false</v>
      </c>
      <c r="AM435" t="str">
        <f t="shared" si="6"/>
        <v>PLU</v>
      </c>
      <c r="AN435" s="31" t="s">
        <v>219</v>
      </c>
      <c r="AO435" s="31" t="s">
        <v>217</v>
      </c>
    </row>
    <row r="436" spans="2:41" ht="21.75" customHeight="1" x14ac:dyDescent="0.45">
      <c r="B436" t="s">
        <v>99</v>
      </c>
      <c r="E436" s="31" t="s">
        <v>1846</v>
      </c>
      <c r="F436" t="str">
        <f>"Warengruppe&gt;&gt;"&amp;Migrationsartikel!V434&amp;"&gt;&gt;"&amp;Migrationsartikel!W434&amp;"&gt;&gt;"&amp;Migrationsartikel!X434</f>
        <v>Warengruppe&gt;&gt;&gt;&gt;&gt;&gt;</v>
      </c>
      <c r="H436" s="31" t="s">
        <v>109</v>
      </c>
      <c r="I436" s="31" t="s">
        <v>121</v>
      </c>
      <c r="J436" s="31">
        <f>Migrationsartikel!B434</f>
        <v>0</v>
      </c>
      <c r="O436">
        <f>Migrationsartikel!F434</f>
        <v>0</v>
      </c>
      <c r="P436">
        <f>Migrationsartikel!J434</f>
        <v>0</v>
      </c>
      <c r="Q436">
        <f>Migrationsartikel!N434</f>
        <v>0</v>
      </c>
      <c r="R436">
        <f>Migrationsartikel!G434</f>
        <v>0</v>
      </c>
      <c r="S436">
        <f>Migrationsartikel!K434</f>
        <v>0</v>
      </c>
      <c r="T436">
        <f>Migrationsartikel!O434</f>
        <v>0</v>
      </c>
      <c r="U436" s="31">
        <f>Migrationsartikel!H434</f>
        <v>0</v>
      </c>
      <c r="V436" s="31">
        <f>Migrationsartikel!L434</f>
        <v>0</v>
      </c>
      <c r="W436" s="31">
        <f>Migrationsartikel!P434</f>
        <v>0</v>
      </c>
      <c r="X436">
        <f>Migrationsartikel!I434</f>
        <v>0</v>
      </c>
      <c r="Y436">
        <f>Migrationsartikel!M434</f>
        <v>0</v>
      </c>
      <c r="Z436">
        <f>Migrationsartikel!Q434</f>
        <v>0</v>
      </c>
      <c r="AA436" s="45">
        <f>Migrationsartikel!R434</f>
        <v>0</v>
      </c>
      <c r="AB436" s="46">
        <f>Migrationsartikel!T434</f>
        <v>0</v>
      </c>
      <c r="AC436">
        <f>Migrationsartikel!S434</f>
        <v>0</v>
      </c>
      <c r="AD436">
        <f>Migrationsartikel!U434</f>
        <v>0</v>
      </c>
      <c r="AE436" s="31" t="s">
        <v>179</v>
      </c>
      <c r="AF436" s="31" t="s">
        <v>192</v>
      </c>
      <c r="AG436" t="b">
        <f>IF(Migrationsartikel!AB434="ja","true",FALSE)</f>
        <v>0</v>
      </c>
      <c r="AH436" t="b">
        <f>IF(Migrationsartikel!AC434="ja","true",FALSE)</f>
        <v>0</v>
      </c>
      <c r="AI436" t="b">
        <f>IF(Migrationsartikel!AD434="ja","true",FALSE)</f>
        <v>0</v>
      </c>
      <c r="AJ436" t="b">
        <f>IF(Migrationsartikel!AE434="ja","true",FALSE)</f>
        <v>0</v>
      </c>
      <c r="AK436" t="str">
        <f>IF(Migrationsartikel!AF434="ja","Denner Partner","")</f>
        <v/>
      </c>
      <c r="AL436" t="str">
        <f>IF(Migrationsartikel!AG434="ja","true","false")</f>
        <v>false</v>
      </c>
      <c r="AM436" t="str">
        <f t="shared" si="6"/>
        <v>PLU</v>
      </c>
      <c r="AN436" s="31" t="s">
        <v>219</v>
      </c>
      <c r="AO436" s="31" t="s">
        <v>217</v>
      </c>
    </row>
    <row r="437" spans="2:41" ht="21.75" customHeight="1" x14ac:dyDescent="0.45">
      <c r="B437" t="s">
        <v>99</v>
      </c>
      <c r="E437" s="31" t="s">
        <v>1847</v>
      </c>
      <c r="F437" t="str">
        <f>"Warengruppe&gt;&gt;"&amp;Migrationsartikel!V435&amp;"&gt;&gt;"&amp;Migrationsartikel!W435&amp;"&gt;&gt;"&amp;Migrationsartikel!X435</f>
        <v>Warengruppe&gt;&gt;&gt;&gt;&gt;&gt;</v>
      </c>
      <c r="H437" s="31" t="s">
        <v>109</v>
      </c>
      <c r="I437" s="31" t="s">
        <v>121</v>
      </c>
      <c r="J437" s="31">
        <f>Migrationsartikel!B435</f>
        <v>0</v>
      </c>
      <c r="O437">
        <f>Migrationsartikel!F435</f>
        <v>0</v>
      </c>
      <c r="P437">
        <f>Migrationsartikel!J435</f>
        <v>0</v>
      </c>
      <c r="Q437">
        <f>Migrationsartikel!N435</f>
        <v>0</v>
      </c>
      <c r="R437">
        <f>Migrationsartikel!G435</f>
        <v>0</v>
      </c>
      <c r="S437">
        <f>Migrationsartikel!K435</f>
        <v>0</v>
      </c>
      <c r="T437">
        <f>Migrationsartikel!O435</f>
        <v>0</v>
      </c>
      <c r="U437" s="31">
        <f>Migrationsartikel!H435</f>
        <v>0</v>
      </c>
      <c r="V437" s="31">
        <f>Migrationsartikel!L435</f>
        <v>0</v>
      </c>
      <c r="W437" s="31">
        <f>Migrationsartikel!P435</f>
        <v>0</v>
      </c>
      <c r="X437">
        <f>Migrationsartikel!I435</f>
        <v>0</v>
      </c>
      <c r="Y437">
        <f>Migrationsartikel!M435</f>
        <v>0</v>
      </c>
      <c r="Z437">
        <f>Migrationsartikel!Q435</f>
        <v>0</v>
      </c>
      <c r="AA437" s="45">
        <f>Migrationsartikel!R435</f>
        <v>0</v>
      </c>
      <c r="AB437" s="46">
        <f>Migrationsartikel!T435</f>
        <v>0</v>
      </c>
      <c r="AC437">
        <f>Migrationsartikel!S435</f>
        <v>0</v>
      </c>
      <c r="AD437">
        <f>Migrationsartikel!U435</f>
        <v>0</v>
      </c>
      <c r="AE437" s="31" t="s">
        <v>179</v>
      </c>
      <c r="AF437" s="31" t="s">
        <v>192</v>
      </c>
      <c r="AG437" t="b">
        <f>IF(Migrationsartikel!AB435="ja","true",FALSE)</f>
        <v>0</v>
      </c>
      <c r="AH437" t="b">
        <f>IF(Migrationsartikel!AC435="ja","true",FALSE)</f>
        <v>0</v>
      </c>
      <c r="AI437" t="b">
        <f>IF(Migrationsartikel!AD435="ja","true",FALSE)</f>
        <v>0</v>
      </c>
      <c r="AJ437" t="b">
        <f>IF(Migrationsartikel!AE435="ja","true",FALSE)</f>
        <v>0</v>
      </c>
      <c r="AK437" t="str">
        <f>IF(Migrationsartikel!AF435="ja","Denner Partner","")</f>
        <v/>
      </c>
      <c r="AL437" t="str">
        <f>IF(Migrationsartikel!AG435="ja","true","false")</f>
        <v>false</v>
      </c>
      <c r="AM437" t="str">
        <f t="shared" si="6"/>
        <v>PLU</v>
      </c>
      <c r="AN437" s="31" t="s">
        <v>219</v>
      </c>
      <c r="AO437" s="31" t="s">
        <v>217</v>
      </c>
    </row>
    <row r="438" spans="2:41" ht="21.75" customHeight="1" x14ac:dyDescent="0.45">
      <c r="B438" t="s">
        <v>99</v>
      </c>
      <c r="E438" s="31" t="s">
        <v>1848</v>
      </c>
      <c r="F438" t="str">
        <f>"Warengruppe&gt;&gt;"&amp;Migrationsartikel!V436&amp;"&gt;&gt;"&amp;Migrationsartikel!W436&amp;"&gt;&gt;"&amp;Migrationsartikel!X436</f>
        <v>Warengruppe&gt;&gt;&gt;&gt;&gt;&gt;</v>
      </c>
      <c r="H438" s="31" t="s">
        <v>109</v>
      </c>
      <c r="I438" s="31" t="s">
        <v>121</v>
      </c>
      <c r="J438" s="31">
        <f>Migrationsartikel!B436</f>
        <v>0</v>
      </c>
      <c r="O438">
        <f>Migrationsartikel!F436</f>
        <v>0</v>
      </c>
      <c r="P438">
        <f>Migrationsartikel!J436</f>
        <v>0</v>
      </c>
      <c r="Q438">
        <f>Migrationsartikel!N436</f>
        <v>0</v>
      </c>
      <c r="R438">
        <f>Migrationsartikel!G436</f>
        <v>0</v>
      </c>
      <c r="S438">
        <f>Migrationsartikel!K436</f>
        <v>0</v>
      </c>
      <c r="T438">
        <f>Migrationsartikel!O436</f>
        <v>0</v>
      </c>
      <c r="U438" s="31">
        <f>Migrationsartikel!H436</f>
        <v>0</v>
      </c>
      <c r="V438" s="31">
        <f>Migrationsartikel!L436</f>
        <v>0</v>
      </c>
      <c r="W438" s="31">
        <f>Migrationsartikel!P436</f>
        <v>0</v>
      </c>
      <c r="X438">
        <f>Migrationsartikel!I436</f>
        <v>0</v>
      </c>
      <c r="Y438">
        <f>Migrationsartikel!M436</f>
        <v>0</v>
      </c>
      <c r="Z438">
        <f>Migrationsartikel!Q436</f>
        <v>0</v>
      </c>
      <c r="AA438" s="45">
        <f>Migrationsartikel!R436</f>
        <v>0</v>
      </c>
      <c r="AB438" s="46">
        <f>Migrationsartikel!T436</f>
        <v>0</v>
      </c>
      <c r="AC438">
        <f>Migrationsartikel!S436</f>
        <v>0</v>
      </c>
      <c r="AD438">
        <f>Migrationsartikel!U436</f>
        <v>0</v>
      </c>
      <c r="AE438" s="31" t="s">
        <v>179</v>
      </c>
      <c r="AF438" s="31" t="s">
        <v>192</v>
      </c>
      <c r="AG438" t="b">
        <f>IF(Migrationsartikel!AB436="ja","true",FALSE)</f>
        <v>0</v>
      </c>
      <c r="AH438" t="b">
        <f>IF(Migrationsartikel!AC436="ja","true",FALSE)</f>
        <v>0</v>
      </c>
      <c r="AI438" t="b">
        <f>IF(Migrationsartikel!AD436="ja","true",FALSE)</f>
        <v>0</v>
      </c>
      <c r="AJ438" t="b">
        <f>IF(Migrationsartikel!AE436="ja","true",FALSE)</f>
        <v>0</v>
      </c>
      <c r="AK438" t="str">
        <f>IF(Migrationsartikel!AF436="ja","Denner Partner","")</f>
        <v/>
      </c>
      <c r="AL438" t="str">
        <f>IF(Migrationsartikel!AG436="ja","true","false")</f>
        <v>false</v>
      </c>
      <c r="AM438" t="str">
        <f t="shared" si="6"/>
        <v>PLU</v>
      </c>
      <c r="AN438" s="31" t="s">
        <v>219</v>
      </c>
      <c r="AO438" s="31" t="s">
        <v>217</v>
      </c>
    </row>
    <row r="439" spans="2:41" ht="21.75" customHeight="1" x14ac:dyDescent="0.45">
      <c r="B439" t="s">
        <v>99</v>
      </c>
      <c r="E439" s="31" t="s">
        <v>1849</v>
      </c>
      <c r="F439" t="str">
        <f>"Warengruppe&gt;&gt;"&amp;Migrationsartikel!V437&amp;"&gt;&gt;"&amp;Migrationsartikel!W437&amp;"&gt;&gt;"&amp;Migrationsartikel!X437</f>
        <v>Warengruppe&gt;&gt;&gt;&gt;&gt;&gt;</v>
      </c>
      <c r="H439" s="31" t="s">
        <v>109</v>
      </c>
      <c r="I439" s="31" t="s">
        <v>121</v>
      </c>
      <c r="J439" s="31">
        <f>Migrationsartikel!B437</f>
        <v>0</v>
      </c>
      <c r="O439">
        <f>Migrationsartikel!F437</f>
        <v>0</v>
      </c>
      <c r="P439">
        <f>Migrationsartikel!J437</f>
        <v>0</v>
      </c>
      <c r="Q439">
        <f>Migrationsartikel!N437</f>
        <v>0</v>
      </c>
      <c r="R439">
        <f>Migrationsartikel!G437</f>
        <v>0</v>
      </c>
      <c r="S439">
        <f>Migrationsartikel!K437</f>
        <v>0</v>
      </c>
      <c r="T439">
        <f>Migrationsartikel!O437</f>
        <v>0</v>
      </c>
      <c r="U439" s="31">
        <f>Migrationsartikel!H437</f>
        <v>0</v>
      </c>
      <c r="V439" s="31">
        <f>Migrationsartikel!L437</f>
        <v>0</v>
      </c>
      <c r="W439" s="31">
        <f>Migrationsartikel!P437</f>
        <v>0</v>
      </c>
      <c r="X439">
        <f>Migrationsartikel!I437</f>
        <v>0</v>
      </c>
      <c r="Y439">
        <f>Migrationsartikel!M437</f>
        <v>0</v>
      </c>
      <c r="Z439">
        <f>Migrationsartikel!Q437</f>
        <v>0</v>
      </c>
      <c r="AA439" s="45">
        <f>Migrationsartikel!R437</f>
        <v>0</v>
      </c>
      <c r="AB439" s="46">
        <f>Migrationsartikel!T437</f>
        <v>0</v>
      </c>
      <c r="AC439">
        <f>Migrationsartikel!S437</f>
        <v>0</v>
      </c>
      <c r="AD439">
        <f>Migrationsartikel!U437</f>
        <v>0</v>
      </c>
      <c r="AE439" s="31" t="s">
        <v>179</v>
      </c>
      <c r="AF439" s="31" t="s">
        <v>192</v>
      </c>
      <c r="AG439" t="b">
        <f>IF(Migrationsartikel!AB437="ja","true",FALSE)</f>
        <v>0</v>
      </c>
      <c r="AH439" t="b">
        <f>IF(Migrationsartikel!AC437="ja","true",FALSE)</f>
        <v>0</v>
      </c>
      <c r="AI439" t="b">
        <f>IF(Migrationsartikel!AD437="ja","true",FALSE)</f>
        <v>0</v>
      </c>
      <c r="AJ439" t="b">
        <f>IF(Migrationsartikel!AE437="ja","true",FALSE)</f>
        <v>0</v>
      </c>
      <c r="AK439" t="str">
        <f>IF(Migrationsartikel!AF437="ja","Denner Partner","")</f>
        <v/>
      </c>
      <c r="AL439" t="str">
        <f>IF(Migrationsartikel!AG437="ja","true","false")</f>
        <v>false</v>
      </c>
      <c r="AM439" t="str">
        <f t="shared" si="6"/>
        <v>PLU</v>
      </c>
      <c r="AN439" s="31" t="s">
        <v>219</v>
      </c>
      <c r="AO439" s="31" t="s">
        <v>217</v>
      </c>
    </row>
    <row r="440" spans="2:41" ht="21.75" customHeight="1" x14ac:dyDescent="0.45">
      <c r="B440" t="s">
        <v>99</v>
      </c>
      <c r="E440" s="31" t="s">
        <v>1850</v>
      </c>
      <c r="F440" t="str">
        <f>"Warengruppe&gt;&gt;"&amp;Migrationsartikel!V438&amp;"&gt;&gt;"&amp;Migrationsartikel!W438&amp;"&gt;&gt;"&amp;Migrationsartikel!X438</f>
        <v>Warengruppe&gt;&gt;&gt;&gt;&gt;&gt;</v>
      </c>
      <c r="H440" s="31" t="s">
        <v>109</v>
      </c>
      <c r="I440" s="31" t="s">
        <v>121</v>
      </c>
      <c r="J440" s="31">
        <f>Migrationsartikel!B438</f>
        <v>0</v>
      </c>
      <c r="O440">
        <f>Migrationsartikel!F438</f>
        <v>0</v>
      </c>
      <c r="P440">
        <f>Migrationsartikel!J438</f>
        <v>0</v>
      </c>
      <c r="Q440">
        <f>Migrationsartikel!N438</f>
        <v>0</v>
      </c>
      <c r="R440">
        <f>Migrationsartikel!G438</f>
        <v>0</v>
      </c>
      <c r="S440">
        <f>Migrationsartikel!K438</f>
        <v>0</v>
      </c>
      <c r="T440">
        <f>Migrationsartikel!O438</f>
        <v>0</v>
      </c>
      <c r="U440" s="31">
        <f>Migrationsartikel!H438</f>
        <v>0</v>
      </c>
      <c r="V440" s="31">
        <f>Migrationsartikel!L438</f>
        <v>0</v>
      </c>
      <c r="W440" s="31">
        <f>Migrationsartikel!P438</f>
        <v>0</v>
      </c>
      <c r="X440">
        <f>Migrationsartikel!I438</f>
        <v>0</v>
      </c>
      <c r="Y440">
        <f>Migrationsartikel!M438</f>
        <v>0</v>
      </c>
      <c r="Z440">
        <f>Migrationsartikel!Q438</f>
        <v>0</v>
      </c>
      <c r="AA440" s="45">
        <f>Migrationsartikel!R438</f>
        <v>0</v>
      </c>
      <c r="AB440" s="46">
        <f>Migrationsartikel!T438</f>
        <v>0</v>
      </c>
      <c r="AC440">
        <f>Migrationsartikel!S438</f>
        <v>0</v>
      </c>
      <c r="AD440">
        <f>Migrationsartikel!U438</f>
        <v>0</v>
      </c>
      <c r="AE440" s="31" t="s">
        <v>179</v>
      </c>
      <c r="AF440" s="31" t="s">
        <v>192</v>
      </c>
      <c r="AG440" t="b">
        <f>IF(Migrationsartikel!AB438="ja","true",FALSE)</f>
        <v>0</v>
      </c>
      <c r="AH440" t="b">
        <f>IF(Migrationsartikel!AC438="ja","true",FALSE)</f>
        <v>0</v>
      </c>
      <c r="AI440" t="b">
        <f>IF(Migrationsartikel!AD438="ja","true",FALSE)</f>
        <v>0</v>
      </c>
      <c r="AJ440" t="b">
        <f>IF(Migrationsartikel!AE438="ja","true",FALSE)</f>
        <v>0</v>
      </c>
      <c r="AK440" t="str">
        <f>IF(Migrationsartikel!AF438="ja","Denner Partner","")</f>
        <v/>
      </c>
      <c r="AL440" t="str">
        <f>IF(Migrationsartikel!AG438="ja","true","false")</f>
        <v>false</v>
      </c>
      <c r="AM440" t="str">
        <f t="shared" si="6"/>
        <v>PLU</v>
      </c>
      <c r="AN440" s="31" t="s">
        <v>219</v>
      </c>
      <c r="AO440" s="31" t="s">
        <v>217</v>
      </c>
    </row>
    <row r="441" spans="2:41" ht="21.75" customHeight="1" x14ac:dyDescent="0.45">
      <c r="B441" t="s">
        <v>99</v>
      </c>
      <c r="E441" s="31" t="s">
        <v>1851</v>
      </c>
      <c r="F441" t="str">
        <f>"Warengruppe&gt;&gt;"&amp;Migrationsartikel!V439&amp;"&gt;&gt;"&amp;Migrationsartikel!W439&amp;"&gt;&gt;"&amp;Migrationsartikel!X439</f>
        <v>Warengruppe&gt;&gt;&gt;&gt;&gt;&gt;</v>
      </c>
      <c r="H441" s="31" t="s">
        <v>109</v>
      </c>
      <c r="I441" s="31" t="s">
        <v>121</v>
      </c>
      <c r="J441" s="31">
        <f>Migrationsartikel!B439</f>
        <v>0</v>
      </c>
      <c r="O441">
        <f>Migrationsartikel!F439</f>
        <v>0</v>
      </c>
      <c r="P441">
        <f>Migrationsartikel!J439</f>
        <v>0</v>
      </c>
      <c r="Q441">
        <f>Migrationsartikel!N439</f>
        <v>0</v>
      </c>
      <c r="R441">
        <f>Migrationsartikel!G439</f>
        <v>0</v>
      </c>
      <c r="S441">
        <f>Migrationsartikel!K439</f>
        <v>0</v>
      </c>
      <c r="T441">
        <f>Migrationsartikel!O439</f>
        <v>0</v>
      </c>
      <c r="U441" s="31">
        <f>Migrationsartikel!H439</f>
        <v>0</v>
      </c>
      <c r="V441" s="31">
        <f>Migrationsartikel!L439</f>
        <v>0</v>
      </c>
      <c r="W441" s="31">
        <f>Migrationsartikel!P439</f>
        <v>0</v>
      </c>
      <c r="X441">
        <f>Migrationsartikel!I439</f>
        <v>0</v>
      </c>
      <c r="Y441">
        <f>Migrationsartikel!M439</f>
        <v>0</v>
      </c>
      <c r="Z441">
        <f>Migrationsartikel!Q439</f>
        <v>0</v>
      </c>
      <c r="AA441" s="45">
        <f>Migrationsartikel!R439</f>
        <v>0</v>
      </c>
      <c r="AB441" s="46">
        <f>Migrationsartikel!T439</f>
        <v>0</v>
      </c>
      <c r="AC441">
        <f>Migrationsartikel!S439</f>
        <v>0</v>
      </c>
      <c r="AD441">
        <f>Migrationsartikel!U439</f>
        <v>0</v>
      </c>
      <c r="AE441" s="31" t="s">
        <v>179</v>
      </c>
      <c r="AF441" s="31" t="s">
        <v>192</v>
      </c>
      <c r="AG441" t="b">
        <f>IF(Migrationsartikel!AB439="ja","true",FALSE)</f>
        <v>0</v>
      </c>
      <c r="AH441" t="b">
        <f>IF(Migrationsartikel!AC439="ja","true",FALSE)</f>
        <v>0</v>
      </c>
      <c r="AI441" t="b">
        <f>IF(Migrationsartikel!AD439="ja","true",FALSE)</f>
        <v>0</v>
      </c>
      <c r="AJ441" t="b">
        <f>IF(Migrationsartikel!AE439="ja","true",FALSE)</f>
        <v>0</v>
      </c>
      <c r="AK441" t="str">
        <f>IF(Migrationsartikel!AF439="ja","Denner Partner","")</f>
        <v/>
      </c>
      <c r="AL441" t="str">
        <f>IF(Migrationsartikel!AG439="ja","true","false")</f>
        <v>false</v>
      </c>
      <c r="AM441" t="str">
        <f t="shared" si="6"/>
        <v>PLU</v>
      </c>
      <c r="AN441" s="31" t="s">
        <v>219</v>
      </c>
      <c r="AO441" s="31" t="s">
        <v>217</v>
      </c>
    </row>
    <row r="442" spans="2:41" ht="21.75" customHeight="1" x14ac:dyDescent="0.45">
      <c r="B442" t="s">
        <v>99</v>
      </c>
      <c r="E442" s="31" t="s">
        <v>1852</v>
      </c>
      <c r="F442" t="str">
        <f>"Warengruppe&gt;&gt;"&amp;Migrationsartikel!V440&amp;"&gt;&gt;"&amp;Migrationsartikel!W440&amp;"&gt;&gt;"&amp;Migrationsartikel!X440</f>
        <v>Warengruppe&gt;&gt;&gt;&gt;&gt;&gt;</v>
      </c>
      <c r="H442" s="31" t="s">
        <v>109</v>
      </c>
      <c r="I442" s="31" t="s">
        <v>121</v>
      </c>
      <c r="J442" s="31">
        <f>Migrationsartikel!B440</f>
        <v>0</v>
      </c>
      <c r="O442">
        <f>Migrationsartikel!F440</f>
        <v>0</v>
      </c>
      <c r="P442">
        <f>Migrationsartikel!J440</f>
        <v>0</v>
      </c>
      <c r="Q442">
        <f>Migrationsartikel!N440</f>
        <v>0</v>
      </c>
      <c r="R442">
        <f>Migrationsartikel!G440</f>
        <v>0</v>
      </c>
      <c r="S442">
        <f>Migrationsartikel!K440</f>
        <v>0</v>
      </c>
      <c r="T442">
        <f>Migrationsartikel!O440</f>
        <v>0</v>
      </c>
      <c r="U442" s="31">
        <f>Migrationsartikel!H440</f>
        <v>0</v>
      </c>
      <c r="V442" s="31">
        <f>Migrationsartikel!L440</f>
        <v>0</v>
      </c>
      <c r="W442" s="31">
        <f>Migrationsartikel!P440</f>
        <v>0</v>
      </c>
      <c r="X442">
        <f>Migrationsartikel!I440</f>
        <v>0</v>
      </c>
      <c r="Y442">
        <f>Migrationsartikel!M440</f>
        <v>0</v>
      </c>
      <c r="Z442">
        <f>Migrationsartikel!Q440</f>
        <v>0</v>
      </c>
      <c r="AA442" s="45">
        <f>Migrationsartikel!R440</f>
        <v>0</v>
      </c>
      <c r="AB442" s="46">
        <f>Migrationsartikel!T440</f>
        <v>0</v>
      </c>
      <c r="AC442">
        <f>Migrationsartikel!S440</f>
        <v>0</v>
      </c>
      <c r="AD442">
        <f>Migrationsartikel!U440</f>
        <v>0</v>
      </c>
      <c r="AE442" s="31" t="s">
        <v>179</v>
      </c>
      <c r="AF442" s="31" t="s">
        <v>192</v>
      </c>
      <c r="AG442" t="b">
        <f>IF(Migrationsartikel!AB440="ja","true",FALSE)</f>
        <v>0</v>
      </c>
      <c r="AH442" t="b">
        <f>IF(Migrationsartikel!AC440="ja","true",FALSE)</f>
        <v>0</v>
      </c>
      <c r="AI442" t="b">
        <f>IF(Migrationsartikel!AD440="ja","true",FALSE)</f>
        <v>0</v>
      </c>
      <c r="AJ442" t="b">
        <f>IF(Migrationsartikel!AE440="ja","true",FALSE)</f>
        <v>0</v>
      </c>
      <c r="AK442" t="str">
        <f>IF(Migrationsartikel!AF440="ja","Denner Partner","")</f>
        <v/>
      </c>
      <c r="AL442" t="str">
        <f>IF(Migrationsartikel!AG440="ja","true","false")</f>
        <v>false</v>
      </c>
      <c r="AM442" t="str">
        <f t="shared" si="6"/>
        <v>PLU</v>
      </c>
      <c r="AN442" s="31" t="s">
        <v>219</v>
      </c>
      <c r="AO442" s="31" t="s">
        <v>217</v>
      </c>
    </row>
    <row r="443" spans="2:41" ht="21.75" customHeight="1" x14ac:dyDescent="0.45">
      <c r="B443" t="s">
        <v>99</v>
      </c>
      <c r="E443" s="31" t="s">
        <v>1853</v>
      </c>
      <c r="F443" t="str">
        <f>"Warengruppe&gt;&gt;"&amp;Migrationsartikel!V441&amp;"&gt;&gt;"&amp;Migrationsartikel!W441&amp;"&gt;&gt;"&amp;Migrationsartikel!X441</f>
        <v>Warengruppe&gt;&gt;&gt;&gt;&gt;&gt;</v>
      </c>
      <c r="H443" s="31" t="s">
        <v>109</v>
      </c>
      <c r="I443" s="31" t="s">
        <v>121</v>
      </c>
      <c r="J443" s="31">
        <f>Migrationsartikel!B441</f>
        <v>0</v>
      </c>
      <c r="O443">
        <f>Migrationsartikel!F441</f>
        <v>0</v>
      </c>
      <c r="P443">
        <f>Migrationsartikel!J441</f>
        <v>0</v>
      </c>
      <c r="Q443">
        <f>Migrationsartikel!N441</f>
        <v>0</v>
      </c>
      <c r="R443">
        <f>Migrationsartikel!G441</f>
        <v>0</v>
      </c>
      <c r="S443">
        <f>Migrationsartikel!K441</f>
        <v>0</v>
      </c>
      <c r="T443">
        <f>Migrationsartikel!O441</f>
        <v>0</v>
      </c>
      <c r="U443" s="31">
        <f>Migrationsartikel!H441</f>
        <v>0</v>
      </c>
      <c r="V443" s="31">
        <f>Migrationsartikel!L441</f>
        <v>0</v>
      </c>
      <c r="W443" s="31">
        <f>Migrationsartikel!P441</f>
        <v>0</v>
      </c>
      <c r="X443">
        <f>Migrationsartikel!I441</f>
        <v>0</v>
      </c>
      <c r="Y443">
        <f>Migrationsartikel!M441</f>
        <v>0</v>
      </c>
      <c r="Z443">
        <f>Migrationsartikel!Q441</f>
        <v>0</v>
      </c>
      <c r="AA443" s="45">
        <f>Migrationsartikel!R441</f>
        <v>0</v>
      </c>
      <c r="AB443" s="46">
        <f>Migrationsartikel!T441</f>
        <v>0</v>
      </c>
      <c r="AC443">
        <f>Migrationsartikel!S441</f>
        <v>0</v>
      </c>
      <c r="AD443">
        <f>Migrationsartikel!U441</f>
        <v>0</v>
      </c>
      <c r="AE443" s="31" t="s">
        <v>179</v>
      </c>
      <c r="AF443" s="31" t="s">
        <v>192</v>
      </c>
      <c r="AG443" t="b">
        <f>IF(Migrationsartikel!AB441="ja","true",FALSE)</f>
        <v>0</v>
      </c>
      <c r="AH443" t="b">
        <f>IF(Migrationsartikel!AC441="ja","true",FALSE)</f>
        <v>0</v>
      </c>
      <c r="AI443" t="b">
        <f>IF(Migrationsartikel!AD441="ja","true",FALSE)</f>
        <v>0</v>
      </c>
      <c r="AJ443" t="b">
        <f>IF(Migrationsartikel!AE441="ja","true",FALSE)</f>
        <v>0</v>
      </c>
      <c r="AK443" t="str">
        <f>IF(Migrationsartikel!AF441="ja","Denner Partner","")</f>
        <v/>
      </c>
      <c r="AL443" t="str">
        <f>IF(Migrationsartikel!AG441="ja","true","false")</f>
        <v>false</v>
      </c>
      <c r="AM443" t="str">
        <f t="shared" si="6"/>
        <v>PLU</v>
      </c>
      <c r="AN443" s="31" t="s">
        <v>219</v>
      </c>
      <c r="AO443" s="31" t="s">
        <v>217</v>
      </c>
    </row>
    <row r="444" spans="2:41" ht="21.75" customHeight="1" x14ac:dyDescent="0.45">
      <c r="B444" t="s">
        <v>99</v>
      </c>
      <c r="E444" s="31" t="s">
        <v>1854</v>
      </c>
      <c r="F444" t="str">
        <f>"Warengruppe&gt;&gt;"&amp;Migrationsartikel!V442&amp;"&gt;&gt;"&amp;Migrationsartikel!W442&amp;"&gt;&gt;"&amp;Migrationsartikel!X442</f>
        <v>Warengruppe&gt;&gt;&gt;&gt;&gt;&gt;</v>
      </c>
      <c r="H444" s="31" t="s">
        <v>109</v>
      </c>
      <c r="I444" s="31" t="s">
        <v>121</v>
      </c>
      <c r="J444" s="31">
        <f>Migrationsartikel!B442</f>
        <v>0</v>
      </c>
      <c r="O444">
        <f>Migrationsartikel!F442</f>
        <v>0</v>
      </c>
      <c r="P444">
        <f>Migrationsartikel!J442</f>
        <v>0</v>
      </c>
      <c r="Q444">
        <f>Migrationsartikel!N442</f>
        <v>0</v>
      </c>
      <c r="R444">
        <f>Migrationsartikel!G442</f>
        <v>0</v>
      </c>
      <c r="S444">
        <f>Migrationsartikel!K442</f>
        <v>0</v>
      </c>
      <c r="T444">
        <f>Migrationsartikel!O442</f>
        <v>0</v>
      </c>
      <c r="U444" s="31">
        <f>Migrationsartikel!H442</f>
        <v>0</v>
      </c>
      <c r="V444" s="31">
        <f>Migrationsartikel!L442</f>
        <v>0</v>
      </c>
      <c r="W444" s="31">
        <f>Migrationsartikel!P442</f>
        <v>0</v>
      </c>
      <c r="X444">
        <f>Migrationsartikel!I442</f>
        <v>0</v>
      </c>
      <c r="Y444">
        <f>Migrationsartikel!M442</f>
        <v>0</v>
      </c>
      <c r="Z444">
        <f>Migrationsartikel!Q442</f>
        <v>0</v>
      </c>
      <c r="AA444" s="45">
        <f>Migrationsartikel!R442</f>
        <v>0</v>
      </c>
      <c r="AB444" s="46">
        <f>Migrationsartikel!T442</f>
        <v>0</v>
      </c>
      <c r="AC444">
        <f>Migrationsartikel!S442</f>
        <v>0</v>
      </c>
      <c r="AD444">
        <f>Migrationsartikel!U442</f>
        <v>0</v>
      </c>
      <c r="AE444" s="31" t="s">
        <v>179</v>
      </c>
      <c r="AF444" s="31" t="s">
        <v>192</v>
      </c>
      <c r="AG444" t="b">
        <f>IF(Migrationsartikel!AB442="ja","true",FALSE)</f>
        <v>0</v>
      </c>
      <c r="AH444" t="b">
        <f>IF(Migrationsartikel!AC442="ja","true",FALSE)</f>
        <v>0</v>
      </c>
      <c r="AI444" t="b">
        <f>IF(Migrationsartikel!AD442="ja","true",FALSE)</f>
        <v>0</v>
      </c>
      <c r="AJ444" t="b">
        <f>IF(Migrationsartikel!AE442="ja","true",FALSE)</f>
        <v>0</v>
      </c>
      <c r="AK444" t="str">
        <f>IF(Migrationsartikel!AF442="ja","Denner Partner","")</f>
        <v/>
      </c>
      <c r="AL444" t="str">
        <f>IF(Migrationsartikel!AG442="ja","true","false")</f>
        <v>false</v>
      </c>
      <c r="AM444" t="str">
        <f t="shared" si="6"/>
        <v>PLU</v>
      </c>
      <c r="AN444" s="31" t="s">
        <v>219</v>
      </c>
      <c r="AO444" s="31" t="s">
        <v>217</v>
      </c>
    </row>
    <row r="445" spans="2:41" ht="21.75" customHeight="1" x14ac:dyDescent="0.45">
      <c r="B445" t="s">
        <v>99</v>
      </c>
      <c r="E445" s="31" t="s">
        <v>1855</v>
      </c>
      <c r="F445" t="str">
        <f>"Warengruppe&gt;&gt;"&amp;Migrationsartikel!V443&amp;"&gt;&gt;"&amp;Migrationsartikel!W443&amp;"&gt;&gt;"&amp;Migrationsartikel!X443</f>
        <v>Warengruppe&gt;&gt;&gt;&gt;&gt;&gt;</v>
      </c>
      <c r="H445" s="31" t="s">
        <v>109</v>
      </c>
      <c r="I445" s="31" t="s">
        <v>121</v>
      </c>
      <c r="J445" s="31">
        <f>Migrationsartikel!B443</f>
        <v>0</v>
      </c>
      <c r="O445">
        <f>Migrationsartikel!F443</f>
        <v>0</v>
      </c>
      <c r="P445">
        <f>Migrationsartikel!J443</f>
        <v>0</v>
      </c>
      <c r="Q445">
        <f>Migrationsartikel!N443</f>
        <v>0</v>
      </c>
      <c r="R445">
        <f>Migrationsartikel!G443</f>
        <v>0</v>
      </c>
      <c r="S445">
        <f>Migrationsartikel!K443</f>
        <v>0</v>
      </c>
      <c r="T445">
        <f>Migrationsartikel!O443</f>
        <v>0</v>
      </c>
      <c r="U445" s="31">
        <f>Migrationsartikel!H443</f>
        <v>0</v>
      </c>
      <c r="V445" s="31">
        <f>Migrationsartikel!L443</f>
        <v>0</v>
      </c>
      <c r="W445" s="31">
        <f>Migrationsartikel!P443</f>
        <v>0</v>
      </c>
      <c r="X445">
        <f>Migrationsartikel!I443</f>
        <v>0</v>
      </c>
      <c r="Y445">
        <f>Migrationsartikel!M443</f>
        <v>0</v>
      </c>
      <c r="Z445">
        <f>Migrationsartikel!Q443</f>
        <v>0</v>
      </c>
      <c r="AA445" s="45">
        <f>Migrationsartikel!R443</f>
        <v>0</v>
      </c>
      <c r="AB445" s="46">
        <f>Migrationsartikel!T443</f>
        <v>0</v>
      </c>
      <c r="AC445">
        <f>Migrationsartikel!S443</f>
        <v>0</v>
      </c>
      <c r="AD445">
        <f>Migrationsartikel!U443</f>
        <v>0</v>
      </c>
      <c r="AE445" s="31" t="s">
        <v>179</v>
      </c>
      <c r="AF445" s="31" t="s">
        <v>192</v>
      </c>
      <c r="AG445" t="b">
        <f>IF(Migrationsartikel!AB443="ja","true",FALSE)</f>
        <v>0</v>
      </c>
      <c r="AH445" t="b">
        <f>IF(Migrationsartikel!AC443="ja","true",FALSE)</f>
        <v>0</v>
      </c>
      <c r="AI445" t="b">
        <f>IF(Migrationsartikel!AD443="ja","true",FALSE)</f>
        <v>0</v>
      </c>
      <c r="AJ445" t="b">
        <f>IF(Migrationsartikel!AE443="ja","true",FALSE)</f>
        <v>0</v>
      </c>
      <c r="AK445" t="str">
        <f>IF(Migrationsartikel!AF443="ja","Denner Partner","")</f>
        <v/>
      </c>
      <c r="AL445" t="str">
        <f>IF(Migrationsartikel!AG443="ja","true","false")</f>
        <v>false</v>
      </c>
      <c r="AM445" t="str">
        <f t="shared" si="6"/>
        <v>PLU</v>
      </c>
      <c r="AN445" s="31" t="s">
        <v>219</v>
      </c>
      <c r="AO445" s="31" t="s">
        <v>217</v>
      </c>
    </row>
    <row r="446" spans="2:41" ht="21.75" customHeight="1" x14ac:dyDescent="0.45">
      <c r="B446" t="s">
        <v>99</v>
      </c>
      <c r="E446" s="31" t="s">
        <v>1856</v>
      </c>
      <c r="F446" t="str">
        <f>"Warengruppe&gt;&gt;"&amp;Migrationsartikel!V444&amp;"&gt;&gt;"&amp;Migrationsartikel!W444&amp;"&gt;&gt;"&amp;Migrationsartikel!X444</f>
        <v>Warengruppe&gt;&gt;&gt;&gt;&gt;&gt;</v>
      </c>
      <c r="H446" s="31" t="s">
        <v>109</v>
      </c>
      <c r="I446" s="31" t="s">
        <v>121</v>
      </c>
      <c r="J446" s="31">
        <f>Migrationsartikel!B444</f>
        <v>0</v>
      </c>
      <c r="O446">
        <f>Migrationsartikel!F444</f>
        <v>0</v>
      </c>
      <c r="P446">
        <f>Migrationsartikel!J444</f>
        <v>0</v>
      </c>
      <c r="Q446">
        <f>Migrationsartikel!N444</f>
        <v>0</v>
      </c>
      <c r="R446">
        <f>Migrationsartikel!G444</f>
        <v>0</v>
      </c>
      <c r="S446">
        <f>Migrationsartikel!K444</f>
        <v>0</v>
      </c>
      <c r="T446">
        <f>Migrationsartikel!O444</f>
        <v>0</v>
      </c>
      <c r="U446" s="31">
        <f>Migrationsartikel!H444</f>
        <v>0</v>
      </c>
      <c r="V446" s="31">
        <f>Migrationsartikel!L444</f>
        <v>0</v>
      </c>
      <c r="W446" s="31">
        <f>Migrationsartikel!P444</f>
        <v>0</v>
      </c>
      <c r="X446">
        <f>Migrationsartikel!I444</f>
        <v>0</v>
      </c>
      <c r="Y446">
        <f>Migrationsartikel!M444</f>
        <v>0</v>
      </c>
      <c r="Z446">
        <f>Migrationsartikel!Q444</f>
        <v>0</v>
      </c>
      <c r="AA446" s="45">
        <f>Migrationsartikel!R444</f>
        <v>0</v>
      </c>
      <c r="AB446" s="46">
        <f>Migrationsartikel!T444</f>
        <v>0</v>
      </c>
      <c r="AC446">
        <f>Migrationsartikel!S444</f>
        <v>0</v>
      </c>
      <c r="AD446">
        <f>Migrationsartikel!U444</f>
        <v>0</v>
      </c>
      <c r="AE446" s="31" t="s">
        <v>179</v>
      </c>
      <c r="AF446" s="31" t="s">
        <v>192</v>
      </c>
      <c r="AG446" t="b">
        <f>IF(Migrationsartikel!AB444="ja","true",FALSE)</f>
        <v>0</v>
      </c>
      <c r="AH446" t="b">
        <f>IF(Migrationsartikel!AC444="ja","true",FALSE)</f>
        <v>0</v>
      </c>
      <c r="AI446" t="b">
        <f>IF(Migrationsartikel!AD444="ja","true",FALSE)</f>
        <v>0</v>
      </c>
      <c r="AJ446" t="b">
        <f>IF(Migrationsartikel!AE444="ja","true",FALSE)</f>
        <v>0</v>
      </c>
      <c r="AK446" t="str">
        <f>IF(Migrationsartikel!AF444="ja","Denner Partner","")</f>
        <v/>
      </c>
      <c r="AL446" t="str">
        <f>IF(Migrationsartikel!AG444="ja","true","false")</f>
        <v>false</v>
      </c>
      <c r="AM446" t="str">
        <f t="shared" si="6"/>
        <v>PLU</v>
      </c>
      <c r="AN446" s="31" t="s">
        <v>219</v>
      </c>
      <c r="AO446" s="31" t="s">
        <v>217</v>
      </c>
    </row>
    <row r="447" spans="2:41" ht="21.75" customHeight="1" x14ac:dyDescent="0.45">
      <c r="B447" t="s">
        <v>99</v>
      </c>
      <c r="E447" s="31" t="s">
        <v>1857</v>
      </c>
      <c r="F447" t="str">
        <f>"Warengruppe&gt;&gt;"&amp;Migrationsartikel!V445&amp;"&gt;&gt;"&amp;Migrationsartikel!W445&amp;"&gt;&gt;"&amp;Migrationsartikel!X445</f>
        <v>Warengruppe&gt;&gt;&gt;&gt;&gt;&gt;</v>
      </c>
      <c r="H447" s="31" t="s">
        <v>109</v>
      </c>
      <c r="I447" s="31" t="s">
        <v>121</v>
      </c>
      <c r="J447" s="31">
        <f>Migrationsartikel!B445</f>
        <v>0</v>
      </c>
      <c r="O447">
        <f>Migrationsartikel!F445</f>
        <v>0</v>
      </c>
      <c r="P447">
        <f>Migrationsartikel!J445</f>
        <v>0</v>
      </c>
      <c r="Q447">
        <f>Migrationsartikel!N445</f>
        <v>0</v>
      </c>
      <c r="R447">
        <f>Migrationsartikel!G445</f>
        <v>0</v>
      </c>
      <c r="S447">
        <f>Migrationsartikel!K445</f>
        <v>0</v>
      </c>
      <c r="T447">
        <f>Migrationsartikel!O445</f>
        <v>0</v>
      </c>
      <c r="U447" s="31">
        <f>Migrationsartikel!H445</f>
        <v>0</v>
      </c>
      <c r="V447" s="31">
        <f>Migrationsartikel!L445</f>
        <v>0</v>
      </c>
      <c r="W447" s="31">
        <f>Migrationsartikel!P445</f>
        <v>0</v>
      </c>
      <c r="X447">
        <f>Migrationsartikel!I445</f>
        <v>0</v>
      </c>
      <c r="Y447">
        <f>Migrationsartikel!M445</f>
        <v>0</v>
      </c>
      <c r="Z447">
        <f>Migrationsartikel!Q445</f>
        <v>0</v>
      </c>
      <c r="AA447" s="45">
        <f>Migrationsartikel!R445</f>
        <v>0</v>
      </c>
      <c r="AB447" s="46">
        <f>Migrationsartikel!T445</f>
        <v>0</v>
      </c>
      <c r="AC447">
        <f>Migrationsartikel!S445</f>
        <v>0</v>
      </c>
      <c r="AD447">
        <f>Migrationsartikel!U445</f>
        <v>0</v>
      </c>
      <c r="AE447" s="31" t="s">
        <v>179</v>
      </c>
      <c r="AF447" s="31" t="s">
        <v>192</v>
      </c>
      <c r="AG447" t="b">
        <f>IF(Migrationsartikel!AB445="ja","true",FALSE)</f>
        <v>0</v>
      </c>
      <c r="AH447" t="b">
        <f>IF(Migrationsartikel!AC445="ja","true",FALSE)</f>
        <v>0</v>
      </c>
      <c r="AI447" t="b">
        <f>IF(Migrationsartikel!AD445="ja","true",FALSE)</f>
        <v>0</v>
      </c>
      <c r="AJ447" t="b">
        <f>IF(Migrationsartikel!AE445="ja","true",FALSE)</f>
        <v>0</v>
      </c>
      <c r="AK447" t="str">
        <f>IF(Migrationsartikel!AF445="ja","Denner Partner","")</f>
        <v/>
      </c>
      <c r="AL447" t="str">
        <f>IF(Migrationsartikel!AG445="ja","true","false")</f>
        <v>false</v>
      </c>
      <c r="AM447" t="str">
        <f t="shared" si="6"/>
        <v>PLU</v>
      </c>
      <c r="AN447" s="31" t="s">
        <v>219</v>
      </c>
      <c r="AO447" s="31" t="s">
        <v>217</v>
      </c>
    </row>
    <row r="448" spans="2:41" ht="21.75" customHeight="1" x14ac:dyDescent="0.45">
      <c r="B448" t="s">
        <v>99</v>
      </c>
      <c r="E448" s="31" t="s">
        <v>1858</v>
      </c>
      <c r="F448" t="str">
        <f>"Warengruppe&gt;&gt;"&amp;Migrationsartikel!V446&amp;"&gt;&gt;"&amp;Migrationsartikel!W446&amp;"&gt;&gt;"&amp;Migrationsartikel!X446</f>
        <v>Warengruppe&gt;&gt;&gt;&gt;&gt;&gt;</v>
      </c>
      <c r="H448" s="31" t="s">
        <v>109</v>
      </c>
      <c r="I448" s="31" t="s">
        <v>121</v>
      </c>
      <c r="J448" s="31">
        <f>Migrationsartikel!B446</f>
        <v>0</v>
      </c>
      <c r="O448">
        <f>Migrationsartikel!F446</f>
        <v>0</v>
      </c>
      <c r="P448">
        <f>Migrationsartikel!J446</f>
        <v>0</v>
      </c>
      <c r="Q448">
        <f>Migrationsartikel!N446</f>
        <v>0</v>
      </c>
      <c r="R448">
        <f>Migrationsartikel!G446</f>
        <v>0</v>
      </c>
      <c r="S448">
        <f>Migrationsartikel!K446</f>
        <v>0</v>
      </c>
      <c r="T448">
        <f>Migrationsartikel!O446</f>
        <v>0</v>
      </c>
      <c r="U448" s="31">
        <f>Migrationsartikel!H446</f>
        <v>0</v>
      </c>
      <c r="V448" s="31">
        <f>Migrationsartikel!L446</f>
        <v>0</v>
      </c>
      <c r="W448" s="31">
        <f>Migrationsartikel!P446</f>
        <v>0</v>
      </c>
      <c r="X448">
        <f>Migrationsartikel!I446</f>
        <v>0</v>
      </c>
      <c r="Y448">
        <f>Migrationsartikel!M446</f>
        <v>0</v>
      </c>
      <c r="Z448">
        <f>Migrationsartikel!Q446</f>
        <v>0</v>
      </c>
      <c r="AA448" s="45">
        <f>Migrationsartikel!R446</f>
        <v>0</v>
      </c>
      <c r="AB448" s="46">
        <f>Migrationsartikel!T446</f>
        <v>0</v>
      </c>
      <c r="AC448">
        <f>Migrationsartikel!S446</f>
        <v>0</v>
      </c>
      <c r="AD448">
        <f>Migrationsartikel!U446</f>
        <v>0</v>
      </c>
      <c r="AE448" s="31" t="s">
        <v>179</v>
      </c>
      <c r="AF448" s="31" t="s">
        <v>192</v>
      </c>
      <c r="AG448" t="b">
        <f>IF(Migrationsartikel!AB446="ja","true",FALSE)</f>
        <v>0</v>
      </c>
      <c r="AH448" t="b">
        <f>IF(Migrationsartikel!AC446="ja","true",FALSE)</f>
        <v>0</v>
      </c>
      <c r="AI448" t="b">
        <f>IF(Migrationsartikel!AD446="ja","true",FALSE)</f>
        <v>0</v>
      </c>
      <c r="AJ448" t="b">
        <f>IF(Migrationsartikel!AE446="ja","true",FALSE)</f>
        <v>0</v>
      </c>
      <c r="AK448" t="str">
        <f>IF(Migrationsartikel!AF446="ja","Denner Partner","")</f>
        <v/>
      </c>
      <c r="AL448" t="str">
        <f>IF(Migrationsartikel!AG446="ja","true","false")</f>
        <v>false</v>
      </c>
      <c r="AM448" t="str">
        <f t="shared" si="6"/>
        <v>PLU</v>
      </c>
      <c r="AN448" s="31" t="s">
        <v>219</v>
      </c>
      <c r="AO448" s="31" t="s">
        <v>217</v>
      </c>
    </row>
    <row r="449" spans="2:41" ht="21.75" customHeight="1" x14ac:dyDescent="0.45">
      <c r="B449" t="s">
        <v>99</v>
      </c>
      <c r="E449" s="31" t="s">
        <v>1859</v>
      </c>
      <c r="F449" t="str">
        <f>"Warengruppe&gt;&gt;"&amp;Migrationsartikel!V447&amp;"&gt;&gt;"&amp;Migrationsartikel!W447&amp;"&gt;&gt;"&amp;Migrationsartikel!X447</f>
        <v>Warengruppe&gt;&gt;&gt;&gt;&gt;&gt;</v>
      </c>
      <c r="H449" s="31" t="s">
        <v>109</v>
      </c>
      <c r="I449" s="31" t="s">
        <v>121</v>
      </c>
      <c r="J449" s="31">
        <f>Migrationsartikel!B447</f>
        <v>0</v>
      </c>
      <c r="O449">
        <f>Migrationsartikel!F447</f>
        <v>0</v>
      </c>
      <c r="P449">
        <f>Migrationsartikel!J447</f>
        <v>0</v>
      </c>
      <c r="Q449">
        <f>Migrationsartikel!N447</f>
        <v>0</v>
      </c>
      <c r="R449">
        <f>Migrationsartikel!G447</f>
        <v>0</v>
      </c>
      <c r="S449">
        <f>Migrationsartikel!K447</f>
        <v>0</v>
      </c>
      <c r="T449">
        <f>Migrationsartikel!O447</f>
        <v>0</v>
      </c>
      <c r="U449" s="31">
        <f>Migrationsartikel!H447</f>
        <v>0</v>
      </c>
      <c r="V449" s="31">
        <f>Migrationsartikel!L447</f>
        <v>0</v>
      </c>
      <c r="W449" s="31">
        <f>Migrationsartikel!P447</f>
        <v>0</v>
      </c>
      <c r="X449">
        <f>Migrationsartikel!I447</f>
        <v>0</v>
      </c>
      <c r="Y449">
        <f>Migrationsartikel!M447</f>
        <v>0</v>
      </c>
      <c r="Z449">
        <f>Migrationsartikel!Q447</f>
        <v>0</v>
      </c>
      <c r="AA449" s="45">
        <f>Migrationsartikel!R447</f>
        <v>0</v>
      </c>
      <c r="AB449" s="46">
        <f>Migrationsartikel!T447</f>
        <v>0</v>
      </c>
      <c r="AC449">
        <f>Migrationsartikel!S447</f>
        <v>0</v>
      </c>
      <c r="AD449">
        <f>Migrationsartikel!U447</f>
        <v>0</v>
      </c>
      <c r="AE449" s="31" t="s">
        <v>179</v>
      </c>
      <c r="AF449" s="31" t="s">
        <v>192</v>
      </c>
      <c r="AG449" t="b">
        <f>IF(Migrationsartikel!AB447="ja","true",FALSE)</f>
        <v>0</v>
      </c>
      <c r="AH449" t="b">
        <f>IF(Migrationsartikel!AC447="ja","true",FALSE)</f>
        <v>0</v>
      </c>
      <c r="AI449" t="b">
        <f>IF(Migrationsartikel!AD447="ja","true",FALSE)</f>
        <v>0</v>
      </c>
      <c r="AJ449" t="b">
        <f>IF(Migrationsartikel!AE447="ja","true",FALSE)</f>
        <v>0</v>
      </c>
      <c r="AK449" t="str">
        <f>IF(Migrationsartikel!AF447="ja","Denner Partner","")</f>
        <v/>
      </c>
      <c r="AL449" t="str">
        <f>IF(Migrationsartikel!AG447="ja","true","false")</f>
        <v>false</v>
      </c>
      <c r="AM449" t="str">
        <f t="shared" si="6"/>
        <v>PLU</v>
      </c>
      <c r="AN449" s="31" t="s">
        <v>219</v>
      </c>
      <c r="AO449" s="31" t="s">
        <v>217</v>
      </c>
    </row>
    <row r="450" spans="2:41" ht="21.75" customHeight="1" x14ac:dyDescent="0.45">
      <c r="B450" t="s">
        <v>99</v>
      </c>
      <c r="E450" s="31" t="s">
        <v>1860</v>
      </c>
      <c r="F450" t="str">
        <f>"Warengruppe&gt;&gt;"&amp;Migrationsartikel!V448&amp;"&gt;&gt;"&amp;Migrationsartikel!W448&amp;"&gt;&gt;"&amp;Migrationsartikel!X448</f>
        <v>Warengruppe&gt;&gt;&gt;&gt;&gt;&gt;</v>
      </c>
      <c r="H450" s="31" t="s">
        <v>109</v>
      </c>
      <c r="I450" s="31" t="s">
        <v>121</v>
      </c>
      <c r="J450" s="31">
        <f>Migrationsartikel!B448</f>
        <v>0</v>
      </c>
      <c r="O450">
        <f>Migrationsartikel!F448</f>
        <v>0</v>
      </c>
      <c r="P450">
        <f>Migrationsartikel!J448</f>
        <v>0</v>
      </c>
      <c r="Q450">
        <f>Migrationsartikel!N448</f>
        <v>0</v>
      </c>
      <c r="R450">
        <f>Migrationsartikel!G448</f>
        <v>0</v>
      </c>
      <c r="S450">
        <f>Migrationsartikel!K448</f>
        <v>0</v>
      </c>
      <c r="T450">
        <f>Migrationsartikel!O448</f>
        <v>0</v>
      </c>
      <c r="U450" s="31">
        <f>Migrationsartikel!H448</f>
        <v>0</v>
      </c>
      <c r="V450" s="31">
        <f>Migrationsartikel!L448</f>
        <v>0</v>
      </c>
      <c r="W450" s="31">
        <f>Migrationsartikel!P448</f>
        <v>0</v>
      </c>
      <c r="X450">
        <f>Migrationsartikel!I448</f>
        <v>0</v>
      </c>
      <c r="Y450">
        <f>Migrationsartikel!M448</f>
        <v>0</v>
      </c>
      <c r="Z450">
        <f>Migrationsartikel!Q448</f>
        <v>0</v>
      </c>
      <c r="AA450" s="45">
        <f>Migrationsartikel!R448</f>
        <v>0</v>
      </c>
      <c r="AB450" s="46">
        <f>Migrationsartikel!T448</f>
        <v>0</v>
      </c>
      <c r="AC450">
        <f>Migrationsartikel!S448</f>
        <v>0</v>
      </c>
      <c r="AD450">
        <f>Migrationsartikel!U448</f>
        <v>0</v>
      </c>
      <c r="AE450" s="31" t="s">
        <v>179</v>
      </c>
      <c r="AF450" s="31" t="s">
        <v>192</v>
      </c>
      <c r="AG450" t="b">
        <f>IF(Migrationsartikel!AB448="ja","true",FALSE)</f>
        <v>0</v>
      </c>
      <c r="AH450" t="b">
        <f>IF(Migrationsartikel!AC448="ja","true",FALSE)</f>
        <v>0</v>
      </c>
      <c r="AI450" t="b">
        <f>IF(Migrationsartikel!AD448="ja","true",FALSE)</f>
        <v>0</v>
      </c>
      <c r="AJ450" t="b">
        <f>IF(Migrationsartikel!AE448="ja","true",FALSE)</f>
        <v>0</v>
      </c>
      <c r="AK450" t="str">
        <f>IF(Migrationsartikel!AF448="ja","Denner Partner","")</f>
        <v/>
      </c>
      <c r="AL450" t="str">
        <f>IF(Migrationsartikel!AG448="ja","true","false")</f>
        <v>false</v>
      </c>
      <c r="AM450" t="str">
        <f t="shared" si="6"/>
        <v>PLU</v>
      </c>
      <c r="AN450" s="31" t="s">
        <v>219</v>
      </c>
      <c r="AO450" s="31" t="s">
        <v>217</v>
      </c>
    </row>
    <row r="451" spans="2:41" ht="21.75" customHeight="1" x14ac:dyDescent="0.45">
      <c r="B451" t="s">
        <v>99</v>
      </c>
      <c r="E451" s="31" t="s">
        <v>1861</v>
      </c>
      <c r="F451" t="str">
        <f>"Warengruppe&gt;&gt;"&amp;Migrationsartikel!V449&amp;"&gt;&gt;"&amp;Migrationsartikel!W449&amp;"&gt;&gt;"&amp;Migrationsartikel!X449</f>
        <v>Warengruppe&gt;&gt;&gt;&gt;&gt;&gt;</v>
      </c>
      <c r="H451" s="31" t="s">
        <v>109</v>
      </c>
      <c r="I451" s="31" t="s">
        <v>121</v>
      </c>
      <c r="J451" s="31">
        <f>Migrationsartikel!B449</f>
        <v>0</v>
      </c>
      <c r="O451">
        <f>Migrationsartikel!F449</f>
        <v>0</v>
      </c>
      <c r="P451">
        <f>Migrationsartikel!J449</f>
        <v>0</v>
      </c>
      <c r="Q451">
        <f>Migrationsartikel!N449</f>
        <v>0</v>
      </c>
      <c r="R451">
        <f>Migrationsartikel!G449</f>
        <v>0</v>
      </c>
      <c r="S451">
        <f>Migrationsartikel!K449</f>
        <v>0</v>
      </c>
      <c r="T451">
        <f>Migrationsartikel!O449</f>
        <v>0</v>
      </c>
      <c r="U451" s="31">
        <f>Migrationsartikel!H449</f>
        <v>0</v>
      </c>
      <c r="V451" s="31">
        <f>Migrationsartikel!L449</f>
        <v>0</v>
      </c>
      <c r="W451" s="31">
        <f>Migrationsartikel!P449</f>
        <v>0</v>
      </c>
      <c r="X451">
        <f>Migrationsartikel!I449</f>
        <v>0</v>
      </c>
      <c r="Y451">
        <f>Migrationsartikel!M449</f>
        <v>0</v>
      </c>
      <c r="Z451">
        <f>Migrationsartikel!Q449</f>
        <v>0</v>
      </c>
      <c r="AA451" s="45">
        <f>Migrationsartikel!R449</f>
        <v>0</v>
      </c>
      <c r="AB451" s="46">
        <f>Migrationsartikel!T449</f>
        <v>0</v>
      </c>
      <c r="AC451">
        <f>Migrationsartikel!S449</f>
        <v>0</v>
      </c>
      <c r="AD451">
        <f>Migrationsartikel!U449</f>
        <v>0</v>
      </c>
      <c r="AE451" s="31" t="s">
        <v>179</v>
      </c>
      <c r="AF451" s="31" t="s">
        <v>192</v>
      </c>
      <c r="AG451" t="b">
        <f>IF(Migrationsartikel!AB449="ja","true",FALSE)</f>
        <v>0</v>
      </c>
      <c r="AH451" t="b">
        <f>IF(Migrationsartikel!AC449="ja","true",FALSE)</f>
        <v>0</v>
      </c>
      <c r="AI451" t="b">
        <f>IF(Migrationsartikel!AD449="ja","true",FALSE)</f>
        <v>0</v>
      </c>
      <c r="AJ451" t="b">
        <f>IF(Migrationsartikel!AE449="ja","true",FALSE)</f>
        <v>0</v>
      </c>
      <c r="AK451" t="str">
        <f>IF(Migrationsartikel!AF449="ja","Denner Partner","")</f>
        <v/>
      </c>
      <c r="AL451" t="str">
        <f>IF(Migrationsartikel!AG449="ja","true","false")</f>
        <v>false</v>
      </c>
      <c r="AM451" t="str">
        <f t="shared" si="6"/>
        <v>PLU</v>
      </c>
      <c r="AN451" s="31" t="s">
        <v>219</v>
      </c>
      <c r="AO451" s="31" t="s">
        <v>217</v>
      </c>
    </row>
    <row r="452" spans="2:41" ht="21.75" customHeight="1" x14ac:dyDescent="0.45">
      <c r="B452" t="s">
        <v>99</v>
      </c>
      <c r="E452" s="31" t="s">
        <v>1862</v>
      </c>
      <c r="F452" t="str">
        <f>"Warengruppe&gt;&gt;"&amp;Migrationsartikel!V450&amp;"&gt;&gt;"&amp;Migrationsartikel!W450&amp;"&gt;&gt;"&amp;Migrationsartikel!X450</f>
        <v>Warengruppe&gt;&gt;&gt;&gt;&gt;&gt;</v>
      </c>
      <c r="H452" s="31" t="s">
        <v>109</v>
      </c>
      <c r="I452" s="31" t="s">
        <v>121</v>
      </c>
      <c r="J452" s="31">
        <f>Migrationsartikel!B450</f>
        <v>0</v>
      </c>
      <c r="O452">
        <f>Migrationsartikel!F450</f>
        <v>0</v>
      </c>
      <c r="P452">
        <f>Migrationsartikel!J450</f>
        <v>0</v>
      </c>
      <c r="Q452">
        <f>Migrationsartikel!N450</f>
        <v>0</v>
      </c>
      <c r="R452">
        <f>Migrationsartikel!G450</f>
        <v>0</v>
      </c>
      <c r="S452">
        <f>Migrationsartikel!K450</f>
        <v>0</v>
      </c>
      <c r="T452">
        <f>Migrationsartikel!O450</f>
        <v>0</v>
      </c>
      <c r="U452" s="31">
        <f>Migrationsartikel!H450</f>
        <v>0</v>
      </c>
      <c r="V452" s="31">
        <f>Migrationsartikel!L450</f>
        <v>0</v>
      </c>
      <c r="W452" s="31">
        <f>Migrationsartikel!P450</f>
        <v>0</v>
      </c>
      <c r="X452">
        <f>Migrationsartikel!I450</f>
        <v>0</v>
      </c>
      <c r="Y452">
        <f>Migrationsartikel!M450</f>
        <v>0</v>
      </c>
      <c r="Z452">
        <f>Migrationsartikel!Q450</f>
        <v>0</v>
      </c>
      <c r="AA452" s="45">
        <f>Migrationsartikel!R450</f>
        <v>0</v>
      </c>
      <c r="AB452" s="46">
        <f>Migrationsartikel!T450</f>
        <v>0</v>
      </c>
      <c r="AC452">
        <f>Migrationsartikel!S450</f>
        <v>0</v>
      </c>
      <c r="AD452">
        <f>Migrationsartikel!U450</f>
        <v>0</v>
      </c>
      <c r="AE452" s="31" t="s">
        <v>179</v>
      </c>
      <c r="AF452" s="31" t="s">
        <v>192</v>
      </c>
      <c r="AG452" t="b">
        <f>IF(Migrationsartikel!AB450="ja","true",FALSE)</f>
        <v>0</v>
      </c>
      <c r="AH452" t="b">
        <f>IF(Migrationsartikel!AC450="ja","true",FALSE)</f>
        <v>0</v>
      </c>
      <c r="AI452" t="b">
        <f>IF(Migrationsartikel!AD450="ja","true",FALSE)</f>
        <v>0</v>
      </c>
      <c r="AJ452" t="b">
        <f>IF(Migrationsartikel!AE450="ja","true",FALSE)</f>
        <v>0</v>
      </c>
      <c r="AK452" t="str">
        <f>IF(Migrationsartikel!AF450="ja","Denner Partner","")</f>
        <v/>
      </c>
      <c r="AL452" t="str">
        <f>IF(Migrationsartikel!AG450="ja","true","false")</f>
        <v>false</v>
      </c>
      <c r="AM452" t="str">
        <f t="shared" si="6"/>
        <v>PLU</v>
      </c>
      <c r="AN452" s="31" t="s">
        <v>219</v>
      </c>
      <c r="AO452" s="31" t="s">
        <v>217</v>
      </c>
    </row>
    <row r="453" spans="2:41" ht="21.75" customHeight="1" x14ac:dyDescent="0.45">
      <c r="B453" t="s">
        <v>99</v>
      </c>
      <c r="E453" s="31" t="s">
        <v>1863</v>
      </c>
      <c r="F453" t="str">
        <f>"Warengruppe&gt;&gt;"&amp;Migrationsartikel!V451&amp;"&gt;&gt;"&amp;Migrationsartikel!W451&amp;"&gt;&gt;"&amp;Migrationsartikel!X451</f>
        <v>Warengruppe&gt;&gt;&gt;&gt;&gt;&gt;</v>
      </c>
      <c r="H453" s="31" t="s">
        <v>109</v>
      </c>
      <c r="I453" s="31" t="s">
        <v>121</v>
      </c>
      <c r="J453" s="31">
        <f>Migrationsartikel!B451</f>
        <v>0</v>
      </c>
      <c r="O453">
        <f>Migrationsartikel!F451</f>
        <v>0</v>
      </c>
      <c r="P453">
        <f>Migrationsartikel!J451</f>
        <v>0</v>
      </c>
      <c r="Q453">
        <f>Migrationsartikel!N451</f>
        <v>0</v>
      </c>
      <c r="R453">
        <f>Migrationsartikel!G451</f>
        <v>0</v>
      </c>
      <c r="S453">
        <f>Migrationsartikel!K451</f>
        <v>0</v>
      </c>
      <c r="T453">
        <f>Migrationsartikel!O451</f>
        <v>0</v>
      </c>
      <c r="U453" s="31">
        <f>Migrationsartikel!H451</f>
        <v>0</v>
      </c>
      <c r="V453" s="31">
        <f>Migrationsartikel!L451</f>
        <v>0</v>
      </c>
      <c r="W453" s="31">
        <f>Migrationsartikel!P451</f>
        <v>0</v>
      </c>
      <c r="X453">
        <f>Migrationsartikel!I451</f>
        <v>0</v>
      </c>
      <c r="Y453">
        <f>Migrationsartikel!M451</f>
        <v>0</v>
      </c>
      <c r="Z453">
        <f>Migrationsartikel!Q451</f>
        <v>0</v>
      </c>
      <c r="AA453" s="45">
        <f>Migrationsartikel!R451</f>
        <v>0</v>
      </c>
      <c r="AB453" s="46">
        <f>Migrationsartikel!T451</f>
        <v>0</v>
      </c>
      <c r="AC453">
        <f>Migrationsartikel!S451</f>
        <v>0</v>
      </c>
      <c r="AD453">
        <f>Migrationsartikel!U451</f>
        <v>0</v>
      </c>
      <c r="AE453" s="31" t="s">
        <v>179</v>
      </c>
      <c r="AF453" s="31" t="s">
        <v>192</v>
      </c>
      <c r="AG453" t="b">
        <f>IF(Migrationsartikel!AB451="ja","true",FALSE)</f>
        <v>0</v>
      </c>
      <c r="AH453" t="b">
        <f>IF(Migrationsartikel!AC451="ja","true",FALSE)</f>
        <v>0</v>
      </c>
      <c r="AI453" t="b">
        <f>IF(Migrationsartikel!AD451="ja","true",FALSE)</f>
        <v>0</v>
      </c>
      <c r="AJ453" t="b">
        <f>IF(Migrationsartikel!AE451="ja","true",FALSE)</f>
        <v>0</v>
      </c>
      <c r="AK453" t="str">
        <f>IF(Migrationsartikel!AF451="ja","Denner Partner","")</f>
        <v/>
      </c>
      <c r="AL453" t="str">
        <f>IF(Migrationsartikel!AG451="ja","true","false")</f>
        <v>false</v>
      </c>
      <c r="AM453" t="str">
        <f t="shared" ref="AM453:AM494" si="7">IF(J453&lt;&gt;"","PLU","Kassentastenbelegung (ohne GTIN/PLU)")</f>
        <v>PLU</v>
      </c>
      <c r="AN453" s="31" t="s">
        <v>219</v>
      </c>
      <c r="AO453" s="31" t="s">
        <v>217</v>
      </c>
    </row>
    <row r="454" spans="2:41" ht="21.75" customHeight="1" x14ac:dyDescent="0.45">
      <c r="B454" t="s">
        <v>99</v>
      </c>
      <c r="E454" s="31" t="s">
        <v>1864</v>
      </c>
      <c r="F454" t="str">
        <f>"Warengruppe&gt;&gt;"&amp;Migrationsartikel!V452&amp;"&gt;&gt;"&amp;Migrationsartikel!W452&amp;"&gt;&gt;"&amp;Migrationsartikel!X452</f>
        <v>Warengruppe&gt;&gt;&gt;&gt;&gt;&gt;</v>
      </c>
      <c r="H454" s="31" t="s">
        <v>109</v>
      </c>
      <c r="I454" s="31" t="s">
        <v>121</v>
      </c>
      <c r="J454" s="31">
        <f>Migrationsartikel!B452</f>
        <v>0</v>
      </c>
      <c r="O454">
        <f>Migrationsartikel!F452</f>
        <v>0</v>
      </c>
      <c r="P454">
        <f>Migrationsartikel!J452</f>
        <v>0</v>
      </c>
      <c r="Q454">
        <f>Migrationsartikel!N452</f>
        <v>0</v>
      </c>
      <c r="R454">
        <f>Migrationsartikel!G452</f>
        <v>0</v>
      </c>
      <c r="S454">
        <f>Migrationsartikel!K452</f>
        <v>0</v>
      </c>
      <c r="T454">
        <f>Migrationsartikel!O452</f>
        <v>0</v>
      </c>
      <c r="U454" s="31">
        <f>Migrationsartikel!H452</f>
        <v>0</v>
      </c>
      <c r="V454" s="31">
        <f>Migrationsartikel!L452</f>
        <v>0</v>
      </c>
      <c r="W454" s="31">
        <f>Migrationsartikel!P452</f>
        <v>0</v>
      </c>
      <c r="X454">
        <f>Migrationsartikel!I452</f>
        <v>0</v>
      </c>
      <c r="Y454">
        <f>Migrationsartikel!M452</f>
        <v>0</v>
      </c>
      <c r="Z454">
        <f>Migrationsartikel!Q452</f>
        <v>0</v>
      </c>
      <c r="AA454" s="45">
        <f>Migrationsartikel!R452</f>
        <v>0</v>
      </c>
      <c r="AB454" s="46">
        <f>Migrationsartikel!T452</f>
        <v>0</v>
      </c>
      <c r="AC454">
        <f>Migrationsartikel!S452</f>
        <v>0</v>
      </c>
      <c r="AD454">
        <f>Migrationsartikel!U452</f>
        <v>0</v>
      </c>
      <c r="AE454" s="31" t="s">
        <v>179</v>
      </c>
      <c r="AF454" s="31" t="s">
        <v>192</v>
      </c>
      <c r="AG454" t="b">
        <f>IF(Migrationsartikel!AB452="ja","true",FALSE)</f>
        <v>0</v>
      </c>
      <c r="AH454" t="b">
        <f>IF(Migrationsartikel!AC452="ja","true",FALSE)</f>
        <v>0</v>
      </c>
      <c r="AI454" t="b">
        <f>IF(Migrationsartikel!AD452="ja","true",FALSE)</f>
        <v>0</v>
      </c>
      <c r="AJ454" t="b">
        <f>IF(Migrationsartikel!AE452="ja","true",FALSE)</f>
        <v>0</v>
      </c>
      <c r="AK454" t="str">
        <f>IF(Migrationsartikel!AF452="ja","Denner Partner","")</f>
        <v/>
      </c>
      <c r="AL454" t="str">
        <f>IF(Migrationsartikel!AG452="ja","true","false")</f>
        <v>false</v>
      </c>
      <c r="AM454" t="str">
        <f t="shared" si="7"/>
        <v>PLU</v>
      </c>
      <c r="AN454" s="31" t="s">
        <v>219</v>
      </c>
      <c r="AO454" s="31" t="s">
        <v>217</v>
      </c>
    </row>
    <row r="455" spans="2:41" ht="21.75" customHeight="1" x14ac:dyDescent="0.45">
      <c r="B455" t="s">
        <v>99</v>
      </c>
      <c r="E455" s="31" t="s">
        <v>1865</v>
      </c>
      <c r="F455" t="str">
        <f>"Warengruppe&gt;&gt;"&amp;Migrationsartikel!V453&amp;"&gt;&gt;"&amp;Migrationsartikel!W453&amp;"&gt;&gt;"&amp;Migrationsartikel!X453</f>
        <v>Warengruppe&gt;&gt;&gt;&gt;&gt;&gt;</v>
      </c>
      <c r="H455" s="31" t="s">
        <v>109</v>
      </c>
      <c r="I455" s="31" t="s">
        <v>121</v>
      </c>
      <c r="J455" s="31">
        <f>Migrationsartikel!B453</f>
        <v>0</v>
      </c>
      <c r="O455">
        <f>Migrationsartikel!F453</f>
        <v>0</v>
      </c>
      <c r="P455">
        <f>Migrationsartikel!J453</f>
        <v>0</v>
      </c>
      <c r="Q455">
        <f>Migrationsartikel!N453</f>
        <v>0</v>
      </c>
      <c r="R455">
        <f>Migrationsartikel!G453</f>
        <v>0</v>
      </c>
      <c r="S455">
        <f>Migrationsartikel!K453</f>
        <v>0</v>
      </c>
      <c r="T455">
        <f>Migrationsartikel!O453</f>
        <v>0</v>
      </c>
      <c r="U455" s="31">
        <f>Migrationsartikel!H453</f>
        <v>0</v>
      </c>
      <c r="V455" s="31">
        <f>Migrationsartikel!L453</f>
        <v>0</v>
      </c>
      <c r="W455" s="31">
        <f>Migrationsartikel!P453</f>
        <v>0</v>
      </c>
      <c r="X455">
        <f>Migrationsartikel!I453</f>
        <v>0</v>
      </c>
      <c r="Y455">
        <f>Migrationsartikel!M453</f>
        <v>0</v>
      </c>
      <c r="Z455">
        <f>Migrationsartikel!Q453</f>
        <v>0</v>
      </c>
      <c r="AA455" s="45">
        <f>Migrationsartikel!R453</f>
        <v>0</v>
      </c>
      <c r="AB455" s="46">
        <f>Migrationsartikel!T453</f>
        <v>0</v>
      </c>
      <c r="AC455">
        <f>Migrationsartikel!S453</f>
        <v>0</v>
      </c>
      <c r="AD455">
        <f>Migrationsartikel!U453</f>
        <v>0</v>
      </c>
      <c r="AE455" s="31" t="s">
        <v>179</v>
      </c>
      <c r="AF455" s="31" t="s">
        <v>192</v>
      </c>
      <c r="AG455" t="b">
        <f>IF(Migrationsartikel!AB453="ja","true",FALSE)</f>
        <v>0</v>
      </c>
      <c r="AH455" t="b">
        <f>IF(Migrationsartikel!AC453="ja","true",FALSE)</f>
        <v>0</v>
      </c>
      <c r="AI455" t="b">
        <f>IF(Migrationsartikel!AD453="ja","true",FALSE)</f>
        <v>0</v>
      </c>
      <c r="AJ455" t="b">
        <f>IF(Migrationsartikel!AE453="ja","true",FALSE)</f>
        <v>0</v>
      </c>
      <c r="AK455" t="str">
        <f>IF(Migrationsartikel!AF453="ja","Denner Partner","")</f>
        <v/>
      </c>
      <c r="AL455" t="str">
        <f>IF(Migrationsartikel!AG453="ja","true","false")</f>
        <v>false</v>
      </c>
      <c r="AM455" t="str">
        <f t="shared" si="7"/>
        <v>PLU</v>
      </c>
      <c r="AN455" s="31" t="s">
        <v>219</v>
      </c>
      <c r="AO455" s="31" t="s">
        <v>217</v>
      </c>
    </row>
    <row r="456" spans="2:41" ht="21.75" customHeight="1" x14ac:dyDescent="0.45">
      <c r="B456" t="s">
        <v>99</v>
      </c>
      <c r="E456" s="31" t="s">
        <v>1866</v>
      </c>
      <c r="F456" t="str">
        <f>"Warengruppe&gt;&gt;"&amp;Migrationsartikel!V454&amp;"&gt;&gt;"&amp;Migrationsartikel!W454&amp;"&gt;&gt;"&amp;Migrationsartikel!X454</f>
        <v>Warengruppe&gt;&gt;&gt;&gt;&gt;&gt;</v>
      </c>
      <c r="H456" s="31" t="s">
        <v>109</v>
      </c>
      <c r="I456" s="31" t="s">
        <v>121</v>
      </c>
      <c r="J456" s="31">
        <f>Migrationsartikel!B454</f>
        <v>0</v>
      </c>
      <c r="O456">
        <f>Migrationsartikel!F454</f>
        <v>0</v>
      </c>
      <c r="P456">
        <f>Migrationsartikel!J454</f>
        <v>0</v>
      </c>
      <c r="Q456">
        <f>Migrationsartikel!N454</f>
        <v>0</v>
      </c>
      <c r="R456">
        <f>Migrationsartikel!G454</f>
        <v>0</v>
      </c>
      <c r="S456">
        <f>Migrationsartikel!K454</f>
        <v>0</v>
      </c>
      <c r="T456">
        <f>Migrationsartikel!O454</f>
        <v>0</v>
      </c>
      <c r="U456" s="31">
        <f>Migrationsartikel!H454</f>
        <v>0</v>
      </c>
      <c r="V456" s="31">
        <f>Migrationsartikel!L454</f>
        <v>0</v>
      </c>
      <c r="W456" s="31">
        <f>Migrationsartikel!P454</f>
        <v>0</v>
      </c>
      <c r="X456">
        <f>Migrationsartikel!I454</f>
        <v>0</v>
      </c>
      <c r="Y456">
        <f>Migrationsartikel!M454</f>
        <v>0</v>
      </c>
      <c r="Z456">
        <f>Migrationsartikel!Q454</f>
        <v>0</v>
      </c>
      <c r="AA456" s="45">
        <f>Migrationsartikel!R454</f>
        <v>0</v>
      </c>
      <c r="AB456" s="46">
        <f>Migrationsartikel!T454</f>
        <v>0</v>
      </c>
      <c r="AC456">
        <f>Migrationsartikel!S454</f>
        <v>0</v>
      </c>
      <c r="AD456">
        <f>Migrationsartikel!U454</f>
        <v>0</v>
      </c>
      <c r="AE456" s="31" t="s">
        <v>179</v>
      </c>
      <c r="AF456" s="31" t="s">
        <v>192</v>
      </c>
      <c r="AG456" t="b">
        <f>IF(Migrationsartikel!AB454="ja","true",FALSE)</f>
        <v>0</v>
      </c>
      <c r="AH456" t="b">
        <f>IF(Migrationsartikel!AC454="ja","true",FALSE)</f>
        <v>0</v>
      </c>
      <c r="AI456" t="b">
        <f>IF(Migrationsartikel!AD454="ja","true",FALSE)</f>
        <v>0</v>
      </c>
      <c r="AJ456" t="b">
        <f>IF(Migrationsartikel!AE454="ja","true",FALSE)</f>
        <v>0</v>
      </c>
      <c r="AK456" t="str">
        <f>IF(Migrationsartikel!AF454="ja","Denner Partner","")</f>
        <v/>
      </c>
      <c r="AL456" t="str">
        <f>IF(Migrationsartikel!AG454="ja","true","false")</f>
        <v>false</v>
      </c>
      <c r="AM456" t="str">
        <f t="shared" si="7"/>
        <v>PLU</v>
      </c>
      <c r="AN456" s="31" t="s">
        <v>219</v>
      </c>
      <c r="AO456" s="31" t="s">
        <v>217</v>
      </c>
    </row>
    <row r="457" spans="2:41" ht="21.75" customHeight="1" x14ac:dyDescent="0.45">
      <c r="B457" t="s">
        <v>99</v>
      </c>
      <c r="E457" s="31" t="s">
        <v>1867</v>
      </c>
      <c r="F457" t="str">
        <f>"Warengruppe&gt;&gt;"&amp;Migrationsartikel!V455&amp;"&gt;&gt;"&amp;Migrationsartikel!W455&amp;"&gt;&gt;"&amp;Migrationsartikel!X455</f>
        <v>Warengruppe&gt;&gt;&gt;&gt;&gt;&gt;</v>
      </c>
      <c r="H457" s="31" t="s">
        <v>109</v>
      </c>
      <c r="I457" s="31" t="s">
        <v>121</v>
      </c>
      <c r="J457" s="31">
        <f>Migrationsartikel!B455</f>
        <v>0</v>
      </c>
      <c r="O457">
        <f>Migrationsartikel!F455</f>
        <v>0</v>
      </c>
      <c r="P457">
        <f>Migrationsartikel!J455</f>
        <v>0</v>
      </c>
      <c r="Q457">
        <f>Migrationsartikel!N455</f>
        <v>0</v>
      </c>
      <c r="R457">
        <f>Migrationsartikel!G455</f>
        <v>0</v>
      </c>
      <c r="S457">
        <f>Migrationsartikel!K455</f>
        <v>0</v>
      </c>
      <c r="T457">
        <f>Migrationsartikel!O455</f>
        <v>0</v>
      </c>
      <c r="U457" s="31">
        <f>Migrationsartikel!H455</f>
        <v>0</v>
      </c>
      <c r="V457" s="31">
        <f>Migrationsartikel!L455</f>
        <v>0</v>
      </c>
      <c r="W457" s="31">
        <f>Migrationsartikel!P455</f>
        <v>0</v>
      </c>
      <c r="X457">
        <f>Migrationsartikel!I455</f>
        <v>0</v>
      </c>
      <c r="Y457">
        <f>Migrationsartikel!M455</f>
        <v>0</v>
      </c>
      <c r="Z457">
        <f>Migrationsartikel!Q455</f>
        <v>0</v>
      </c>
      <c r="AA457" s="45">
        <f>Migrationsartikel!R455</f>
        <v>0</v>
      </c>
      <c r="AB457" s="46">
        <f>Migrationsartikel!T455</f>
        <v>0</v>
      </c>
      <c r="AC457">
        <f>Migrationsartikel!S455</f>
        <v>0</v>
      </c>
      <c r="AD457">
        <f>Migrationsartikel!U455</f>
        <v>0</v>
      </c>
      <c r="AE457" s="31" t="s">
        <v>179</v>
      </c>
      <c r="AF457" s="31" t="s">
        <v>192</v>
      </c>
      <c r="AG457" t="b">
        <f>IF(Migrationsartikel!AB455="ja","true",FALSE)</f>
        <v>0</v>
      </c>
      <c r="AH457" t="b">
        <f>IF(Migrationsartikel!AC455="ja","true",FALSE)</f>
        <v>0</v>
      </c>
      <c r="AI457" t="b">
        <f>IF(Migrationsartikel!AD455="ja","true",FALSE)</f>
        <v>0</v>
      </c>
      <c r="AJ457" t="b">
        <f>IF(Migrationsartikel!AE455="ja","true",FALSE)</f>
        <v>0</v>
      </c>
      <c r="AK457" t="str">
        <f>IF(Migrationsartikel!AF455="ja","Denner Partner","")</f>
        <v/>
      </c>
      <c r="AL457" t="str">
        <f>IF(Migrationsartikel!AG455="ja","true","false")</f>
        <v>false</v>
      </c>
      <c r="AM457" t="str">
        <f t="shared" si="7"/>
        <v>PLU</v>
      </c>
      <c r="AN457" s="31" t="s">
        <v>219</v>
      </c>
      <c r="AO457" s="31" t="s">
        <v>217</v>
      </c>
    </row>
    <row r="458" spans="2:41" ht="21.75" customHeight="1" x14ac:dyDescent="0.45">
      <c r="B458" t="s">
        <v>99</v>
      </c>
      <c r="E458" s="31" t="s">
        <v>1868</v>
      </c>
      <c r="F458" t="str">
        <f>"Warengruppe&gt;&gt;"&amp;Migrationsartikel!V456&amp;"&gt;&gt;"&amp;Migrationsartikel!W456&amp;"&gt;&gt;"&amp;Migrationsartikel!X456</f>
        <v>Warengruppe&gt;&gt;&gt;&gt;&gt;&gt;</v>
      </c>
      <c r="H458" s="31" t="s">
        <v>109</v>
      </c>
      <c r="I458" s="31" t="s">
        <v>121</v>
      </c>
      <c r="J458" s="31">
        <f>Migrationsartikel!B456</f>
        <v>0</v>
      </c>
      <c r="O458">
        <f>Migrationsartikel!F456</f>
        <v>0</v>
      </c>
      <c r="P458">
        <f>Migrationsartikel!J456</f>
        <v>0</v>
      </c>
      <c r="Q458">
        <f>Migrationsartikel!N456</f>
        <v>0</v>
      </c>
      <c r="R458">
        <f>Migrationsartikel!G456</f>
        <v>0</v>
      </c>
      <c r="S458">
        <f>Migrationsartikel!K456</f>
        <v>0</v>
      </c>
      <c r="T458">
        <f>Migrationsartikel!O456</f>
        <v>0</v>
      </c>
      <c r="U458" s="31">
        <f>Migrationsartikel!H456</f>
        <v>0</v>
      </c>
      <c r="V458" s="31">
        <f>Migrationsartikel!L456</f>
        <v>0</v>
      </c>
      <c r="W458" s="31">
        <f>Migrationsartikel!P456</f>
        <v>0</v>
      </c>
      <c r="X458">
        <f>Migrationsartikel!I456</f>
        <v>0</v>
      </c>
      <c r="Y458">
        <f>Migrationsartikel!M456</f>
        <v>0</v>
      </c>
      <c r="Z458">
        <f>Migrationsartikel!Q456</f>
        <v>0</v>
      </c>
      <c r="AA458" s="45">
        <f>Migrationsartikel!R456</f>
        <v>0</v>
      </c>
      <c r="AB458" s="46">
        <f>Migrationsartikel!T456</f>
        <v>0</v>
      </c>
      <c r="AC458">
        <f>Migrationsartikel!S456</f>
        <v>0</v>
      </c>
      <c r="AD458">
        <f>Migrationsartikel!U456</f>
        <v>0</v>
      </c>
      <c r="AE458" s="31" t="s">
        <v>179</v>
      </c>
      <c r="AF458" s="31" t="s">
        <v>192</v>
      </c>
      <c r="AG458" t="b">
        <f>IF(Migrationsartikel!AB456="ja","true",FALSE)</f>
        <v>0</v>
      </c>
      <c r="AH458" t="b">
        <f>IF(Migrationsartikel!AC456="ja","true",FALSE)</f>
        <v>0</v>
      </c>
      <c r="AI458" t="b">
        <f>IF(Migrationsartikel!AD456="ja","true",FALSE)</f>
        <v>0</v>
      </c>
      <c r="AJ458" t="b">
        <f>IF(Migrationsartikel!AE456="ja","true",FALSE)</f>
        <v>0</v>
      </c>
      <c r="AK458" t="str">
        <f>IF(Migrationsartikel!AF456="ja","Denner Partner","")</f>
        <v/>
      </c>
      <c r="AL458" t="str">
        <f>IF(Migrationsartikel!AG456="ja","true","false")</f>
        <v>false</v>
      </c>
      <c r="AM458" t="str">
        <f t="shared" si="7"/>
        <v>PLU</v>
      </c>
      <c r="AN458" s="31" t="s">
        <v>219</v>
      </c>
      <c r="AO458" s="31" t="s">
        <v>217</v>
      </c>
    </row>
    <row r="459" spans="2:41" ht="21.75" customHeight="1" x14ac:dyDescent="0.45">
      <c r="B459" t="s">
        <v>99</v>
      </c>
      <c r="E459" s="31" t="s">
        <v>1869</v>
      </c>
      <c r="F459" t="str">
        <f>"Warengruppe&gt;&gt;"&amp;Migrationsartikel!V457&amp;"&gt;&gt;"&amp;Migrationsartikel!W457&amp;"&gt;&gt;"&amp;Migrationsartikel!X457</f>
        <v>Warengruppe&gt;&gt;&gt;&gt;&gt;&gt;</v>
      </c>
      <c r="H459" s="31" t="s">
        <v>109</v>
      </c>
      <c r="I459" s="31" t="s">
        <v>121</v>
      </c>
      <c r="J459" s="31">
        <f>Migrationsartikel!B457</f>
        <v>0</v>
      </c>
      <c r="O459">
        <f>Migrationsartikel!F457</f>
        <v>0</v>
      </c>
      <c r="P459">
        <f>Migrationsartikel!J457</f>
        <v>0</v>
      </c>
      <c r="Q459">
        <f>Migrationsartikel!N457</f>
        <v>0</v>
      </c>
      <c r="R459">
        <f>Migrationsartikel!G457</f>
        <v>0</v>
      </c>
      <c r="S459">
        <f>Migrationsartikel!K457</f>
        <v>0</v>
      </c>
      <c r="T459">
        <f>Migrationsartikel!O457</f>
        <v>0</v>
      </c>
      <c r="U459" s="31">
        <f>Migrationsartikel!H457</f>
        <v>0</v>
      </c>
      <c r="V459" s="31">
        <f>Migrationsartikel!L457</f>
        <v>0</v>
      </c>
      <c r="W459" s="31">
        <f>Migrationsartikel!P457</f>
        <v>0</v>
      </c>
      <c r="X459">
        <f>Migrationsartikel!I457</f>
        <v>0</v>
      </c>
      <c r="Y459">
        <f>Migrationsartikel!M457</f>
        <v>0</v>
      </c>
      <c r="Z459">
        <f>Migrationsartikel!Q457</f>
        <v>0</v>
      </c>
      <c r="AA459" s="45">
        <f>Migrationsartikel!R457</f>
        <v>0</v>
      </c>
      <c r="AB459" s="46">
        <f>Migrationsartikel!T457</f>
        <v>0</v>
      </c>
      <c r="AC459">
        <f>Migrationsartikel!S457</f>
        <v>0</v>
      </c>
      <c r="AD459">
        <f>Migrationsartikel!U457</f>
        <v>0</v>
      </c>
      <c r="AE459" s="31" t="s">
        <v>179</v>
      </c>
      <c r="AF459" s="31" t="s">
        <v>192</v>
      </c>
      <c r="AG459" t="b">
        <f>IF(Migrationsartikel!AB457="ja","true",FALSE)</f>
        <v>0</v>
      </c>
      <c r="AH459" t="b">
        <f>IF(Migrationsartikel!AC457="ja","true",FALSE)</f>
        <v>0</v>
      </c>
      <c r="AI459" t="b">
        <f>IF(Migrationsartikel!AD457="ja","true",FALSE)</f>
        <v>0</v>
      </c>
      <c r="AJ459" t="b">
        <f>IF(Migrationsartikel!AE457="ja","true",FALSE)</f>
        <v>0</v>
      </c>
      <c r="AK459" t="str">
        <f>IF(Migrationsartikel!AF457="ja","Denner Partner","")</f>
        <v/>
      </c>
      <c r="AL459" t="str">
        <f>IF(Migrationsartikel!AG457="ja","true","false")</f>
        <v>false</v>
      </c>
      <c r="AM459" t="str">
        <f t="shared" si="7"/>
        <v>PLU</v>
      </c>
      <c r="AN459" s="31" t="s">
        <v>219</v>
      </c>
      <c r="AO459" s="31" t="s">
        <v>217</v>
      </c>
    </row>
    <row r="460" spans="2:41" ht="21.75" customHeight="1" x14ac:dyDescent="0.45">
      <c r="B460" t="s">
        <v>99</v>
      </c>
      <c r="E460" s="31" t="s">
        <v>1870</v>
      </c>
      <c r="F460" t="str">
        <f>"Warengruppe&gt;&gt;"&amp;Migrationsartikel!V458&amp;"&gt;&gt;"&amp;Migrationsartikel!W458&amp;"&gt;&gt;"&amp;Migrationsartikel!X458</f>
        <v>Warengruppe&gt;&gt;&gt;&gt;&gt;&gt;</v>
      </c>
      <c r="H460" s="31" t="s">
        <v>109</v>
      </c>
      <c r="I460" s="31" t="s">
        <v>121</v>
      </c>
      <c r="J460" s="31">
        <f>Migrationsartikel!B458</f>
        <v>0</v>
      </c>
      <c r="O460">
        <f>Migrationsartikel!F458</f>
        <v>0</v>
      </c>
      <c r="P460">
        <f>Migrationsartikel!J458</f>
        <v>0</v>
      </c>
      <c r="Q460">
        <f>Migrationsartikel!N458</f>
        <v>0</v>
      </c>
      <c r="R460">
        <f>Migrationsartikel!G458</f>
        <v>0</v>
      </c>
      <c r="S460">
        <f>Migrationsartikel!K458</f>
        <v>0</v>
      </c>
      <c r="T460">
        <f>Migrationsartikel!O458</f>
        <v>0</v>
      </c>
      <c r="U460" s="31">
        <f>Migrationsartikel!H458</f>
        <v>0</v>
      </c>
      <c r="V460" s="31">
        <f>Migrationsartikel!L458</f>
        <v>0</v>
      </c>
      <c r="W460" s="31">
        <f>Migrationsartikel!P458</f>
        <v>0</v>
      </c>
      <c r="X460">
        <f>Migrationsartikel!I458</f>
        <v>0</v>
      </c>
      <c r="Y460">
        <f>Migrationsartikel!M458</f>
        <v>0</v>
      </c>
      <c r="Z460">
        <f>Migrationsartikel!Q458</f>
        <v>0</v>
      </c>
      <c r="AA460" s="45">
        <f>Migrationsartikel!R458</f>
        <v>0</v>
      </c>
      <c r="AB460" s="46">
        <f>Migrationsartikel!T458</f>
        <v>0</v>
      </c>
      <c r="AC460">
        <f>Migrationsartikel!S458</f>
        <v>0</v>
      </c>
      <c r="AD460">
        <f>Migrationsartikel!U458</f>
        <v>0</v>
      </c>
      <c r="AE460" s="31" t="s">
        <v>179</v>
      </c>
      <c r="AF460" s="31" t="s">
        <v>192</v>
      </c>
      <c r="AG460" t="b">
        <f>IF(Migrationsartikel!AB458="ja","true",FALSE)</f>
        <v>0</v>
      </c>
      <c r="AH460" t="b">
        <f>IF(Migrationsartikel!AC458="ja","true",FALSE)</f>
        <v>0</v>
      </c>
      <c r="AI460" t="b">
        <f>IF(Migrationsartikel!AD458="ja","true",FALSE)</f>
        <v>0</v>
      </c>
      <c r="AJ460" t="b">
        <f>IF(Migrationsartikel!AE458="ja","true",FALSE)</f>
        <v>0</v>
      </c>
      <c r="AK460" t="str">
        <f>IF(Migrationsartikel!AF458="ja","Denner Partner","")</f>
        <v/>
      </c>
      <c r="AL460" t="str">
        <f>IF(Migrationsartikel!AG458="ja","true","false")</f>
        <v>false</v>
      </c>
      <c r="AM460" t="str">
        <f t="shared" si="7"/>
        <v>PLU</v>
      </c>
      <c r="AN460" s="31" t="s">
        <v>219</v>
      </c>
      <c r="AO460" s="31" t="s">
        <v>217</v>
      </c>
    </row>
    <row r="461" spans="2:41" ht="21.75" customHeight="1" x14ac:dyDescent="0.45">
      <c r="B461" t="s">
        <v>99</v>
      </c>
      <c r="E461" s="31" t="s">
        <v>1871</v>
      </c>
      <c r="F461" t="str">
        <f>"Warengruppe&gt;&gt;"&amp;Migrationsartikel!V459&amp;"&gt;&gt;"&amp;Migrationsartikel!W459&amp;"&gt;&gt;"&amp;Migrationsartikel!X459</f>
        <v>Warengruppe&gt;&gt;&gt;&gt;&gt;&gt;</v>
      </c>
      <c r="H461" s="31" t="s">
        <v>109</v>
      </c>
      <c r="I461" s="31" t="s">
        <v>121</v>
      </c>
      <c r="J461" s="31">
        <f>Migrationsartikel!B459</f>
        <v>0</v>
      </c>
      <c r="O461">
        <f>Migrationsartikel!F459</f>
        <v>0</v>
      </c>
      <c r="P461">
        <f>Migrationsartikel!J459</f>
        <v>0</v>
      </c>
      <c r="Q461">
        <f>Migrationsartikel!N459</f>
        <v>0</v>
      </c>
      <c r="R461">
        <f>Migrationsartikel!G459</f>
        <v>0</v>
      </c>
      <c r="S461">
        <f>Migrationsartikel!K459</f>
        <v>0</v>
      </c>
      <c r="T461">
        <f>Migrationsartikel!O459</f>
        <v>0</v>
      </c>
      <c r="U461" s="31">
        <f>Migrationsartikel!H459</f>
        <v>0</v>
      </c>
      <c r="V461" s="31">
        <f>Migrationsartikel!L459</f>
        <v>0</v>
      </c>
      <c r="W461" s="31">
        <f>Migrationsartikel!P459</f>
        <v>0</v>
      </c>
      <c r="X461">
        <f>Migrationsartikel!I459</f>
        <v>0</v>
      </c>
      <c r="Y461">
        <f>Migrationsartikel!M459</f>
        <v>0</v>
      </c>
      <c r="Z461">
        <f>Migrationsartikel!Q459</f>
        <v>0</v>
      </c>
      <c r="AA461" s="45">
        <f>Migrationsartikel!R459</f>
        <v>0</v>
      </c>
      <c r="AB461" s="46">
        <f>Migrationsartikel!T459</f>
        <v>0</v>
      </c>
      <c r="AC461">
        <f>Migrationsartikel!S459</f>
        <v>0</v>
      </c>
      <c r="AD461">
        <f>Migrationsartikel!U459</f>
        <v>0</v>
      </c>
      <c r="AE461" s="31" t="s">
        <v>179</v>
      </c>
      <c r="AF461" s="31" t="s">
        <v>192</v>
      </c>
      <c r="AG461" t="b">
        <f>IF(Migrationsartikel!AB459="ja","true",FALSE)</f>
        <v>0</v>
      </c>
      <c r="AH461" t="b">
        <f>IF(Migrationsartikel!AC459="ja","true",FALSE)</f>
        <v>0</v>
      </c>
      <c r="AI461" t="b">
        <f>IF(Migrationsartikel!AD459="ja","true",FALSE)</f>
        <v>0</v>
      </c>
      <c r="AJ461" t="b">
        <f>IF(Migrationsartikel!AE459="ja","true",FALSE)</f>
        <v>0</v>
      </c>
      <c r="AK461" t="str">
        <f>IF(Migrationsartikel!AF459="ja","Denner Partner","")</f>
        <v/>
      </c>
      <c r="AL461" t="str">
        <f>IF(Migrationsartikel!AG459="ja","true","false")</f>
        <v>false</v>
      </c>
      <c r="AM461" t="str">
        <f t="shared" si="7"/>
        <v>PLU</v>
      </c>
      <c r="AN461" s="31" t="s">
        <v>219</v>
      </c>
      <c r="AO461" s="31" t="s">
        <v>217</v>
      </c>
    </row>
    <row r="462" spans="2:41" ht="21.75" customHeight="1" x14ac:dyDescent="0.45">
      <c r="B462" t="s">
        <v>99</v>
      </c>
      <c r="E462" s="31" t="s">
        <v>1872</v>
      </c>
      <c r="F462" t="str">
        <f>"Warengruppe&gt;&gt;"&amp;Migrationsartikel!V460&amp;"&gt;&gt;"&amp;Migrationsartikel!W460&amp;"&gt;&gt;"&amp;Migrationsartikel!X460</f>
        <v>Warengruppe&gt;&gt;&gt;&gt;&gt;&gt;</v>
      </c>
      <c r="H462" s="31" t="s">
        <v>109</v>
      </c>
      <c r="I462" s="31" t="s">
        <v>121</v>
      </c>
      <c r="J462" s="31">
        <f>Migrationsartikel!B460</f>
        <v>0</v>
      </c>
      <c r="O462">
        <f>Migrationsartikel!F460</f>
        <v>0</v>
      </c>
      <c r="P462">
        <f>Migrationsartikel!J460</f>
        <v>0</v>
      </c>
      <c r="Q462">
        <f>Migrationsartikel!N460</f>
        <v>0</v>
      </c>
      <c r="R462">
        <f>Migrationsartikel!G460</f>
        <v>0</v>
      </c>
      <c r="S462">
        <f>Migrationsartikel!K460</f>
        <v>0</v>
      </c>
      <c r="T462">
        <f>Migrationsartikel!O460</f>
        <v>0</v>
      </c>
      <c r="U462" s="31">
        <f>Migrationsartikel!H460</f>
        <v>0</v>
      </c>
      <c r="V462" s="31">
        <f>Migrationsartikel!L460</f>
        <v>0</v>
      </c>
      <c r="W462" s="31">
        <f>Migrationsartikel!P460</f>
        <v>0</v>
      </c>
      <c r="X462">
        <f>Migrationsartikel!I460</f>
        <v>0</v>
      </c>
      <c r="Y462">
        <f>Migrationsartikel!M460</f>
        <v>0</v>
      </c>
      <c r="Z462">
        <f>Migrationsartikel!Q460</f>
        <v>0</v>
      </c>
      <c r="AA462" s="45">
        <f>Migrationsartikel!R460</f>
        <v>0</v>
      </c>
      <c r="AB462" s="46">
        <f>Migrationsartikel!T460</f>
        <v>0</v>
      </c>
      <c r="AC462">
        <f>Migrationsartikel!S460</f>
        <v>0</v>
      </c>
      <c r="AD462">
        <f>Migrationsartikel!U460</f>
        <v>0</v>
      </c>
      <c r="AE462" s="31" t="s">
        <v>179</v>
      </c>
      <c r="AF462" s="31" t="s">
        <v>192</v>
      </c>
      <c r="AG462" t="b">
        <f>IF(Migrationsartikel!AB460="ja","true",FALSE)</f>
        <v>0</v>
      </c>
      <c r="AH462" t="b">
        <f>IF(Migrationsartikel!AC460="ja","true",FALSE)</f>
        <v>0</v>
      </c>
      <c r="AI462" t="b">
        <f>IF(Migrationsartikel!AD460="ja","true",FALSE)</f>
        <v>0</v>
      </c>
      <c r="AJ462" t="b">
        <f>IF(Migrationsartikel!AE460="ja","true",FALSE)</f>
        <v>0</v>
      </c>
      <c r="AK462" t="str">
        <f>IF(Migrationsartikel!AF460="ja","Denner Partner","")</f>
        <v/>
      </c>
      <c r="AL462" t="str">
        <f>IF(Migrationsartikel!AG460="ja","true","false")</f>
        <v>false</v>
      </c>
      <c r="AM462" t="str">
        <f t="shared" si="7"/>
        <v>PLU</v>
      </c>
      <c r="AN462" s="31" t="s">
        <v>219</v>
      </c>
      <c r="AO462" s="31" t="s">
        <v>217</v>
      </c>
    </row>
    <row r="463" spans="2:41" ht="21.75" customHeight="1" x14ac:dyDescent="0.45">
      <c r="B463" t="s">
        <v>99</v>
      </c>
      <c r="E463" s="31" t="s">
        <v>1873</v>
      </c>
      <c r="F463" t="str">
        <f>"Warengruppe&gt;&gt;"&amp;Migrationsartikel!V461&amp;"&gt;&gt;"&amp;Migrationsartikel!W461&amp;"&gt;&gt;"&amp;Migrationsartikel!X461</f>
        <v>Warengruppe&gt;&gt;&gt;&gt;&gt;&gt;</v>
      </c>
      <c r="H463" s="31" t="s">
        <v>109</v>
      </c>
      <c r="I463" s="31" t="s">
        <v>121</v>
      </c>
      <c r="J463" s="31">
        <f>Migrationsartikel!B461</f>
        <v>0</v>
      </c>
      <c r="O463">
        <f>Migrationsartikel!F461</f>
        <v>0</v>
      </c>
      <c r="P463">
        <f>Migrationsartikel!J461</f>
        <v>0</v>
      </c>
      <c r="Q463">
        <f>Migrationsartikel!N461</f>
        <v>0</v>
      </c>
      <c r="R463">
        <f>Migrationsartikel!G461</f>
        <v>0</v>
      </c>
      <c r="S463">
        <f>Migrationsartikel!K461</f>
        <v>0</v>
      </c>
      <c r="T463">
        <f>Migrationsartikel!O461</f>
        <v>0</v>
      </c>
      <c r="U463" s="31">
        <f>Migrationsartikel!H461</f>
        <v>0</v>
      </c>
      <c r="V463" s="31">
        <f>Migrationsartikel!L461</f>
        <v>0</v>
      </c>
      <c r="W463" s="31">
        <f>Migrationsartikel!P461</f>
        <v>0</v>
      </c>
      <c r="X463">
        <f>Migrationsartikel!I461</f>
        <v>0</v>
      </c>
      <c r="Y463">
        <f>Migrationsartikel!M461</f>
        <v>0</v>
      </c>
      <c r="Z463">
        <f>Migrationsartikel!Q461</f>
        <v>0</v>
      </c>
      <c r="AA463" s="45">
        <f>Migrationsartikel!R461</f>
        <v>0</v>
      </c>
      <c r="AB463" s="46">
        <f>Migrationsartikel!T461</f>
        <v>0</v>
      </c>
      <c r="AC463">
        <f>Migrationsartikel!S461</f>
        <v>0</v>
      </c>
      <c r="AD463">
        <f>Migrationsartikel!U461</f>
        <v>0</v>
      </c>
      <c r="AE463" s="31" t="s">
        <v>179</v>
      </c>
      <c r="AF463" s="31" t="s">
        <v>192</v>
      </c>
      <c r="AG463" t="b">
        <f>IF(Migrationsartikel!AB461="ja","true",FALSE)</f>
        <v>0</v>
      </c>
      <c r="AH463" t="b">
        <f>IF(Migrationsartikel!AC461="ja","true",FALSE)</f>
        <v>0</v>
      </c>
      <c r="AI463" t="b">
        <f>IF(Migrationsartikel!AD461="ja","true",FALSE)</f>
        <v>0</v>
      </c>
      <c r="AJ463" t="b">
        <f>IF(Migrationsartikel!AE461="ja","true",FALSE)</f>
        <v>0</v>
      </c>
      <c r="AK463" t="str">
        <f>IF(Migrationsartikel!AF461="ja","Denner Partner","")</f>
        <v/>
      </c>
      <c r="AL463" t="str">
        <f>IF(Migrationsartikel!AG461="ja","true","false")</f>
        <v>false</v>
      </c>
      <c r="AM463" t="str">
        <f t="shared" si="7"/>
        <v>PLU</v>
      </c>
      <c r="AN463" s="31" t="s">
        <v>219</v>
      </c>
      <c r="AO463" s="31" t="s">
        <v>217</v>
      </c>
    </row>
    <row r="464" spans="2:41" ht="21.75" customHeight="1" x14ac:dyDescent="0.45">
      <c r="B464" t="s">
        <v>99</v>
      </c>
      <c r="E464" s="31" t="s">
        <v>1874</v>
      </c>
      <c r="F464" t="str">
        <f>"Warengruppe&gt;&gt;"&amp;Migrationsartikel!V462&amp;"&gt;&gt;"&amp;Migrationsartikel!W462&amp;"&gt;&gt;"&amp;Migrationsartikel!X462</f>
        <v>Warengruppe&gt;&gt;&gt;&gt;&gt;&gt;</v>
      </c>
      <c r="H464" s="31" t="s">
        <v>109</v>
      </c>
      <c r="I464" s="31" t="s">
        <v>121</v>
      </c>
      <c r="J464" s="31">
        <f>Migrationsartikel!B462</f>
        <v>0</v>
      </c>
      <c r="O464">
        <f>Migrationsartikel!F462</f>
        <v>0</v>
      </c>
      <c r="P464">
        <f>Migrationsartikel!J462</f>
        <v>0</v>
      </c>
      <c r="Q464">
        <f>Migrationsartikel!N462</f>
        <v>0</v>
      </c>
      <c r="R464">
        <f>Migrationsartikel!G462</f>
        <v>0</v>
      </c>
      <c r="S464">
        <f>Migrationsartikel!K462</f>
        <v>0</v>
      </c>
      <c r="T464">
        <f>Migrationsartikel!O462</f>
        <v>0</v>
      </c>
      <c r="U464" s="31">
        <f>Migrationsartikel!H462</f>
        <v>0</v>
      </c>
      <c r="V464" s="31">
        <f>Migrationsartikel!L462</f>
        <v>0</v>
      </c>
      <c r="W464" s="31">
        <f>Migrationsartikel!P462</f>
        <v>0</v>
      </c>
      <c r="X464">
        <f>Migrationsartikel!I462</f>
        <v>0</v>
      </c>
      <c r="Y464">
        <f>Migrationsartikel!M462</f>
        <v>0</v>
      </c>
      <c r="Z464">
        <f>Migrationsartikel!Q462</f>
        <v>0</v>
      </c>
      <c r="AA464" s="45">
        <f>Migrationsartikel!R462</f>
        <v>0</v>
      </c>
      <c r="AB464" s="46">
        <f>Migrationsartikel!T462</f>
        <v>0</v>
      </c>
      <c r="AC464">
        <f>Migrationsartikel!S462</f>
        <v>0</v>
      </c>
      <c r="AD464">
        <f>Migrationsartikel!U462</f>
        <v>0</v>
      </c>
      <c r="AE464" s="31" t="s">
        <v>179</v>
      </c>
      <c r="AF464" s="31" t="s">
        <v>192</v>
      </c>
      <c r="AG464" t="b">
        <f>IF(Migrationsartikel!AB462="ja","true",FALSE)</f>
        <v>0</v>
      </c>
      <c r="AH464" t="b">
        <f>IF(Migrationsartikel!AC462="ja","true",FALSE)</f>
        <v>0</v>
      </c>
      <c r="AI464" t="b">
        <f>IF(Migrationsartikel!AD462="ja","true",FALSE)</f>
        <v>0</v>
      </c>
      <c r="AJ464" t="b">
        <f>IF(Migrationsartikel!AE462="ja","true",FALSE)</f>
        <v>0</v>
      </c>
      <c r="AK464" t="str">
        <f>IF(Migrationsartikel!AF462="ja","Denner Partner","")</f>
        <v/>
      </c>
      <c r="AL464" t="str">
        <f>IF(Migrationsartikel!AG462="ja","true","false")</f>
        <v>false</v>
      </c>
      <c r="AM464" t="str">
        <f t="shared" si="7"/>
        <v>PLU</v>
      </c>
      <c r="AN464" s="31" t="s">
        <v>219</v>
      </c>
      <c r="AO464" s="31" t="s">
        <v>217</v>
      </c>
    </row>
    <row r="465" spans="2:41" ht="21.75" customHeight="1" x14ac:dyDescent="0.45">
      <c r="B465" t="s">
        <v>99</v>
      </c>
      <c r="E465" s="31" t="s">
        <v>1875</v>
      </c>
      <c r="F465" t="str">
        <f>"Warengruppe&gt;&gt;"&amp;Migrationsartikel!V463&amp;"&gt;&gt;"&amp;Migrationsartikel!W463&amp;"&gt;&gt;"&amp;Migrationsartikel!X463</f>
        <v>Warengruppe&gt;&gt;&gt;&gt;&gt;&gt;</v>
      </c>
      <c r="H465" s="31" t="s">
        <v>109</v>
      </c>
      <c r="I465" s="31" t="s">
        <v>121</v>
      </c>
      <c r="J465" s="31">
        <f>Migrationsartikel!B463</f>
        <v>0</v>
      </c>
      <c r="O465">
        <f>Migrationsartikel!F463</f>
        <v>0</v>
      </c>
      <c r="P465">
        <f>Migrationsartikel!J463</f>
        <v>0</v>
      </c>
      <c r="Q465">
        <f>Migrationsartikel!N463</f>
        <v>0</v>
      </c>
      <c r="R465">
        <f>Migrationsartikel!G463</f>
        <v>0</v>
      </c>
      <c r="S465">
        <f>Migrationsartikel!K463</f>
        <v>0</v>
      </c>
      <c r="T465">
        <f>Migrationsartikel!O463</f>
        <v>0</v>
      </c>
      <c r="U465" s="31">
        <f>Migrationsartikel!H463</f>
        <v>0</v>
      </c>
      <c r="V465" s="31">
        <f>Migrationsartikel!L463</f>
        <v>0</v>
      </c>
      <c r="W465" s="31">
        <f>Migrationsartikel!P463</f>
        <v>0</v>
      </c>
      <c r="X465">
        <f>Migrationsartikel!I463</f>
        <v>0</v>
      </c>
      <c r="Y465">
        <f>Migrationsartikel!M463</f>
        <v>0</v>
      </c>
      <c r="Z465">
        <f>Migrationsartikel!Q463</f>
        <v>0</v>
      </c>
      <c r="AA465" s="45">
        <f>Migrationsartikel!R463</f>
        <v>0</v>
      </c>
      <c r="AB465" s="46">
        <f>Migrationsartikel!T463</f>
        <v>0</v>
      </c>
      <c r="AC465">
        <f>Migrationsartikel!S463</f>
        <v>0</v>
      </c>
      <c r="AD465">
        <f>Migrationsartikel!U463</f>
        <v>0</v>
      </c>
      <c r="AE465" s="31" t="s">
        <v>179</v>
      </c>
      <c r="AF465" s="31" t="s">
        <v>192</v>
      </c>
      <c r="AG465" t="b">
        <f>IF(Migrationsartikel!AB463="ja","true",FALSE)</f>
        <v>0</v>
      </c>
      <c r="AH465" t="b">
        <f>IF(Migrationsartikel!AC463="ja","true",FALSE)</f>
        <v>0</v>
      </c>
      <c r="AI465" t="b">
        <f>IF(Migrationsartikel!AD463="ja","true",FALSE)</f>
        <v>0</v>
      </c>
      <c r="AJ465" t="b">
        <f>IF(Migrationsartikel!AE463="ja","true",FALSE)</f>
        <v>0</v>
      </c>
      <c r="AK465" t="str">
        <f>IF(Migrationsartikel!AF463="ja","Denner Partner","")</f>
        <v/>
      </c>
      <c r="AL465" t="str">
        <f>IF(Migrationsartikel!AG463="ja","true","false")</f>
        <v>false</v>
      </c>
      <c r="AM465" t="str">
        <f t="shared" si="7"/>
        <v>PLU</v>
      </c>
      <c r="AN465" s="31" t="s">
        <v>219</v>
      </c>
      <c r="AO465" s="31" t="s">
        <v>217</v>
      </c>
    </row>
    <row r="466" spans="2:41" ht="21.75" customHeight="1" x14ac:dyDescent="0.45">
      <c r="B466" t="s">
        <v>99</v>
      </c>
      <c r="E466" s="31" t="s">
        <v>1876</v>
      </c>
      <c r="F466" t="str">
        <f>"Warengruppe&gt;&gt;"&amp;Migrationsartikel!V464&amp;"&gt;&gt;"&amp;Migrationsartikel!W464&amp;"&gt;&gt;"&amp;Migrationsartikel!X464</f>
        <v>Warengruppe&gt;&gt;&gt;&gt;&gt;&gt;</v>
      </c>
      <c r="H466" s="31" t="s">
        <v>109</v>
      </c>
      <c r="I466" s="31" t="s">
        <v>121</v>
      </c>
      <c r="J466" s="31">
        <f>Migrationsartikel!B464</f>
        <v>0</v>
      </c>
      <c r="O466">
        <f>Migrationsartikel!F464</f>
        <v>0</v>
      </c>
      <c r="P466">
        <f>Migrationsartikel!J464</f>
        <v>0</v>
      </c>
      <c r="Q466">
        <f>Migrationsartikel!N464</f>
        <v>0</v>
      </c>
      <c r="R466">
        <f>Migrationsartikel!G464</f>
        <v>0</v>
      </c>
      <c r="S466">
        <f>Migrationsartikel!K464</f>
        <v>0</v>
      </c>
      <c r="T466">
        <f>Migrationsartikel!O464</f>
        <v>0</v>
      </c>
      <c r="U466" s="31">
        <f>Migrationsartikel!H464</f>
        <v>0</v>
      </c>
      <c r="V466" s="31">
        <f>Migrationsartikel!L464</f>
        <v>0</v>
      </c>
      <c r="W466" s="31">
        <f>Migrationsartikel!P464</f>
        <v>0</v>
      </c>
      <c r="X466">
        <f>Migrationsartikel!I464</f>
        <v>0</v>
      </c>
      <c r="Y466">
        <f>Migrationsartikel!M464</f>
        <v>0</v>
      </c>
      <c r="Z466">
        <f>Migrationsartikel!Q464</f>
        <v>0</v>
      </c>
      <c r="AA466" s="45">
        <f>Migrationsartikel!R464</f>
        <v>0</v>
      </c>
      <c r="AB466" s="46">
        <f>Migrationsartikel!T464</f>
        <v>0</v>
      </c>
      <c r="AC466">
        <f>Migrationsartikel!S464</f>
        <v>0</v>
      </c>
      <c r="AD466">
        <f>Migrationsartikel!U464</f>
        <v>0</v>
      </c>
      <c r="AE466" s="31" t="s">
        <v>179</v>
      </c>
      <c r="AF466" s="31" t="s">
        <v>192</v>
      </c>
      <c r="AG466" t="b">
        <f>IF(Migrationsartikel!AB464="ja","true",FALSE)</f>
        <v>0</v>
      </c>
      <c r="AH466" t="b">
        <f>IF(Migrationsartikel!AC464="ja","true",FALSE)</f>
        <v>0</v>
      </c>
      <c r="AI466" t="b">
        <f>IF(Migrationsartikel!AD464="ja","true",FALSE)</f>
        <v>0</v>
      </c>
      <c r="AJ466" t="b">
        <f>IF(Migrationsartikel!AE464="ja","true",FALSE)</f>
        <v>0</v>
      </c>
      <c r="AK466" t="str">
        <f>IF(Migrationsartikel!AF464="ja","Denner Partner","")</f>
        <v/>
      </c>
      <c r="AL466" t="str">
        <f>IF(Migrationsartikel!AG464="ja","true","false")</f>
        <v>false</v>
      </c>
      <c r="AM466" t="str">
        <f t="shared" si="7"/>
        <v>PLU</v>
      </c>
      <c r="AN466" s="31" t="s">
        <v>219</v>
      </c>
      <c r="AO466" s="31" t="s">
        <v>217</v>
      </c>
    </row>
    <row r="467" spans="2:41" ht="21.75" customHeight="1" x14ac:dyDescent="0.45">
      <c r="B467" t="s">
        <v>99</v>
      </c>
      <c r="E467" s="31" t="s">
        <v>1877</v>
      </c>
      <c r="F467" t="str">
        <f>"Warengruppe&gt;&gt;"&amp;Migrationsartikel!V465&amp;"&gt;&gt;"&amp;Migrationsartikel!W465&amp;"&gt;&gt;"&amp;Migrationsartikel!X465</f>
        <v>Warengruppe&gt;&gt;&gt;&gt;&gt;&gt;</v>
      </c>
      <c r="H467" s="31" t="s">
        <v>109</v>
      </c>
      <c r="I467" s="31" t="s">
        <v>121</v>
      </c>
      <c r="J467" s="31">
        <f>Migrationsartikel!B465</f>
        <v>0</v>
      </c>
      <c r="O467">
        <f>Migrationsartikel!F465</f>
        <v>0</v>
      </c>
      <c r="P467">
        <f>Migrationsartikel!J465</f>
        <v>0</v>
      </c>
      <c r="Q467">
        <f>Migrationsartikel!N465</f>
        <v>0</v>
      </c>
      <c r="R467">
        <f>Migrationsartikel!G465</f>
        <v>0</v>
      </c>
      <c r="S467">
        <f>Migrationsartikel!K465</f>
        <v>0</v>
      </c>
      <c r="T467">
        <f>Migrationsartikel!O465</f>
        <v>0</v>
      </c>
      <c r="U467" s="31">
        <f>Migrationsartikel!H465</f>
        <v>0</v>
      </c>
      <c r="V467" s="31">
        <f>Migrationsartikel!L465</f>
        <v>0</v>
      </c>
      <c r="W467" s="31">
        <f>Migrationsartikel!P465</f>
        <v>0</v>
      </c>
      <c r="X467">
        <f>Migrationsartikel!I465</f>
        <v>0</v>
      </c>
      <c r="Y467">
        <f>Migrationsartikel!M465</f>
        <v>0</v>
      </c>
      <c r="Z467">
        <f>Migrationsartikel!Q465</f>
        <v>0</v>
      </c>
      <c r="AA467" s="45">
        <f>Migrationsartikel!R465</f>
        <v>0</v>
      </c>
      <c r="AB467" s="46">
        <f>Migrationsartikel!T465</f>
        <v>0</v>
      </c>
      <c r="AC467">
        <f>Migrationsartikel!S465</f>
        <v>0</v>
      </c>
      <c r="AD467">
        <f>Migrationsartikel!U465</f>
        <v>0</v>
      </c>
      <c r="AE467" s="31" t="s">
        <v>179</v>
      </c>
      <c r="AF467" s="31" t="s">
        <v>192</v>
      </c>
      <c r="AG467" t="b">
        <f>IF(Migrationsartikel!AB465="ja","true",FALSE)</f>
        <v>0</v>
      </c>
      <c r="AH467" t="b">
        <f>IF(Migrationsartikel!AC465="ja","true",FALSE)</f>
        <v>0</v>
      </c>
      <c r="AI467" t="b">
        <f>IF(Migrationsartikel!AD465="ja","true",FALSE)</f>
        <v>0</v>
      </c>
      <c r="AJ467" t="b">
        <f>IF(Migrationsartikel!AE465="ja","true",FALSE)</f>
        <v>0</v>
      </c>
      <c r="AK467" t="str">
        <f>IF(Migrationsartikel!AF465="ja","Denner Partner","")</f>
        <v/>
      </c>
      <c r="AL467" t="str">
        <f>IF(Migrationsartikel!AG465="ja","true","false")</f>
        <v>false</v>
      </c>
      <c r="AM467" t="str">
        <f t="shared" si="7"/>
        <v>PLU</v>
      </c>
      <c r="AN467" s="31" t="s">
        <v>219</v>
      </c>
      <c r="AO467" s="31" t="s">
        <v>217</v>
      </c>
    </row>
    <row r="468" spans="2:41" ht="21.75" customHeight="1" x14ac:dyDescent="0.45">
      <c r="B468" t="s">
        <v>99</v>
      </c>
      <c r="E468" s="31" t="s">
        <v>1878</v>
      </c>
      <c r="F468" t="str">
        <f>"Warengruppe&gt;&gt;"&amp;Migrationsartikel!V466&amp;"&gt;&gt;"&amp;Migrationsartikel!W466&amp;"&gt;&gt;"&amp;Migrationsartikel!X466</f>
        <v>Warengruppe&gt;&gt;&gt;&gt;&gt;&gt;</v>
      </c>
      <c r="H468" s="31" t="s">
        <v>109</v>
      </c>
      <c r="I468" s="31" t="s">
        <v>121</v>
      </c>
      <c r="J468" s="31">
        <f>Migrationsartikel!B466</f>
        <v>0</v>
      </c>
      <c r="O468">
        <f>Migrationsartikel!F466</f>
        <v>0</v>
      </c>
      <c r="P468">
        <f>Migrationsartikel!J466</f>
        <v>0</v>
      </c>
      <c r="Q468">
        <f>Migrationsartikel!N466</f>
        <v>0</v>
      </c>
      <c r="R468">
        <f>Migrationsartikel!G466</f>
        <v>0</v>
      </c>
      <c r="S468">
        <f>Migrationsartikel!K466</f>
        <v>0</v>
      </c>
      <c r="T468">
        <f>Migrationsartikel!O466</f>
        <v>0</v>
      </c>
      <c r="U468" s="31">
        <f>Migrationsartikel!H466</f>
        <v>0</v>
      </c>
      <c r="V468" s="31">
        <f>Migrationsartikel!L466</f>
        <v>0</v>
      </c>
      <c r="W468" s="31">
        <f>Migrationsartikel!P466</f>
        <v>0</v>
      </c>
      <c r="X468">
        <f>Migrationsartikel!I466</f>
        <v>0</v>
      </c>
      <c r="Y468">
        <f>Migrationsartikel!M466</f>
        <v>0</v>
      </c>
      <c r="Z468">
        <f>Migrationsartikel!Q466</f>
        <v>0</v>
      </c>
      <c r="AA468" s="45">
        <f>Migrationsartikel!R466</f>
        <v>0</v>
      </c>
      <c r="AB468" s="46">
        <f>Migrationsartikel!T466</f>
        <v>0</v>
      </c>
      <c r="AC468">
        <f>Migrationsartikel!S466</f>
        <v>0</v>
      </c>
      <c r="AD468">
        <f>Migrationsartikel!U466</f>
        <v>0</v>
      </c>
      <c r="AE468" s="31" t="s">
        <v>179</v>
      </c>
      <c r="AF468" s="31" t="s">
        <v>192</v>
      </c>
      <c r="AG468" t="b">
        <f>IF(Migrationsartikel!AB466="ja","true",FALSE)</f>
        <v>0</v>
      </c>
      <c r="AH468" t="b">
        <f>IF(Migrationsartikel!AC466="ja","true",FALSE)</f>
        <v>0</v>
      </c>
      <c r="AI468" t="b">
        <f>IF(Migrationsartikel!AD466="ja","true",FALSE)</f>
        <v>0</v>
      </c>
      <c r="AJ468" t="b">
        <f>IF(Migrationsartikel!AE466="ja","true",FALSE)</f>
        <v>0</v>
      </c>
      <c r="AK468" t="str">
        <f>IF(Migrationsartikel!AF466="ja","Denner Partner","")</f>
        <v/>
      </c>
      <c r="AL468" t="str">
        <f>IF(Migrationsartikel!AG466="ja","true","false")</f>
        <v>false</v>
      </c>
      <c r="AM468" t="str">
        <f t="shared" si="7"/>
        <v>PLU</v>
      </c>
      <c r="AN468" s="31" t="s">
        <v>219</v>
      </c>
      <c r="AO468" s="31" t="s">
        <v>217</v>
      </c>
    </row>
    <row r="469" spans="2:41" ht="21.75" customHeight="1" x14ac:dyDescent="0.45">
      <c r="B469" t="s">
        <v>99</v>
      </c>
      <c r="E469" s="31" t="s">
        <v>1879</v>
      </c>
      <c r="F469" t="str">
        <f>"Warengruppe&gt;&gt;"&amp;Migrationsartikel!V467&amp;"&gt;&gt;"&amp;Migrationsartikel!W467&amp;"&gt;&gt;"&amp;Migrationsartikel!X467</f>
        <v>Warengruppe&gt;&gt;&gt;&gt;&gt;&gt;</v>
      </c>
      <c r="H469" s="31" t="s">
        <v>109</v>
      </c>
      <c r="I469" s="31" t="s">
        <v>121</v>
      </c>
      <c r="J469" s="31">
        <f>Migrationsartikel!B467</f>
        <v>0</v>
      </c>
      <c r="O469">
        <f>Migrationsartikel!F467</f>
        <v>0</v>
      </c>
      <c r="P469">
        <f>Migrationsartikel!J467</f>
        <v>0</v>
      </c>
      <c r="Q469">
        <f>Migrationsartikel!N467</f>
        <v>0</v>
      </c>
      <c r="R469">
        <f>Migrationsartikel!G467</f>
        <v>0</v>
      </c>
      <c r="S469">
        <f>Migrationsartikel!K467</f>
        <v>0</v>
      </c>
      <c r="T469">
        <f>Migrationsartikel!O467</f>
        <v>0</v>
      </c>
      <c r="U469" s="31">
        <f>Migrationsartikel!H467</f>
        <v>0</v>
      </c>
      <c r="V469" s="31">
        <f>Migrationsartikel!L467</f>
        <v>0</v>
      </c>
      <c r="W469" s="31">
        <f>Migrationsartikel!P467</f>
        <v>0</v>
      </c>
      <c r="X469">
        <f>Migrationsartikel!I467</f>
        <v>0</v>
      </c>
      <c r="Y469">
        <f>Migrationsartikel!M467</f>
        <v>0</v>
      </c>
      <c r="Z469">
        <f>Migrationsartikel!Q467</f>
        <v>0</v>
      </c>
      <c r="AA469" s="45">
        <f>Migrationsartikel!R467</f>
        <v>0</v>
      </c>
      <c r="AB469" s="46">
        <f>Migrationsartikel!T467</f>
        <v>0</v>
      </c>
      <c r="AC469">
        <f>Migrationsartikel!S467</f>
        <v>0</v>
      </c>
      <c r="AD469">
        <f>Migrationsartikel!U467</f>
        <v>0</v>
      </c>
      <c r="AE469" s="31" t="s">
        <v>179</v>
      </c>
      <c r="AF469" s="31" t="s">
        <v>192</v>
      </c>
      <c r="AG469" t="b">
        <f>IF(Migrationsartikel!AB467="ja","true",FALSE)</f>
        <v>0</v>
      </c>
      <c r="AH469" t="b">
        <f>IF(Migrationsartikel!AC467="ja","true",FALSE)</f>
        <v>0</v>
      </c>
      <c r="AI469" t="b">
        <f>IF(Migrationsartikel!AD467="ja","true",FALSE)</f>
        <v>0</v>
      </c>
      <c r="AJ469" t="b">
        <f>IF(Migrationsartikel!AE467="ja","true",FALSE)</f>
        <v>0</v>
      </c>
      <c r="AK469" t="str">
        <f>IF(Migrationsartikel!AF467="ja","Denner Partner","")</f>
        <v/>
      </c>
      <c r="AL469" t="str">
        <f>IF(Migrationsartikel!AG467="ja","true","false")</f>
        <v>false</v>
      </c>
      <c r="AM469" t="str">
        <f t="shared" si="7"/>
        <v>PLU</v>
      </c>
      <c r="AN469" s="31" t="s">
        <v>219</v>
      </c>
      <c r="AO469" s="31" t="s">
        <v>217</v>
      </c>
    </row>
    <row r="470" spans="2:41" ht="21.75" customHeight="1" x14ac:dyDescent="0.45">
      <c r="B470" t="s">
        <v>99</v>
      </c>
      <c r="E470" s="31" t="s">
        <v>1880</v>
      </c>
      <c r="F470" t="str">
        <f>"Warengruppe&gt;&gt;"&amp;Migrationsartikel!V468&amp;"&gt;&gt;"&amp;Migrationsartikel!W468&amp;"&gt;&gt;"&amp;Migrationsartikel!X468</f>
        <v>Warengruppe&gt;&gt;&gt;&gt;&gt;&gt;</v>
      </c>
      <c r="H470" s="31" t="s">
        <v>109</v>
      </c>
      <c r="I470" s="31" t="s">
        <v>121</v>
      </c>
      <c r="J470" s="31">
        <f>Migrationsartikel!B468</f>
        <v>0</v>
      </c>
      <c r="O470">
        <f>Migrationsartikel!F468</f>
        <v>0</v>
      </c>
      <c r="P470">
        <f>Migrationsartikel!J468</f>
        <v>0</v>
      </c>
      <c r="Q470">
        <f>Migrationsartikel!N468</f>
        <v>0</v>
      </c>
      <c r="R470">
        <f>Migrationsartikel!G468</f>
        <v>0</v>
      </c>
      <c r="S470">
        <f>Migrationsartikel!K468</f>
        <v>0</v>
      </c>
      <c r="T470">
        <f>Migrationsartikel!O468</f>
        <v>0</v>
      </c>
      <c r="U470" s="31">
        <f>Migrationsartikel!H468</f>
        <v>0</v>
      </c>
      <c r="V470" s="31">
        <f>Migrationsartikel!L468</f>
        <v>0</v>
      </c>
      <c r="W470" s="31">
        <f>Migrationsartikel!P468</f>
        <v>0</v>
      </c>
      <c r="X470">
        <f>Migrationsartikel!I468</f>
        <v>0</v>
      </c>
      <c r="Y470">
        <f>Migrationsartikel!M468</f>
        <v>0</v>
      </c>
      <c r="Z470">
        <f>Migrationsartikel!Q468</f>
        <v>0</v>
      </c>
      <c r="AA470" s="45">
        <f>Migrationsartikel!R468</f>
        <v>0</v>
      </c>
      <c r="AB470" s="46">
        <f>Migrationsartikel!T468</f>
        <v>0</v>
      </c>
      <c r="AC470">
        <f>Migrationsartikel!S468</f>
        <v>0</v>
      </c>
      <c r="AD470">
        <f>Migrationsartikel!U468</f>
        <v>0</v>
      </c>
      <c r="AE470" s="31" t="s">
        <v>179</v>
      </c>
      <c r="AF470" s="31" t="s">
        <v>192</v>
      </c>
      <c r="AG470" t="b">
        <f>IF(Migrationsartikel!AB468="ja","true",FALSE)</f>
        <v>0</v>
      </c>
      <c r="AH470" t="b">
        <f>IF(Migrationsartikel!AC468="ja","true",FALSE)</f>
        <v>0</v>
      </c>
      <c r="AI470" t="b">
        <f>IF(Migrationsartikel!AD468="ja","true",FALSE)</f>
        <v>0</v>
      </c>
      <c r="AJ470" t="b">
        <f>IF(Migrationsartikel!AE468="ja","true",FALSE)</f>
        <v>0</v>
      </c>
      <c r="AK470" t="str">
        <f>IF(Migrationsartikel!AF468="ja","Denner Partner","")</f>
        <v/>
      </c>
      <c r="AL470" t="str">
        <f>IF(Migrationsartikel!AG468="ja","true","false")</f>
        <v>false</v>
      </c>
      <c r="AM470" t="str">
        <f t="shared" si="7"/>
        <v>PLU</v>
      </c>
      <c r="AN470" s="31" t="s">
        <v>219</v>
      </c>
      <c r="AO470" s="31" t="s">
        <v>217</v>
      </c>
    </row>
    <row r="471" spans="2:41" ht="21.75" customHeight="1" x14ac:dyDescent="0.45">
      <c r="B471" t="s">
        <v>99</v>
      </c>
      <c r="E471" s="31" t="s">
        <v>1881</v>
      </c>
      <c r="F471" t="str">
        <f>"Warengruppe&gt;&gt;"&amp;Migrationsartikel!V469&amp;"&gt;&gt;"&amp;Migrationsartikel!W469&amp;"&gt;&gt;"&amp;Migrationsartikel!X469</f>
        <v>Warengruppe&gt;&gt;&gt;&gt;&gt;&gt;</v>
      </c>
      <c r="H471" s="31" t="s">
        <v>109</v>
      </c>
      <c r="I471" s="31" t="s">
        <v>121</v>
      </c>
      <c r="J471" s="31">
        <f>Migrationsartikel!B469</f>
        <v>0</v>
      </c>
      <c r="O471">
        <f>Migrationsartikel!F469</f>
        <v>0</v>
      </c>
      <c r="P471">
        <f>Migrationsartikel!J469</f>
        <v>0</v>
      </c>
      <c r="Q471">
        <f>Migrationsartikel!N469</f>
        <v>0</v>
      </c>
      <c r="R471">
        <f>Migrationsartikel!G469</f>
        <v>0</v>
      </c>
      <c r="S471">
        <f>Migrationsartikel!K469</f>
        <v>0</v>
      </c>
      <c r="T471">
        <f>Migrationsartikel!O469</f>
        <v>0</v>
      </c>
      <c r="U471" s="31">
        <f>Migrationsartikel!H469</f>
        <v>0</v>
      </c>
      <c r="V471" s="31">
        <f>Migrationsartikel!L469</f>
        <v>0</v>
      </c>
      <c r="W471" s="31">
        <f>Migrationsartikel!P469</f>
        <v>0</v>
      </c>
      <c r="X471">
        <f>Migrationsartikel!I469</f>
        <v>0</v>
      </c>
      <c r="Y471">
        <f>Migrationsartikel!M469</f>
        <v>0</v>
      </c>
      <c r="Z471">
        <f>Migrationsartikel!Q469</f>
        <v>0</v>
      </c>
      <c r="AA471" s="45">
        <f>Migrationsartikel!R469</f>
        <v>0</v>
      </c>
      <c r="AB471" s="46">
        <f>Migrationsartikel!T469</f>
        <v>0</v>
      </c>
      <c r="AC471">
        <f>Migrationsartikel!S469</f>
        <v>0</v>
      </c>
      <c r="AD471">
        <f>Migrationsartikel!U469</f>
        <v>0</v>
      </c>
      <c r="AE471" s="31" t="s">
        <v>179</v>
      </c>
      <c r="AF471" s="31" t="s">
        <v>192</v>
      </c>
      <c r="AG471" t="b">
        <f>IF(Migrationsartikel!AB469="ja","true",FALSE)</f>
        <v>0</v>
      </c>
      <c r="AH471" t="b">
        <f>IF(Migrationsartikel!AC469="ja","true",FALSE)</f>
        <v>0</v>
      </c>
      <c r="AI471" t="b">
        <f>IF(Migrationsartikel!AD469="ja","true",FALSE)</f>
        <v>0</v>
      </c>
      <c r="AJ471" t="b">
        <f>IF(Migrationsartikel!AE469="ja","true",FALSE)</f>
        <v>0</v>
      </c>
      <c r="AK471" t="str">
        <f>IF(Migrationsartikel!AF469="ja","Denner Partner","")</f>
        <v/>
      </c>
      <c r="AL471" t="str">
        <f>IF(Migrationsartikel!AG469="ja","true","false")</f>
        <v>false</v>
      </c>
      <c r="AM471" t="str">
        <f t="shared" si="7"/>
        <v>PLU</v>
      </c>
      <c r="AN471" s="31" t="s">
        <v>219</v>
      </c>
      <c r="AO471" s="31" t="s">
        <v>217</v>
      </c>
    </row>
    <row r="472" spans="2:41" ht="21.75" customHeight="1" x14ac:dyDescent="0.45">
      <c r="B472" t="s">
        <v>99</v>
      </c>
      <c r="E472" s="31" t="s">
        <v>1882</v>
      </c>
      <c r="F472" t="str">
        <f>"Warengruppe&gt;&gt;"&amp;Migrationsartikel!V470&amp;"&gt;&gt;"&amp;Migrationsartikel!W470&amp;"&gt;&gt;"&amp;Migrationsartikel!X470</f>
        <v>Warengruppe&gt;&gt;&gt;&gt;&gt;&gt;</v>
      </c>
      <c r="H472" s="31" t="s">
        <v>109</v>
      </c>
      <c r="I472" s="31" t="s">
        <v>121</v>
      </c>
      <c r="J472" s="31">
        <f>Migrationsartikel!B470</f>
        <v>0</v>
      </c>
      <c r="O472">
        <f>Migrationsartikel!F470</f>
        <v>0</v>
      </c>
      <c r="P472">
        <f>Migrationsartikel!J470</f>
        <v>0</v>
      </c>
      <c r="Q472">
        <f>Migrationsartikel!N470</f>
        <v>0</v>
      </c>
      <c r="R472">
        <f>Migrationsartikel!G470</f>
        <v>0</v>
      </c>
      <c r="S472">
        <f>Migrationsartikel!K470</f>
        <v>0</v>
      </c>
      <c r="T472">
        <f>Migrationsartikel!O470</f>
        <v>0</v>
      </c>
      <c r="U472" s="31">
        <f>Migrationsartikel!H470</f>
        <v>0</v>
      </c>
      <c r="V472" s="31">
        <f>Migrationsartikel!L470</f>
        <v>0</v>
      </c>
      <c r="W472" s="31">
        <f>Migrationsartikel!P470</f>
        <v>0</v>
      </c>
      <c r="X472">
        <f>Migrationsartikel!I470</f>
        <v>0</v>
      </c>
      <c r="Y472">
        <f>Migrationsartikel!M470</f>
        <v>0</v>
      </c>
      <c r="Z472">
        <f>Migrationsartikel!Q470</f>
        <v>0</v>
      </c>
      <c r="AA472" s="45">
        <f>Migrationsartikel!R470</f>
        <v>0</v>
      </c>
      <c r="AB472" s="46">
        <f>Migrationsartikel!T470</f>
        <v>0</v>
      </c>
      <c r="AC472">
        <f>Migrationsartikel!S470</f>
        <v>0</v>
      </c>
      <c r="AD472">
        <f>Migrationsartikel!U470</f>
        <v>0</v>
      </c>
      <c r="AE472" s="31" t="s">
        <v>179</v>
      </c>
      <c r="AF472" s="31" t="s">
        <v>192</v>
      </c>
      <c r="AG472" t="b">
        <f>IF(Migrationsartikel!AB470="ja","true",FALSE)</f>
        <v>0</v>
      </c>
      <c r="AH472" t="b">
        <f>IF(Migrationsartikel!AC470="ja","true",FALSE)</f>
        <v>0</v>
      </c>
      <c r="AI472" t="b">
        <f>IF(Migrationsartikel!AD470="ja","true",FALSE)</f>
        <v>0</v>
      </c>
      <c r="AJ472" t="b">
        <f>IF(Migrationsartikel!AE470="ja","true",FALSE)</f>
        <v>0</v>
      </c>
      <c r="AK472" t="str">
        <f>IF(Migrationsartikel!AF470="ja","Denner Partner","")</f>
        <v/>
      </c>
      <c r="AL472" t="str">
        <f>IF(Migrationsartikel!AG470="ja","true","false")</f>
        <v>false</v>
      </c>
      <c r="AM472" t="str">
        <f t="shared" si="7"/>
        <v>PLU</v>
      </c>
      <c r="AN472" s="31" t="s">
        <v>219</v>
      </c>
      <c r="AO472" s="31" t="s">
        <v>217</v>
      </c>
    </row>
    <row r="473" spans="2:41" ht="21.75" customHeight="1" x14ac:dyDescent="0.45">
      <c r="B473" t="s">
        <v>99</v>
      </c>
      <c r="E473" s="31" t="s">
        <v>1883</v>
      </c>
      <c r="F473" t="str">
        <f>"Warengruppe&gt;&gt;"&amp;Migrationsartikel!V471&amp;"&gt;&gt;"&amp;Migrationsartikel!W471&amp;"&gt;&gt;"&amp;Migrationsartikel!X471</f>
        <v>Warengruppe&gt;&gt;&gt;&gt;&gt;&gt;</v>
      </c>
      <c r="H473" s="31" t="s">
        <v>109</v>
      </c>
      <c r="I473" s="31" t="s">
        <v>121</v>
      </c>
      <c r="J473" s="31">
        <f>Migrationsartikel!B471</f>
        <v>0</v>
      </c>
      <c r="O473">
        <f>Migrationsartikel!F471</f>
        <v>0</v>
      </c>
      <c r="P473">
        <f>Migrationsartikel!J471</f>
        <v>0</v>
      </c>
      <c r="Q473">
        <f>Migrationsartikel!N471</f>
        <v>0</v>
      </c>
      <c r="R473">
        <f>Migrationsartikel!G471</f>
        <v>0</v>
      </c>
      <c r="S473">
        <f>Migrationsartikel!K471</f>
        <v>0</v>
      </c>
      <c r="T473">
        <f>Migrationsartikel!O471</f>
        <v>0</v>
      </c>
      <c r="U473" s="31">
        <f>Migrationsartikel!H471</f>
        <v>0</v>
      </c>
      <c r="V473" s="31">
        <f>Migrationsartikel!L471</f>
        <v>0</v>
      </c>
      <c r="W473" s="31">
        <f>Migrationsartikel!P471</f>
        <v>0</v>
      </c>
      <c r="X473">
        <f>Migrationsartikel!I471</f>
        <v>0</v>
      </c>
      <c r="Y473">
        <f>Migrationsartikel!M471</f>
        <v>0</v>
      </c>
      <c r="Z473">
        <f>Migrationsartikel!Q471</f>
        <v>0</v>
      </c>
      <c r="AA473" s="45">
        <f>Migrationsartikel!R471</f>
        <v>0</v>
      </c>
      <c r="AB473" s="46">
        <f>Migrationsartikel!T471</f>
        <v>0</v>
      </c>
      <c r="AC473">
        <f>Migrationsartikel!S471</f>
        <v>0</v>
      </c>
      <c r="AD473">
        <f>Migrationsartikel!U471</f>
        <v>0</v>
      </c>
      <c r="AE473" s="31" t="s">
        <v>179</v>
      </c>
      <c r="AF473" s="31" t="s">
        <v>192</v>
      </c>
      <c r="AG473" t="b">
        <f>IF(Migrationsartikel!AB471="ja","true",FALSE)</f>
        <v>0</v>
      </c>
      <c r="AH473" t="b">
        <f>IF(Migrationsartikel!AC471="ja","true",FALSE)</f>
        <v>0</v>
      </c>
      <c r="AI473" t="b">
        <f>IF(Migrationsartikel!AD471="ja","true",FALSE)</f>
        <v>0</v>
      </c>
      <c r="AJ473" t="b">
        <f>IF(Migrationsartikel!AE471="ja","true",FALSE)</f>
        <v>0</v>
      </c>
      <c r="AK473" t="str">
        <f>IF(Migrationsartikel!AF471="ja","Denner Partner","")</f>
        <v/>
      </c>
      <c r="AL473" t="str">
        <f>IF(Migrationsartikel!AG471="ja","true","false")</f>
        <v>false</v>
      </c>
      <c r="AM473" t="str">
        <f t="shared" si="7"/>
        <v>PLU</v>
      </c>
      <c r="AN473" s="31" t="s">
        <v>219</v>
      </c>
      <c r="AO473" s="31" t="s">
        <v>217</v>
      </c>
    </row>
    <row r="474" spans="2:41" ht="21.75" customHeight="1" x14ac:dyDescent="0.45">
      <c r="B474" t="s">
        <v>99</v>
      </c>
      <c r="E474" s="31" t="s">
        <v>1884</v>
      </c>
      <c r="F474" t="str">
        <f>"Warengruppe&gt;&gt;"&amp;Migrationsartikel!V472&amp;"&gt;&gt;"&amp;Migrationsartikel!W472&amp;"&gt;&gt;"&amp;Migrationsartikel!X472</f>
        <v>Warengruppe&gt;&gt;&gt;&gt;&gt;&gt;</v>
      </c>
      <c r="H474" s="31" t="s">
        <v>109</v>
      </c>
      <c r="I474" s="31" t="s">
        <v>121</v>
      </c>
      <c r="J474" s="31">
        <f>Migrationsartikel!B472</f>
        <v>0</v>
      </c>
      <c r="O474">
        <f>Migrationsartikel!F472</f>
        <v>0</v>
      </c>
      <c r="P474">
        <f>Migrationsartikel!J472</f>
        <v>0</v>
      </c>
      <c r="Q474">
        <f>Migrationsartikel!N472</f>
        <v>0</v>
      </c>
      <c r="R474">
        <f>Migrationsartikel!G472</f>
        <v>0</v>
      </c>
      <c r="S474">
        <f>Migrationsartikel!K472</f>
        <v>0</v>
      </c>
      <c r="T474">
        <f>Migrationsartikel!O472</f>
        <v>0</v>
      </c>
      <c r="U474" s="31">
        <f>Migrationsartikel!H472</f>
        <v>0</v>
      </c>
      <c r="V474" s="31">
        <f>Migrationsartikel!L472</f>
        <v>0</v>
      </c>
      <c r="W474" s="31">
        <f>Migrationsartikel!P472</f>
        <v>0</v>
      </c>
      <c r="X474">
        <f>Migrationsartikel!I472</f>
        <v>0</v>
      </c>
      <c r="Y474">
        <f>Migrationsartikel!M472</f>
        <v>0</v>
      </c>
      <c r="Z474">
        <f>Migrationsartikel!Q472</f>
        <v>0</v>
      </c>
      <c r="AA474" s="45">
        <f>Migrationsartikel!R472</f>
        <v>0</v>
      </c>
      <c r="AB474" s="46">
        <f>Migrationsartikel!T472</f>
        <v>0</v>
      </c>
      <c r="AC474">
        <f>Migrationsartikel!S472</f>
        <v>0</v>
      </c>
      <c r="AD474">
        <f>Migrationsartikel!U472</f>
        <v>0</v>
      </c>
      <c r="AE474" s="31" t="s">
        <v>179</v>
      </c>
      <c r="AF474" s="31" t="s">
        <v>192</v>
      </c>
      <c r="AG474" t="b">
        <f>IF(Migrationsartikel!AB472="ja","true",FALSE)</f>
        <v>0</v>
      </c>
      <c r="AH474" t="b">
        <f>IF(Migrationsartikel!AC472="ja","true",FALSE)</f>
        <v>0</v>
      </c>
      <c r="AI474" t="b">
        <f>IF(Migrationsartikel!AD472="ja","true",FALSE)</f>
        <v>0</v>
      </c>
      <c r="AJ474" t="b">
        <f>IF(Migrationsartikel!AE472="ja","true",FALSE)</f>
        <v>0</v>
      </c>
      <c r="AK474" t="str">
        <f>IF(Migrationsartikel!AF472="ja","Denner Partner","")</f>
        <v/>
      </c>
      <c r="AL474" t="str">
        <f>IF(Migrationsartikel!AG472="ja","true","false")</f>
        <v>false</v>
      </c>
      <c r="AM474" t="str">
        <f t="shared" si="7"/>
        <v>PLU</v>
      </c>
      <c r="AN474" s="31" t="s">
        <v>219</v>
      </c>
      <c r="AO474" s="31" t="s">
        <v>217</v>
      </c>
    </row>
    <row r="475" spans="2:41" ht="21.75" customHeight="1" x14ac:dyDescent="0.45">
      <c r="B475" t="s">
        <v>99</v>
      </c>
      <c r="E475" s="31" t="s">
        <v>1885</v>
      </c>
      <c r="F475" t="str">
        <f>"Warengruppe&gt;&gt;"&amp;Migrationsartikel!V473&amp;"&gt;&gt;"&amp;Migrationsartikel!W473&amp;"&gt;&gt;"&amp;Migrationsartikel!X473</f>
        <v>Warengruppe&gt;&gt;&gt;&gt;&gt;&gt;</v>
      </c>
      <c r="H475" s="31" t="s">
        <v>109</v>
      </c>
      <c r="I475" s="31" t="s">
        <v>121</v>
      </c>
      <c r="J475" s="31">
        <f>Migrationsartikel!B473</f>
        <v>0</v>
      </c>
      <c r="O475">
        <f>Migrationsartikel!F473</f>
        <v>0</v>
      </c>
      <c r="P475">
        <f>Migrationsartikel!J473</f>
        <v>0</v>
      </c>
      <c r="Q475">
        <f>Migrationsartikel!N473</f>
        <v>0</v>
      </c>
      <c r="R475">
        <f>Migrationsartikel!G473</f>
        <v>0</v>
      </c>
      <c r="S475">
        <f>Migrationsartikel!K473</f>
        <v>0</v>
      </c>
      <c r="T475">
        <f>Migrationsartikel!O473</f>
        <v>0</v>
      </c>
      <c r="U475" s="31">
        <f>Migrationsartikel!H473</f>
        <v>0</v>
      </c>
      <c r="V475" s="31">
        <f>Migrationsartikel!L473</f>
        <v>0</v>
      </c>
      <c r="W475" s="31">
        <f>Migrationsartikel!P473</f>
        <v>0</v>
      </c>
      <c r="X475">
        <f>Migrationsartikel!I473</f>
        <v>0</v>
      </c>
      <c r="Y475">
        <f>Migrationsartikel!M473</f>
        <v>0</v>
      </c>
      <c r="Z475">
        <f>Migrationsartikel!Q473</f>
        <v>0</v>
      </c>
      <c r="AA475" s="45">
        <f>Migrationsartikel!R473</f>
        <v>0</v>
      </c>
      <c r="AB475" s="46">
        <f>Migrationsartikel!T473</f>
        <v>0</v>
      </c>
      <c r="AC475">
        <f>Migrationsartikel!S473</f>
        <v>0</v>
      </c>
      <c r="AD475">
        <f>Migrationsartikel!U473</f>
        <v>0</v>
      </c>
      <c r="AE475" s="31" t="s">
        <v>179</v>
      </c>
      <c r="AF475" s="31" t="s">
        <v>192</v>
      </c>
      <c r="AG475" t="b">
        <f>IF(Migrationsartikel!AB473="ja","true",FALSE)</f>
        <v>0</v>
      </c>
      <c r="AH475" t="b">
        <f>IF(Migrationsartikel!AC473="ja","true",FALSE)</f>
        <v>0</v>
      </c>
      <c r="AI475" t="b">
        <f>IF(Migrationsartikel!AD473="ja","true",FALSE)</f>
        <v>0</v>
      </c>
      <c r="AJ475" t="b">
        <f>IF(Migrationsartikel!AE473="ja","true",FALSE)</f>
        <v>0</v>
      </c>
      <c r="AK475" t="str">
        <f>IF(Migrationsartikel!AF473="ja","Denner Partner","")</f>
        <v/>
      </c>
      <c r="AL475" t="str">
        <f>IF(Migrationsartikel!AG473="ja","true","false")</f>
        <v>false</v>
      </c>
      <c r="AM475" t="str">
        <f t="shared" si="7"/>
        <v>PLU</v>
      </c>
      <c r="AN475" s="31" t="s">
        <v>219</v>
      </c>
      <c r="AO475" s="31" t="s">
        <v>217</v>
      </c>
    </row>
    <row r="476" spans="2:41" ht="21.75" customHeight="1" x14ac:dyDescent="0.45">
      <c r="B476" t="s">
        <v>99</v>
      </c>
      <c r="E476" s="31" t="s">
        <v>1886</v>
      </c>
      <c r="F476" t="str">
        <f>"Warengruppe&gt;&gt;"&amp;Migrationsartikel!V474&amp;"&gt;&gt;"&amp;Migrationsartikel!W474&amp;"&gt;&gt;"&amp;Migrationsartikel!X474</f>
        <v>Warengruppe&gt;&gt;&gt;&gt;&gt;&gt;</v>
      </c>
      <c r="H476" s="31" t="s">
        <v>109</v>
      </c>
      <c r="I476" s="31" t="s">
        <v>121</v>
      </c>
      <c r="J476" s="31">
        <f>Migrationsartikel!B474</f>
        <v>0</v>
      </c>
      <c r="O476">
        <f>Migrationsartikel!F474</f>
        <v>0</v>
      </c>
      <c r="P476">
        <f>Migrationsartikel!J474</f>
        <v>0</v>
      </c>
      <c r="Q476">
        <f>Migrationsartikel!N474</f>
        <v>0</v>
      </c>
      <c r="R476">
        <f>Migrationsartikel!G474</f>
        <v>0</v>
      </c>
      <c r="S476">
        <f>Migrationsartikel!K474</f>
        <v>0</v>
      </c>
      <c r="T476">
        <f>Migrationsartikel!O474</f>
        <v>0</v>
      </c>
      <c r="U476" s="31">
        <f>Migrationsartikel!H474</f>
        <v>0</v>
      </c>
      <c r="V476" s="31">
        <f>Migrationsartikel!L474</f>
        <v>0</v>
      </c>
      <c r="W476" s="31">
        <f>Migrationsartikel!P474</f>
        <v>0</v>
      </c>
      <c r="X476">
        <f>Migrationsartikel!I474</f>
        <v>0</v>
      </c>
      <c r="Y476">
        <f>Migrationsartikel!M474</f>
        <v>0</v>
      </c>
      <c r="Z476">
        <f>Migrationsartikel!Q474</f>
        <v>0</v>
      </c>
      <c r="AA476" s="45">
        <f>Migrationsartikel!R474</f>
        <v>0</v>
      </c>
      <c r="AB476" s="46">
        <f>Migrationsartikel!T474</f>
        <v>0</v>
      </c>
      <c r="AC476">
        <f>Migrationsartikel!S474</f>
        <v>0</v>
      </c>
      <c r="AD476">
        <f>Migrationsartikel!U474</f>
        <v>0</v>
      </c>
      <c r="AE476" s="31" t="s">
        <v>179</v>
      </c>
      <c r="AF476" s="31" t="s">
        <v>192</v>
      </c>
      <c r="AG476" t="b">
        <f>IF(Migrationsartikel!AB474="ja","true",FALSE)</f>
        <v>0</v>
      </c>
      <c r="AH476" t="b">
        <f>IF(Migrationsartikel!AC474="ja","true",FALSE)</f>
        <v>0</v>
      </c>
      <c r="AI476" t="b">
        <f>IF(Migrationsartikel!AD474="ja","true",FALSE)</f>
        <v>0</v>
      </c>
      <c r="AJ476" t="b">
        <f>IF(Migrationsartikel!AE474="ja","true",FALSE)</f>
        <v>0</v>
      </c>
      <c r="AK476" t="str">
        <f>IF(Migrationsartikel!AF474="ja","Denner Partner","")</f>
        <v/>
      </c>
      <c r="AL476" t="str">
        <f>IF(Migrationsartikel!AG474="ja","true","false")</f>
        <v>false</v>
      </c>
      <c r="AM476" t="str">
        <f t="shared" si="7"/>
        <v>PLU</v>
      </c>
      <c r="AN476" s="31" t="s">
        <v>219</v>
      </c>
      <c r="AO476" s="31" t="s">
        <v>217</v>
      </c>
    </row>
    <row r="477" spans="2:41" ht="21.75" customHeight="1" x14ac:dyDescent="0.45">
      <c r="B477" t="s">
        <v>99</v>
      </c>
      <c r="E477" s="31" t="s">
        <v>1887</v>
      </c>
      <c r="F477" t="str">
        <f>"Warengruppe&gt;&gt;"&amp;Migrationsartikel!V475&amp;"&gt;&gt;"&amp;Migrationsartikel!W475&amp;"&gt;&gt;"&amp;Migrationsartikel!X475</f>
        <v>Warengruppe&gt;&gt;&gt;&gt;&gt;&gt;</v>
      </c>
      <c r="H477" s="31" t="s">
        <v>109</v>
      </c>
      <c r="I477" s="31" t="s">
        <v>121</v>
      </c>
      <c r="J477" s="31">
        <f>Migrationsartikel!B475</f>
        <v>0</v>
      </c>
      <c r="O477">
        <f>Migrationsartikel!F475</f>
        <v>0</v>
      </c>
      <c r="P477">
        <f>Migrationsartikel!J475</f>
        <v>0</v>
      </c>
      <c r="Q477">
        <f>Migrationsartikel!N475</f>
        <v>0</v>
      </c>
      <c r="R477">
        <f>Migrationsartikel!G475</f>
        <v>0</v>
      </c>
      <c r="S477">
        <f>Migrationsartikel!K475</f>
        <v>0</v>
      </c>
      <c r="T477">
        <f>Migrationsartikel!O475</f>
        <v>0</v>
      </c>
      <c r="U477" s="31">
        <f>Migrationsartikel!H475</f>
        <v>0</v>
      </c>
      <c r="V477" s="31">
        <f>Migrationsartikel!L475</f>
        <v>0</v>
      </c>
      <c r="W477" s="31">
        <f>Migrationsartikel!P475</f>
        <v>0</v>
      </c>
      <c r="X477">
        <f>Migrationsartikel!I475</f>
        <v>0</v>
      </c>
      <c r="Y477">
        <f>Migrationsartikel!M475</f>
        <v>0</v>
      </c>
      <c r="Z477">
        <f>Migrationsartikel!Q475</f>
        <v>0</v>
      </c>
      <c r="AA477" s="45">
        <f>Migrationsartikel!R475</f>
        <v>0</v>
      </c>
      <c r="AB477" s="46">
        <f>Migrationsartikel!T475</f>
        <v>0</v>
      </c>
      <c r="AC477">
        <f>Migrationsartikel!S475</f>
        <v>0</v>
      </c>
      <c r="AD477">
        <f>Migrationsartikel!U475</f>
        <v>0</v>
      </c>
      <c r="AE477" s="31" t="s">
        <v>179</v>
      </c>
      <c r="AF477" s="31" t="s">
        <v>192</v>
      </c>
      <c r="AG477" t="b">
        <f>IF(Migrationsartikel!AB475="ja","true",FALSE)</f>
        <v>0</v>
      </c>
      <c r="AH477" t="b">
        <f>IF(Migrationsartikel!AC475="ja","true",FALSE)</f>
        <v>0</v>
      </c>
      <c r="AI477" t="b">
        <f>IF(Migrationsartikel!AD475="ja","true",FALSE)</f>
        <v>0</v>
      </c>
      <c r="AJ477" t="b">
        <f>IF(Migrationsartikel!AE475="ja","true",FALSE)</f>
        <v>0</v>
      </c>
      <c r="AK477" t="str">
        <f>IF(Migrationsartikel!AF475="ja","Denner Partner","")</f>
        <v/>
      </c>
      <c r="AL477" t="str">
        <f>IF(Migrationsartikel!AG475="ja","true","false")</f>
        <v>false</v>
      </c>
      <c r="AM477" t="str">
        <f t="shared" si="7"/>
        <v>PLU</v>
      </c>
      <c r="AN477" s="31" t="s">
        <v>219</v>
      </c>
      <c r="AO477" s="31" t="s">
        <v>217</v>
      </c>
    </row>
    <row r="478" spans="2:41" ht="21.75" customHeight="1" x14ac:dyDescent="0.45">
      <c r="B478" t="s">
        <v>99</v>
      </c>
      <c r="E478" s="31" t="s">
        <v>1888</v>
      </c>
      <c r="F478" t="str">
        <f>"Warengruppe&gt;&gt;"&amp;Migrationsartikel!V476&amp;"&gt;&gt;"&amp;Migrationsartikel!W476&amp;"&gt;&gt;"&amp;Migrationsartikel!X476</f>
        <v>Warengruppe&gt;&gt;&gt;&gt;&gt;&gt;</v>
      </c>
      <c r="H478" s="31" t="s">
        <v>109</v>
      </c>
      <c r="I478" s="31" t="s">
        <v>121</v>
      </c>
      <c r="J478" s="31">
        <f>Migrationsartikel!B476</f>
        <v>0</v>
      </c>
      <c r="O478">
        <f>Migrationsartikel!F476</f>
        <v>0</v>
      </c>
      <c r="P478">
        <f>Migrationsartikel!J476</f>
        <v>0</v>
      </c>
      <c r="Q478">
        <f>Migrationsartikel!N476</f>
        <v>0</v>
      </c>
      <c r="R478">
        <f>Migrationsartikel!G476</f>
        <v>0</v>
      </c>
      <c r="S478">
        <f>Migrationsartikel!K476</f>
        <v>0</v>
      </c>
      <c r="T478">
        <f>Migrationsartikel!O476</f>
        <v>0</v>
      </c>
      <c r="U478" s="31">
        <f>Migrationsartikel!H476</f>
        <v>0</v>
      </c>
      <c r="V478" s="31">
        <f>Migrationsartikel!L476</f>
        <v>0</v>
      </c>
      <c r="W478" s="31">
        <f>Migrationsartikel!P476</f>
        <v>0</v>
      </c>
      <c r="X478">
        <f>Migrationsartikel!I476</f>
        <v>0</v>
      </c>
      <c r="Y478">
        <f>Migrationsartikel!M476</f>
        <v>0</v>
      </c>
      <c r="Z478">
        <f>Migrationsartikel!Q476</f>
        <v>0</v>
      </c>
      <c r="AA478" s="45">
        <f>Migrationsartikel!R476</f>
        <v>0</v>
      </c>
      <c r="AB478" s="46">
        <f>Migrationsartikel!T476</f>
        <v>0</v>
      </c>
      <c r="AC478">
        <f>Migrationsartikel!S476</f>
        <v>0</v>
      </c>
      <c r="AD478">
        <f>Migrationsartikel!U476</f>
        <v>0</v>
      </c>
      <c r="AE478" s="31" t="s">
        <v>179</v>
      </c>
      <c r="AF478" s="31" t="s">
        <v>192</v>
      </c>
      <c r="AG478" t="b">
        <f>IF(Migrationsartikel!AB476="ja","true",FALSE)</f>
        <v>0</v>
      </c>
      <c r="AH478" t="b">
        <f>IF(Migrationsartikel!AC476="ja","true",FALSE)</f>
        <v>0</v>
      </c>
      <c r="AI478" t="b">
        <f>IF(Migrationsartikel!AD476="ja","true",FALSE)</f>
        <v>0</v>
      </c>
      <c r="AJ478" t="b">
        <f>IF(Migrationsartikel!AE476="ja","true",FALSE)</f>
        <v>0</v>
      </c>
      <c r="AK478" t="str">
        <f>IF(Migrationsartikel!AF476="ja","Denner Partner","")</f>
        <v/>
      </c>
      <c r="AL478" t="str">
        <f>IF(Migrationsartikel!AG476="ja","true","false")</f>
        <v>false</v>
      </c>
      <c r="AM478" t="str">
        <f t="shared" si="7"/>
        <v>PLU</v>
      </c>
      <c r="AN478" s="31" t="s">
        <v>219</v>
      </c>
      <c r="AO478" s="31" t="s">
        <v>217</v>
      </c>
    </row>
    <row r="479" spans="2:41" ht="21.75" customHeight="1" x14ac:dyDescent="0.45">
      <c r="B479" t="s">
        <v>99</v>
      </c>
      <c r="E479" s="31" t="s">
        <v>1889</v>
      </c>
      <c r="F479" t="str">
        <f>"Warengruppe&gt;&gt;"&amp;Migrationsartikel!V477&amp;"&gt;&gt;"&amp;Migrationsartikel!W477&amp;"&gt;&gt;"&amp;Migrationsartikel!X477</f>
        <v>Warengruppe&gt;&gt;&gt;&gt;&gt;&gt;</v>
      </c>
      <c r="H479" s="31" t="s">
        <v>109</v>
      </c>
      <c r="I479" s="31" t="s">
        <v>121</v>
      </c>
      <c r="J479" s="31">
        <f>Migrationsartikel!B477</f>
        <v>0</v>
      </c>
      <c r="O479">
        <f>Migrationsartikel!F477</f>
        <v>0</v>
      </c>
      <c r="P479">
        <f>Migrationsartikel!J477</f>
        <v>0</v>
      </c>
      <c r="Q479">
        <f>Migrationsartikel!N477</f>
        <v>0</v>
      </c>
      <c r="R479">
        <f>Migrationsartikel!G477</f>
        <v>0</v>
      </c>
      <c r="S479">
        <f>Migrationsartikel!K477</f>
        <v>0</v>
      </c>
      <c r="T479">
        <f>Migrationsartikel!O477</f>
        <v>0</v>
      </c>
      <c r="U479" s="31">
        <f>Migrationsartikel!H477</f>
        <v>0</v>
      </c>
      <c r="V479" s="31">
        <f>Migrationsartikel!L477</f>
        <v>0</v>
      </c>
      <c r="W479" s="31">
        <f>Migrationsartikel!P477</f>
        <v>0</v>
      </c>
      <c r="X479">
        <f>Migrationsartikel!I477</f>
        <v>0</v>
      </c>
      <c r="Y479">
        <f>Migrationsartikel!M477</f>
        <v>0</v>
      </c>
      <c r="Z479">
        <f>Migrationsartikel!Q477</f>
        <v>0</v>
      </c>
      <c r="AA479" s="45">
        <f>Migrationsartikel!R477</f>
        <v>0</v>
      </c>
      <c r="AB479" s="46">
        <f>Migrationsartikel!T477</f>
        <v>0</v>
      </c>
      <c r="AC479">
        <f>Migrationsartikel!S477</f>
        <v>0</v>
      </c>
      <c r="AD479">
        <f>Migrationsartikel!U477</f>
        <v>0</v>
      </c>
      <c r="AE479" s="31" t="s">
        <v>179</v>
      </c>
      <c r="AF479" s="31" t="s">
        <v>192</v>
      </c>
      <c r="AG479" t="b">
        <f>IF(Migrationsartikel!AB477="ja","true",FALSE)</f>
        <v>0</v>
      </c>
      <c r="AH479" t="b">
        <f>IF(Migrationsartikel!AC477="ja","true",FALSE)</f>
        <v>0</v>
      </c>
      <c r="AI479" t="b">
        <f>IF(Migrationsartikel!AD477="ja","true",FALSE)</f>
        <v>0</v>
      </c>
      <c r="AJ479" t="b">
        <f>IF(Migrationsartikel!AE477="ja","true",FALSE)</f>
        <v>0</v>
      </c>
      <c r="AK479" t="str">
        <f>IF(Migrationsartikel!AF477="ja","Denner Partner","")</f>
        <v/>
      </c>
      <c r="AL479" t="str">
        <f>IF(Migrationsartikel!AG477="ja","true","false")</f>
        <v>false</v>
      </c>
      <c r="AM479" t="str">
        <f t="shared" si="7"/>
        <v>PLU</v>
      </c>
      <c r="AN479" s="31" t="s">
        <v>219</v>
      </c>
      <c r="AO479" s="31" t="s">
        <v>217</v>
      </c>
    </row>
    <row r="480" spans="2:41" ht="21.75" customHeight="1" x14ac:dyDescent="0.45">
      <c r="B480" t="s">
        <v>99</v>
      </c>
      <c r="E480" s="31" t="s">
        <v>1890</v>
      </c>
      <c r="F480" t="str">
        <f>"Warengruppe&gt;&gt;"&amp;Migrationsartikel!V478&amp;"&gt;&gt;"&amp;Migrationsartikel!W478&amp;"&gt;&gt;"&amp;Migrationsartikel!X478</f>
        <v>Warengruppe&gt;&gt;&gt;&gt;&gt;&gt;</v>
      </c>
      <c r="H480" s="31" t="s">
        <v>109</v>
      </c>
      <c r="I480" s="31" t="s">
        <v>121</v>
      </c>
      <c r="J480" s="31">
        <f>Migrationsartikel!B478</f>
        <v>0</v>
      </c>
      <c r="O480">
        <f>Migrationsartikel!F478</f>
        <v>0</v>
      </c>
      <c r="P480">
        <f>Migrationsartikel!J478</f>
        <v>0</v>
      </c>
      <c r="Q480">
        <f>Migrationsartikel!N478</f>
        <v>0</v>
      </c>
      <c r="R480">
        <f>Migrationsartikel!G478</f>
        <v>0</v>
      </c>
      <c r="S480">
        <f>Migrationsartikel!K478</f>
        <v>0</v>
      </c>
      <c r="T480">
        <f>Migrationsartikel!O478</f>
        <v>0</v>
      </c>
      <c r="U480" s="31">
        <f>Migrationsartikel!H478</f>
        <v>0</v>
      </c>
      <c r="V480" s="31">
        <f>Migrationsartikel!L478</f>
        <v>0</v>
      </c>
      <c r="W480" s="31">
        <f>Migrationsartikel!P478</f>
        <v>0</v>
      </c>
      <c r="X480">
        <f>Migrationsartikel!I478</f>
        <v>0</v>
      </c>
      <c r="Y480">
        <f>Migrationsartikel!M478</f>
        <v>0</v>
      </c>
      <c r="Z480">
        <f>Migrationsartikel!Q478</f>
        <v>0</v>
      </c>
      <c r="AA480" s="45">
        <f>Migrationsartikel!R478</f>
        <v>0</v>
      </c>
      <c r="AB480" s="46">
        <f>Migrationsartikel!T478</f>
        <v>0</v>
      </c>
      <c r="AC480">
        <f>Migrationsartikel!S478</f>
        <v>0</v>
      </c>
      <c r="AD480">
        <f>Migrationsartikel!U478</f>
        <v>0</v>
      </c>
      <c r="AE480" s="31" t="s">
        <v>179</v>
      </c>
      <c r="AF480" s="31" t="s">
        <v>192</v>
      </c>
      <c r="AG480" t="b">
        <f>IF(Migrationsartikel!AB478="ja","true",FALSE)</f>
        <v>0</v>
      </c>
      <c r="AH480" t="b">
        <f>IF(Migrationsartikel!AC478="ja","true",FALSE)</f>
        <v>0</v>
      </c>
      <c r="AI480" t="b">
        <f>IF(Migrationsartikel!AD478="ja","true",FALSE)</f>
        <v>0</v>
      </c>
      <c r="AJ480" t="b">
        <f>IF(Migrationsartikel!AE478="ja","true",FALSE)</f>
        <v>0</v>
      </c>
      <c r="AK480" t="str">
        <f>IF(Migrationsartikel!AF478="ja","Denner Partner","")</f>
        <v/>
      </c>
      <c r="AL480" t="str">
        <f>IF(Migrationsartikel!AG478="ja","true","false")</f>
        <v>false</v>
      </c>
      <c r="AM480" t="str">
        <f t="shared" si="7"/>
        <v>PLU</v>
      </c>
      <c r="AN480" s="31" t="s">
        <v>219</v>
      </c>
      <c r="AO480" s="31" t="s">
        <v>217</v>
      </c>
    </row>
    <row r="481" spans="2:41" ht="21.75" customHeight="1" x14ac:dyDescent="0.45">
      <c r="B481" t="s">
        <v>99</v>
      </c>
      <c r="E481" s="31" t="s">
        <v>1891</v>
      </c>
      <c r="F481" t="str">
        <f>"Warengruppe&gt;&gt;"&amp;Migrationsartikel!V479&amp;"&gt;&gt;"&amp;Migrationsartikel!W479&amp;"&gt;&gt;"&amp;Migrationsartikel!X479</f>
        <v>Warengruppe&gt;&gt;&gt;&gt;&gt;&gt;</v>
      </c>
      <c r="H481" s="31" t="s">
        <v>109</v>
      </c>
      <c r="I481" s="31" t="s">
        <v>121</v>
      </c>
      <c r="J481" s="31">
        <f>Migrationsartikel!B479</f>
        <v>0</v>
      </c>
      <c r="O481">
        <f>Migrationsartikel!F479</f>
        <v>0</v>
      </c>
      <c r="P481">
        <f>Migrationsartikel!J479</f>
        <v>0</v>
      </c>
      <c r="Q481">
        <f>Migrationsartikel!N479</f>
        <v>0</v>
      </c>
      <c r="R481">
        <f>Migrationsartikel!G479</f>
        <v>0</v>
      </c>
      <c r="S481">
        <f>Migrationsartikel!K479</f>
        <v>0</v>
      </c>
      <c r="T481">
        <f>Migrationsartikel!O479</f>
        <v>0</v>
      </c>
      <c r="U481" s="31">
        <f>Migrationsartikel!H479</f>
        <v>0</v>
      </c>
      <c r="V481" s="31">
        <f>Migrationsartikel!L479</f>
        <v>0</v>
      </c>
      <c r="W481" s="31">
        <f>Migrationsartikel!P479</f>
        <v>0</v>
      </c>
      <c r="X481">
        <f>Migrationsartikel!I479</f>
        <v>0</v>
      </c>
      <c r="Y481">
        <f>Migrationsartikel!M479</f>
        <v>0</v>
      </c>
      <c r="Z481">
        <f>Migrationsartikel!Q479</f>
        <v>0</v>
      </c>
      <c r="AA481" s="45">
        <f>Migrationsartikel!R479</f>
        <v>0</v>
      </c>
      <c r="AB481" s="46">
        <f>Migrationsartikel!T479</f>
        <v>0</v>
      </c>
      <c r="AC481">
        <f>Migrationsartikel!S479</f>
        <v>0</v>
      </c>
      <c r="AD481">
        <f>Migrationsartikel!U479</f>
        <v>0</v>
      </c>
      <c r="AE481" s="31" t="s">
        <v>179</v>
      </c>
      <c r="AF481" s="31" t="s">
        <v>192</v>
      </c>
      <c r="AG481" t="b">
        <f>IF(Migrationsartikel!AB479="ja","true",FALSE)</f>
        <v>0</v>
      </c>
      <c r="AH481" t="b">
        <f>IF(Migrationsartikel!AC479="ja","true",FALSE)</f>
        <v>0</v>
      </c>
      <c r="AI481" t="b">
        <f>IF(Migrationsartikel!AD479="ja","true",FALSE)</f>
        <v>0</v>
      </c>
      <c r="AJ481" t="b">
        <f>IF(Migrationsartikel!AE479="ja","true",FALSE)</f>
        <v>0</v>
      </c>
      <c r="AK481" t="str">
        <f>IF(Migrationsartikel!AF479="ja","Denner Partner","")</f>
        <v/>
      </c>
      <c r="AL481" t="str">
        <f>IF(Migrationsartikel!AG479="ja","true","false")</f>
        <v>false</v>
      </c>
      <c r="AM481" t="str">
        <f t="shared" si="7"/>
        <v>PLU</v>
      </c>
      <c r="AN481" s="31" t="s">
        <v>219</v>
      </c>
      <c r="AO481" s="31" t="s">
        <v>217</v>
      </c>
    </row>
    <row r="482" spans="2:41" ht="21.75" customHeight="1" x14ac:dyDescent="0.45">
      <c r="B482" t="s">
        <v>99</v>
      </c>
      <c r="E482" s="31" t="s">
        <v>1892</v>
      </c>
      <c r="F482" t="str">
        <f>"Warengruppe&gt;&gt;"&amp;Migrationsartikel!V480&amp;"&gt;&gt;"&amp;Migrationsartikel!W480&amp;"&gt;&gt;"&amp;Migrationsartikel!X480</f>
        <v>Warengruppe&gt;&gt;&gt;&gt;&gt;&gt;</v>
      </c>
      <c r="H482" s="31" t="s">
        <v>109</v>
      </c>
      <c r="I482" s="31" t="s">
        <v>121</v>
      </c>
      <c r="J482" s="31">
        <f>Migrationsartikel!B480</f>
        <v>0</v>
      </c>
      <c r="O482">
        <f>Migrationsartikel!F480</f>
        <v>0</v>
      </c>
      <c r="P482">
        <f>Migrationsartikel!J480</f>
        <v>0</v>
      </c>
      <c r="Q482">
        <f>Migrationsartikel!N480</f>
        <v>0</v>
      </c>
      <c r="R482">
        <f>Migrationsartikel!G480</f>
        <v>0</v>
      </c>
      <c r="S482">
        <f>Migrationsartikel!K480</f>
        <v>0</v>
      </c>
      <c r="T482">
        <f>Migrationsartikel!O480</f>
        <v>0</v>
      </c>
      <c r="U482" s="31">
        <f>Migrationsartikel!H480</f>
        <v>0</v>
      </c>
      <c r="V482" s="31">
        <f>Migrationsartikel!L480</f>
        <v>0</v>
      </c>
      <c r="W482" s="31">
        <f>Migrationsartikel!P480</f>
        <v>0</v>
      </c>
      <c r="X482">
        <f>Migrationsartikel!I480</f>
        <v>0</v>
      </c>
      <c r="Y482">
        <f>Migrationsartikel!M480</f>
        <v>0</v>
      </c>
      <c r="Z482">
        <f>Migrationsartikel!Q480</f>
        <v>0</v>
      </c>
      <c r="AA482" s="45">
        <f>Migrationsartikel!R480</f>
        <v>0</v>
      </c>
      <c r="AB482" s="46">
        <f>Migrationsartikel!T480</f>
        <v>0</v>
      </c>
      <c r="AC482">
        <f>Migrationsartikel!S480</f>
        <v>0</v>
      </c>
      <c r="AD482">
        <f>Migrationsartikel!U480</f>
        <v>0</v>
      </c>
      <c r="AE482" s="31" t="s">
        <v>179</v>
      </c>
      <c r="AF482" s="31" t="s">
        <v>192</v>
      </c>
      <c r="AG482" t="b">
        <f>IF(Migrationsartikel!AB480="ja","true",FALSE)</f>
        <v>0</v>
      </c>
      <c r="AH482" t="b">
        <f>IF(Migrationsartikel!AC480="ja","true",FALSE)</f>
        <v>0</v>
      </c>
      <c r="AI482" t="b">
        <f>IF(Migrationsartikel!AD480="ja","true",FALSE)</f>
        <v>0</v>
      </c>
      <c r="AJ482" t="b">
        <f>IF(Migrationsartikel!AE480="ja","true",FALSE)</f>
        <v>0</v>
      </c>
      <c r="AK482" t="str">
        <f>IF(Migrationsartikel!AF480="ja","Denner Partner","")</f>
        <v/>
      </c>
      <c r="AL482" t="str">
        <f>IF(Migrationsartikel!AG480="ja","true","false")</f>
        <v>false</v>
      </c>
      <c r="AM482" t="str">
        <f t="shared" si="7"/>
        <v>PLU</v>
      </c>
      <c r="AN482" s="31" t="s">
        <v>219</v>
      </c>
      <c r="AO482" s="31" t="s">
        <v>217</v>
      </c>
    </row>
    <row r="483" spans="2:41" ht="21.75" customHeight="1" x14ac:dyDescent="0.45">
      <c r="B483" t="s">
        <v>99</v>
      </c>
      <c r="E483" s="31" t="s">
        <v>1893</v>
      </c>
      <c r="F483" t="str">
        <f>"Warengruppe&gt;&gt;"&amp;Migrationsartikel!V481&amp;"&gt;&gt;"&amp;Migrationsartikel!W481&amp;"&gt;&gt;"&amp;Migrationsartikel!X481</f>
        <v>Warengruppe&gt;&gt;&gt;&gt;&gt;&gt;</v>
      </c>
      <c r="H483" s="31" t="s">
        <v>109</v>
      </c>
      <c r="I483" s="31" t="s">
        <v>121</v>
      </c>
      <c r="J483" s="31">
        <f>Migrationsartikel!B481</f>
        <v>0</v>
      </c>
      <c r="O483">
        <f>Migrationsartikel!F481</f>
        <v>0</v>
      </c>
      <c r="P483">
        <f>Migrationsartikel!J481</f>
        <v>0</v>
      </c>
      <c r="Q483">
        <f>Migrationsartikel!N481</f>
        <v>0</v>
      </c>
      <c r="R483">
        <f>Migrationsartikel!G481</f>
        <v>0</v>
      </c>
      <c r="S483">
        <f>Migrationsartikel!K481</f>
        <v>0</v>
      </c>
      <c r="T483">
        <f>Migrationsartikel!O481</f>
        <v>0</v>
      </c>
      <c r="U483" s="31">
        <f>Migrationsartikel!H481</f>
        <v>0</v>
      </c>
      <c r="V483" s="31">
        <f>Migrationsartikel!L481</f>
        <v>0</v>
      </c>
      <c r="W483" s="31">
        <f>Migrationsartikel!P481</f>
        <v>0</v>
      </c>
      <c r="X483">
        <f>Migrationsartikel!I481</f>
        <v>0</v>
      </c>
      <c r="Y483">
        <f>Migrationsartikel!M481</f>
        <v>0</v>
      </c>
      <c r="Z483">
        <f>Migrationsartikel!Q481</f>
        <v>0</v>
      </c>
      <c r="AA483" s="45">
        <f>Migrationsartikel!R481</f>
        <v>0</v>
      </c>
      <c r="AB483" s="46">
        <f>Migrationsartikel!T481</f>
        <v>0</v>
      </c>
      <c r="AC483">
        <f>Migrationsartikel!S481</f>
        <v>0</v>
      </c>
      <c r="AD483">
        <f>Migrationsartikel!U481</f>
        <v>0</v>
      </c>
      <c r="AE483" s="31" t="s">
        <v>179</v>
      </c>
      <c r="AF483" s="31" t="s">
        <v>192</v>
      </c>
      <c r="AG483" t="b">
        <f>IF(Migrationsartikel!AB481="ja","true",FALSE)</f>
        <v>0</v>
      </c>
      <c r="AH483" t="b">
        <f>IF(Migrationsartikel!AC481="ja","true",FALSE)</f>
        <v>0</v>
      </c>
      <c r="AI483" t="b">
        <f>IF(Migrationsartikel!AD481="ja","true",FALSE)</f>
        <v>0</v>
      </c>
      <c r="AJ483" t="b">
        <f>IF(Migrationsartikel!AE481="ja","true",FALSE)</f>
        <v>0</v>
      </c>
      <c r="AK483" t="str">
        <f>IF(Migrationsartikel!AF481="ja","Denner Partner","")</f>
        <v/>
      </c>
      <c r="AL483" t="str">
        <f>IF(Migrationsartikel!AG481="ja","true","false")</f>
        <v>false</v>
      </c>
      <c r="AM483" t="str">
        <f t="shared" si="7"/>
        <v>PLU</v>
      </c>
      <c r="AN483" s="31" t="s">
        <v>219</v>
      </c>
      <c r="AO483" s="31" t="s">
        <v>217</v>
      </c>
    </row>
    <row r="484" spans="2:41" ht="21.75" customHeight="1" x14ac:dyDescent="0.45">
      <c r="B484" t="s">
        <v>99</v>
      </c>
      <c r="E484" s="31" t="s">
        <v>1894</v>
      </c>
      <c r="F484" t="str">
        <f>"Warengruppe&gt;&gt;"&amp;Migrationsartikel!V482&amp;"&gt;&gt;"&amp;Migrationsartikel!W482&amp;"&gt;&gt;"&amp;Migrationsartikel!X482</f>
        <v>Warengruppe&gt;&gt;&gt;&gt;&gt;&gt;</v>
      </c>
      <c r="H484" s="31" t="s">
        <v>109</v>
      </c>
      <c r="I484" s="31" t="s">
        <v>121</v>
      </c>
      <c r="J484" s="31">
        <f>Migrationsartikel!B482</f>
        <v>0</v>
      </c>
      <c r="O484">
        <f>Migrationsartikel!F482</f>
        <v>0</v>
      </c>
      <c r="P484">
        <f>Migrationsartikel!J482</f>
        <v>0</v>
      </c>
      <c r="Q484">
        <f>Migrationsartikel!N482</f>
        <v>0</v>
      </c>
      <c r="R484">
        <f>Migrationsartikel!G482</f>
        <v>0</v>
      </c>
      <c r="S484">
        <f>Migrationsartikel!K482</f>
        <v>0</v>
      </c>
      <c r="T484">
        <f>Migrationsartikel!O482</f>
        <v>0</v>
      </c>
      <c r="U484" s="31">
        <f>Migrationsartikel!H482</f>
        <v>0</v>
      </c>
      <c r="V484" s="31">
        <f>Migrationsartikel!L482</f>
        <v>0</v>
      </c>
      <c r="W484" s="31">
        <f>Migrationsartikel!P482</f>
        <v>0</v>
      </c>
      <c r="X484">
        <f>Migrationsartikel!I482</f>
        <v>0</v>
      </c>
      <c r="Y484">
        <f>Migrationsartikel!M482</f>
        <v>0</v>
      </c>
      <c r="Z484">
        <f>Migrationsartikel!Q482</f>
        <v>0</v>
      </c>
      <c r="AA484" s="45">
        <f>Migrationsartikel!R482</f>
        <v>0</v>
      </c>
      <c r="AB484" s="46">
        <f>Migrationsartikel!T482</f>
        <v>0</v>
      </c>
      <c r="AC484">
        <f>Migrationsartikel!S482</f>
        <v>0</v>
      </c>
      <c r="AD484">
        <f>Migrationsartikel!U482</f>
        <v>0</v>
      </c>
      <c r="AE484" s="31" t="s">
        <v>179</v>
      </c>
      <c r="AF484" s="31" t="s">
        <v>192</v>
      </c>
      <c r="AG484" t="b">
        <f>IF(Migrationsartikel!AB482="ja","true",FALSE)</f>
        <v>0</v>
      </c>
      <c r="AH484" t="b">
        <f>IF(Migrationsartikel!AC482="ja","true",FALSE)</f>
        <v>0</v>
      </c>
      <c r="AI484" t="b">
        <f>IF(Migrationsartikel!AD482="ja","true",FALSE)</f>
        <v>0</v>
      </c>
      <c r="AJ484" t="b">
        <f>IF(Migrationsartikel!AE482="ja","true",FALSE)</f>
        <v>0</v>
      </c>
      <c r="AK484" t="str">
        <f>IF(Migrationsartikel!AF482="ja","Denner Partner","")</f>
        <v/>
      </c>
      <c r="AL484" t="str">
        <f>IF(Migrationsartikel!AG482="ja","true","false")</f>
        <v>false</v>
      </c>
      <c r="AM484" t="str">
        <f t="shared" si="7"/>
        <v>PLU</v>
      </c>
      <c r="AN484" s="31" t="s">
        <v>219</v>
      </c>
      <c r="AO484" s="31" t="s">
        <v>217</v>
      </c>
    </row>
    <row r="485" spans="2:41" ht="21.75" customHeight="1" x14ac:dyDescent="0.45">
      <c r="B485" t="s">
        <v>99</v>
      </c>
      <c r="E485" s="31" t="s">
        <v>1895</v>
      </c>
      <c r="F485" t="str">
        <f>"Warengruppe&gt;&gt;"&amp;Migrationsartikel!V483&amp;"&gt;&gt;"&amp;Migrationsartikel!W483&amp;"&gt;&gt;"&amp;Migrationsartikel!X483</f>
        <v>Warengruppe&gt;&gt;&gt;&gt;&gt;&gt;</v>
      </c>
      <c r="H485" s="31" t="s">
        <v>109</v>
      </c>
      <c r="I485" s="31" t="s">
        <v>121</v>
      </c>
      <c r="J485" s="31">
        <f>Migrationsartikel!B483</f>
        <v>0</v>
      </c>
      <c r="O485">
        <f>Migrationsartikel!F483</f>
        <v>0</v>
      </c>
      <c r="P485">
        <f>Migrationsartikel!J483</f>
        <v>0</v>
      </c>
      <c r="Q485">
        <f>Migrationsartikel!N483</f>
        <v>0</v>
      </c>
      <c r="R485">
        <f>Migrationsartikel!G483</f>
        <v>0</v>
      </c>
      <c r="S485">
        <f>Migrationsartikel!K483</f>
        <v>0</v>
      </c>
      <c r="T485">
        <f>Migrationsartikel!O483</f>
        <v>0</v>
      </c>
      <c r="U485" s="31">
        <f>Migrationsartikel!H483</f>
        <v>0</v>
      </c>
      <c r="V485" s="31">
        <f>Migrationsartikel!L483</f>
        <v>0</v>
      </c>
      <c r="W485" s="31">
        <f>Migrationsartikel!P483</f>
        <v>0</v>
      </c>
      <c r="X485">
        <f>Migrationsartikel!I483</f>
        <v>0</v>
      </c>
      <c r="Y485">
        <f>Migrationsartikel!M483</f>
        <v>0</v>
      </c>
      <c r="Z485">
        <f>Migrationsartikel!Q483</f>
        <v>0</v>
      </c>
      <c r="AA485" s="45">
        <f>Migrationsartikel!R483</f>
        <v>0</v>
      </c>
      <c r="AB485" s="46">
        <f>Migrationsartikel!T483</f>
        <v>0</v>
      </c>
      <c r="AC485">
        <f>Migrationsartikel!S483</f>
        <v>0</v>
      </c>
      <c r="AD485">
        <f>Migrationsartikel!U483</f>
        <v>0</v>
      </c>
      <c r="AE485" s="31" t="s">
        <v>179</v>
      </c>
      <c r="AF485" s="31" t="s">
        <v>192</v>
      </c>
      <c r="AG485" t="b">
        <f>IF(Migrationsartikel!AB483="ja","true",FALSE)</f>
        <v>0</v>
      </c>
      <c r="AH485" t="b">
        <f>IF(Migrationsartikel!AC483="ja","true",FALSE)</f>
        <v>0</v>
      </c>
      <c r="AI485" t="b">
        <f>IF(Migrationsartikel!AD483="ja","true",FALSE)</f>
        <v>0</v>
      </c>
      <c r="AJ485" t="b">
        <f>IF(Migrationsartikel!AE483="ja","true",FALSE)</f>
        <v>0</v>
      </c>
      <c r="AK485" t="str">
        <f>IF(Migrationsartikel!AF483="ja","Denner Partner","")</f>
        <v/>
      </c>
      <c r="AL485" t="str">
        <f>IF(Migrationsartikel!AG483="ja","true","false")</f>
        <v>false</v>
      </c>
      <c r="AM485" t="str">
        <f t="shared" si="7"/>
        <v>PLU</v>
      </c>
      <c r="AN485" s="31" t="s">
        <v>219</v>
      </c>
      <c r="AO485" s="31" t="s">
        <v>217</v>
      </c>
    </row>
    <row r="486" spans="2:41" ht="21.75" customHeight="1" x14ac:dyDescent="0.45">
      <c r="B486" t="s">
        <v>99</v>
      </c>
      <c r="E486" s="31" t="s">
        <v>1896</v>
      </c>
      <c r="F486" t="str">
        <f>"Warengruppe&gt;&gt;"&amp;Migrationsartikel!V484&amp;"&gt;&gt;"&amp;Migrationsartikel!W484&amp;"&gt;&gt;"&amp;Migrationsartikel!X484</f>
        <v>Warengruppe&gt;&gt;&gt;&gt;&gt;&gt;</v>
      </c>
      <c r="H486" s="31" t="s">
        <v>109</v>
      </c>
      <c r="I486" s="31" t="s">
        <v>121</v>
      </c>
      <c r="J486" s="31">
        <f>Migrationsartikel!B484</f>
        <v>0</v>
      </c>
      <c r="O486">
        <f>Migrationsartikel!F484</f>
        <v>0</v>
      </c>
      <c r="P486">
        <f>Migrationsartikel!J484</f>
        <v>0</v>
      </c>
      <c r="Q486">
        <f>Migrationsartikel!N484</f>
        <v>0</v>
      </c>
      <c r="R486">
        <f>Migrationsartikel!G484</f>
        <v>0</v>
      </c>
      <c r="S486">
        <f>Migrationsartikel!K484</f>
        <v>0</v>
      </c>
      <c r="T486">
        <f>Migrationsartikel!O484</f>
        <v>0</v>
      </c>
      <c r="U486" s="31">
        <f>Migrationsartikel!H484</f>
        <v>0</v>
      </c>
      <c r="V486" s="31">
        <f>Migrationsartikel!L484</f>
        <v>0</v>
      </c>
      <c r="W486" s="31">
        <f>Migrationsartikel!P484</f>
        <v>0</v>
      </c>
      <c r="X486">
        <f>Migrationsartikel!I484</f>
        <v>0</v>
      </c>
      <c r="Y486">
        <f>Migrationsartikel!M484</f>
        <v>0</v>
      </c>
      <c r="Z486">
        <f>Migrationsartikel!Q484</f>
        <v>0</v>
      </c>
      <c r="AA486" s="45">
        <f>Migrationsartikel!R484</f>
        <v>0</v>
      </c>
      <c r="AB486" s="46">
        <f>Migrationsartikel!T484</f>
        <v>0</v>
      </c>
      <c r="AC486">
        <f>Migrationsartikel!S484</f>
        <v>0</v>
      </c>
      <c r="AD486">
        <f>Migrationsartikel!U484</f>
        <v>0</v>
      </c>
      <c r="AE486" s="31" t="s">
        <v>179</v>
      </c>
      <c r="AF486" s="31" t="s">
        <v>192</v>
      </c>
      <c r="AG486" t="b">
        <f>IF(Migrationsartikel!AB484="ja","true",FALSE)</f>
        <v>0</v>
      </c>
      <c r="AH486" t="b">
        <f>IF(Migrationsartikel!AC484="ja","true",FALSE)</f>
        <v>0</v>
      </c>
      <c r="AI486" t="b">
        <f>IF(Migrationsartikel!AD484="ja","true",FALSE)</f>
        <v>0</v>
      </c>
      <c r="AJ486" t="b">
        <f>IF(Migrationsartikel!AE484="ja","true",FALSE)</f>
        <v>0</v>
      </c>
      <c r="AK486" t="str">
        <f>IF(Migrationsartikel!AF484="ja","Denner Partner","")</f>
        <v/>
      </c>
      <c r="AL486" t="str">
        <f>IF(Migrationsartikel!AG484="ja","true","false")</f>
        <v>false</v>
      </c>
      <c r="AM486" t="str">
        <f t="shared" si="7"/>
        <v>PLU</v>
      </c>
      <c r="AN486" s="31" t="s">
        <v>219</v>
      </c>
      <c r="AO486" s="31" t="s">
        <v>217</v>
      </c>
    </row>
    <row r="487" spans="2:41" ht="21.75" customHeight="1" x14ac:dyDescent="0.45">
      <c r="B487" t="s">
        <v>99</v>
      </c>
      <c r="E487" s="31" t="s">
        <v>1897</v>
      </c>
      <c r="F487" t="str">
        <f>"Warengruppe&gt;&gt;"&amp;Migrationsartikel!V485&amp;"&gt;&gt;"&amp;Migrationsartikel!W485&amp;"&gt;&gt;"&amp;Migrationsartikel!X485</f>
        <v>Warengruppe&gt;&gt;&gt;&gt;&gt;&gt;</v>
      </c>
      <c r="H487" s="31" t="s">
        <v>109</v>
      </c>
      <c r="I487" s="31" t="s">
        <v>121</v>
      </c>
      <c r="J487" s="31">
        <f>Migrationsartikel!B485</f>
        <v>0</v>
      </c>
      <c r="O487">
        <f>Migrationsartikel!F485</f>
        <v>0</v>
      </c>
      <c r="P487">
        <f>Migrationsartikel!J485</f>
        <v>0</v>
      </c>
      <c r="Q487">
        <f>Migrationsartikel!N485</f>
        <v>0</v>
      </c>
      <c r="R487">
        <f>Migrationsartikel!G485</f>
        <v>0</v>
      </c>
      <c r="S487">
        <f>Migrationsartikel!K485</f>
        <v>0</v>
      </c>
      <c r="T487">
        <f>Migrationsartikel!O485</f>
        <v>0</v>
      </c>
      <c r="U487" s="31">
        <f>Migrationsartikel!H485</f>
        <v>0</v>
      </c>
      <c r="V487" s="31">
        <f>Migrationsartikel!L485</f>
        <v>0</v>
      </c>
      <c r="W487" s="31">
        <f>Migrationsartikel!P485</f>
        <v>0</v>
      </c>
      <c r="X487">
        <f>Migrationsartikel!I485</f>
        <v>0</v>
      </c>
      <c r="Y487">
        <f>Migrationsartikel!M485</f>
        <v>0</v>
      </c>
      <c r="Z487">
        <f>Migrationsartikel!Q485</f>
        <v>0</v>
      </c>
      <c r="AA487" s="45">
        <f>Migrationsartikel!R485</f>
        <v>0</v>
      </c>
      <c r="AB487" s="46">
        <f>Migrationsartikel!T485</f>
        <v>0</v>
      </c>
      <c r="AC487">
        <f>Migrationsartikel!S485</f>
        <v>0</v>
      </c>
      <c r="AD487">
        <f>Migrationsartikel!U485</f>
        <v>0</v>
      </c>
      <c r="AE487" s="31" t="s">
        <v>179</v>
      </c>
      <c r="AF487" s="31" t="s">
        <v>192</v>
      </c>
      <c r="AG487" t="b">
        <f>IF(Migrationsartikel!AB485="ja","true",FALSE)</f>
        <v>0</v>
      </c>
      <c r="AH487" t="b">
        <f>IF(Migrationsartikel!AC485="ja","true",FALSE)</f>
        <v>0</v>
      </c>
      <c r="AI487" t="b">
        <f>IF(Migrationsartikel!AD485="ja","true",FALSE)</f>
        <v>0</v>
      </c>
      <c r="AJ487" t="b">
        <f>IF(Migrationsartikel!AE485="ja","true",FALSE)</f>
        <v>0</v>
      </c>
      <c r="AK487" t="str">
        <f>IF(Migrationsartikel!AF485="ja","Denner Partner","")</f>
        <v/>
      </c>
      <c r="AL487" t="str">
        <f>IF(Migrationsartikel!AG485="ja","true","false")</f>
        <v>false</v>
      </c>
      <c r="AM487" t="str">
        <f t="shared" si="7"/>
        <v>PLU</v>
      </c>
      <c r="AN487" s="31" t="s">
        <v>219</v>
      </c>
      <c r="AO487" s="31" t="s">
        <v>217</v>
      </c>
    </row>
    <row r="488" spans="2:41" ht="21.75" customHeight="1" x14ac:dyDescent="0.45">
      <c r="B488" t="s">
        <v>99</v>
      </c>
      <c r="E488" s="31" t="s">
        <v>1898</v>
      </c>
      <c r="F488" t="str">
        <f>"Warengruppe&gt;&gt;"&amp;Migrationsartikel!V486&amp;"&gt;&gt;"&amp;Migrationsartikel!W486&amp;"&gt;&gt;"&amp;Migrationsartikel!X486</f>
        <v>Warengruppe&gt;&gt;&gt;&gt;&gt;&gt;</v>
      </c>
      <c r="H488" s="31" t="s">
        <v>109</v>
      </c>
      <c r="I488" s="31" t="s">
        <v>121</v>
      </c>
      <c r="J488" s="31">
        <f>Migrationsartikel!B486</f>
        <v>0</v>
      </c>
      <c r="O488">
        <f>Migrationsartikel!F486</f>
        <v>0</v>
      </c>
      <c r="P488">
        <f>Migrationsartikel!J486</f>
        <v>0</v>
      </c>
      <c r="Q488">
        <f>Migrationsartikel!N486</f>
        <v>0</v>
      </c>
      <c r="R488">
        <f>Migrationsartikel!G486</f>
        <v>0</v>
      </c>
      <c r="S488">
        <f>Migrationsartikel!K486</f>
        <v>0</v>
      </c>
      <c r="T488">
        <f>Migrationsartikel!O486</f>
        <v>0</v>
      </c>
      <c r="U488" s="31">
        <f>Migrationsartikel!H486</f>
        <v>0</v>
      </c>
      <c r="V488" s="31">
        <f>Migrationsartikel!L486</f>
        <v>0</v>
      </c>
      <c r="W488" s="31">
        <f>Migrationsartikel!P486</f>
        <v>0</v>
      </c>
      <c r="X488">
        <f>Migrationsartikel!I486</f>
        <v>0</v>
      </c>
      <c r="Y488">
        <f>Migrationsartikel!M486</f>
        <v>0</v>
      </c>
      <c r="Z488">
        <f>Migrationsartikel!Q486</f>
        <v>0</v>
      </c>
      <c r="AA488" s="45">
        <f>Migrationsartikel!R486</f>
        <v>0</v>
      </c>
      <c r="AB488" s="46">
        <f>Migrationsartikel!T486</f>
        <v>0</v>
      </c>
      <c r="AC488">
        <f>Migrationsartikel!S486</f>
        <v>0</v>
      </c>
      <c r="AD488">
        <f>Migrationsartikel!U486</f>
        <v>0</v>
      </c>
      <c r="AE488" s="31" t="s">
        <v>179</v>
      </c>
      <c r="AF488" s="31" t="s">
        <v>192</v>
      </c>
      <c r="AG488" t="b">
        <f>IF(Migrationsartikel!AB486="ja","true",FALSE)</f>
        <v>0</v>
      </c>
      <c r="AH488" t="b">
        <f>IF(Migrationsartikel!AC486="ja","true",FALSE)</f>
        <v>0</v>
      </c>
      <c r="AI488" t="b">
        <f>IF(Migrationsartikel!AD486="ja","true",FALSE)</f>
        <v>0</v>
      </c>
      <c r="AJ488" t="b">
        <f>IF(Migrationsartikel!AE486="ja","true",FALSE)</f>
        <v>0</v>
      </c>
      <c r="AK488" t="str">
        <f>IF(Migrationsartikel!AF486="ja","Denner Partner","")</f>
        <v/>
      </c>
      <c r="AL488" t="str">
        <f>IF(Migrationsartikel!AG486="ja","true","false")</f>
        <v>false</v>
      </c>
      <c r="AM488" t="str">
        <f t="shared" si="7"/>
        <v>PLU</v>
      </c>
      <c r="AN488" s="31" t="s">
        <v>219</v>
      </c>
      <c r="AO488" s="31" t="s">
        <v>217</v>
      </c>
    </row>
    <row r="489" spans="2:41" ht="21.75" customHeight="1" x14ac:dyDescent="0.45">
      <c r="B489" t="s">
        <v>99</v>
      </c>
      <c r="E489" s="31" t="s">
        <v>1899</v>
      </c>
      <c r="F489" t="str">
        <f>"Warengruppe&gt;&gt;"&amp;Migrationsartikel!V487&amp;"&gt;&gt;"&amp;Migrationsartikel!W487&amp;"&gt;&gt;"&amp;Migrationsartikel!X487</f>
        <v>Warengruppe&gt;&gt;&gt;&gt;&gt;&gt;</v>
      </c>
      <c r="H489" s="31" t="s">
        <v>109</v>
      </c>
      <c r="I489" s="31" t="s">
        <v>121</v>
      </c>
      <c r="O489">
        <f>Migrationsartikel!F487</f>
        <v>0</v>
      </c>
      <c r="P489">
        <f>Migrationsartikel!J487</f>
        <v>0</v>
      </c>
      <c r="Q489">
        <f>Migrationsartikel!N487</f>
        <v>0</v>
      </c>
      <c r="R489">
        <f>Migrationsartikel!G487</f>
        <v>0</v>
      </c>
      <c r="S489">
        <f>Migrationsartikel!K487</f>
        <v>0</v>
      </c>
      <c r="T489">
        <f>Migrationsartikel!O487</f>
        <v>0</v>
      </c>
      <c r="U489" s="31">
        <f>Migrationsartikel!H487</f>
        <v>0</v>
      </c>
      <c r="V489" s="31">
        <f>Migrationsartikel!L487</f>
        <v>0</v>
      </c>
      <c r="W489" s="31">
        <f>Migrationsartikel!P487</f>
        <v>0</v>
      </c>
      <c r="X489">
        <f>Migrationsartikel!I487</f>
        <v>0</v>
      </c>
      <c r="Y489">
        <f>Migrationsartikel!M487</f>
        <v>0</v>
      </c>
      <c r="Z489">
        <f>Migrationsartikel!Q487</f>
        <v>0</v>
      </c>
      <c r="AA489" s="45">
        <f>Migrationsartikel!R487</f>
        <v>0</v>
      </c>
      <c r="AB489" s="46">
        <f>Migrationsartikel!T487</f>
        <v>0</v>
      </c>
      <c r="AC489">
        <f>Migrationsartikel!S487</f>
        <v>0</v>
      </c>
      <c r="AD489">
        <f>Migrationsartikel!U487</f>
        <v>0</v>
      </c>
      <c r="AE489" s="31" t="s">
        <v>179</v>
      </c>
      <c r="AF489" s="31" t="s">
        <v>192</v>
      </c>
      <c r="AG489" t="b">
        <f>IF(Migrationsartikel!AB487="ja","true",FALSE)</f>
        <v>0</v>
      </c>
      <c r="AH489" t="b">
        <f>IF(Migrationsartikel!AC487="ja","true",FALSE)</f>
        <v>0</v>
      </c>
      <c r="AI489" t="b">
        <f>IF(Migrationsartikel!AD487="ja","true",FALSE)</f>
        <v>0</v>
      </c>
      <c r="AJ489" t="b">
        <f>IF(Migrationsartikel!AE487="ja","true",FALSE)</f>
        <v>0</v>
      </c>
      <c r="AK489" t="str">
        <f>IF(Migrationsartikel!AF487="ja","Denner Partner","")</f>
        <v/>
      </c>
      <c r="AL489" t="str">
        <f>IF(Migrationsartikel!AG487="ja","true","false")</f>
        <v>false</v>
      </c>
      <c r="AM489" t="str">
        <f t="shared" si="7"/>
        <v>Kassentastenbelegung (ohne GTIN/PLU)</v>
      </c>
      <c r="AN489" s="31" t="s">
        <v>219</v>
      </c>
      <c r="AO489" s="31" t="s">
        <v>217</v>
      </c>
    </row>
    <row r="490" spans="2:41" ht="21.75" customHeight="1" x14ac:dyDescent="0.45">
      <c r="B490" t="s">
        <v>99</v>
      </c>
      <c r="E490" s="31" t="s">
        <v>1900</v>
      </c>
      <c r="F490" t="str">
        <f>"Warengruppe&gt;&gt;"&amp;Migrationsartikel!V488&amp;"&gt;&gt;"&amp;Migrationsartikel!W488&amp;"&gt;&gt;"&amp;Migrationsartikel!X488</f>
        <v>Warengruppe&gt;&gt;&gt;&gt;&gt;&gt;</v>
      </c>
      <c r="H490" s="31" t="s">
        <v>109</v>
      </c>
      <c r="I490" s="31" t="s">
        <v>121</v>
      </c>
      <c r="O490">
        <f>Migrationsartikel!F488</f>
        <v>0</v>
      </c>
      <c r="P490">
        <f>Migrationsartikel!J488</f>
        <v>0</v>
      </c>
      <c r="Q490">
        <f>Migrationsartikel!N488</f>
        <v>0</v>
      </c>
      <c r="R490">
        <f>Migrationsartikel!G488</f>
        <v>0</v>
      </c>
      <c r="S490">
        <f>Migrationsartikel!K488</f>
        <v>0</v>
      </c>
      <c r="T490">
        <f>Migrationsartikel!O488</f>
        <v>0</v>
      </c>
      <c r="U490" s="31">
        <f>Migrationsartikel!H488</f>
        <v>0</v>
      </c>
      <c r="V490" s="31">
        <f>Migrationsartikel!L488</f>
        <v>0</v>
      </c>
      <c r="W490" s="31">
        <f>Migrationsartikel!P488</f>
        <v>0</v>
      </c>
      <c r="X490">
        <f>Migrationsartikel!I488</f>
        <v>0</v>
      </c>
      <c r="Y490">
        <f>Migrationsartikel!M488</f>
        <v>0</v>
      </c>
      <c r="Z490">
        <f>Migrationsartikel!Q488</f>
        <v>0</v>
      </c>
      <c r="AA490" s="45">
        <f>Migrationsartikel!R488</f>
        <v>0</v>
      </c>
      <c r="AB490" s="46">
        <f>Migrationsartikel!T488</f>
        <v>0</v>
      </c>
      <c r="AC490">
        <f>Migrationsartikel!S488</f>
        <v>0</v>
      </c>
      <c r="AD490">
        <f>Migrationsartikel!U488</f>
        <v>0</v>
      </c>
      <c r="AE490" s="31" t="s">
        <v>179</v>
      </c>
      <c r="AF490" s="31" t="s">
        <v>192</v>
      </c>
      <c r="AG490" t="b">
        <f>IF(Migrationsartikel!AB488="ja","true",FALSE)</f>
        <v>0</v>
      </c>
      <c r="AH490" t="b">
        <f>IF(Migrationsartikel!AC488="ja","true",FALSE)</f>
        <v>0</v>
      </c>
      <c r="AI490" t="b">
        <f>IF(Migrationsartikel!AD488="ja","true",FALSE)</f>
        <v>0</v>
      </c>
      <c r="AJ490" t="b">
        <f>IF(Migrationsartikel!AE488="ja","true",FALSE)</f>
        <v>0</v>
      </c>
      <c r="AK490" t="str">
        <f>IF(Migrationsartikel!AF488="ja","Denner Partner","")</f>
        <v/>
      </c>
      <c r="AL490" t="str">
        <f>IF(Migrationsartikel!AG488="ja","true","false")</f>
        <v>false</v>
      </c>
      <c r="AM490" t="str">
        <f t="shared" si="7"/>
        <v>Kassentastenbelegung (ohne GTIN/PLU)</v>
      </c>
      <c r="AN490" s="31" t="s">
        <v>219</v>
      </c>
      <c r="AO490" s="31" t="s">
        <v>217</v>
      </c>
    </row>
    <row r="491" spans="2:41" ht="21.75" customHeight="1" x14ac:dyDescent="0.45">
      <c r="B491" t="s">
        <v>99</v>
      </c>
      <c r="E491" s="31" t="s">
        <v>1901</v>
      </c>
      <c r="F491" t="str">
        <f>"Warengruppe&gt;&gt;"&amp;Migrationsartikel!V489&amp;"&gt;&gt;"&amp;Migrationsartikel!W489&amp;"&gt;&gt;"&amp;Migrationsartikel!X489</f>
        <v>Warengruppe&gt;&gt;&gt;&gt;&gt;&gt;</v>
      </c>
      <c r="H491" s="31" t="s">
        <v>109</v>
      </c>
      <c r="I491" s="31" t="s">
        <v>121</v>
      </c>
      <c r="O491">
        <f>Migrationsartikel!F489</f>
        <v>0</v>
      </c>
      <c r="P491">
        <f>Migrationsartikel!J489</f>
        <v>0</v>
      </c>
      <c r="Q491">
        <f>Migrationsartikel!N489</f>
        <v>0</v>
      </c>
      <c r="R491">
        <f>Migrationsartikel!G489</f>
        <v>0</v>
      </c>
      <c r="S491">
        <f>Migrationsartikel!K489</f>
        <v>0</v>
      </c>
      <c r="T491">
        <f>Migrationsartikel!O489</f>
        <v>0</v>
      </c>
      <c r="U491" s="31">
        <f>Migrationsartikel!H489</f>
        <v>0</v>
      </c>
      <c r="V491" s="31">
        <f>Migrationsartikel!L489</f>
        <v>0</v>
      </c>
      <c r="W491" s="31">
        <f>Migrationsartikel!P489</f>
        <v>0</v>
      </c>
      <c r="X491">
        <f>Migrationsartikel!I489</f>
        <v>0</v>
      </c>
      <c r="Y491">
        <f>Migrationsartikel!M489</f>
        <v>0</v>
      </c>
      <c r="Z491">
        <f>Migrationsartikel!Q489</f>
        <v>0</v>
      </c>
      <c r="AA491" s="45">
        <f>Migrationsartikel!R489</f>
        <v>0</v>
      </c>
      <c r="AB491" s="46">
        <f>Migrationsartikel!T489</f>
        <v>0</v>
      </c>
      <c r="AC491">
        <f>Migrationsartikel!S489</f>
        <v>0</v>
      </c>
      <c r="AD491">
        <f>Migrationsartikel!U489</f>
        <v>0</v>
      </c>
      <c r="AE491" s="31" t="s">
        <v>179</v>
      </c>
      <c r="AF491" s="31" t="s">
        <v>192</v>
      </c>
      <c r="AG491" t="b">
        <f>IF(Migrationsartikel!AB489="ja","true",FALSE)</f>
        <v>0</v>
      </c>
      <c r="AH491" t="b">
        <f>IF(Migrationsartikel!AC489="ja","true",FALSE)</f>
        <v>0</v>
      </c>
      <c r="AI491" t="b">
        <f>IF(Migrationsartikel!AD489="ja","true",FALSE)</f>
        <v>0</v>
      </c>
      <c r="AJ491" t="b">
        <f>IF(Migrationsartikel!AE489="ja","true",FALSE)</f>
        <v>0</v>
      </c>
      <c r="AK491" t="str">
        <f>IF(Migrationsartikel!AF489="ja","Denner Partner","")</f>
        <v/>
      </c>
      <c r="AL491" t="str">
        <f>IF(Migrationsartikel!AG489="ja","true","false")</f>
        <v>false</v>
      </c>
      <c r="AM491" t="str">
        <f t="shared" si="7"/>
        <v>Kassentastenbelegung (ohne GTIN/PLU)</v>
      </c>
      <c r="AN491" s="31" t="s">
        <v>219</v>
      </c>
      <c r="AO491" s="31" t="s">
        <v>217</v>
      </c>
    </row>
    <row r="492" spans="2:41" ht="21.75" customHeight="1" x14ac:dyDescent="0.45">
      <c r="B492" t="s">
        <v>99</v>
      </c>
      <c r="E492" s="31" t="s">
        <v>1902</v>
      </c>
      <c r="F492" t="str">
        <f>"Warengruppe&gt;&gt;"&amp;Migrationsartikel!V490&amp;"&gt;&gt;"&amp;Migrationsartikel!W490&amp;"&gt;&gt;"&amp;Migrationsartikel!X490</f>
        <v>Warengruppe&gt;&gt;&gt;&gt;&gt;&gt;</v>
      </c>
      <c r="H492" s="31" t="s">
        <v>109</v>
      </c>
      <c r="I492" s="31" t="s">
        <v>121</v>
      </c>
      <c r="O492">
        <f>Migrationsartikel!F490</f>
        <v>0</v>
      </c>
      <c r="P492">
        <f>Migrationsartikel!J490</f>
        <v>0</v>
      </c>
      <c r="Q492">
        <f>Migrationsartikel!N490</f>
        <v>0</v>
      </c>
      <c r="R492">
        <f>Migrationsartikel!G490</f>
        <v>0</v>
      </c>
      <c r="S492">
        <f>Migrationsartikel!K490</f>
        <v>0</v>
      </c>
      <c r="T492">
        <f>Migrationsartikel!O490</f>
        <v>0</v>
      </c>
      <c r="U492" s="31">
        <f>Migrationsartikel!H490</f>
        <v>0</v>
      </c>
      <c r="V492" s="31">
        <f>Migrationsartikel!L490</f>
        <v>0</v>
      </c>
      <c r="W492" s="31">
        <f>Migrationsartikel!P490</f>
        <v>0</v>
      </c>
      <c r="X492">
        <f>Migrationsartikel!I490</f>
        <v>0</v>
      </c>
      <c r="Y492">
        <f>Migrationsartikel!M490</f>
        <v>0</v>
      </c>
      <c r="Z492">
        <f>Migrationsartikel!Q490</f>
        <v>0</v>
      </c>
      <c r="AA492" s="45">
        <f>Migrationsartikel!R490</f>
        <v>0</v>
      </c>
      <c r="AB492" s="46">
        <f>Migrationsartikel!T490</f>
        <v>0</v>
      </c>
      <c r="AC492">
        <f>Migrationsartikel!S490</f>
        <v>0</v>
      </c>
      <c r="AD492">
        <f>Migrationsartikel!U490</f>
        <v>0</v>
      </c>
      <c r="AE492" s="31" t="s">
        <v>179</v>
      </c>
      <c r="AF492" s="31" t="s">
        <v>192</v>
      </c>
      <c r="AG492" t="b">
        <f>IF(Migrationsartikel!AB490="ja","true",FALSE)</f>
        <v>0</v>
      </c>
      <c r="AH492" t="b">
        <f>IF(Migrationsartikel!AC490="ja","true",FALSE)</f>
        <v>0</v>
      </c>
      <c r="AI492" t="b">
        <f>IF(Migrationsartikel!AD490="ja","true",FALSE)</f>
        <v>0</v>
      </c>
      <c r="AJ492" t="b">
        <f>IF(Migrationsartikel!AE490="ja","true",FALSE)</f>
        <v>0</v>
      </c>
      <c r="AK492" t="str">
        <f>IF(Migrationsartikel!AF490="ja","Denner Partner","")</f>
        <v/>
      </c>
      <c r="AL492" t="str">
        <f>IF(Migrationsartikel!AG490="ja","true","false")</f>
        <v>false</v>
      </c>
      <c r="AM492" t="str">
        <f t="shared" si="7"/>
        <v>Kassentastenbelegung (ohne GTIN/PLU)</v>
      </c>
      <c r="AN492" s="31" t="s">
        <v>219</v>
      </c>
      <c r="AO492" s="31" t="s">
        <v>217</v>
      </c>
    </row>
    <row r="493" spans="2:41" ht="21.75" customHeight="1" x14ac:dyDescent="0.45">
      <c r="B493" t="s">
        <v>99</v>
      </c>
      <c r="E493" s="31" t="s">
        <v>1903</v>
      </c>
      <c r="F493" t="str">
        <f>"Warengruppe&gt;&gt;"&amp;Migrationsartikel!V491&amp;"&gt;&gt;"&amp;Migrationsartikel!W491&amp;"&gt;&gt;"&amp;Migrationsartikel!X491</f>
        <v>Warengruppe&gt;&gt;&gt;&gt;&gt;&gt;</v>
      </c>
      <c r="H493" s="31" t="s">
        <v>109</v>
      </c>
      <c r="I493" s="31" t="s">
        <v>121</v>
      </c>
      <c r="O493">
        <f>Migrationsartikel!F491</f>
        <v>0</v>
      </c>
      <c r="P493">
        <f>Migrationsartikel!J491</f>
        <v>0</v>
      </c>
      <c r="Q493">
        <f>Migrationsartikel!N491</f>
        <v>0</v>
      </c>
      <c r="R493">
        <f>Migrationsartikel!G491</f>
        <v>0</v>
      </c>
      <c r="S493">
        <f>Migrationsartikel!K491</f>
        <v>0</v>
      </c>
      <c r="T493">
        <f>Migrationsartikel!O491</f>
        <v>0</v>
      </c>
      <c r="U493" s="31">
        <f>Migrationsartikel!H491</f>
        <v>0</v>
      </c>
      <c r="V493" s="31">
        <f>Migrationsartikel!L491</f>
        <v>0</v>
      </c>
      <c r="W493" s="31">
        <f>Migrationsartikel!P491</f>
        <v>0</v>
      </c>
      <c r="X493">
        <f>Migrationsartikel!I491</f>
        <v>0</v>
      </c>
      <c r="Y493">
        <f>Migrationsartikel!M491</f>
        <v>0</v>
      </c>
      <c r="Z493">
        <f>Migrationsartikel!Q491</f>
        <v>0</v>
      </c>
      <c r="AA493" s="45">
        <f>Migrationsartikel!R491</f>
        <v>0</v>
      </c>
      <c r="AB493" s="46">
        <f>Migrationsartikel!T491</f>
        <v>0</v>
      </c>
      <c r="AC493">
        <f>Migrationsartikel!S491</f>
        <v>0</v>
      </c>
      <c r="AD493">
        <f>Migrationsartikel!U491</f>
        <v>0</v>
      </c>
      <c r="AE493" s="31" t="s">
        <v>179</v>
      </c>
      <c r="AF493" s="31" t="s">
        <v>192</v>
      </c>
      <c r="AG493" t="b">
        <f>IF(Migrationsartikel!AB491="ja","true",FALSE)</f>
        <v>0</v>
      </c>
      <c r="AH493" t="b">
        <f>IF(Migrationsartikel!AC491="ja","true",FALSE)</f>
        <v>0</v>
      </c>
      <c r="AI493" t="b">
        <f>IF(Migrationsartikel!AD491="ja","true",FALSE)</f>
        <v>0</v>
      </c>
      <c r="AJ493" t="b">
        <f>IF(Migrationsartikel!AE491="ja","true",FALSE)</f>
        <v>0</v>
      </c>
      <c r="AK493" t="str">
        <f>IF(Migrationsartikel!AF491="ja","Denner Partner","")</f>
        <v/>
      </c>
      <c r="AL493" t="str">
        <f>IF(Migrationsartikel!AG491="ja","true","false")</f>
        <v>false</v>
      </c>
      <c r="AM493" t="str">
        <f t="shared" si="7"/>
        <v>Kassentastenbelegung (ohne GTIN/PLU)</v>
      </c>
      <c r="AN493" s="31" t="s">
        <v>219</v>
      </c>
      <c r="AO493" s="31" t="s">
        <v>217</v>
      </c>
    </row>
    <row r="494" spans="2:41" ht="21.75" customHeight="1" x14ac:dyDescent="0.45">
      <c r="B494" t="s">
        <v>99</v>
      </c>
      <c r="E494" s="31" t="s">
        <v>1904</v>
      </c>
      <c r="F494" t="str">
        <f>"Warengruppe&gt;&gt;"&amp;Migrationsartikel!V492&amp;"&gt;&gt;"&amp;Migrationsartikel!W492&amp;"&gt;&gt;"&amp;Migrationsartikel!X492</f>
        <v>Warengruppe&gt;&gt;&gt;&gt;&gt;&gt;</v>
      </c>
      <c r="H494" s="31" t="s">
        <v>109</v>
      </c>
      <c r="I494" s="31" t="s">
        <v>121</v>
      </c>
      <c r="O494">
        <f>Migrationsartikel!F492</f>
        <v>0</v>
      </c>
      <c r="P494">
        <f>Migrationsartikel!J492</f>
        <v>0</v>
      </c>
      <c r="Q494">
        <f>Migrationsartikel!N492</f>
        <v>0</v>
      </c>
      <c r="R494">
        <f>Migrationsartikel!G492</f>
        <v>0</v>
      </c>
      <c r="S494">
        <f>Migrationsartikel!K492</f>
        <v>0</v>
      </c>
      <c r="T494">
        <f>Migrationsartikel!O492</f>
        <v>0</v>
      </c>
      <c r="U494" s="31">
        <f>Migrationsartikel!H492</f>
        <v>0</v>
      </c>
      <c r="V494" s="31">
        <f>Migrationsartikel!L492</f>
        <v>0</v>
      </c>
      <c r="W494" s="31">
        <f>Migrationsartikel!P492</f>
        <v>0</v>
      </c>
      <c r="X494">
        <f>Migrationsartikel!I492</f>
        <v>0</v>
      </c>
      <c r="Y494">
        <f>Migrationsartikel!M492</f>
        <v>0</v>
      </c>
      <c r="Z494">
        <f>Migrationsartikel!Q492</f>
        <v>0</v>
      </c>
      <c r="AA494" s="45">
        <f>Migrationsartikel!R492</f>
        <v>0</v>
      </c>
      <c r="AB494" s="46">
        <f>Migrationsartikel!T492</f>
        <v>0</v>
      </c>
      <c r="AC494">
        <f>Migrationsartikel!S492</f>
        <v>0</v>
      </c>
      <c r="AD494">
        <f>Migrationsartikel!U492</f>
        <v>0</v>
      </c>
      <c r="AE494" s="31" t="s">
        <v>179</v>
      </c>
      <c r="AF494" s="31" t="s">
        <v>192</v>
      </c>
      <c r="AG494" t="b">
        <f>IF(Migrationsartikel!AB492="ja","true",FALSE)</f>
        <v>0</v>
      </c>
      <c r="AH494" t="b">
        <f>IF(Migrationsartikel!AC492="ja","true",FALSE)</f>
        <v>0</v>
      </c>
      <c r="AI494" t="b">
        <f>IF(Migrationsartikel!AD492="ja","true",FALSE)</f>
        <v>0</v>
      </c>
      <c r="AJ494" t="b">
        <f>IF(Migrationsartikel!AE492="ja","true",FALSE)</f>
        <v>0</v>
      </c>
      <c r="AK494" t="str">
        <f>IF(Migrationsartikel!AF492="ja","Denner Partner","")</f>
        <v/>
      </c>
      <c r="AL494" t="str">
        <f>IF(Migrationsartikel!AG492="ja","true","false")</f>
        <v>false</v>
      </c>
      <c r="AM494" t="str">
        <f t="shared" si="7"/>
        <v>Kassentastenbelegung (ohne GTIN/PLU)</v>
      </c>
      <c r="AN494" s="31" t="s">
        <v>219</v>
      </c>
      <c r="AO494" s="31" t="s">
        <v>217</v>
      </c>
    </row>
    <row r="495" spans="2:41" ht="21.75" customHeight="1" x14ac:dyDescent="0.45">
      <c r="O495"/>
      <c r="P495"/>
      <c r="Q495"/>
    </row>
    <row r="496" spans="2:41" ht="21.75" customHeight="1" x14ac:dyDescent="0.45">
      <c r="O496"/>
      <c r="P496"/>
      <c r="Q496"/>
    </row>
    <row r="497" spans="15:17" ht="21.75" customHeight="1" x14ac:dyDescent="0.45">
      <c r="O497"/>
      <c r="P497"/>
      <c r="Q497"/>
    </row>
    <row r="498" spans="15:17" ht="21.75" customHeight="1" x14ac:dyDescent="0.45">
      <c r="O498"/>
      <c r="P498"/>
      <c r="Q498"/>
    </row>
    <row r="499" spans="15:17" ht="21.75" customHeight="1" x14ac:dyDescent="0.45">
      <c r="O499"/>
      <c r="P499"/>
      <c r="Q499"/>
    </row>
    <row r="500" spans="15:17" ht="21.75" customHeight="1" x14ac:dyDescent="0.45">
      <c r="O500"/>
      <c r="P500"/>
      <c r="Q500"/>
    </row>
    <row r="501" spans="15:17" ht="21.75" customHeight="1" x14ac:dyDescent="0.45">
      <c r="O501"/>
      <c r="P501"/>
      <c r="Q501"/>
    </row>
    <row r="502" spans="15:17" ht="21.75" customHeight="1" x14ac:dyDescent="0.45">
      <c r="O502"/>
      <c r="P502"/>
      <c r="Q502"/>
    </row>
    <row r="503" spans="15:17" ht="21.75" customHeight="1" x14ac:dyDescent="0.45">
      <c r="O503"/>
      <c r="P503"/>
      <c r="Q503"/>
    </row>
    <row r="504" spans="15:17" ht="21.75" customHeight="1" x14ac:dyDescent="0.45">
      <c r="O504"/>
      <c r="P504"/>
      <c r="Q504"/>
    </row>
    <row r="505" spans="15:17" ht="21.75" customHeight="1" x14ac:dyDescent="0.45">
      <c r="O505"/>
      <c r="P505"/>
      <c r="Q505"/>
    </row>
    <row r="506" spans="15:17" ht="21.75" customHeight="1" x14ac:dyDescent="0.45">
      <c r="O506"/>
      <c r="P506"/>
      <c r="Q506"/>
    </row>
    <row r="507" spans="15:17" ht="21.75" customHeight="1" x14ac:dyDescent="0.45">
      <c r="O507"/>
      <c r="P507"/>
      <c r="Q507"/>
    </row>
    <row r="508" spans="15:17" ht="21.75" customHeight="1" x14ac:dyDescent="0.45">
      <c r="O508"/>
      <c r="P508"/>
      <c r="Q508"/>
    </row>
    <row r="509" spans="15:17" ht="21.75" customHeight="1" x14ac:dyDescent="0.45">
      <c r="O509"/>
      <c r="P509"/>
      <c r="Q509"/>
    </row>
    <row r="510" spans="15:17" ht="21.75" customHeight="1" x14ac:dyDescent="0.45">
      <c r="O510"/>
      <c r="P510"/>
      <c r="Q510"/>
    </row>
    <row r="511" spans="15:17" ht="21.75" customHeight="1" x14ac:dyDescent="0.45">
      <c r="O511"/>
      <c r="P511"/>
      <c r="Q511"/>
    </row>
    <row r="512" spans="15:17" ht="21.75" customHeight="1" x14ac:dyDescent="0.45">
      <c r="O512"/>
      <c r="P512"/>
      <c r="Q512"/>
    </row>
    <row r="513" spans="15:17" ht="21.75" customHeight="1" x14ac:dyDescent="0.45">
      <c r="O513"/>
      <c r="P513"/>
      <c r="Q513"/>
    </row>
    <row r="514" spans="15:17" ht="21.75" customHeight="1" x14ac:dyDescent="0.45">
      <c r="O514"/>
      <c r="P514"/>
      <c r="Q514"/>
    </row>
    <row r="515" spans="15:17" ht="21.75" customHeight="1" x14ac:dyDescent="0.45">
      <c r="O515"/>
      <c r="P515"/>
      <c r="Q515"/>
    </row>
    <row r="516" spans="15:17" ht="21.75" customHeight="1" x14ac:dyDescent="0.45">
      <c r="O516"/>
      <c r="P516"/>
      <c r="Q516"/>
    </row>
    <row r="517" spans="15:17" ht="21.75" customHeight="1" x14ac:dyDescent="0.45">
      <c r="O517"/>
      <c r="P517"/>
      <c r="Q517"/>
    </row>
    <row r="518" spans="15:17" ht="21.75" customHeight="1" x14ac:dyDescent="0.45">
      <c r="O518"/>
      <c r="P518"/>
      <c r="Q518"/>
    </row>
    <row r="519" spans="15:17" ht="21.75" customHeight="1" x14ac:dyDescent="0.45">
      <c r="O519"/>
      <c r="P519"/>
      <c r="Q519"/>
    </row>
    <row r="520" spans="15:17" ht="21.75" customHeight="1" x14ac:dyDescent="0.45">
      <c r="O520"/>
      <c r="P520"/>
      <c r="Q520"/>
    </row>
    <row r="521" spans="15:17" ht="21.75" customHeight="1" x14ac:dyDescent="0.45">
      <c r="O521"/>
      <c r="P521"/>
      <c r="Q521"/>
    </row>
    <row r="522" spans="15:17" ht="21.75" customHeight="1" x14ac:dyDescent="0.45">
      <c r="O522"/>
      <c r="P522"/>
      <c r="Q522"/>
    </row>
    <row r="523" spans="15:17" ht="21.75" customHeight="1" x14ac:dyDescent="0.45">
      <c r="O523"/>
      <c r="P523"/>
      <c r="Q523"/>
    </row>
    <row r="524" spans="15:17" ht="21.75" customHeight="1" x14ac:dyDescent="0.45">
      <c r="O524"/>
      <c r="P524"/>
      <c r="Q524"/>
    </row>
    <row r="525" spans="15:17" ht="21.75" customHeight="1" x14ac:dyDescent="0.45">
      <c r="O525"/>
      <c r="P525"/>
      <c r="Q525"/>
    </row>
    <row r="526" spans="15:17" ht="21.75" customHeight="1" x14ac:dyDescent="0.45">
      <c r="O526"/>
      <c r="P526"/>
      <c r="Q526"/>
    </row>
    <row r="527" spans="15:17" ht="21.75" customHeight="1" x14ac:dyDescent="0.45">
      <c r="O527"/>
      <c r="P527"/>
      <c r="Q527"/>
    </row>
    <row r="528" spans="15:17" ht="21.75" customHeight="1" x14ac:dyDescent="0.45">
      <c r="O528"/>
      <c r="P528"/>
      <c r="Q528"/>
    </row>
    <row r="529" spans="15:17" ht="21.75" customHeight="1" x14ac:dyDescent="0.45">
      <c r="O529"/>
      <c r="P529"/>
      <c r="Q529"/>
    </row>
    <row r="530" spans="15:17" ht="21.75" customHeight="1" x14ac:dyDescent="0.45">
      <c r="O530"/>
      <c r="P530"/>
      <c r="Q530"/>
    </row>
    <row r="531" spans="15:17" ht="21.75" customHeight="1" x14ac:dyDescent="0.45">
      <c r="O531"/>
      <c r="P531"/>
      <c r="Q531"/>
    </row>
    <row r="532" spans="15:17" ht="21.75" customHeight="1" x14ac:dyDescent="0.45">
      <c r="O532"/>
      <c r="P532"/>
      <c r="Q532"/>
    </row>
    <row r="533" spans="15:17" ht="21.75" customHeight="1" x14ac:dyDescent="0.45">
      <c r="O533"/>
      <c r="P533"/>
      <c r="Q533"/>
    </row>
    <row r="534" spans="15:17" ht="21.75" customHeight="1" x14ac:dyDescent="0.45">
      <c r="O534"/>
      <c r="P534"/>
      <c r="Q534"/>
    </row>
    <row r="535" spans="15:17" ht="21.75" customHeight="1" x14ac:dyDescent="0.45">
      <c r="O535"/>
      <c r="P535"/>
      <c r="Q535"/>
    </row>
    <row r="536" spans="15:17" ht="21.75" customHeight="1" x14ac:dyDescent="0.45">
      <c r="O536"/>
      <c r="P536"/>
      <c r="Q536"/>
    </row>
    <row r="537" spans="15:17" ht="21.75" customHeight="1" x14ac:dyDescent="0.45">
      <c r="O537"/>
      <c r="P537"/>
      <c r="Q537"/>
    </row>
    <row r="538" spans="15:17" ht="21.75" customHeight="1" x14ac:dyDescent="0.45">
      <c r="O538"/>
      <c r="P538"/>
      <c r="Q538"/>
    </row>
    <row r="539" spans="15:17" ht="21.75" customHeight="1" x14ac:dyDescent="0.45">
      <c r="O539"/>
      <c r="P539"/>
      <c r="Q539"/>
    </row>
    <row r="540" spans="15:17" ht="21.75" customHeight="1" x14ac:dyDescent="0.45">
      <c r="O540"/>
      <c r="P540"/>
      <c r="Q540"/>
    </row>
    <row r="541" spans="15:17" ht="21.75" customHeight="1" x14ac:dyDescent="0.45">
      <c r="O541"/>
      <c r="P541"/>
      <c r="Q541"/>
    </row>
    <row r="542" spans="15:17" ht="21.75" customHeight="1" x14ac:dyDescent="0.45">
      <c r="O542"/>
      <c r="P542"/>
      <c r="Q542"/>
    </row>
    <row r="543" spans="15:17" ht="21.75" customHeight="1" x14ac:dyDescent="0.45">
      <c r="O543"/>
      <c r="P543"/>
      <c r="Q543"/>
    </row>
    <row r="544" spans="15:17" ht="21.75" customHeight="1" x14ac:dyDescent="0.45">
      <c r="O544"/>
      <c r="P544"/>
      <c r="Q544"/>
    </row>
    <row r="545" spans="15:17" ht="21.75" customHeight="1" x14ac:dyDescent="0.45">
      <c r="O545"/>
      <c r="P545"/>
      <c r="Q545"/>
    </row>
    <row r="546" spans="15:17" ht="21.75" customHeight="1" x14ac:dyDescent="0.45">
      <c r="O546"/>
      <c r="P546"/>
      <c r="Q546"/>
    </row>
    <row r="547" spans="15:17" ht="21.75" customHeight="1" x14ac:dyDescent="0.45">
      <c r="O547"/>
      <c r="P547"/>
      <c r="Q547"/>
    </row>
    <row r="548" spans="15:17" ht="21.75" customHeight="1" x14ac:dyDescent="0.45">
      <c r="O548"/>
      <c r="P548"/>
      <c r="Q548"/>
    </row>
    <row r="549" spans="15:17" ht="21.75" customHeight="1" x14ac:dyDescent="0.45">
      <c r="O549"/>
      <c r="P549"/>
      <c r="Q549"/>
    </row>
    <row r="550" spans="15:17" ht="21.75" customHeight="1" x14ac:dyDescent="0.45">
      <c r="O550"/>
      <c r="P550"/>
      <c r="Q550"/>
    </row>
    <row r="551" spans="15:17" ht="21.75" customHeight="1" x14ac:dyDescent="0.45">
      <c r="O551"/>
      <c r="P551"/>
      <c r="Q551"/>
    </row>
    <row r="552" spans="15:17" ht="21.75" customHeight="1" x14ac:dyDescent="0.45">
      <c r="O552"/>
      <c r="P552"/>
      <c r="Q552"/>
    </row>
    <row r="553" spans="15:17" ht="21.75" customHeight="1" x14ac:dyDescent="0.45">
      <c r="O553"/>
      <c r="P553"/>
      <c r="Q553"/>
    </row>
    <row r="554" spans="15:17" ht="21.75" customHeight="1" x14ac:dyDescent="0.45">
      <c r="O554"/>
      <c r="P554"/>
      <c r="Q554"/>
    </row>
    <row r="555" spans="15:17" ht="21.75" customHeight="1" x14ac:dyDescent="0.45">
      <c r="O555"/>
      <c r="P555"/>
      <c r="Q555"/>
    </row>
    <row r="556" spans="15:17" ht="21.75" customHeight="1" x14ac:dyDescent="0.45">
      <c r="O556"/>
      <c r="P556"/>
      <c r="Q556"/>
    </row>
    <row r="557" spans="15:17" ht="21.75" customHeight="1" x14ac:dyDescent="0.45">
      <c r="O557"/>
      <c r="P557"/>
      <c r="Q557"/>
    </row>
    <row r="558" spans="15:17" ht="21.75" customHeight="1" x14ac:dyDescent="0.45">
      <c r="O558"/>
      <c r="P558"/>
      <c r="Q558"/>
    </row>
    <row r="559" spans="15:17" ht="21.75" customHeight="1" x14ac:dyDescent="0.45">
      <c r="O559"/>
      <c r="P559"/>
      <c r="Q559"/>
    </row>
    <row r="560" spans="15:17" ht="21.75" customHeight="1" x14ac:dyDescent="0.45">
      <c r="O560"/>
      <c r="P560"/>
      <c r="Q560"/>
    </row>
    <row r="561" spans="15:17" ht="21.75" customHeight="1" x14ac:dyDescent="0.45">
      <c r="O561"/>
      <c r="P561"/>
      <c r="Q561"/>
    </row>
    <row r="562" spans="15:17" ht="21.75" customHeight="1" x14ac:dyDescent="0.45">
      <c r="O562"/>
      <c r="P562"/>
      <c r="Q562"/>
    </row>
    <row r="563" spans="15:17" ht="21.75" customHeight="1" x14ac:dyDescent="0.45">
      <c r="O563"/>
      <c r="P563"/>
      <c r="Q563"/>
    </row>
    <row r="564" spans="15:17" ht="21.75" customHeight="1" x14ac:dyDescent="0.45">
      <c r="O564"/>
      <c r="P564"/>
      <c r="Q564"/>
    </row>
    <row r="565" spans="15:17" ht="21.75" customHeight="1" x14ac:dyDescent="0.45">
      <c r="O565"/>
      <c r="P565"/>
      <c r="Q565"/>
    </row>
    <row r="566" spans="15:17" ht="21.75" customHeight="1" x14ac:dyDescent="0.45">
      <c r="O566"/>
      <c r="P566"/>
      <c r="Q566"/>
    </row>
    <row r="567" spans="15:17" ht="21.75" customHeight="1" x14ac:dyDescent="0.45">
      <c r="O567"/>
      <c r="P567"/>
      <c r="Q567"/>
    </row>
    <row r="568" spans="15:17" ht="21.75" customHeight="1" x14ac:dyDescent="0.45">
      <c r="O568"/>
      <c r="P568"/>
      <c r="Q568"/>
    </row>
    <row r="569" spans="15:17" ht="21.75" customHeight="1" x14ac:dyDescent="0.45">
      <c r="O569"/>
      <c r="P569"/>
      <c r="Q569"/>
    </row>
    <row r="570" spans="15:17" ht="21.75" customHeight="1" x14ac:dyDescent="0.45">
      <c r="O570"/>
      <c r="P570"/>
      <c r="Q570"/>
    </row>
    <row r="571" spans="15:17" ht="21.75" customHeight="1" x14ac:dyDescent="0.45">
      <c r="O571"/>
      <c r="P571"/>
      <c r="Q571"/>
    </row>
    <row r="572" spans="15:17" ht="21.75" customHeight="1" x14ac:dyDescent="0.45">
      <c r="O572"/>
      <c r="P572"/>
      <c r="Q572"/>
    </row>
    <row r="573" spans="15:17" ht="21.75" customHeight="1" x14ac:dyDescent="0.45">
      <c r="O573"/>
      <c r="P573"/>
      <c r="Q573"/>
    </row>
    <row r="574" spans="15:17" ht="21.75" customHeight="1" x14ac:dyDescent="0.45">
      <c r="O574"/>
      <c r="P574"/>
      <c r="Q574"/>
    </row>
    <row r="575" spans="15:17" ht="21.75" customHeight="1" x14ac:dyDescent="0.45">
      <c r="O575"/>
      <c r="P575"/>
      <c r="Q575"/>
    </row>
    <row r="576" spans="15:17" ht="21.75" customHeight="1" x14ac:dyDescent="0.45">
      <c r="O576"/>
      <c r="P576"/>
      <c r="Q576"/>
    </row>
    <row r="577" spans="15:17" ht="21.75" customHeight="1" x14ac:dyDescent="0.45">
      <c r="O577"/>
      <c r="P577"/>
      <c r="Q577"/>
    </row>
    <row r="578" spans="15:17" ht="21.75" customHeight="1" x14ac:dyDescent="0.45">
      <c r="O578"/>
      <c r="P578"/>
      <c r="Q578"/>
    </row>
    <row r="579" spans="15:17" ht="21.75" customHeight="1" x14ac:dyDescent="0.45">
      <c r="O579"/>
      <c r="P579"/>
      <c r="Q579"/>
    </row>
    <row r="580" spans="15:17" ht="21.75" customHeight="1" x14ac:dyDescent="0.45">
      <c r="O580"/>
      <c r="P580"/>
      <c r="Q580"/>
    </row>
    <row r="581" spans="15:17" ht="21.75" customHeight="1" x14ac:dyDescent="0.45">
      <c r="O581"/>
      <c r="P581"/>
      <c r="Q581"/>
    </row>
    <row r="582" spans="15:17" ht="21.75" customHeight="1" x14ac:dyDescent="0.45">
      <c r="O582"/>
      <c r="P582"/>
      <c r="Q582"/>
    </row>
    <row r="583" spans="15:17" ht="21.75" customHeight="1" x14ac:dyDescent="0.45">
      <c r="O583"/>
      <c r="P583"/>
      <c r="Q583"/>
    </row>
    <row r="584" spans="15:17" ht="21.75" customHeight="1" x14ac:dyDescent="0.45">
      <c r="O584"/>
      <c r="P584"/>
      <c r="Q584"/>
    </row>
    <row r="585" spans="15:17" ht="21.75" customHeight="1" x14ac:dyDescent="0.45">
      <c r="O585"/>
      <c r="P585"/>
      <c r="Q585"/>
    </row>
    <row r="586" spans="15:17" ht="21.75" customHeight="1" x14ac:dyDescent="0.45">
      <c r="O586"/>
      <c r="P586"/>
      <c r="Q586"/>
    </row>
    <row r="587" spans="15:17" ht="21.75" customHeight="1" x14ac:dyDescent="0.45">
      <c r="O587"/>
      <c r="P587"/>
      <c r="Q587"/>
    </row>
    <row r="588" spans="15:17" ht="21.75" customHeight="1" x14ac:dyDescent="0.45">
      <c r="O588"/>
      <c r="P588"/>
      <c r="Q588"/>
    </row>
    <row r="589" spans="15:17" ht="21.75" customHeight="1" x14ac:dyDescent="0.45">
      <c r="O589"/>
      <c r="P589"/>
      <c r="Q589"/>
    </row>
    <row r="590" spans="15:17" ht="21.75" customHeight="1" x14ac:dyDescent="0.45">
      <c r="O590"/>
      <c r="P590"/>
      <c r="Q590"/>
    </row>
    <row r="591" spans="15:17" ht="21.75" customHeight="1" x14ac:dyDescent="0.45">
      <c r="O591"/>
      <c r="P591"/>
      <c r="Q591"/>
    </row>
    <row r="592" spans="15:17" ht="21.75" customHeight="1" x14ac:dyDescent="0.45">
      <c r="O592"/>
      <c r="P592"/>
      <c r="Q592"/>
    </row>
    <row r="593" spans="15:17" ht="21.75" customHeight="1" x14ac:dyDescent="0.45">
      <c r="O593"/>
      <c r="P593"/>
      <c r="Q593"/>
    </row>
    <row r="594" spans="15:17" ht="21.75" customHeight="1" x14ac:dyDescent="0.45">
      <c r="O594"/>
      <c r="P594"/>
      <c r="Q594"/>
    </row>
    <row r="595" spans="15:17" ht="21.75" customHeight="1" x14ac:dyDescent="0.45">
      <c r="O595"/>
      <c r="P595"/>
      <c r="Q595"/>
    </row>
    <row r="596" spans="15:17" ht="21.75" customHeight="1" x14ac:dyDescent="0.45">
      <c r="O596"/>
      <c r="P596"/>
      <c r="Q596"/>
    </row>
    <row r="597" spans="15:17" ht="21.75" customHeight="1" x14ac:dyDescent="0.45">
      <c r="O597"/>
      <c r="P597"/>
      <c r="Q597"/>
    </row>
    <row r="598" spans="15:17" ht="21.75" customHeight="1" x14ac:dyDescent="0.45">
      <c r="O598"/>
      <c r="P598"/>
      <c r="Q598"/>
    </row>
    <row r="599" spans="15:17" ht="21.75" customHeight="1" x14ac:dyDescent="0.45">
      <c r="O599"/>
      <c r="P599"/>
      <c r="Q599"/>
    </row>
    <row r="600" spans="15:17" ht="21.75" customHeight="1" x14ac:dyDescent="0.45">
      <c r="O600"/>
      <c r="P600"/>
      <c r="Q600"/>
    </row>
    <row r="601" spans="15:17" ht="21.75" customHeight="1" x14ac:dyDescent="0.45">
      <c r="O601"/>
      <c r="P601"/>
      <c r="Q601"/>
    </row>
    <row r="602" spans="15:17" ht="21.75" customHeight="1" x14ac:dyDescent="0.45">
      <c r="O602"/>
      <c r="P602"/>
      <c r="Q602"/>
    </row>
    <row r="603" spans="15:17" ht="21.75" customHeight="1" x14ac:dyDescent="0.45">
      <c r="O603"/>
      <c r="P603"/>
      <c r="Q603"/>
    </row>
    <row r="604" spans="15:17" ht="21.75" customHeight="1" x14ac:dyDescent="0.45">
      <c r="O604"/>
      <c r="P604"/>
      <c r="Q604"/>
    </row>
    <row r="605" spans="15:17" ht="21.75" customHeight="1" x14ac:dyDescent="0.45">
      <c r="O605"/>
      <c r="P605"/>
      <c r="Q605"/>
    </row>
    <row r="606" spans="15:17" ht="21.75" customHeight="1" x14ac:dyDescent="0.45">
      <c r="O606"/>
      <c r="P606"/>
      <c r="Q606"/>
    </row>
    <row r="607" spans="15:17" ht="21.75" customHeight="1" x14ac:dyDescent="0.45">
      <c r="O607"/>
      <c r="P607"/>
      <c r="Q607"/>
    </row>
    <row r="608" spans="15:17" ht="21.75" customHeight="1" x14ac:dyDescent="0.45">
      <c r="O608"/>
      <c r="P608"/>
      <c r="Q608"/>
    </row>
    <row r="609" spans="15:17" ht="21.75" customHeight="1" x14ac:dyDescent="0.45">
      <c r="O609"/>
      <c r="P609"/>
      <c r="Q609"/>
    </row>
    <row r="610" spans="15:17" ht="21.75" customHeight="1" x14ac:dyDescent="0.45">
      <c r="O610"/>
      <c r="P610"/>
      <c r="Q610"/>
    </row>
    <row r="611" spans="15:17" ht="21.75" customHeight="1" x14ac:dyDescent="0.45">
      <c r="O611"/>
      <c r="P611"/>
      <c r="Q611"/>
    </row>
    <row r="612" spans="15:17" ht="21.75" customHeight="1" x14ac:dyDescent="0.45">
      <c r="O612"/>
      <c r="P612"/>
      <c r="Q612"/>
    </row>
    <row r="613" spans="15:17" ht="21.75" customHeight="1" x14ac:dyDescent="0.45">
      <c r="O613"/>
      <c r="P613"/>
      <c r="Q613"/>
    </row>
    <row r="614" spans="15:17" ht="21.75" customHeight="1" x14ac:dyDescent="0.45">
      <c r="O614"/>
      <c r="P614"/>
      <c r="Q614"/>
    </row>
    <row r="615" spans="15:17" ht="21.75" customHeight="1" x14ac:dyDescent="0.45">
      <c r="O615"/>
      <c r="P615"/>
      <c r="Q615"/>
    </row>
    <row r="616" spans="15:17" ht="21.75" customHeight="1" x14ac:dyDescent="0.45">
      <c r="O616"/>
      <c r="P616"/>
      <c r="Q616"/>
    </row>
    <row r="617" spans="15:17" ht="21.75" customHeight="1" x14ac:dyDescent="0.45">
      <c r="O617"/>
      <c r="P617"/>
      <c r="Q617"/>
    </row>
    <row r="618" spans="15:17" ht="21.75" customHeight="1" x14ac:dyDescent="0.45">
      <c r="O618"/>
      <c r="P618"/>
      <c r="Q618"/>
    </row>
    <row r="619" spans="15:17" ht="21.75" customHeight="1" x14ac:dyDescent="0.45">
      <c r="O619"/>
      <c r="P619"/>
      <c r="Q619"/>
    </row>
    <row r="620" spans="15:17" ht="21.75" customHeight="1" x14ac:dyDescent="0.45">
      <c r="O620"/>
      <c r="P620"/>
      <c r="Q620"/>
    </row>
    <row r="621" spans="15:17" ht="21.75" customHeight="1" x14ac:dyDescent="0.45">
      <c r="O621"/>
      <c r="P621"/>
      <c r="Q621"/>
    </row>
    <row r="622" spans="15:17" ht="21.75" customHeight="1" x14ac:dyDescent="0.45">
      <c r="O622"/>
      <c r="P622"/>
      <c r="Q622"/>
    </row>
    <row r="623" spans="15:17" ht="21.75" customHeight="1" x14ac:dyDescent="0.45">
      <c r="O623"/>
      <c r="P623"/>
      <c r="Q623"/>
    </row>
    <row r="624" spans="15:17" ht="21.75" customHeight="1" x14ac:dyDescent="0.45">
      <c r="O624"/>
      <c r="P624"/>
      <c r="Q624"/>
    </row>
    <row r="625" spans="15:17" ht="21.75" customHeight="1" x14ac:dyDescent="0.45">
      <c r="O625"/>
      <c r="P625"/>
      <c r="Q625"/>
    </row>
    <row r="626" spans="15:17" ht="21.75" customHeight="1" x14ac:dyDescent="0.45">
      <c r="O626"/>
      <c r="P626"/>
      <c r="Q626"/>
    </row>
    <row r="627" spans="15:17" ht="21.75" customHeight="1" x14ac:dyDescent="0.45">
      <c r="O627"/>
      <c r="P627"/>
      <c r="Q627"/>
    </row>
    <row r="628" spans="15:17" ht="21.75" customHeight="1" x14ac:dyDescent="0.45">
      <c r="O628"/>
      <c r="P628"/>
      <c r="Q628"/>
    </row>
    <row r="629" spans="15:17" ht="21.75" customHeight="1" x14ac:dyDescent="0.45">
      <c r="O629"/>
      <c r="P629"/>
      <c r="Q629"/>
    </row>
    <row r="630" spans="15:17" ht="21.75" customHeight="1" x14ac:dyDescent="0.45">
      <c r="O630"/>
      <c r="P630"/>
      <c r="Q630"/>
    </row>
    <row r="631" spans="15:17" ht="21.75" customHeight="1" x14ac:dyDescent="0.45">
      <c r="O631"/>
      <c r="P631"/>
      <c r="Q631"/>
    </row>
    <row r="632" spans="15:17" ht="21.75" customHeight="1" x14ac:dyDescent="0.45">
      <c r="O632"/>
      <c r="P632"/>
      <c r="Q632"/>
    </row>
    <row r="633" spans="15:17" ht="21.75" customHeight="1" x14ac:dyDescent="0.45">
      <c r="O633"/>
      <c r="P633"/>
      <c r="Q633"/>
    </row>
    <row r="634" spans="15:17" ht="21.75" customHeight="1" x14ac:dyDescent="0.45">
      <c r="O634"/>
      <c r="P634"/>
      <c r="Q634"/>
    </row>
    <row r="635" spans="15:17" ht="21.75" customHeight="1" x14ac:dyDescent="0.45">
      <c r="O635"/>
      <c r="P635"/>
      <c r="Q635"/>
    </row>
    <row r="636" spans="15:17" ht="21.75" customHeight="1" x14ac:dyDescent="0.45">
      <c r="O636"/>
      <c r="P636"/>
      <c r="Q636"/>
    </row>
    <row r="637" spans="15:17" ht="21.75" customHeight="1" x14ac:dyDescent="0.45">
      <c r="O637"/>
      <c r="P637"/>
      <c r="Q637"/>
    </row>
    <row r="638" spans="15:17" ht="21.75" customHeight="1" x14ac:dyDescent="0.45">
      <c r="O638"/>
      <c r="P638"/>
      <c r="Q638"/>
    </row>
    <row r="639" spans="15:17" ht="21.75" customHeight="1" x14ac:dyDescent="0.45">
      <c r="O639"/>
      <c r="P639"/>
      <c r="Q639"/>
    </row>
    <row r="640" spans="15:17" ht="21.75" customHeight="1" x14ac:dyDescent="0.45">
      <c r="O640"/>
      <c r="P640"/>
      <c r="Q640"/>
    </row>
    <row r="641" spans="15:17" ht="21.75" customHeight="1" x14ac:dyDescent="0.45">
      <c r="O641"/>
      <c r="P641"/>
      <c r="Q641"/>
    </row>
    <row r="642" spans="15:17" ht="21.75" customHeight="1" x14ac:dyDescent="0.45">
      <c r="O642"/>
      <c r="P642"/>
      <c r="Q642"/>
    </row>
    <row r="643" spans="15:17" ht="21.75" customHeight="1" x14ac:dyDescent="0.45">
      <c r="O643"/>
      <c r="P643"/>
      <c r="Q643"/>
    </row>
    <row r="644" spans="15:17" ht="21.75" customHeight="1" x14ac:dyDescent="0.45">
      <c r="O644"/>
      <c r="P644"/>
      <c r="Q644"/>
    </row>
    <row r="645" spans="15:17" ht="21.75" customHeight="1" x14ac:dyDescent="0.45">
      <c r="O645"/>
      <c r="P645"/>
      <c r="Q645"/>
    </row>
    <row r="646" spans="15:17" ht="21.75" customHeight="1" x14ac:dyDescent="0.45">
      <c r="O646"/>
      <c r="P646"/>
      <c r="Q646"/>
    </row>
    <row r="647" spans="15:17" ht="21.75" customHeight="1" x14ac:dyDescent="0.45">
      <c r="O647"/>
      <c r="P647"/>
      <c r="Q647"/>
    </row>
    <row r="648" spans="15:17" ht="21.75" customHeight="1" x14ac:dyDescent="0.45">
      <c r="O648"/>
      <c r="P648"/>
      <c r="Q648"/>
    </row>
    <row r="649" spans="15:17" ht="21.75" customHeight="1" x14ac:dyDescent="0.45">
      <c r="O649"/>
      <c r="P649"/>
      <c r="Q649"/>
    </row>
    <row r="650" spans="15:17" ht="21.75" customHeight="1" x14ac:dyDescent="0.45">
      <c r="O650"/>
      <c r="P650"/>
      <c r="Q650"/>
    </row>
    <row r="651" spans="15:17" ht="21.75" customHeight="1" x14ac:dyDescent="0.45">
      <c r="O651"/>
      <c r="P651"/>
      <c r="Q651"/>
    </row>
    <row r="652" spans="15:17" ht="21.75" customHeight="1" x14ac:dyDescent="0.45">
      <c r="O652"/>
      <c r="P652"/>
      <c r="Q652"/>
    </row>
    <row r="653" spans="15:17" ht="21.75" customHeight="1" x14ac:dyDescent="0.45">
      <c r="O653"/>
      <c r="P653"/>
      <c r="Q653"/>
    </row>
    <row r="654" spans="15:17" ht="21.75" customHeight="1" x14ac:dyDescent="0.45">
      <c r="O654"/>
      <c r="P654"/>
      <c r="Q654"/>
    </row>
    <row r="655" spans="15:17" ht="21.75" customHeight="1" x14ac:dyDescent="0.45">
      <c r="O655"/>
      <c r="P655"/>
      <c r="Q655"/>
    </row>
    <row r="656" spans="15:17" ht="21.75" customHeight="1" x14ac:dyDescent="0.45">
      <c r="O656"/>
      <c r="P656"/>
      <c r="Q656"/>
    </row>
    <row r="657" spans="15:17" ht="21.75" customHeight="1" x14ac:dyDescent="0.45">
      <c r="O657"/>
      <c r="P657"/>
      <c r="Q657"/>
    </row>
    <row r="658" spans="15:17" ht="21.75" customHeight="1" x14ac:dyDescent="0.45">
      <c r="O658"/>
      <c r="P658"/>
      <c r="Q658"/>
    </row>
    <row r="659" spans="15:17" ht="21.75" customHeight="1" x14ac:dyDescent="0.45">
      <c r="O659"/>
      <c r="P659"/>
      <c r="Q659"/>
    </row>
    <row r="660" spans="15:17" ht="21.75" customHeight="1" x14ac:dyDescent="0.45">
      <c r="O660"/>
      <c r="P660"/>
      <c r="Q660"/>
    </row>
    <row r="661" spans="15:17" ht="21.75" customHeight="1" x14ac:dyDescent="0.45">
      <c r="O661"/>
      <c r="P661"/>
      <c r="Q661"/>
    </row>
    <row r="662" spans="15:17" ht="21.75" customHeight="1" x14ac:dyDescent="0.45">
      <c r="O662"/>
      <c r="P662"/>
      <c r="Q662"/>
    </row>
    <row r="663" spans="15:17" ht="21.75" customHeight="1" x14ac:dyDescent="0.45">
      <c r="O663"/>
      <c r="P663"/>
      <c r="Q663"/>
    </row>
    <row r="664" spans="15:17" ht="21.75" customHeight="1" x14ac:dyDescent="0.45">
      <c r="O664"/>
      <c r="P664"/>
      <c r="Q664"/>
    </row>
    <row r="665" spans="15:17" ht="21.75" customHeight="1" x14ac:dyDescent="0.45">
      <c r="O665"/>
      <c r="P665"/>
      <c r="Q665"/>
    </row>
    <row r="666" spans="15:17" ht="21.75" customHeight="1" x14ac:dyDescent="0.45">
      <c r="O666"/>
      <c r="P666"/>
      <c r="Q666"/>
    </row>
    <row r="667" spans="15:17" ht="21.75" customHeight="1" x14ac:dyDescent="0.45">
      <c r="O667"/>
      <c r="P667"/>
      <c r="Q667"/>
    </row>
    <row r="668" spans="15:17" ht="21.75" customHeight="1" x14ac:dyDescent="0.45">
      <c r="O668"/>
      <c r="P668"/>
      <c r="Q668"/>
    </row>
    <row r="669" spans="15:17" ht="21.75" customHeight="1" x14ac:dyDescent="0.45">
      <c r="O669"/>
      <c r="P669"/>
      <c r="Q669"/>
    </row>
    <row r="670" spans="15:17" ht="21.75" customHeight="1" x14ac:dyDescent="0.45">
      <c r="O670"/>
      <c r="P670"/>
      <c r="Q670"/>
    </row>
    <row r="671" spans="15:17" ht="21.75" customHeight="1" x14ac:dyDescent="0.45">
      <c r="O671"/>
      <c r="P671"/>
      <c r="Q671"/>
    </row>
    <row r="672" spans="15:17" ht="21.75" customHeight="1" x14ac:dyDescent="0.45">
      <c r="O672"/>
      <c r="P672"/>
      <c r="Q672"/>
    </row>
    <row r="673" spans="15:17" ht="21.75" customHeight="1" x14ac:dyDescent="0.45">
      <c r="O673"/>
      <c r="P673"/>
      <c r="Q673"/>
    </row>
    <row r="674" spans="15:17" ht="21.75" customHeight="1" x14ac:dyDescent="0.45">
      <c r="O674"/>
      <c r="P674"/>
      <c r="Q674"/>
    </row>
    <row r="675" spans="15:17" ht="21.75" customHeight="1" x14ac:dyDescent="0.45">
      <c r="O675"/>
      <c r="P675"/>
      <c r="Q675"/>
    </row>
    <row r="676" spans="15:17" ht="21.75" customHeight="1" x14ac:dyDescent="0.45">
      <c r="O676"/>
      <c r="P676"/>
      <c r="Q676"/>
    </row>
    <row r="677" spans="15:17" ht="21.75" customHeight="1" x14ac:dyDescent="0.45">
      <c r="O677"/>
      <c r="P677"/>
      <c r="Q677"/>
    </row>
    <row r="678" spans="15:17" ht="21.75" customHeight="1" x14ac:dyDescent="0.45">
      <c r="O678"/>
      <c r="P678"/>
      <c r="Q678"/>
    </row>
    <row r="679" spans="15:17" ht="21.75" customHeight="1" x14ac:dyDescent="0.45">
      <c r="O679"/>
      <c r="P679"/>
      <c r="Q679"/>
    </row>
    <row r="680" spans="15:17" ht="21.75" customHeight="1" x14ac:dyDescent="0.45">
      <c r="O680"/>
      <c r="P680"/>
      <c r="Q680"/>
    </row>
    <row r="681" spans="15:17" ht="21.75" customHeight="1" x14ac:dyDescent="0.45">
      <c r="O681"/>
      <c r="P681"/>
      <c r="Q681"/>
    </row>
    <row r="682" spans="15:17" ht="21.75" customHeight="1" x14ac:dyDescent="0.45">
      <c r="O682"/>
      <c r="P682"/>
      <c r="Q682"/>
    </row>
    <row r="683" spans="15:17" ht="21.75" customHeight="1" x14ac:dyDescent="0.45">
      <c r="O683"/>
      <c r="P683"/>
      <c r="Q683"/>
    </row>
    <row r="684" spans="15:17" ht="21.75" customHeight="1" x14ac:dyDescent="0.45">
      <c r="O684"/>
      <c r="P684"/>
      <c r="Q684"/>
    </row>
    <row r="685" spans="15:17" ht="21.75" customHeight="1" x14ac:dyDescent="0.45">
      <c r="O685"/>
      <c r="P685"/>
      <c r="Q685"/>
    </row>
    <row r="686" spans="15:17" ht="21.75" customHeight="1" x14ac:dyDescent="0.45">
      <c r="O686"/>
      <c r="P686"/>
      <c r="Q686"/>
    </row>
    <row r="687" spans="15:17" ht="21.75" customHeight="1" x14ac:dyDescent="0.45">
      <c r="O687"/>
      <c r="P687"/>
      <c r="Q687"/>
    </row>
    <row r="688" spans="15:17" ht="21.75" customHeight="1" x14ac:dyDescent="0.45">
      <c r="O688"/>
      <c r="P688"/>
      <c r="Q688"/>
    </row>
    <row r="689" spans="15:17" ht="21.75" customHeight="1" x14ac:dyDescent="0.45">
      <c r="O689"/>
      <c r="P689"/>
      <c r="Q689"/>
    </row>
    <row r="690" spans="15:17" ht="21.75" customHeight="1" x14ac:dyDescent="0.45">
      <c r="O690"/>
      <c r="P690"/>
      <c r="Q690"/>
    </row>
    <row r="691" spans="15:17" ht="21.75" customHeight="1" x14ac:dyDescent="0.45">
      <c r="O691"/>
      <c r="P691"/>
      <c r="Q691"/>
    </row>
    <row r="692" spans="15:17" ht="21.75" customHeight="1" x14ac:dyDescent="0.45">
      <c r="O692"/>
      <c r="P692"/>
      <c r="Q692"/>
    </row>
    <row r="693" spans="15:17" ht="21.75" customHeight="1" x14ac:dyDescent="0.45">
      <c r="O693"/>
      <c r="P693"/>
      <c r="Q693"/>
    </row>
    <row r="694" spans="15:17" ht="21.75" customHeight="1" x14ac:dyDescent="0.45">
      <c r="O694"/>
      <c r="P694"/>
      <c r="Q694"/>
    </row>
    <row r="695" spans="15:17" ht="21.75" customHeight="1" x14ac:dyDescent="0.45">
      <c r="O695"/>
      <c r="P695"/>
      <c r="Q695"/>
    </row>
    <row r="696" spans="15:17" ht="21.75" customHeight="1" x14ac:dyDescent="0.45">
      <c r="O696"/>
      <c r="P696"/>
      <c r="Q696"/>
    </row>
    <row r="697" spans="15:17" ht="21.75" customHeight="1" x14ac:dyDescent="0.45">
      <c r="O697"/>
      <c r="P697"/>
      <c r="Q697"/>
    </row>
    <row r="698" spans="15:17" ht="21.75" customHeight="1" x14ac:dyDescent="0.45">
      <c r="O698"/>
      <c r="P698"/>
      <c r="Q698"/>
    </row>
    <row r="699" spans="15:17" ht="21.75" customHeight="1" x14ac:dyDescent="0.45">
      <c r="O699"/>
      <c r="P699"/>
      <c r="Q699"/>
    </row>
    <row r="700" spans="15:17" ht="21.75" customHeight="1" x14ac:dyDescent="0.45">
      <c r="O700"/>
      <c r="P700"/>
      <c r="Q700"/>
    </row>
    <row r="701" spans="15:17" ht="21.75" customHeight="1" x14ac:dyDescent="0.45">
      <c r="O701"/>
      <c r="P701"/>
      <c r="Q701"/>
    </row>
    <row r="702" spans="15:17" ht="21.75" customHeight="1" x14ac:dyDescent="0.45">
      <c r="O702"/>
      <c r="P702"/>
      <c r="Q702"/>
    </row>
    <row r="703" spans="15:17" ht="21.75" customHeight="1" x14ac:dyDescent="0.45">
      <c r="O703"/>
      <c r="P703"/>
      <c r="Q703"/>
    </row>
    <row r="704" spans="15:17" ht="21.75" customHeight="1" x14ac:dyDescent="0.45">
      <c r="O704"/>
      <c r="P704"/>
      <c r="Q704"/>
    </row>
    <row r="705" spans="15:17" ht="21.75" customHeight="1" x14ac:dyDescent="0.45">
      <c r="O705"/>
      <c r="P705"/>
      <c r="Q705"/>
    </row>
    <row r="706" spans="15:17" ht="21.75" customHeight="1" x14ac:dyDescent="0.45">
      <c r="O706"/>
      <c r="P706"/>
      <c r="Q706"/>
    </row>
    <row r="707" spans="15:17" ht="21.75" customHeight="1" x14ac:dyDescent="0.45">
      <c r="O707"/>
      <c r="P707"/>
      <c r="Q707"/>
    </row>
    <row r="708" spans="15:17" ht="21.75" customHeight="1" x14ac:dyDescent="0.45">
      <c r="O708"/>
      <c r="P708"/>
      <c r="Q708"/>
    </row>
    <row r="709" spans="15:17" ht="21.75" customHeight="1" x14ac:dyDescent="0.45">
      <c r="O709"/>
      <c r="P709"/>
      <c r="Q709"/>
    </row>
    <row r="710" spans="15:17" ht="21.75" customHeight="1" x14ac:dyDescent="0.45">
      <c r="O710"/>
      <c r="P710"/>
      <c r="Q710"/>
    </row>
    <row r="711" spans="15:17" ht="21.75" customHeight="1" x14ac:dyDescent="0.45">
      <c r="O711"/>
      <c r="P711"/>
      <c r="Q711"/>
    </row>
    <row r="712" spans="15:17" ht="21.75" customHeight="1" x14ac:dyDescent="0.45">
      <c r="O712"/>
      <c r="P712"/>
      <c r="Q712"/>
    </row>
    <row r="713" spans="15:17" ht="21.75" customHeight="1" x14ac:dyDescent="0.45">
      <c r="O713"/>
      <c r="P713"/>
      <c r="Q713"/>
    </row>
    <row r="714" spans="15:17" ht="21.75" customHeight="1" x14ac:dyDescent="0.45">
      <c r="O714"/>
      <c r="P714"/>
      <c r="Q714"/>
    </row>
    <row r="715" spans="15:17" ht="21.75" customHeight="1" x14ac:dyDescent="0.45">
      <c r="O715"/>
      <c r="P715"/>
      <c r="Q715"/>
    </row>
    <row r="716" spans="15:17" ht="21.75" customHeight="1" x14ac:dyDescent="0.45">
      <c r="O716"/>
      <c r="P716"/>
      <c r="Q716"/>
    </row>
    <row r="717" spans="15:17" ht="21.75" customHeight="1" x14ac:dyDescent="0.45">
      <c r="O717"/>
      <c r="P717"/>
      <c r="Q717"/>
    </row>
    <row r="718" spans="15:17" ht="21.75" customHeight="1" x14ac:dyDescent="0.45">
      <c r="O718"/>
      <c r="P718"/>
      <c r="Q718"/>
    </row>
    <row r="719" spans="15:17" ht="21.75" customHeight="1" x14ac:dyDescent="0.45">
      <c r="O719"/>
      <c r="P719"/>
      <c r="Q719"/>
    </row>
    <row r="720" spans="15:17" ht="21.75" customHeight="1" x14ac:dyDescent="0.45">
      <c r="O720"/>
      <c r="P720"/>
      <c r="Q720"/>
    </row>
    <row r="721" spans="15:17" ht="21.75" customHeight="1" x14ac:dyDescent="0.45">
      <c r="O721"/>
      <c r="P721"/>
      <c r="Q721"/>
    </row>
    <row r="722" spans="15:17" ht="21.75" customHeight="1" x14ac:dyDescent="0.45">
      <c r="O722"/>
      <c r="P722"/>
      <c r="Q722"/>
    </row>
    <row r="723" spans="15:17" ht="21.75" customHeight="1" x14ac:dyDescent="0.45">
      <c r="O723"/>
      <c r="P723"/>
      <c r="Q723"/>
    </row>
    <row r="724" spans="15:17" ht="21.75" customHeight="1" x14ac:dyDescent="0.45">
      <c r="O724"/>
      <c r="P724"/>
      <c r="Q724"/>
    </row>
    <row r="725" spans="15:17" ht="21.75" customHeight="1" x14ac:dyDescent="0.45">
      <c r="O725"/>
      <c r="P725"/>
      <c r="Q725"/>
    </row>
    <row r="726" spans="15:17" ht="21.75" customHeight="1" x14ac:dyDescent="0.45">
      <c r="O726"/>
      <c r="P726"/>
      <c r="Q726"/>
    </row>
    <row r="727" spans="15:17" ht="21.75" customHeight="1" x14ac:dyDescent="0.45">
      <c r="O727"/>
      <c r="P727"/>
      <c r="Q727"/>
    </row>
    <row r="728" spans="15:17" ht="21.75" customHeight="1" x14ac:dyDescent="0.45">
      <c r="O728"/>
      <c r="P728"/>
      <c r="Q728"/>
    </row>
    <row r="729" spans="15:17" ht="21.75" customHeight="1" x14ac:dyDescent="0.45">
      <c r="O729"/>
      <c r="P729"/>
      <c r="Q729"/>
    </row>
    <row r="730" spans="15:17" ht="21.75" customHeight="1" x14ac:dyDescent="0.45">
      <c r="O730"/>
      <c r="P730"/>
      <c r="Q730"/>
    </row>
    <row r="731" spans="15:17" ht="21.75" customHeight="1" x14ac:dyDescent="0.45">
      <c r="O731"/>
      <c r="P731"/>
      <c r="Q731"/>
    </row>
    <row r="732" spans="15:17" ht="21.75" customHeight="1" x14ac:dyDescent="0.45">
      <c r="O732"/>
      <c r="P732"/>
      <c r="Q732"/>
    </row>
    <row r="733" spans="15:17" ht="21.75" customHeight="1" x14ac:dyDescent="0.45">
      <c r="O733"/>
      <c r="P733"/>
      <c r="Q733"/>
    </row>
    <row r="734" spans="15:17" ht="21.75" customHeight="1" x14ac:dyDescent="0.45">
      <c r="O734"/>
      <c r="P734"/>
      <c r="Q734"/>
    </row>
    <row r="735" spans="15:17" ht="21.75" customHeight="1" x14ac:dyDescent="0.45">
      <c r="O735"/>
      <c r="P735"/>
      <c r="Q735"/>
    </row>
    <row r="736" spans="15:17" ht="21.75" customHeight="1" x14ac:dyDescent="0.45">
      <c r="O736"/>
      <c r="P736"/>
      <c r="Q736"/>
    </row>
    <row r="737" spans="15:17" ht="21.75" customHeight="1" x14ac:dyDescent="0.45">
      <c r="O737"/>
      <c r="P737"/>
      <c r="Q737"/>
    </row>
    <row r="738" spans="15:17" ht="21.75" customHeight="1" x14ac:dyDescent="0.45">
      <c r="O738"/>
      <c r="P738"/>
      <c r="Q738"/>
    </row>
    <row r="739" spans="15:17" ht="21.75" customHeight="1" x14ac:dyDescent="0.45">
      <c r="O739"/>
      <c r="P739"/>
      <c r="Q739"/>
    </row>
    <row r="740" spans="15:17" ht="21.75" customHeight="1" x14ac:dyDescent="0.45">
      <c r="O740"/>
      <c r="P740"/>
      <c r="Q740"/>
    </row>
    <row r="741" spans="15:17" ht="21.75" customHeight="1" x14ac:dyDescent="0.45">
      <c r="O741"/>
      <c r="P741"/>
      <c r="Q741"/>
    </row>
    <row r="742" spans="15:17" ht="21.75" customHeight="1" x14ac:dyDescent="0.45">
      <c r="O742"/>
      <c r="P742"/>
      <c r="Q742"/>
    </row>
    <row r="743" spans="15:17" ht="21.75" customHeight="1" x14ac:dyDescent="0.45">
      <c r="O743"/>
      <c r="P743"/>
      <c r="Q743"/>
    </row>
    <row r="744" spans="15:17" ht="21.75" customHeight="1" x14ac:dyDescent="0.45">
      <c r="O744"/>
      <c r="P744"/>
      <c r="Q744"/>
    </row>
    <row r="745" spans="15:17" ht="21.75" customHeight="1" x14ac:dyDescent="0.45">
      <c r="O745"/>
      <c r="P745"/>
      <c r="Q745"/>
    </row>
    <row r="746" spans="15:17" ht="21.75" customHeight="1" x14ac:dyDescent="0.45">
      <c r="O746"/>
      <c r="P746"/>
      <c r="Q746"/>
    </row>
    <row r="747" spans="15:17" ht="21.75" customHeight="1" x14ac:dyDescent="0.45">
      <c r="O747"/>
      <c r="P747"/>
      <c r="Q747"/>
    </row>
    <row r="748" spans="15:17" ht="21.75" customHeight="1" x14ac:dyDescent="0.45">
      <c r="O748"/>
      <c r="P748"/>
      <c r="Q748"/>
    </row>
    <row r="749" spans="15:17" ht="21.75" customHeight="1" x14ac:dyDescent="0.45">
      <c r="O749"/>
      <c r="P749"/>
      <c r="Q749"/>
    </row>
    <row r="750" spans="15:17" ht="21.75" customHeight="1" x14ac:dyDescent="0.45">
      <c r="O750"/>
      <c r="P750"/>
      <c r="Q750"/>
    </row>
    <row r="751" spans="15:17" ht="21.75" customHeight="1" x14ac:dyDescent="0.45">
      <c r="O751"/>
      <c r="P751"/>
      <c r="Q751"/>
    </row>
    <row r="752" spans="15:17" ht="21.75" customHeight="1" x14ac:dyDescent="0.45">
      <c r="O752"/>
      <c r="P752"/>
      <c r="Q752"/>
    </row>
    <row r="753" spans="15:17" ht="21.75" customHeight="1" x14ac:dyDescent="0.45">
      <c r="O753"/>
      <c r="P753"/>
      <c r="Q753"/>
    </row>
    <row r="754" spans="15:17" ht="21.75" customHeight="1" x14ac:dyDescent="0.45">
      <c r="O754"/>
      <c r="P754"/>
      <c r="Q754"/>
    </row>
    <row r="755" spans="15:17" ht="21.75" customHeight="1" x14ac:dyDescent="0.45">
      <c r="O755"/>
      <c r="P755"/>
      <c r="Q755"/>
    </row>
    <row r="756" spans="15:17" ht="21.75" customHeight="1" x14ac:dyDescent="0.45">
      <c r="O756"/>
      <c r="P756"/>
      <c r="Q756"/>
    </row>
    <row r="757" spans="15:17" ht="21.75" customHeight="1" x14ac:dyDescent="0.45">
      <c r="O757"/>
      <c r="P757"/>
      <c r="Q757"/>
    </row>
    <row r="758" spans="15:17" ht="21.75" customHeight="1" x14ac:dyDescent="0.45">
      <c r="O758"/>
      <c r="P758"/>
      <c r="Q758"/>
    </row>
    <row r="759" spans="15:17" ht="21.75" customHeight="1" x14ac:dyDescent="0.45">
      <c r="O759"/>
      <c r="P759"/>
      <c r="Q759"/>
    </row>
    <row r="760" spans="15:17" ht="21.75" customHeight="1" x14ac:dyDescent="0.45">
      <c r="O760"/>
      <c r="P760"/>
      <c r="Q760"/>
    </row>
    <row r="761" spans="15:17" ht="21.75" customHeight="1" x14ac:dyDescent="0.45">
      <c r="O761"/>
      <c r="P761"/>
      <c r="Q761"/>
    </row>
    <row r="762" spans="15:17" ht="21.75" customHeight="1" x14ac:dyDescent="0.45">
      <c r="O762"/>
      <c r="P762"/>
      <c r="Q762"/>
    </row>
    <row r="763" spans="15:17" ht="21.75" customHeight="1" x14ac:dyDescent="0.45">
      <c r="O763"/>
      <c r="P763"/>
      <c r="Q763"/>
    </row>
    <row r="764" spans="15:17" ht="21.75" customHeight="1" x14ac:dyDescent="0.45">
      <c r="O764"/>
      <c r="P764"/>
      <c r="Q764"/>
    </row>
    <row r="765" spans="15:17" ht="21.75" customHeight="1" x14ac:dyDescent="0.45">
      <c r="O765"/>
      <c r="P765"/>
      <c r="Q765"/>
    </row>
    <row r="766" spans="15:17" ht="21.75" customHeight="1" x14ac:dyDescent="0.45">
      <c r="O766"/>
      <c r="P766"/>
      <c r="Q766"/>
    </row>
    <row r="767" spans="15:17" ht="21.75" customHeight="1" x14ac:dyDescent="0.45">
      <c r="O767"/>
      <c r="P767"/>
      <c r="Q767"/>
    </row>
    <row r="768" spans="15:17" ht="21.75" customHeight="1" x14ac:dyDescent="0.45">
      <c r="O768"/>
      <c r="P768"/>
      <c r="Q768"/>
    </row>
    <row r="769" spans="15:17" ht="21.75" customHeight="1" x14ac:dyDescent="0.45">
      <c r="O769"/>
      <c r="P769"/>
      <c r="Q769"/>
    </row>
    <row r="770" spans="15:17" ht="21.75" customHeight="1" x14ac:dyDescent="0.45">
      <c r="O770"/>
      <c r="P770"/>
      <c r="Q770"/>
    </row>
    <row r="771" spans="15:17" ht="21.75" customHeight="1" x14ac:dyDescent="0.45">
      <c r="O771"/>
      <c r="P771"/>
      <c r="Q771"/>
    </row>
    <row r="772" spans="15:17" ht="21.75" customHeight="1" x14ac:dyDescent="0.45">
      <c r="O772"/>
      <c r="P772"/>
      <c r="Q772"/>
    </row>
    <row r="773" spans="15:17" ht="21.75" customHeight="1" x14ac:dyDescent="0.45">
      <c r="O773"/>
      <c r="P773"/>
      <c r="Q773"/>
    </row>
    <row r="774" spans="15:17" ht="21.75" customHeight="1" x14ac:dyDescent="0.45">
      <c r="O774"/>
      <c r="P774"/>
      <c r="Q774"/>
    </row>
    <row r="775" spans="15:17" ht="21.75" customHeight="1" x14ac:dyDescent="0.45">
      <c r="O775"/>
      <c r="P775"/>
      <c r="Q775"/>
    </row>
    <row r="776" spans="15:17" ht="21.75" customHeight="1" x14ac:dyDescent="0.45">
      <c r="O776"/>
      <c r="P776"/>
      <c r="Q776"/>
    </row>
    <row r="777" spans="15:17" ht="21.75" customHeight="1" x14ac:dyDescent="0.45">
      <c r="O777"/>
      <c r="P777"/>
      <c r="Q777"/>
    </row>
    <row r="778" spans="15:17" ht="21.75" customHeight="1" x14ac:dyDescent="0.45">
      <c r="O778"/>
      <c r="P778"/>
      <c r="Q778"/>
    </row>
    <row r="779" spans="15:17" ht="21.75" customHeight="1" x14ac:dyDescent="0.45">
      <c r="O779"/>
      <c r="P779"/>
      <c r="Q779"/>
    </row>
    <row r="780" spans="15:17" ht="21.75" customHeight="1" x14ac:dyDescent="0.45">
      <c r="O780"/>
      <c r="P780"/>
      <c r="Q780"/>
    </row>
    <row r="781" spans="15:17" ht="21.75" customHeight="1" x14ac:dyDescent="0.45">
      <c r="O781"/>
      <c r="P781"/>
      <c r="Q781"/>
    </row>
    <row r="782" spans="15:17" ht="21.75" customHeight="1" x14ac:dyDescent="0.45">
      <c r="O782"/>
      <c r="P782"/>
      <c r="Q782"/>
    </row>
    <row r="783" spans="15:17" ht="21.75" customHeight="1" x14ac:dyDescent="0.45">
      <c r="O783"/>
      <c r="P783"/>
      <c r="Q783"/>
    </row>
    <row r="784" spans="15:17" ht="21.75" customHeight="1" x14ac:dyDescent="0.45">
      <c r="O784"/>
      <c r="P784"/>
      <c r="Q784"/>
    </row>
    <row r="785" spans="15:17" ht="21.75" customHeight="1" x14ac:dyDescent="0.45">
      <c r="O785"/>
      <c r="P785"/>
      <c r="Q785"/>
    </row>
    <row r="786" spans="15:17" ht="21.75" customHeight="1" x14ac:dyDescent="0.45">
      <c r="O786"/>
      <c r="P786"/>
      <c r="Q786"/>
    </row>
    <row r="787" spans="15:17" ht="21.75" customHeight="1" x14ac:dyDescent="0.45">
      <c r="O787"/>
      <c r="P787"/>
      <c r="Q787"/>
    </row>
    <row r="788" spans="15:17" ht="21.75" customHeight="1" x14ac:dyDescent="0.45">
      <c r="O788"/>
      <c r="P788"/>
      <c r="Q788"/>
    </row>
    <row r="789" spans="15:17" ht="21.75" customHeight="1" x14ac:dyDescent="0.45">
      <c r="O789"/>
      <c r="P789"/>
      <c r="Q789"/>
    </row>
    <row r="790" spans="15:17" ht="21.75" customHeight="1" x14ac:dyDescent="0.45">
      <c r="O790"/>
      <c r="P790"/>
      <c r="Q790"/>
    </row>
    <row r="791" spans="15:17" ht="21.75" customHeight="1" x14ac:dyDescent="0.45">
      <c r="O791"/>
      <c r="P791"/>
      <c r="Q791"/>
    </row>
    <row r="792" spans="15:17" ht="21.75" customHeight="1" x14ac:dyDescent="0.45">
      <c r="O792"/>
      <c r="P792"/>
      <c r="Q792"/>
    </row>
    <row r="793" spans="15:17" ht="21.75" customHeight="1" x14ac:dyDescent="0.45">
      <c r="O793"/>
      <c r="P793"/>
      <c r="Q793"/>
    </row>
    <row r="794" spans="15:17" ht="21.75" customHeight="1" x14ac:dyDescent="0.45">
      <c r="O794"/>
      <c r="P794"/>
      <c r="Q794"/>
    </row>
    <row r="795" spans="15:17" ht="21.75" customHeight="1" x14ac:dyDescent="0.45">
      <c r="O795"/>
      <c r="P795"/>
      <c r="Q795"/>
    </row>
    <row r="796" spans="15:17" ht="21.75" customHeight="1" x14ac:dyDescent="0.45">
      <c r="O796"/>
      <c r="P796"/>
      <c r="Q796"/>
    </row>
    <row r="797" spans="15:17" ht="21.75" customHeight="1" x14ac:dyDescent="0.45">
      <c r="O797"/>
      <c r="P797"/>
      <c r="Q797"/>
    </row>
    <row r="798" spans="15:17" ht="21.75" customHeight="1" x14ac:dyDescent="0.45">
      <c r="O798"/>
      <c r="P798"/>
      <c r="Q798"/>
    </row>
    <row r="799" spans="15:17" ht="21.75" customHeight="1" x14ac:dyDescent="0.45">
      <c r="O799"/>
      <c r="P799"/>
      <c r="Q799"/>
    </row>
    <row r="800" spans="15:17" ht="21.75" customHeight="1" x14ac:dyDescent="0.45">
      <c r="O800"/>
      <c r="P800"/>
      <c r="Q800"/>
    </row>
    <row r="801" spans="15:17" ht="21.75" customHeight="1" x14ac:dyDescent="0.45">
      <c r="O801"/>
      <c r="P801"/>
      <c r="Q801"/>
    </row>
    <row r="802" spans="15:17" ht="21.75" customHeight="1" x14ac:dyDescent="0.45">
      <c r="O802"/>
      <c r="P802"/>
      <c r="Q802"/>
    </row>
    <row r="803" spans="15:17" ht="21.75" customHeight="1" x14ac:dyDescent="0.45">
      <c r="O803"/>
      <c r="P803"/>
      <c r="Q803"/>
    </row>
    <row r="804" spans="15:17" ht="21.75" customHeight="1" x14ac:dyDescent="0.45">
      <c r="O804"/>
      <c r="P804"/>
      <c r="Q804"/>
    </row>
    <row r="805" spans="15:17" ht="21.75" customHeight="1" x14ac:dyDescent="0.45">
      <c r="O805"/>
      <c r="P805"/>
      <c r="Q805"/>
    </row>
    <row r="806" spans="15:17" ht="21.75" customHeight="1" x14ac:dyDescent="0.45">
      <c r="O806"/>
      <c r="P806"/>
      <c r="Q806"/>
    </row>
    <row r="807" spans="15:17" ht="21.75" customHeight="1" x14ac:dyDescent="0.45">
      <c r="O807"/>
      <c r="P807"/>
      <c r="Q807"/>
    </row>
    <row r="808" spans="15:17" ht="21.75" customHeight="1" x14ac:dyDescent="0.45">
      <c r="O808"/>
      <c r="P808"/>
      <c r="Q808"/>
    </row>
    <row r="809" spans="15:17" ht="21.75" customHeight="1" x14ac:dyDescent="0.45">
      <c r="O809"/>
      <c r="P809"/>
      <c r="Q809"/>
    </row>
    <row r="810" spans="15:17" ht="21.75" customHeight="1" x14ac:dyDescent="0.45">
      <c r="O810"/>
      <c r="P810"/>
      <c r="Q810"/>
    </row>
    <row r="811" spans="15:17" ht="21.75" customHeight="1" x14ac:dyDescent="0.45">
      <c r="O811"/>
      <c r="P811"/>
      <c r="Q811"/>
    </row>
    <row r="812" spans="15:17" ht="21.75" customHeight="1" x14ac:dyDescent="0.45">
      <c r="O812"/>
      <c r="P812"/>
      <c r="Q812"/>
    </row>
    <row r="813" spans="15:17" ht="21.75" customHeight="1" x14ac:dyDescent="0.45">
      <c r="O813"/>
      <c r="P813"/>
      <c r="Q813"/>
    </row>
    <row r="814" spans="15:17" ht="21.75" customHeight="1" x14ac:dyDescent="0.45">
      <c r="O814"/>
      <c r="P814"/>
      <c r="Q814"/>
    </row>
    <row r="815" spans="15:17" ht="21.75" customHeight="1" x14ac:dyDescent="0.45">
      <c r="O815"/>
      <c r="P815"/>
      <c r="Q815"/>
    </row>
    <row r="816" spans="15:17" ht="21.75" customHeight="1" x14ac:dyDescent="0.45">
      <c r="O816"/>
      <c r="P816"/>
      <c r="Q816"/>
    </row>
    <row r="817" spans="15:17" ht="21.75" customHeight="1" x14ac:dyDescent="0.45">
      <c r="O817"/>
      <c r="P817"/>
      <c r="Q817"/>
    </row>
    <row r="818" spans="15:17" ht="21.75" customHeight="1" x14ac:dyDescent="0.45">
      <c r="O818"/>
      <c r="P818"/>
      <c r="Q818"/>
    </row>
    <row r="819" spans="15:17" ht="21.75" customHeight="1" x14ac:dyDescent="0.45">
      <c r="O819"/>
      <c r="P819"/>
      <c r="Q819"/>
    </row>
    <row r="820" spans="15:17" ht="21.75" customHeight="1" x14ac:dyDescent="0.45">
      <c r="O820"/>
      <c r="P820"/>
      <c r="Q820"/>
    </row>
    <row r="821" spans="15:17" ht="21.75" customHeight="1" x14ac:dyDescent="0.45">
      <c r="O821"/>
      <c r="P821"/>
      <c r="Q821"/>
    </row>
    <row r="822" spans="15:17" ht="21.75" customHeight="1" x14ac:dyDescent="0.45">
      <c r="O822"/>
      <c r="P822"/>
      <c r="Q822"/>
    </row>
    <row r="823" spans="15:17" ht="21.75" customHeight="1" x14ac:dyDescent="0.45">
      <c r="O823"/>
      <c r="P823"/>
      <c r="Q823"/>
    </row>
    <row r="824" spans="15:17" ht="21.75" customHeight="1" x14ac:dyDescent="0.45">
      <c r="O824"/>
      <c r="P824"/>
      <c r="Q824"/>
    </row>
    <row r="825" spans="15:17" ht="21.75" customHeight="1" x14ac:dyDescent="0.45">
      <c r="O825"/>
      <c r="P825"/>
      <c r="Q825"/>
    </row>
    <row r="826" spans="15:17" ht="21.75" customHeight="1" x14ac:dyDescent="0.45">
      <c r="O826"/>
      <c r="P826"/>
      <c r="Q826"/>
    </row>
    <row r="827" spans="15:17" ht="21.75" customHeight="1" x14ac:dyDescent="0.45">
      <c r="O827"/>
      <c r="P827"/>
      <c r="Q827"/>
    </row>
    <row r="828" spans="15:17" ht="21.75" customHeight="1" x14ac:dyDescent="0.45">
      <c r="O828"/>
      <c r="P828"/>
      <c r="Q828"/>
    </row>
    <row r="829" spans="15:17" ht="21.75" customHeight="1" x14ac:dyDescent="0.45">
      <c r="O829"/>
      <c r="P829"/>
      <c r="Q829"/>
    </row>
    <row r="830" spans="15:17" ht="21.75" customHeight="1" x14ac:dyDescent="0.45">
      <c r="O830"/>
      <c r="P830"/>
      <c r="Q830"/>
    </row>
    <row r="831" spans="15:17" ht="21.75" customHeight="1" x14ac:dyDescent="0.45">
      <c r="O831"/>
      <c r="P831"/>
      <c r="Q831"/>
    </row>
    <row r="832" spans="15:17" ht="21.75" customHeight="1" x14ac:dyDescent="0.45">
      <c r="O832"/>
      <c r="P832"/>
      <c r="Q832"/>
    </row>
    <row r="833" spans="15:17" ht="21.75" customHeight="1" x14ac:dyDescent="0.45">
      <c r="O833"/>
      <c r="P833"/>
      <c r="Q833"/>
    </row>
    <row r="834" spans="15:17" ht="21.75" customHeight="1" x14ac:dyDescent="0.45">
      <c r="O834"/>
      <c r="P834"/>
      <c r="Q834"/>
    </row>
    <row r="835" spans="15:17" ht="21.75" customHeight="1" x14ac:dyDescent="0.45">
      <c r="O835"/>
      <c r="P835"/>
      <c r="Q835"/>
    </row>
    <row r="836" spans="15:17" ht="21.75" customHeight="1" x14ac:dyDescent="0.45">
      <c r="O836"/>
      <c r="P836"/>
      <c r="Q836"/>
    </row>
    <row r="837" spans="15:17" ht="21.75" customHeight="1" x14ac:dyDescent="0.45">
      <c r="O837"/>
      <c r="P837"/>
      <c r="Q837"/>
    </row>
    <row r="838" spans="15:17" ht="21.75" customHeight="1" x14ac:dyDescent="0.45">
      <c r="O838"/>
      <c r="P838"/>
      <c r="Q838"/>
    </row>
    <row r="839" spans="15:17" ht="21.75" customHeight="1" x14ac:dyDescent="0.45">
      <c r="O839"/>
      <c r="P839"/>
      <c r="Q839"/>
    </row>
    <row r="840" spans="15:17" ht="21.75" customHeight="1" x14ac:dyDescent="0.45">
      <c r="O840"/>
      <c r="P840"/>
      <c r="Q840"/>
    </row>
    <row r="841" spans="15:17" ht="21.75" customHeight="1" x14ac:dyDescent="0.45">
      <c r="O841"/>
      <c r="P841"/>
      <c r="Q841"/>
    </row>
    <row r="842" spans="15:17" ht="21.75" customHeight="1" x14ac:dyDescent="0.45">
      <c r="O842"/>
      <c r="P842"/>
      <c r="Q842"/>
    </row>
    <row r="843" spans="15:17" ht="21.75" customHeight="1" x14ac:dyDescent="0.45">
      <c r="O843"/>
      <c r="P843"/>
      <c r="Q843"/>
    </row>
    <row r="844" spans="15:17" ht="21.75" customHeight="1" x14ac:dyDescent="0.45">
      <c r="O844"/>
      <c r="P844"/>
      <c r="Q844"/>
    </row>
    <row r="845" spans="15:17" ht="21.75" customHeight="1" x14ac:dyDescent="0.45">
      <c r="O845"/>
      <c r="P845"/>
      <c r="Q845"/>
    </row>
    <row r="846" spans="15:17" ht="21.75" customHeight="1" x14ac:dyDescent="0.45">
      <c r="O846"/>
      <c r="P846"/>
      <c r="Q846"/>
    </row>
    <row r="847" spans="15:17" ht="21.75" customHeight="1" x14ac:dyDescent="0.45">
      <c r="O847"/>
      <c r="P847"/>
      <c r="Q847"/>
    </row>
    <row r="848" spans="15:17" ht="21.75" customHeight="1" x14ac:dyDescent="0.45">
      <c r="O848"/>
      <c r="P848"/>
      <c r="Q848"/>
    </row>
    <row r="849" spans="15:17" ht="21.75" customHeight="1" x14ac:dyDescent="0.45">
      <c r="O849"/>
      <c r="P849"/>
      <c r="Q849"/>
    </row>
    <row r="850" spans="15:17" ht="21.75" customHeight="1" x14ac:dyDescent="0.45">
      <c r="O850"/>
      <c r="P850"/>
      <c r="Q850"/>
    </row>
    <row r="851" spans="15:17" ht="21.75" customHeight="1" x14ac:dyDescent="0.45">
      <c r="O851"/>
      <c r="P851"/>
      <c r="Q851"/>
    </row>
    <row r="852" spans="15:17" ht="21.75" customHeight="1" x14ac:dyDescent="0.45">
      <c r="O852"/>
      <c r="P852"/>
      <c r="Q852"/>
    </row>
    <row r="853" spans="15:17" ht="21.75" customHeight="1" x14ac:dyDescent="0.45">
      <c r="O853"/>
      <c r="P853"/>
      <c r="Q853"/>
    </row>
    <row r="854" spans="15:17" ht="21.75" customHeight="1" x14ac:dyDescent="0.45">
      <c r="O854"/>
      <c r="P854"/>
      <c r="Q854"/>
    </row>
    <row r="855" spans="15:17" ht="21.75" customHeight="1" x14ac:dyDescent="0.45">
      <c r="O855"/>
      <c r="P855"/>
      <c r="Q855"/>
    </row>
    <row r="856" spans="15:17" ht="21.75" customHeight="1" x14ac:dyDescent="0.45">
      <c r="O856"/>
      <c r="P856"/>
      <c r="Q856"/>
    </row>
    <row r="857" spans="15:17" ht="21.75" customHeight="1" x14ac:dyDescent="0.45">
      <c r="O857"/>
      <c r="P857"/>
      <c r="Q857"/>
    </row>
    <row r="858" spans="15:17" ht="21.75" customHeight="1" x14ac:dyDescent="0.45">
      <c r="O858"/>
      <c r="P858"/>
      <c r="Q858"/>
    </row>
    <row r="859" spans="15:17" ht="21.75" customHeight="1" x14ac:dyDescent="0.45">
      <c r="O859"/>
      <c r="P859"/>
      <c r="Q859"/>
    </row>
    <row r="860" spans="15:17" ht="21.75" customHeight="1" x14ac:dyDescent="0.45">
      <c r="O860"/>
      <c r="P860"/>
      <c r="Q860"/>
    </row>
    <row r="861" spans="15:17" ht="21.75" customHeight="1" x14ac:dyDescent="0.45">
      <c r="O861"/>
      <c r="P861"/>
      <c r="Q861"/>
    </row>
    <row r="862" spans="15:17" ht="21.75" customHeight="1" x14ac:dyDescent="0.45">
      <c r="O862"/>
      <c r="P862"/>
      <c r="Q862"/>
    </row>
    <row r="863" spans="15:17" ht="21.75" customHeight="1" x14ac:dyDescent="0.45">
      <c r="O863"/>
      <c r="P863"/>
      <c r="Q863"/>
    </row>
    <row r="864" spans="15:17" ht="21.75" customHeight="1" x14ac:dyDescent="0.45">
      <c r="O864"/>
      <c r="P864"/>
      <c r="Q864"/>
    </row>
    <row r="865" spans="15:17" ht="21.75" customHeight="1" x14ac:dyDescent="0.45">
      <c r="O865"/>
      <c r="P865"/>
      <c r="Q865"/>
    </row>
    <row r="866" spans="15:17" ht="21.75" customHeight="1" x14ac:dyDescent="0.45">
      <c r="O866"/>
      <c r="P866"/>
      <c r="Q866"/>
    </row>
    <row r="867" spans="15:17" ht="21.75" customHeight="1" x14ac:dyDescent="0.45">
      <c r="O867"/>
      <c r="P867"/>
      <c r="Q867"/>
    </row>
    <row r="868" spans="15:17" ht="21.75" customHeight="1" x14ac:dyDescent="0.45">
      <c r="O868"/>
      <c r="P868"/>
      <c r="Q868"/>
    </row>
    <row r="869" spans="15:17" ht="21.75" customHeight="1" x14ac:dyDescent="0.45">
      <c r="O869"/>
      <c r="P869"/>
      <c r="Q869"/>
    </row>
    <row r="870" spans="15:17" ht="21.75" customHeight="1" x14ac:dyDescent="0.45">
      <c r="O870"/>
      <c r="P870"/>
      <c r="Q870"/>
    </row>
    <row r="871" spans="15:17" ht="21.75" customHeight="1" x14ac:dyDescent="0.45">
      <c r="O871"/>
      <c r="P871"/>
      <c r="Q871"/>
    </row>
    <row r="872" spans="15:17" ht="21.75" customHeight="1" x14ac:dyDescent="0.45">
      <c r="O872"/>
      <c r="P872"/>
      <c r="Q872"/>
    </row>
    <row r="873" spans="15:17" ht="21.75" customHeight="1" x14ac:dyDescent="0.45">
      <c r="O873"/>
      <c r="P873"/>
      <c r="Q873"/>
    </row>
    <row r="874" spans="15:17" ht="21.75" customHeight="1" x14ac:dyDescent="0.45">
      <c r="O874"/>
      <c r="P874"/>
      <c r="Q874"/>
    </row>
    <row r="875" spans="15:17" ht="21.75" customHeight="1" x14ac:dyDescent="0.45">
      <c r="O875"/>
      <c r="P875"/>
      <c r="Q875"/>
    </row>
    <row r="876" spans="15:17" ht="21.75" customHeight="1" x14ac:dyDescent="0.45">
      <c r="O876"/>
      <c r="P876"/>
      <c r="Q876"/>
    </row>
    <row r="877" spans="15:17" ht="21.75" customHeight="1" x14ac:dyDescent="0.45">
      <c r="O877"/>
      <c r="P877"/>
      <c r="Q877"/>
    </row>
    <row r="878" spans="15:17" ht="21.75" customHeight="1" x14ac:dyDescent="0.45">
      <c r="O878"/>
      <c r="P878"/>
      <c r="Q878"/>
    </row>
    <row r="879" spans="15:17" ht="21.75" customHeight="1" x14ac:dyDescent="0.45">
      <c r="O879"/>
      <c r="P879"/>
      <c r="Q879"/>
    </row>
    <row r="880" spans="15:17" ht="21.75" customHeight="1" x14ac:dyDescent="0.45">
      <c r="O880"/>
      <c r="P880"/>
      <c r="Q880"/>
    </row>
    <row r="881" spans="15:17" ht="21.75" customHeight="1" x14ac:dyDescent="0.45">
      <c r="O881"/>
      <c r="P881"/>
      <c r="Q881"/>
    </row>
    <row r="882" spans="15:17" ht="21.75" customHeight="1" x14ac:dyDescent="0.45">
      <c r="O882"/>
      <c r="P882"/>
      <c r="Q882"/>
    </row>
    <row r="883" spans="15:17" ht="21.75" customHeight="1" x14ac:dyDescent="0.45">
      <c r="O883"/>
      <c r="P883"/>
      <c r="Q883"/>
    </row>
    <row r="884" spans="15:17" ht="21.75" customHeight="1" x14ac:dyDescent="0.45">
      <c r="O884"/>
      <c r="P884"/>
      <c r="Q884"/>
    </row>
    <row r="885" spans="15:17" ht="21.75" customHeight="1" x14ac:dyDescent="0.45">
      <c r="O885"/>
      <c r="P885"/>
      <c r="Q885"/>
    </row>
    <row r="886" spans="15:17" ht="21.75" customHeight="1" x14ac:dyDescent="0.45">
      <c r="O886"/>
      <c r="P886"/>
      <c r="Q886"/>
    </row>
    <row r="887" spans="15:17" ht="21.75" customHeight="1" x14ac:dyDescent="0.45">
      <c r="O887"/>
      <c r="P887"/>
      <c r="Q887"/>
    </row>
    <row r="888" spans="15:17" ht="21.75" customHeight="1" x14ac:dyDescent="0.45">
      <c r="O888"/>
      <c r="P888"/>
      <c r="Q888"/>
    </row>
    <row r="889" spans="15:17" ht="21.75" customHeight="1" x14ac:dyDescent="0.45">
      <c r="O889"/>
      <c r="P889"/>
      <c r="Q889"/>
    </row>
    <row r="890" spans="15:17" ht="21.75" customHeight="1" x14ac:dyDescent="0.45">
      <c r="O890"/>
      <c r="P890"/>
      <c r="Q890"/>
    </row>
    <row r="891" spans="15:17" ht="21.75" customHeight="1" x14ac:dyDescent="0.45">
      <c r="O891"/>
      <c r="P891"/>
      <c r="Q891"/>
    </row>
    <row r="892" spans="15:17" ht="21.75" customHeight="1" x14ac:dyDescent="0.45">
      <c r="O892"/>
      <c r="P892"/>
      <c r="Q892"/>
    </row>
    <row r="893" spans="15:17" ht="21.75" customHeight="1" x14ac:dyDescent="0.45">
      <c r="O893"/>
      <c r="P893"/>
      <c r="Q893"/>
    </row>
    <row r="894" spans="15:17" ht="21.75" customHeight="1" x14ac:dyDescent="0.45">
      <c r="O894"/>
      <c r="P894"/>
      <c r="Q894"/>
    </row>
    <row r="895" spans="15:17" ht="21.75" customHeight="1" x14ac:dyDescent="0.45">
      <c r="O895"/>
      <c r="P895"/>
      <c r="Q895"/>
    </row>
    <row r="896" spans="15:17" ht="21.75" customHeight="1" x14ac:dyDescent="0.45">
      <c r="O896"/>
      <c r="P896"/>
      <c r="Q896"/>
    </row>
    <row r="897" spans="15:17" ht="21.75" customHeight="1" x14ac:dyDescent="0.45">
      <c r="O897"/>
      <c r="P897"/>
      <c r="Q897"/>
    </row>
    <row r="898" spans="15:17" ht="21.75" customHeight="1" x14ac:dyDescent="0.45">
      <c r="O898"/>
      <c r="P898"/>
      <c r="Q898"/>
    </row>
    <row r="899" spans="15:17" ht="21.75" customHeight="1" x14ac:dyDescent="0.45">
      <c r="O899"/>
      <c r="P899"/>
      <c r="Q899"/>
    </row>
    <row r="900" spans="15:17" ht="21.75" customHeight="1" x14ac:dyDescent="0.45">
      <c r="O900"/>
      <c r="P900"/>
      <c r="Q900"/>
    </row>
    <row r="901" spans="15:17" ht="21.75" customHeight="1" x14ac:dyDescent="0.45">
      <c r="O901"/>
      <c r="P901"/>
      <c r="Q901"/>
    </row>
    <row r="902" spans="15:17" ht="21.75" customHeight="1" x14ac:dyDescent="0.45">
      <c r="O902"/>
      <c r="P902"/>
      <c r="Q902"/>
    </row>
    <row r="903" spans="15:17" ht="21.75" customHeight="1" x14ac:dyDescent="0.45">
      <c r="O903"/>
      <c r="P903"/>
      <c r="Q903"/>
    </row>
    <row r="904" spans="15:17" ht="21.75" customHeight="1" x14ac:dyDescent="0.45">
      <c r="O904"/>
      <c r="P904"/>
      <c r="Q904"/>
    </row>
    <row r="905" spans="15:17" ht="21.75" customHeight="1" x14ac:dyDescent="0.45">
      <c r="O905"/>
      <c r="P905"/>
      <c r="Q905"/>
    </row>
    <row r="906" spans="15:17" ht="21.75" customHeight="1" x14ac:dyDescent="0.45">
      <c r="O906"/>
      <c r="P906"/>
      <c r="Q906"/>
    </row>
    <row r="907" spans="15:17" ht="21.75" customHeight="1" x14ac:dyDescent="0.45">
      <c r="O907"/>
      <c r="P907"/>
      <c r="Q907"/>
    </row>
    <row r="908" spans="15:17" ht="21.75" customHeight="1" x14ac:dyDescent="0.45">
      <c r="O908"/>
      <c r="P908"/>
      <c r="Q908"/>
    </row>
    <row r="909" spans="15:17" ht="21.75" customHeight="1" x14ac:dyDescent="0.45">
      <c r="O909"/>
      <c r="P909"/>
      <c r="Q909"/>
    </row>
    <row r="910" spans="15:17" ht="21.75" customHeight="1" x14ac:dyDescent="0.45">
      <c r="O910"/>
      <c r="P910"/>
      <c r="Q910"/>
    </row>
    <row r="911" spans="15:17" ht="21.75" customHeight="1" x14ac:dyDescent="0.45">
      <c r="O911"/>
      <c r="P911"/>
      <c r="Q911"/>
    </row>
    <row r="912" spans="15:17" ht="21.75" customHeight="1" x14ac:dyDescent="0.45">
      <c r="O912"/>
      <c r="P912"/>
      <c r="Q912"/>
    </row>
    <row r="913" spans="15:17" ht="21.75" customHeight="1" x14ac:dyDescent="0.45">
      <c r="O913"/>
      <c r="P913"/>
      <c r="Q913"/>
    </row>
    <row r="914" spans="15:17" ht="21.75" customHeight="1" x14ac:dyDescent="0.45">
      <c r="O914"/>
      <c r="P914"/>
      <c r="Q914"/>
    </row>
    <row r="915" spans="15:17" ht="21.75" customHeight="1" x14ac:dyDescent="0.45">
      <c r="O915"/>
      <c r="P915"/>
      <c r="Q915"/>
    </row>
    <row r="916" spans="15:17" ht="21.75" customHeight="1" x14ac:dyDescent="0.45">
      <c r="O916"/>
      <c r="P916"/>
      <c r="Q916"/>
    </row>
    <row r="917" spans="15:17" ht="21.75" customHeight="1" x14ac:dyDescent="0.45">
      <c r="O917"/>
      <c r="P917"/>
      <c r="Q917"/>
    </row>
    <row r="918" spans="15:17" ht="21.75" customHeight="1" x14ac:dyDescent="0.45">
      <c r="O918"/>
      <c r="P918"/>
      <c r="Q918"/>
    </row>
    <row r="919" spans="15:17" ht="21.75" customHeight="1" x14ac:dyDescent="0.45">
      <c r="O919"/>
      <c r="P919"/>
      <c r="Q919"/>
    </row>
    <row r="920" spans="15:17" ht="21.75" customHeight="1" x14ac:dyDescent="0.45">
      <c r="O920"/>
      <c r="P920"/>
      <c r="Q920"/>
    </row>
    <row r="921" spans="15:17" ht="21.75" customHeight="1" x14ac:dyDescent="0.45">
      <c r="O921"/>
      <c r="P921"/>
      <c r="Q921"/>
    </row>
    <row r="922" spans="15:17" ht="21.75" customHeight="1" x14ac:dyDescent="0.45">
      <c r="O922"/>
      <c r="P922"/>
      <c r="Q922"/>
    </row>
    <row r="923" spans="15:17" ht="21.75" customHeight="1" x14ac:dyDescent="0.45">
      <c r="O923"/>
      <c r="P923"/>
      <c r="Q923"/>
    </row>
    <row r="924" spans="15:17" ht="21.75" customHeight="1" x14ac:dyDescent="0.45">
      <c r="O924"/>
      <c r="P924"/>
      <c r="Q924"/>
    </row>
    <row r="925" spans="15:17" ht="21.75" customHeight="1" x14ac:dyDescent="0.45">
      <c r="O925"/>
      <c r="P925"/>
      <c r="Q925"/>
    </row>
    <row r="926" spans="15:17" ht="21.75" customHeight="1" x14ac:dyDescent="0.45">
      <c r="O926"/>
      <c r="P926"/>
      <c r="Q926"/>
    </row>
    <row r="927" spans="15:17" ht="21.75" customHeight="1" x14ac:dyDescent="0.45">
      <c r="O927"/>
      <c r="P927"/>
      <c r="Q927"/>
    </row>
    <row r="928" spans="15:17" ht="21.75" customHeight="1" x14ac:dyDescent="0.45">
      <c r="O928"/>
      <c r="P928"/>
      <c r="Q928"/>
    </row>
    <row r="929" spans="15:17" ht="21.75" customHeight="1" x14ac:dyDescent="0.45">
      <c r="O929"/>
      <c r="P929"/>
      <c r="Q929"/>
    </row>
    <row r="930" spans="15:17" ht="21.75" customHeight="1" x14ac:dyDescent="0.45">
      <c r="O930"/>
      <c r="P930"/>
      <c r="Q930"/>
    </row>
    <row r="931" spans="15:17" ht="21.75" customHeight="1" x14ac:dyDescent="0.45">
      <c r="O931"/>
      <c r="P931"/>
      <c r="Q931"/>
    </row>
    <row r="932" spans="15:17" ht="21.75" customHeight="1" x14ac:dyDescent="0.45">
      <c r="O932"/>
      <c r="P932"/>
      <c r="Q932"/>
    </row>
    <row r="933" spans="15:17" ht="21.75" customHeight="1" x14ac:dyDescent="0.45">
      <c r="O933"/>
      <c r="P933"/>
      <c r="Q933"/>
    </row>
    <row r="934" spans="15:17" ht="21.75" customHeight="1" x14ac:dyDescent="0.45">
      <c r="O934"/>
      <c r="P934"/>
      <c r="Q934"/>
    </row>
    <row r="935" spans="15:17" ht="21.75" customHeight="1" x14ac:dyDescent="0.45">
      <c r="O935"/>
      <c r="P935"/>
      <c r="Q935"/>
    </row>
    <row r="936" spans="15:17" ht="21.75" customHeight="1" x14ac:dyDescent="0.45">
      <c r="O936"/>
      <c r="P936"/>
      <c r="Q936"/>
    </row>
    <row r="937" spans="15:17" ht="21.75" customHeight="1" x14ac:dyDescent="0.45">
      <c r="O937"/>
      <c r="P937"/>
      <c r="Q937"/>
    </row>
    <row r="938" spans="15:17" ht="21.75" customHeight="1" x14ac:dyDescent="0.45">
      <c r="O938"/>
      <c r="P938"/>
      <c r="Q938"/>
    </row>
    <row r="939" spans="15:17" ht="21.75" customHeight="1" x14ac:dyDescent="0.45">
      <c r="O939"/>
      <c r="P939"/>
      <c r="Q939"/>
    </row>
    <row r="940" spans="15:17" ht="21.75" customHeight="1" x14ac:dyDescent="0.45">
      <c r="O940"/>
      <c r="P940"/>
      <c r="Q940"/>
    </row>
    <row r="941" spans="15:17" ht="21.75" customHeight="1" x14ac:dyDescent="0.45">
      <c r="O941"/>
      <c r="P941"/>
      <c r="Q941"/>
    </row>
    <row r="942" spans="15:17" ht="21.75" customHeight="1" x14ac:dyDescent="0.45">
      <c r="O942"/>
      <c r="P942"/>
      <c r="Q942"/>
    </row>
    <row r="943" spans="15:17" ht="21.75" customHeight="1" x14ac:dyDescent="0.45">
      <c r="O943"/>
      <c r="P943"/>
      <c r="Q943"/>
    </row>
    <row r="944" spans="15:17" ht="21.75" customHeight="1" x14ac:dyDescent="0.45">
      <c r="O944"/>
      <c r="P944"/>
      <c r="Q944"/>
    </row>
    <row r="945" spans="15:17" ht="21.75" customHeight="1" x14ac:dyDescent="0.45">
      <c r="O945"/>
      <c r="P945"/>
      <c r="Q945"/>
    </row>
    <row r="946" spans="15:17" ht="21.75" customHeight="1" x14ac:dyDescent="0.45">
      <c r="O946"/>
      <c r="P946"/>
      <c r="Q946"/>
    </row>
    <row r="947" spans="15:17" ht="21.75" customHeight="1" x14ac:dyDescent="0.45">
      <c r="O947"/>
      <c r="P947"/>
      <c r="Q947"/>
    </row>
    <row r="948" spans="15:17" ht="21.75" customHeight="1" x14ac:dyDescent="0.45">
      <c r="O948"/>
      <c r="P948"/>
      <c r="Q948"/>
    </row>
    <row r="949" spans="15:17" ht="21.75" customHeight="1" x14ac:dyDescent="0.45">
      <c r="O949"/>
      <c r="P949"/>
      <c r="Q949"/>
    </row>
    <row r="950" spans="15:17" ht="21.75" customHeight="1" x14ac:dyDescent="0.45">
      <c r="O950"/>
      <c r="P950"/>
      <c r="Q950"/>
    </row>
    <row r="951" spans="15:17" ht="21.75" customHeight="1" x14ac:dyDescent="0.45">
      <c r="O951"/>
      <c r="P951"/>
      <c r="Q951"/>
    </row>
    <row r="952" spans="15:17" ht="21.75" customHeight="1" x14ac:dyDescent="0.45">
      <c r="O952"/>
      <c r="P952"/>
      <c r="Q952"/>
    </row>
    <row r="953" spans="15:17" ht="21.75" customHeight="1" x14ac:dyDescent="0.45">
      <c r="O953"/>
      <c r="P953"/>
      <c r="Q953"/>
    </row>
    <row r="954" spans="15:17" ht="21.75" customHeight="1" x14ac:dyDescent="0.45">
      <c r="O954"/>
      <c r="P954"/>
      <c r="Q954"/>
    </row>
    <row r="955" spans="15:17" ht="21.75" customHeight="1" x14ac:dyDescent="0.45">
      <c r="O955"/>
      <c r="P955"/>
      <c r="Q955"/>
    </row>
    <row r="956" spans="15:17" ht="21.75" customHeight="1" x14ac:dyDescent="0.45">
      <c r="O956"/>
      <c r="P956"/>
      <c r="Q956"/>
    </row>
    <row r="957" spans="15:17" ht="21.75" customHeight="1" x14ac:dyDescent="0.45">
      <c r="O957"/>
      <c r="P957"/>
      <c r="Q957"/>
    </row>
    <row r="958" spans="15:17" ht="21.75" customHeight="1" x14ac:dyDescent="0.45">
      <c r="O958"/>
      <c r="P958"/>
      <c r="Q958"/>
    </row>
    <row r="959" spans="15:17" ht="21.75" customHeight="1" x14ac:dyDescent="0.45">
      <c r="O959"/>
      <c r="P959"/>
      <c r="Q959"/>
    </row>
    <row r="960" spans="15:17" ht="21.75" customHeight="1" x14ac:dyDescent="0.45">
      <c r="O960"/>
      <c r="P960"/>
      <c r="Q960"/>
    </row>
    <row r="961" spans="15:17" ht="21.75" customHeight="1" x14ac:dyDescent="0.45">
      <c r="O961"/>
      <c r="P961"/>
      <c r="Q961"/>
    </row>
    <row r="962" spans="15:17" ht="21.75" customHeight="1" x14ac:dyDescent="0.45">
      <c r="O962"/>
      <c r="P962"/>
      <c r="Q962"/>
    </row>
    <row r="963" spans="15:17" ht="21.75" customHeight="1" x14ac:dyDescent="0.45">
      <c r="O963"/>
      <c r="P963"/>
      <c r="Q963"/>
    </row>
    <row r="964" spans="15:17" ht="21.75" customHeight="1" x14ac:dyDescent="0.45">
      <c r="O964"/>
      <c r="P964"/>
      <c r="Q964"/>
    </row>
    <row r="965" spans="15:17" ht="21.75" customHeight="1" x14ac:dyDescent="0.45">
      <c r="O965"/>
      <c r="P965"/>
      <c r="Q965"/>
    </row>
    <row r="966" spans="15:17" ht="21.75" customHeight="1" x14ac:dyDescent="0.45">
      <c r="O966"/>
      <c r="P966"/>
      <c r="Q966"/>
    </row>
    <row r="967" spans="15:17" ht="21.75" customHeight="1" x14ac:dyDescent="0.45">
      <c r="O967"/>
      <c r="P967"/>
      <c r="Q967"/>
    </row>
    <row r="968" spans="15:17" ht="21.75" customHeight="1" x14ac:dyDescent="0.45">
      <c r="O968"/>
      <c r="P968"/>
      <c r="Q968"/>
    </row>
    <row r="969" spans="15:17" ht="21.75" customHeight="1" x14ac:dyDescent="0.45">
      <c r="O969"/>
      <c r="P969"/>
      <c r="Q969"/>
    </row>
    <row r="970" spans="15:17" ht="21.75" customHeight="1" x14ac:dyDescent="0.45">
      <c r="O970"/>
      <c r="P970"/>
      <c r="Q970"/>
    </row>
    <row r="971" spans="15:17" ht="21.75" customHeight="1" x14ac:dyDescent="0.45">
      <c r="O971"/>
      <c r="P971"/>
      <c r="Q971"/>
    </row>
    <row r="972" spans="15:17" ht="21.75" customHeight="1" x14ac:dyDescent="0.45">
      <c r="O972"/>
      <c r="P972"/>
      <c r="Q972"/>
    </row>
    <row r="973" spans="15:17" ht="21.75" customHeight="1" x14ac:dyDescent="0.45">
      <c r="O973"/>
      <c r="P973"/>
      <c r="Q973"/>
    </row>
    <row r="974" spans="15:17" ht="21.75" customHeight="1" x14ac:dyDescent="0.45">
      <c r="O974"/>
      <c r="P974"/>
      <c r="Q974"/>
    </row>
    <row r="975" spans="15:17" ht="21.75" customHeight="1" x14ac:dyDescent="0.45">
      <c r="O975"/>
      <c r="P975"/>
      <c r="Q975"/>
    </row>
    <row r="976" spans="15:17" ht="21.75" customHeight="1" x14ac:dyDescent="0.45">
      <c r="O976"/>
      <c r="P976"/>
      <c r="Q976"/>
    </row>
    <row r="977" spans="15:17" ht="21.75" customHeight="1" x14ac:dyDescent="0.45">
      <c r="O977"/>
      <c r="P977"/>
      <c r="Q977"/>
    </row>
    <row r="978" spans="15:17" ht="21.75" customHeight="1" x14ac:dyDescent="0.45">
      <c r="O978"/>
      <c r="P978"/>
      <c r="Q978"/>
    </row>
    <row r="979" spans="15:17" ht="21.75" customHeight="1" x14ac:dyDescent="0.45">
      <c r="O979"/>
      <c r="P979"/>
      <c r="Q979"/>
    </row>
    <row r="980" spans="15:17" ht="21.75" customHeight="1" x14ac:dyDescent="0.45">
      <c r="O980"/>
      <c r="P980"/>
      <c r="Q980"/>
    </row>
    <row r="981" spans="15:17" ht="21.75" customHeight="1" x14ac:dyDescent="0.45">
      <c r="O981"/>
      <c r="P981"/>
      <c r="Q981"/>
    </row>
    <row r="982" spans="15:17" ht="21.75" customHeight="1" x14ac:dyDescent="0.45">
      <c r="O982"/>
      <c r="P982"/>
      <c r="Q982"/>
    </row>
    <row r="983" spans="15:17" ht="21.75" customHeight="1" x14ac:dyDescent="0.45">
      <c r="O983"/>
      <c r="P983"/>
      <c r="Q983"/>
    </row>
    <row r="984" spans="15:17" ht="21.75" customHeight="1" x14ac:dyDescent="0.45">
      <c r="O984"/>
      <c r="P984"/>
      <c r="Q984"/>
    </row>
    <row r="985" spans="15:17" ht="21.75" customHeight="1" x14ac:dyDescent="0.45">
      <c r="O985"/>
      <c r="P985"/>
      <c r="Q985"/>
    </row>
    <row r="986" spans="15:17" ht="21.75" customHeight="1" x14ac:dyDescent="0.45">
      <c r="O986"/>
      <c r="P986"/>
      <c r="Q986"/>
    </row>
    <row r="987" spans="15:17" ht="21.75" customHeight="1" x14ac:dyDescent="0.45">
      <c r="O987"/>
      <c r="P987"/>
      <c r="Q987"/>
    </row>
    <row r="988" spans="15:17" ht="21.75" customHeight="1" x14ac:dyDescent="0.45">
      <c r="O988"/>
      <c r="P988"/>
      <c r="Q988"/>
    </row>
    <row r="989" spans="15:17" ht="21.75" customHeight="1" x14ac:dyDescent="0.45">
      <c r="O989"/>
      <c r="P989"/>
      <c r="Q989"/>
    </row>
    <row r="990" spans="15:17" ht="21.75" customHeight="1" x14ac:dyDescent="0.45">
      <c r="O990"/>
      <c r="P990"/>
      <c r="Q990"/>
    </row>
    <row r="991" spans="15:17" ht="21.75" customHeight="1" x14ac:dyDescent="0.45">
      <c r="O991"/>
      <c r="P991"/>
      <c r="Q991"/>
    </row>
    <row r="992" spans="15:17" ht="21.75" customHeight="1" x14ac:dyDescent="0.45">
      <c r="O992"/>
      <c r="P992"/>
      <c r="Q992"/>
    </row>
    <row r="993" spans="15:17" ht="21.75" customHeight="1" x14ac:dyDescent="0.45">
      <c r="O993"/>
      <c r="P993"/>
      <c r="Q993"/>
    </row>
    <row r="994" spans="15:17" ht="21.75" customHeight="1" x14ac:dyDescent="0.45">
      <c r="O994"/>
      <c r="P994"/>
      <c r="Q994"/>
    </row>
    <row r="995" spans="15:17" ht="21.75" customHeight="1" x14ac:dyDescent="0.45">
      <c r="O995"/>
      <c r="P995"/>
      <c r="Q995"/>
    </row>
    <row r="996" spans="15:17" ht="21.75" customHeight="1" x14ac:dyDescent="0.45">
      <c r="O996"/>
      <c r="P996"/>
      <c r="Q996"/>
    </row>
    <row r="997" spans="15:17" ht="21.75" customHeight="1" x14ac:dyDescent="0.45">
      <c r="O997"/>
      <c r="P997"/>
      <c r="Q997"/>
    </row>
    <row r="998" spans="15:17" ht="21.75" customHeight="1" x14ac:dyDescent="0.45">
      <c r="O998"/>
      <c r="P998"/>
      <c r="Q998"/>
    </row>
    <row r="999" spans="15:17" ht="21.75" customHeight="1" x14ac:dyDescent="0.45">
      <c r="O999"/>
      <c r="P999"/>
      <c r="Q999"/>
    </row>
    <row r="1000" spans="15:17" ht="21.75" customHeight="1" x14ac:dyDescent="0.45">
      <c r="O1000"/>
      <c r="P1000"/>
      <c r="Q1000"/>
    </row>
    <row r="1001" spans="15:17" ht="21.75" customHeight="1" x14ac:dyDescent="0.45">
      <c r="O1001"/>
      <c r="P1001"/>
      <c r="Q1001"/>
    </row>
    <row r="1002" spans="15:17" ht="21.75" customHeight="1" x14ac:dyDescent="0.45">
      <c r="O1002"/>
      <c r="P1002"/>
      <c r="Q1002"/>
    </row>
    <row r="1003" spans="15:17" ht="21.75" customHeight="1" x14ac:dyDescent="0.45">
      <c r="O1003"/>
      <c r="P1003"/>
      <c r="Q1003"/>
    </row>
    <row r="1004" spans="15:17" ht="21.75" customHeight="1" x14ac:dyDescent="0.45">
      <c r="O1004"/>
      <c r="P1004"/>
      <c r="Q1004"/>
    </row>
    <row r="1005" spans="15:17" ht="21.75" customHeight="1" x14ac:dyDescent="0.45">
      <c r="O1005"/>
      <c r="P1005"/>
      <c r="Q1005"/>
    </row>
    <row r="1006" spans="15:17" ht="21.75" customHeight="1" x14ac:dyDescent="0.45">
      <c r="O1006"/>
      <c r="P1006"/>
      <c r="Q1006"/>
    </row>
    <row r="1007" spans="15:17" ht="21.75" customHeight="1" x14ac:dyDescent="0.45">
      <c r="O1007"/>
      <c r="P1007"/>
      <c r="Q1007"/>
    </row>
    <row r="1008" spans="15:17" ht="21.75" customHeight="1" x14ac:dyDescent="0.45">
      <c r="O1008"/>
      <c r="P1008"/>
      <c r="Q1008"/>
    </row>
    <row r="1009" spans="15:17" ht="21.75" customHeight="1" x14ac:dyDescent="0.45">
      <c r="O1009"/>
      <c r="P1009"/>
      <c r="Q1009"/>
    </row>
    <row r="1010" spans="15:17" ht="21.75" customHeight="1" x14ac:dyDescent="0.45">
      <c r="O1010"/>
      <c r="P1010"/>
      <c r="Q1010"/>
    </row>
    <row r="1011" spans="15:17" ht="21.75" customHeight="1" x14ac:dyDescent="0.45">
      <c r="O1011"/>
      <c r="P1011"/>
      <c r="Q1011"/>
    </row>
    <row r="1012" spans="15:17" ht="21.75" customHeight="1" x14ac:dyDescent="0.45">
      <c r="O1012"/>
      <c r="P1012"/>
      <c r="Q1012"/>
    </row>
    <row r="1013" spans="15:17" ht="21.75" customHeight="1" x14ac:dyDescent="0.45">
      <c r="O1013"/>
      <c r="P1013"/>
      <c r="Q1013"/>
    </row>
    <row r="1014" spans="15:17" ht="21.75" customHeight="1" x14ac:dyDescent="0.45">
      <c r="O1014"/>
      <c r="P1014"/>
      <c r="Q1014"/>
    </row>
    <row r="1015" spans="15:17" ht="21.75" customHeight="1" x14ac:dyDescent="0.45">
      <c r="O1015"/>
      <c r="P1015"/>
      <c r="Q1015"/>
    </row>
    <row r="1016" spans="15:17" ht="21.75" customHeight="1" x14ac:dyDescent="0.45">
      <c r="O1016"/>
      <c r="P1016"/>
      <c r="Q1016"/>
    </row>
    <row r="1017" spans="15:17" ht="21.75" customHeight="1" x14ac:dyDescent="0.45">
      <c r="O1017"/>
      <c r="P1017"/>
      <c r="Q1017"/>
    </row>
    <row r="1018" spans="15:17" ht="21.75" customHeight="1" x14ac:dyDescent="0.45">
      <c r="O1018"/>
      <c r="P1018"/>
      <c r="Q1018"/>
    </row>
    <row r="1019" spans="15:17" ht="21.75" customHeight="1" x14ac:dyDescent="0.45">
      <c r="O1019"/>
      <c r="P1019"/>
      <c r="Q1019"/>
    </row>
    <row r="1020" spans="15:17" ht="21.75" customHeight="1" x14ac:dyDescent="0.45">
      <c r="O1020"/>
      <c r="P1020"/>
      <c r="Q1020"/>
    </row>
    <row r="1021" spans="15:17" ht="21.75" customHeight="1" x14ac:dyDescent="0.45">
      <c r="O1021"/>
      <c r="P1021"/>
      <c r="Q1021"/>
    </row>
    <row r="1022" spans="15:17" ht="21.75" customHeight="1" x14ac:dyDescent="0.45">
      <c r="O1022"/>
      <c r="P1022"/>
      <c r="Q1022"/>
    </row>
    <row r="1023" spans="15:17" ht="21.75" customHeight="1" x14ac:dyDescent="0.45">
      <c r="O1023"/>
      <c r="P1023"/>
      <c r="Q1023"/>
    </row>
    <row r="1024" spans="15:17" ht="21.75" customHeight="1" x14ac:dyDescent="0.45">
      <c r="O1024"/>
      <c r="P1024"/>
      <c r="Q1024"/>
    </row>
    <row r="1025" spans="15:17" ht="21.75" customHeight="1" x14ac:dyDescent="0.45">
      <c r="O1025"/>
      <c r="P1025"/>
      <c r="Q1025"/>
    </row>
    <row r="1026" spans="15:17" ht="21.75" customHeight="1" x14ac:dyDescent="0.45">
      <c r="O1026"/>
      <c r="P1026"/>
      <c r="Q1026"/>
    </row>
    <row r="1027" spans="15:17" ht="21.75" customHeight="1" x14ac:dyDescent="0.45">
      <c r="O1027"/>
      <c r="P1027"/>
      <c r="Q1027"/>
    </row>
    <row r="1028" spans="15:17" ht="21.75" customHeight="1" x14ac:dyDescent="0.45">
      <c r="O1028"/>
      <c r="P1028"/>
      <c r="Q1028"/>
    </row>
    <row r="1029" spans="15:17" ht="21.75" customHeight="1" x14ac:dyDescent="0.45">
      <c r="O1029"/>
      <c r="P1029"/>
      <c r="Q1029"/>
    </row>
    <row r="1030" spans="15:17" ht="21.75" customHeight="1" x14ac:dyDescent="0.45">
      <c r="O1030"/>
      <c r="P1030"/>
      <c r="Q1030"/>
    </row>
    <row r="1031" spans="15:17" ht="21.75" customHeight="1" x14ac:dyDescent="0.45">
      <c r="O1031"/>
      <c r="P1031"/>
      <c r="Q1031"/>
    </row>
    <row r="1032" spans="15:17" ht="21.75" customHeight="1" x14ac:dyDescent="0.45">
      <c r="O1032"/>
      <c r="P1032"/>
      <c r="Q1032"/>
    </row>
    <row r="1033" spans="15:17" ht="21.75" customHeight="1" x14ac:dyDescent="0.45">
      <c r="O1033"/>
      <c r="P1033"/>
      <c r="Q1033"/>
    </row>
    <row r="1034" spans="15:17" ht="21.75" customHeight="1" x14ac:dyDescent="0.45">
      <c r="O1034"/>
      <c r="P1034"/>
      <c r="Q1034"/>
    </row>
    <row r="1035" spans="15:17" ht="21.75" customHeight="1" x14ac:dyDescent="0.45">
      <c r="O1035"/>
      <c r="P1035"/>
      <c r="Q1035"/>
    </row>
    <row r="1036" spans="15:17" ht="21.75" customHeight="1" x14ac:dyDescent="0.45">
      <c r="O1036"/>
      <c r="P1036"/>
      <c r="Q1036"/>
    </row>
    <row r="1037" spans="15:17" ht="21.75" customHeight="1" x14ac:dyDescent="0.45">
      <c r="O1037"/>
      <c r="P1037"/>
      <c r="Q1037"/>
    </row>
    <row r="1038" spans="15:17" ht="21.75" customHeight="1" x14ac:dyDescent="0.45">
      <c r="O1038"/>
      <c r="P1038"/>
      <c r="Q1038"/>
    </row>
    <row r="1039" spans="15:17" ht="21.75" customHeight="1" x14ac:dyDescent="0.45">
      <c r="O1039"/>
      <c r="P1039"/>
      <c r="Q1039"/>
    </row>
    <row r="1040" spans="15:17" ht="21.75" customHeight="1" x14ac:dyDescent="0.45">
      <c r="O1040"/>
      <c r="P1040"/>
      <c r="Q1040"/>
    </row>
    <row r="1041" spans="15:17" ht="21.75" customHeight="1" x14ac:dyDescent="0.45">
      <c r="O1041"/>
      <c r="P1041"/>
      <c r="Q1041"/>
    </row>
    <row r="1042" spans="15:17" ht="21.75" customHeight="1" x14ac:dyDescent="0.45">
      <c r="O1042"/>
      <c r="P1042"/>
      <c r="Q1042"/>
    </row>
    <row r="1043" spans="15:17" ht="21.75" customHeight="1" x14ac:dyDescent="0.45">
      <c r="O1043"/>
      <c r="P1043"/>
      <c r="Q1043"/>
    </row>
    <row r="1044" spans="15:17" ht="21.75" customHeight="1" x14ac:dyDescent="0.45">
      <c r="O1044"/>
      <c r="P1044"/>
      <c r="Q1044"/>
    </row>
    <row r="1045" spans="15:17" ht="21.75" customHeight="1" x14ac:dyDescent="0.45">
      <c r="O1045"/>
      <c r="P1045"/>
      <c r="Q1045"/>
    </row>
    <row r="1046" spans="15:17" ht="21.75" customHeight="1" x14ac:dyDescent="0.45">
      <c r="O1046"/>
      <c r="P1046"/>
      <c r="Q1046"/>
    </row>
    <row r="1047" spans="15:17" ht="21.75" customHeight="1" x14ac:dyDescent="0.45">
      <c r="O1047"/>
      <c r="P1047"/>
      <c r="Q1047"/>
    </row>
    <row r="1048" spans="15:17" ht="21.75" customHeight="1" x14ac:dyDescent="0.45">
      <c r="O1048"/>
      <c r="P1048"/>
      <c r="Q1048"/>
    </row>
    <row r="1049" spans="15:17" ht="21.75" customHeight="1" x14ac:dyDescent="0.45">
      <c r="O1049"/>
      <c r="P1049"/>
      <c r="Q1049"/>
    </row>
    <row r="1050" spans="15:17" ht="21.75" customHeight="1" x14ac:dyDescent="0.45">
      <c r="O1050"/>
      <c r="P1050"/>
      <c r="Q1050"/>
    </row>
    <row r="1051" spans="15:17" ht="21.75" customHeight="1" x14ac:dyDescent="0.45">
      <c r="O1051"/>
      <c r="P1051"/>
      <c r="Q1051"/>
    </row>
    <row r="1052" spans="15:17" ht="21.75" customHeight="1" x14ac:dyDescent="0.45">
      <c r="O1052"/>
      <c r="P1052"/>
      <c r="Q1052"/>
    </row>
    <row r="1053" spans="15:17" ht="21.75" customHeight="1" x14ac:dyDescent="0.45">
      <c r="O1053"/>
      <c r="P1053"/>
      <c r="Q1053"/>
    </row>
    <row r="1054" spans="15:17" ht="21.75" customHeight="1" x14ac:dyDescent="0.45">
      <c r="O1054"/>
      <c r="P1054"/>
      <c r="Q1054"/>
    </row>
    <row r="1055" spans="15:17" ht="21.75" customHeight="1" x14ac:dyDescent="0.45">
      <c r="O1055"/>
      <c r="P1055"/>
      <c r="Q1055"/>
    </row>
    <row r="1056" spans="15:17" ht="21.75" customHeight="1" x14ac:dyDescent="0.45">
      <c r="O1056"/>
      <c r="P1056"/>
      <c r="Q1056"/>
    </row>
    <row r="1057" spans="15:17" ht="21.75" customHeight="1" x14ac:dyDescent="0.45">
      <c r="O1057"/>
      <c r="P1057"/>
      <c r="Q1057"/>
    </row>
    <row r="1058" spans="15:17" ht="21.75" customHeight="1" x14ac:dyDescent="0.45">
      <c r="O1058"/>
      <c r="P1058"/>
      <c r="Q1058"/>
    </row>
    <row r="1059" spans="15:17" ht="21.75" customHeight="1" x14ac:dyDescent="0.45">
      <c r="O1059"/>
      <c r="P1059"/>
      <c r="Q1059"/>
    </row>
    <row r="1060" spans="15:17" ht="21.75" customHeight="1" x14ac:dyDescent="0.45">
      <c r="O1060"/>
      <c r="P1060"/>
      <c r="Q1060"/>
    </row>
    <row r="1061" spans="15:17" ht="21.75" customHeight="1" x14ac:dyDescent="0.45">
      <c r="O1061"/>
      <c r="P1061"/>
      <c r="Q1061"/>
    </row>
    <row r="1062" spans="15:17" ht="21.75" customHeight="1" x14ac:dyDescent="0.45">
      <c r="O1062"/>
      <c r="P1062"/>
      <c r="Q1062"/>
    </row>
    <row r="1063" spans="15:17" ht="21.75" customHeight="1" x14ac:dyDescent="0.45">
      <c r="O1063"/>
      <c r="P1063"/>
      <c r="Q1063"/>
    </row>
    <row r="1064" spans="15:17" ht="21.75" customHeight="1" x14ac:dyDescent="0.45">
      <c r="O1064"/>
      <c r="P1064"/>
      <c r="Q1064"/>
    </row>
    <row r="1065" spans="15:17" ht="21.75" customHeight="1" x14ac:dyDescent="0.45">
      <c r="O1065"/>
      <c r="P1065"/>
      <c r="Q1065"/>
    </row>
    <row r="1066" spans="15:17" ht="21.75" customHeight="1" x14ac:dyDescent="0.45">
      <c r="O1066"/>
      <c r="P1066"/>
      <c r="Q1066"/>
    </row>
    <row r="1067" spans="15:17" ht="21.75" customHeight="1" x14ac:dyDescent="0.45">
      <c r="O1067"/>
      <c r="P1067"/>
      <c r="Q1067"/>
    </row>
    <row r="1068" spans="15:17" ht="21.75" customHeight="1" x14ac:dyDescent="0.45">
      <c r="O1068"/>
      <c r="P1068"/>
      <c r="Q1068"/>
    </row>
    <row r="1069" spans="15:17" ht="21.75" customHeight="1" x14ac:dyDescent="0.45">
      <c r="O1069"/>
      <c r="P1069"/>
      <c r="Q1069"/>
    </row>
    <row r="1070" spans="15:17" ht="21.75" customHeight="1" x14ac:dyDescent="0.45">
      <c r="O1070"/>
      <c r="P1070"/>
      <c r="Q1070"/>
    </row>
    <row r="1071" spans="15:17" ht="21.75" customHeight="1" x14ac:dyDescent="0.45">
      <c r="O1071"/>
      <c r="P1071"/>
      <c r="Q1071"/>
    </row>
    <row r="1072" spans="15:17" ht="21.75" customHeight="1" x14ac:dyDescent="0.45">
      <c r="O1072"/>
      <c r="P1072"/>
      <c r="Q1072"/>
    </row>
    <row r="1073" spans="15:17" ht="21.75" customHeight="1" x14ac:dyDescent="0.45">
      <c r="O1073"/>
      <c r="P1073"/>
      <c r="Q1073"/>
    </row>
    <row r="1074" spans="15:17" ht="21.75" customHeight="1" x14ac:dyDescent="0.45">
      <c r="O1074"/>
      <c r="P1074"/>
      <c r="Q1074"/>
    </row>
    <row r="1075" spans="15:17" ht="21.75" customHeight="1" x14ac:dyDescent="0.45">
      <c r="O1075"/>
      <c r="P1075"/>
      <c r="Q1075"/>
    </row>
    <row r="1076" spans="15:17" ht="21.75" customHeight="1" x14ac:dyDescent="0.45">
      <c r="O1076"/>
      <c r="P1076"/>
      <c r="Q1076"/>
    </row>
    <row r="1077" spans="15:17" ht="21.75" customHeight="1" x14ac:dyDescent="0.45">
      <c r="O1077"/>
      <c r="P1077"/>
      <c r="Q1077"/>
    </row>
    <row r="1078" spans="15:17" ht="21.75" customHeight="1" x14ac:dyDescent="0.45">
      <c r="O1078"/>
      <c r="P1078"/>
      <c r="Q1078"/>
    </row>
    <row r="1079" spans="15:17" ht="21.75" customHeight="1" x14ac:dyDescent="0.45">
      <c r="O1079"/>
      <c r="P1079"/>
      <c r="Q1079"/>
    </row>
    <row r="1080" spans="15:17" ht="21.75" customHeight="1" x14ac:dyDescent="0.45">
      <c r="O1080"/>
      <c r="P1080"/>
      <c r="Q1080"/>
    </row>
    <row r="1081" spans="15:17" ht="21.75" customHeight="1" x14ac:dyDescent="0.45">
      <c r="O1081"/>
      <c r="P1081"/>
      <c r="Q1081"/>
    </row>
    <row r="1082" spans="15:17" ht="21.75" customHeight="1" x14ac:dyDescent="0.45">
      <c r="O1082"/>
      <c r="P1082"/>
      <c r="Q1082"/>
    </row>
    <row r="1083" spans="15:17" ht="21.75" customHeight="1" x14ac:dyDescent="0.45">
      <c r="O1083"/>
      <c r="P1083"/>
      <c r="Q1083"/>
    </row>
    <row r="1084" spans="15:17" ht="21.75" customHeight="1" x14ac:dyDescent="0.45">
      <c r="O1084"/>
      <c r="P1084"/>
      <c r="Q1084"/>
    </row>
    <row r="1085" spans="15:17" ht="21.75" customHeight="1" x14ac:dyDescent="0.45">
      <c r="O1085"/>
      <c r="P1085"/>
      <c r="Q1085"/>
    </row>
    <row r="1086" spans="15:17" ht="21.75" customHeight="1" x14ac:dyDescent="0.45">
      <c r="O1086"/>
      <c r="P1086"/>
      <c r="Q1086"/>
    </row>
    <row r="1087" spans="15:17" ht="21.75" customHeight="1" x14ac:dyDescent="0.45">
      <c r="O1087"/>
      <c r="P1087"/>
      <c r="Q1087"/>
    </row>
    <row r="1088" spans="15:17" ht="21.75" customHeight="1" x14ac:dyDescent="0.45">
      <c r="O1088"/>
      <c r="P1088"/>
      <c r="Q1088"/>
    </row>
    <row r="1089" spans="15:17" ht="21.75" customHeight="1" x14ac:dyDescent="0.45">
      <c r="O1089"/>
      <c r="P1089"/>
      <c r="Q1089"/>
    </row>
    <row r="1090" spans="15:17" ht="21.75" customHeight="1" x14ac:dyDescent="0.45">
      <c r="O1090"/>
      <c r="P1090"/>
      <c r="Q1090"/>
    </row>
    <row r="1091" spans="15:17" ht="21.75" customHeight="1" x14ac:dyDescent="0.45">
      <c r="O1091"/>
      <c r="P1091"/>
      <c r="Q1091"/>
    </row>
    <row r="1092" spans="15:17" ht="21.75" customHeight="1" x14ac:dyDescent="0.45">
      <c r="O1092"/>
      <c r="P1092"/>
      <c r="Q1092"/>
    </row>
    <row r="1093" spans="15:17" ht="21.75" customHeight="1" x14ac:dyDescent="0.45">
      <c r="O1093"/>
      <c r="P1093"/>
      <c r="Q1093"/>
    </row>
    <row r="1094" spans="15:17" ht="21.75" customHeight="1" x14ac:dyDescent="0.45">
      <c r="O1094"/>
      <c r="P1094"/>
      <c r="Q1094"/>
    </row>
    <row r="1095" spans="15:17" ht="21.75" customHeight="1" x14ac:dyDescent="0.45">
      <c r="O1095"/>
      <c r="P1095"/>
      <c r="Q1095"/>
    </row>
    <row r="1096" spans="15:17" ht="21.75" customHeight="1" x14ac:dyDescent="0.45">
      <c r="O1096"/>
      <c r="P1096"/>
      <c r="Q1096"/>
    </row>
    <row r="1097" spans="15:17" ht="21.75" customHeight="1" x14ac:dyDescent="0.45">
      <c r="O1097"/>
      <c r="P1097"/>
      <c r="Q1097"/>
    </row>
    <row r="1098" spans="15:17" ht="21.75" customHeight="1" x14ac:dyDescent="0.45">
      <c r="O1098"/>
      <c r="P1098"/>
      <c r="Q1098"/>
    </row>
    <row r="1099" spans="15:17" ht="21.75" customHeight="1" x14ac:dyDescent="0.45">
      <c r="O1099"/>
      <c r="P1099"/>
      <c r="Q1099"/>
    </row>
    <row r="1100" spans="15:17" ht="21.75" customHeight="1" x14ac:dyDescent="0.45">
      <c r="O1100"/>
      <c r="P1100"/>
      <c r="Q1100"/>
    </row>
    <row r="1101" spans="15:17" ht="21.75" customHeight="1" x14ac:dyDescent="0.45">
      <c r="O1101"/>
      <c r="P1101"/>
      <c r="Q1101"/>
    </row>
    <row r="1102" spans="15:17" ht="21.75" customHeight="1" x14ac:dyDescent="0.45">
      <c r="O1102"/>
      <c r="P1102"/>
      <c r="Q1102"/>
    </row>
    <row r="1103" spans="15:17" ht="21.75" customHeight="1" x14ac:dyDescent="0.45">
      <c r="O1103"/>
      <c r="P1103"/>
      <c r="Q1103"/>
    </row>
    <row r="1104" spans="15:17" ht="21.75" customHeight="1" x14ac:dyDescent="0.45">
      <c r="O1104"/>
      <c r="P1104"/>
      <c r="Q1104"/>
    </row>
    <row r="1105" spans="15:17" ht="21.75" customHeight="1" x14ac:dyDescent="0.45">
      <c r="O1105"/>
      <c r="P1105"/>
      <c r="Q1105"/>
    </row>
    <row r="1106" spans="15:17" ht="21.75" customHeight="1" x14ac:dyDescent="0.45">
      <c r="O1106"/>
      <c r="P1106"/>
      <c r="Q1106"/>
    </row>
    <row r="1107" spans="15:17" ht="21.75" customHeight="1" x14ac:dyDescent="0.45">
      <c r="O1107"/>
      <c r="P1107"/>
      <c r="Q1107"/>
    </row>
    <row r="1108" spans="15:17" ht="21.75" customHeight="1" x14ac:dyDescent="0.45">
      <c r="O1108"/>
      <c r="P1108"/>
      <c r="Q1108"/>
    </row>
    <row r="1109" spans="15:17" ht="21.75" customHeight="1" x14ac:dyDescent="0.45">
      <c r="O1109"/>
      <c r="P1109"/>
      <c r="Q1109"/>
    </row>
    <row r="1110" spans="15:17" ht="21.75" customHeight="1" x14ac:dyDescent="0.45">
      <c r="O1110"/>
      <c r="P1110"/>
      <c r="Q1110"/>
    </row>
    <row r="1111" spans="15:17" ht="21.75" customHeight="1" x14ac:dyDescent="0.45">
      <c r="O1111"/>
      <c r="P1111"/>
      <c r="Q1111"/>
    </row>
    <row r="1112" spans="15:17" ht="21.75" customHeight="1" x14ac:dyDescent="0.45">
      <c r="O1112"/>
      <c r="P1112"/>
      <c r="Q1112"/>
    </row>
    <row r="1113" spans="15:17" ht="21.75" customHeight="1" x14ac:dyDescent="0.45">
      <c r="O1113"/>
      <c r="P1113"/>
      <c r="Q1113"/>
    </row>
    <row r="1114" spans="15:17" ht="21.75" customHeight="1" x14ac:dyDescent="0.45">
      <c r="O1114"/>
      <c r="P1114"/>
      <c r="Q1114"/>
    </row>
    <row r="1115" spans="15:17" ht="21.75" customHeight="1" x14ac:dyDescent="0.45">
      <c r="O1115"/>
      <c r="P1115"/>
      <c r="Q1115"/>
    </row>
    <row r="1116" spans="15:17" ht="21.75" customHeight="1" x14ac:dyDescent="0.45">
      <c r="O1116"/>
      <c r="P1116"/>
      <c r="Q1116"/>
    </row>
    <row r="1117" spans="15:17" ht="21.75" customHeight="1" x14ac:dyDescent="0.45">
      <c r="O1117"/>
      <c r="P1117"/>
      <c r="Q1117"/>
    </row>
    <row r="1118" spans="15:17" ht="21.75" customHeight="1" x14ac:dyDescent="0.45">
      <c r="O1118"/>
      <c r="P1118"/>
      <c r="Q1118"/>
    </row>
    <row r="1119" spans="15:17" ht="21.75" customHeight="1" x14ac:dyDescent="0.45">
      <c r="O1119"/>
      <c r="P1119"/>
      <c r="Q1119"/>
    </row>
    <row r="1120" spans="15:17" ht="21.75" customHeight="1" x14ac:dyDescent="0.45">
      <c r="O1120"/>
      <c r="P1120"/>
      <c r="Q1120"/>
    </row>
    <row r="1121" spans="15:17" ht="21.75" customHeight="1" x14ac:dyDescent="0.45">
      <c r="O1121"/>
      <c r="P1121"/>
      <c r="Q1121"/>
    </row>
    <row r="1122" spans="15:17" ht="21.75" customHeight="1" x14ac:dyDescent="0.45">
      <c r="O1122"/>
      <c r="P1122"/>
      <c r="Q1122"/>
    </row>
    <row r="1123" spans="15:17" ht="21.75" customHeight="1" x14ac:dyDescent="0.45">
      <c r="O1123"/>
      <c r="P1123"/>
      <c r="Q1123"/>
    </row>
    <row r="1124" spans="15:17" ht="21.75" customHeight="1" x14ac:dyDescent="0.45">
      <c r="O1124"/>
      <c r="P1124"/>
      <c r="Q1124"/>
    </row>
    <row r="1125" spans="15:17" ht="21.75" customHeight="1" x14ac:dyDescent="0.45">
      <c r="O1125"/>
      <c r="P1125"/>
      <c r="Q1125"/>
    </row>
    <row r="1126" spans="15:17" ht="21.75" customHeight="1" x14ac:dyDescent="0.45">
      <c r="O1126"/>
      <c r="P1126"/>
      <c r="Q1126"/>
    </row>
    <row r="1127" spans="15:17" ht="21.75" customHeight="1" x14ac:dyDescent="0.45">
      <c r="O1127"/>
      <c r="P1127"/>
      <c r="Q1127"/>
    </row>
    <row r="1128" spans="15:17" ht="21.75" customHeight="1" x14ac:dyDescent="0.45">
      <c r="O1128"/>
      <c r="P1128"/>
      <c r="Q1128"/>
    </row>
    <row r="1129" spans="15:17" ht="21.75" customHeight="1" x14ac:dyDescent="0.45">
      <c r="O1129"/>
      <c r="P1129"/>
      <c r="Q1129"/>
    </row>
    <row r="1130" spans="15:17" ht="21.75" customHeight="1" x14ac:dyDescent="0.45">
      <c r="O1130"/>
      <c r="P1130"/>
      <c r="Q1130"/>
    </row>
    <row r="1131" spans="15:17" ht="21.75" customHeight="1" x14ac:dyDescent="0.45">
      <c r="O1131"/>
      <c r="P1131"/>
      <c r="Q1131"/>
    </row>
    <row r="1132" spans="15:17" ht="21.75" customHeight="1" x14ac:dyDescent="0.45">
      <c r="O1132"/>
      <c r="P1132"/>
      <c r="Q1132"/>
    </row>
    <row r="1133" spans="15:17" ht="21.75" customHeight="1" x14ac:dyDescent="0.45">
      <c r="O1133"/>
      <c r="P1133"/>
      <c r="Q1133"/>
    </row>
    <row r="1134" spans="15:17" ht="21.75" customHeight="1" x14ac:dyDescent="0.45">
      <c r="O1134"/>
      <c r="P1134"/>
      <c r="Q1134"/>
    </row>
    <row r="1135" spans="15:17" ht="21.75" customHeight="1" x14ac:dyDescent="0.45">
      <c r="O1135"/>
      <c r="P1135"/>
      <c r="Q1135"/>
    </row>
    <row r="1136" spans="15:17" ht="21.75" customHeight="1" x14ac:dyDescent="0.45">
      <c r="O1136"/>
      <c r="P1136"/>
      <c r="Q1136"/>
    </row>
    <row r="1137" spans="15:17" ht="21.75" customHeight="1" x14ac:dyDescent="0.45">
      <c r="O1137"/>
      <c r="P1137"/>
      <c r="Q1137"/>
    </row>
    <row r="1138" spans="15:17" ht="21.75" customHeight="1" x14ac:dyDescent="0.45">
      <c r="O1138"/>
      <c r="P1138"/>
      <c r="Q1138"/>
    </row>
    <row r="1139" spans="15:17" ht="21.75" customHeight="1" x14ac:dyDescent="0.45">
      <c r="O1139"/>
      <c r="P1139"/>
      <c r="Q1139"/>
    </row>
    <row r="1140" spans="15:17" ht="21.75" customHeight="1" x14ac:dyDescent="0.45">
      <c r="O1140"/>
      <c r="P1140"/>
      <c r="Q1140"/>
    </row>
    <row r="1141" spans="15:17" ht="21.75" customHeight="1" x14ac:dyDescent="0.45">
      <c r="O1141"/>
      <c r="P1141"/>
      <c r="Q1141"/>
    </row>
    <row r="1142" spans="15:17" ht="21.75" customHeight="1" x14ac:dyDescent="0.45">
      <c r="O1142"/>
      <c r="P1142"/>
      <c r="Q1142"/>
    </row>
    <row r="1143" spans="15:17" ht="21.75" customHeight="1" x14ac:dyDescent="0.45">
      <c r="O1143"/>
      <c r="P1143"/>
      <c r="Q1143"/>
    </row>
    <row r="1144" spans="15:17" ht="21.75" customHeight="1" x14ac:dyDescent="0.45">
      <c r="O1144"/>
      <c r="P1144"/>
      <c r="Q1144"/>
    </row>
    <row r="1145" spans="15:17" ht="21.75" customHeight="1" x14ac:dyDescent="0.45">
      <c r="O1145"/>
      <c r="P1145"/>
      <c r="Q1145"/>
    </row>
    <row r="1146" spans="15:17" ht="21.75" customHeight="1" x14ac:dyDescent="0.45">
      <c r="O1146"/>
      <c r="P1146"/>
      <c r="Q1146"/>
    </row>
    <row r="1147" spans="15:17" ht="21.75" customHeight="1" x14ac:dyDescent="0.45">
      <c r="O1147"/>
      <c r="P1147"/>
      <c r="Q1147"/>
    </row>
    <row r="1148" spans="15:17" ht="21.75" customHeight="1" x14ac:dyDescent="0.45">
      <c r="O1148"/>
      <c r="P1148"/>
      <c r="Q1148"/>
    </row>
    <row r="1149" spans="15:17" ht="21.75" customHeight="1" x14ac:dyDescent="0.45">
      <c r="O1149"/>
      <c r="P1149"/>
      <c r="Q1149"/>
    </row>
    <row r="1150" spans="15:17" ht="21.75" customHeight="1" x14ac:dyDescent="0.45">
      <c r="O1150"/>
      <c r="P1150"/>
      <c r="Q1150"/>
    </row>
    <row r="1151" spans="15:17" ht="21.75" customHeight="1" x14ac:dyDescent="0.45">
      <c r="O1151"/>
      <c r="P1151"/>
      <c r="Q1151"/>
    </row>
    <row r="1152" spans="15:17" ht="21.75" customHeight="1" x14ac:dyDescent="0.45">
      <c r="O1152"/>
      <c r="P1152"/>
      <c r="Q1152"/>
    </row>
    <row r="1153" spans="15:17" ht="21.75" customHeight="1" x14ac:dyDescent="0.45">
      <c r="O1153"/>
      <c r="P1153"/>
      <c r="Q1153"/>
    </row>
    <row r="1154" spans="15:17" ht="21.75" customHeight="1" x14ac:dyDescent="0.45">
      <c r="O1154"/>
      <c r="P1154"/>
      <c r="Q1154"/>
    </row>
    <row r="1155" spans="15:17" ht="21.75" customHeight="1" x14ac:dyDescent="0.45">
      <c r="O1155"/>
      <c r="P1155"/>
      <c r="Q1155"/>
    </row>
    <row r="1156" spans="15:17" ht="21.75" customHeight="1" x14ac:dyDescent="0.45">
      <c r="O1156"/>
      <c r="P1156"/>
      <c r="Q1156"/>
    </row>
    <row r="1157" spans="15:17" ht="21.75" customHeight="1" x14ac:dyDescent="0.45">
      <c r="O1157"/>
      <c r="P1157"/>
      <c r="Q1157"/>
    </row>
    <row r="1158" spans="15:17" ht="21.75" customHeight="1" x14ac:dyDescent="0.45">
      <c r="O1158"/>
      <c r="P1158"/>
      <c r="Q1158"/>
    </row>
    <row r="1159" spans="15:17" ht="21.75" customHeight="1" x14ac:dyDescent="0.45">
      <c r="O1159"/>
      <c r="P1159"/>
      <c r="Q1159"/>
    </row>
    <row r="1160" spans="15:17" ht="21.75" customHeight="1" x14ac:dyDescent="0.45">
      <c r="O1160"/>
      <c r="P1160"/>
      <c r="Q1160"/>
    </row>
    <row r="1161" spans="15:17" ht="21.75" customHeight="1" x14ac:dyDescent="0.45">
      <c r="O1161"/>
      <c r="P1161"/>
      <c r="Q1161"/>
    </row>
    <row r="1162" spans="15:17" ht="21.75" customHeight="1" x14ac:dyDescent="0.45">
      <c r="O1162"/>
      <c r="P1162"/>
      <c r="Q1162"/>
    </row>
    <row r="1163" spans="15:17" ht="21.75" customHeight="1" x14ac:dyDescent="0.45">
      <c r="O1163"/>
      <c r="P1163"/>
      <c r="Q1163"/>
    </row>
    <row r="1164" spans="15:17" ht="21.75" customHeight="1" x14ac:dyDescent="0.45">
      <c r="O1164"/>
      <c r="P1164"/>
      <c r="Q1164"/>
    </row>
    <row r="1165" spans="15:17" ht="21.75" customHeight="1" x14ac:dyDescent="0.45">
      <c r="O1165"/>
      <c r="P1165"/>
      <c r="Q1165"/>
    </row>
    <row r="1166" spans="15:17" ht="21.75" customHeight="1" x14ac:dyDescent="0.45">
      <c r="O1166"/>
      <c r="P1166"/>
      <c r="Q1166"/>
    </row>
    <row r="1167" spans="15:17" ht="21.75" customHeight="1" x14ac:dyDescent="0.45">
      <c r="O1167"/>
      <c r="P1167"/>
      <c r="Q1167"/>
    </row>
    <row r="1168" spans="15:17" ht="21.75" customHeight="1" x14ac:dyDescent="0.45">
      <c r="O1168"/>
      <c r="P1168"/>
      <c r="Q1168"/>
    </row>
    <row r="1169" spans="15:17" ht="21.75" customHeight="1" x14ac:dyDescent="0.45">
      <c r="O1169"/>
      <c r="P1169"/>
      <c r="Q1169"/>
    </row>
    <row r="1170" spans="15:17" ht="21.75" customHeight="1" x14ac:dyDescent="0.45">
      <c r="O1170"/>
      <c r="P1170"/>
      <c r="Q1170"/>
    </row>
    <row r="1171" spans="15:17" ht="21.75" customHeight="1" x14ac:dyDescent="0.45">
      <c r="O1171"/>
      <c r="P1171"/>
      <c r="Q1171"/>
    </row>
    <row r="1172" spans="15:17" ht="21.75" customHeight="1" x14ac:dyDescent="0.45">
      <c r="O1172"/>
      <c r="P1172"/>
      <c r="Q1172"/>
    </row>
    <row r="1173" spans="15:17" ht="21.75" customHeight="1" x14ac:dyDescent="0.45">
      <c r="O1173"/>
      <c r="P1173"/>
      <c r="Q1173"/>
    </row>
    <row r="1174" spans="15:17" ht="21.75" customHeight="1" x14ac:dyDescent="0.45">
      <c r="O1174"/>
      <c r="P1174"/>
      <c r="Q1174"/>
    </row>
    <row r="1175" spans="15:17" ht="21.75" customHeight="1" x14ac:dyDescent="0.45">
      <c r="O1175"/>
      <c r="P1175"/>
      <c r="Q1175"/>
    </row>
    <row r="1176" spans="15:17" ht="21.75" customHeight="1" x14ac:dyDescent="0.45">
      <c r="O1176"/>
      <c r="P1176"/>
      <c r="Q1176"/>
    </row>
    <row r="1177" spans="15:17" ht="21.75" customHeight="1" x14ac:dyDescent="0.45">
      <c r="O1177"/>
      <c r="P1177"/>
      <c r="Q1177"/>
    </row>
    <row r="1178" spans="15:17" ht="21.75" customHeight="1" x14ac:dyDescent="0.45">
      <c r="O1178"/>
      <c r="P1178"/>
      <c r="Q1178"/>
    </row>
    <row r="1179" spans="15:17" ht="21.75" customHeight="1" x14ac:dyDescent="0.45">
      <c r="O1179"/>
      <c r="P1179"/>
      <c r="Q1179"/>
    </row>
    <row r="1180" spans="15:17" ht="21.75" customHeight="1" x14ac:dyDescent="0.45">
      <c r="O1180"/>
      <c r="P1180"/>
      <c r="Q1180"/>
    </row>
    <row r="1181" spans="15:17" ht="21.75" customHeight="1" x14ac:dyDescent="0.45">
      <c r="O1181"/>
      <c r="P1181"/>
      <c r="Q1181"/>
    </row>
    <row r="1182" spans="15:17" ht="21.75" customHeight="1" x14ac:dyDescent="0.45">
      <c r="O1182"/>
      <c r="P1182"/>
      <c r="Q1182"/>
    </row>
    <row r="1183" spans="15:17" ht="21.75" customHeight="1" x14ac:dyDescent="0.45">
      <c r="O1183"/>
      <c r="P1183"/>
      <c r="Q1183"/>
    </row>
    <row r="1184" spans="15:17" ht="21.75" customHeight="1" x14ac:dyDescent="0.45">
      <c r="O1184"/>
      <c r="P1184"/>
      <c r="Q1184"/>
    </row>
    <row r="1185" spans="15:17" ht="21.75" customHeight="1" x14ac:dyDescent="0.45">
      <c r="O1185"/>
      <c r="P1185"/>
      <c r="Q1185"/>
    </row>
    <row r="1186" spans="15:17" ht="21.75" customHeight="1" x14ac:dyDescent="0.45">
      <c r="O1186"/>
      <c r="P1186"/>
      <c r="Q1186"/>
    </row>
    <row r="1187" spans="15:17" ht="21.75" customHeight="1" x14ac:dyDescent="0.45">
      <c r="O1187"/>
      <c r="P1187"/>
      <c r="Q1187"/>
    </row>
    <row r="1188" spans="15:17" ht="21.75" customHeight="1" x14ac:dyDescent="0.45">
      <c r="O1188"/>
      <c r="P1188"/>
      <c r="Q1188"/>
    </row>
    <row r="1189" spans="15:17" ht="21.75" customHeight="1" x14ac:dyDescent="0.45">
      <c r="O1189"/>
      <c r="P1189"/>
      <c r="Q1189"/>
    </row>
    <row r="1190" spans="15:17" ht="21.75" customHeight="1" x14ac:dyDescent="0.45">
      <c r="O1190"/>
      <c r="P1190"/>
      <c r="Q1190"/>
    </row>
    <row r="1191" spans="15:17" ht="21.75" customHeight="1" x14ac:dyDescent="0.45">
      <c r="O1191"/>
      <c r="P1191"/>
      <c r="Q1191"/>
    </row>
    <row r="1192" spans="15:17" ht="21.75" customHeight="1" x14ac:dyDescent="0.45">
      <c r="O1192"/>
      <c r="P1192"/>
      <c r="Q1192"/>
    </row>
    <row r="1193" spans="15:17" ht="21.75" customHeight="1" x14ac:dyDescent="0.45">
      <c r="O1193"/>
      <c r="P1193"/>
      <c r="Q1193"/>
    </row>
    <row r="1194" spans="15:17" ht="21.75" customHeight="1" x14ac:dyDescent="0.45">
      <c r="O1194"/>
      <c r="P1194"/>
      <c r="Q1194"/>
    </row>
    <row r="1195" spans="15:17" ht="21.75" customHeight="1" x14ac:dyDescent="0.45">
      <c r="O1195"/>
      <c r="P1195"/>
      <c r="Q1195"/>
    </row>
    <row r="1196" spans="15:17" ht="21.75" customHeight="1" x14ac:dyDescent="0.45">
      <c r="O1196"/>
      <c r="P1196"/>
      <c r="Q1196"/>
    </row>
    <row r="1197" spans="15:17" ht="21.75" customHeight="1" x14ac:dyDescent="0.45">
      <c r="O1197"/>
      <c r="P1197"/>
      <c r="Q1197"/>
    </row>
    <row r="1198" spans="15:17" ht="21.75" customHeight="1" x14ac:dyDescent="0.45">
      <c r="O1198"/>
      <c r="P1198"/>
      <c r="Q1198"/>
    </row>
    <row r="1199" spans="15:17" ht="21.75" customHeight="1" x14ac:dyDescent="0.45">
      <c r="O1199"/>
      <c r="P1199"/>
      <c r="Q1199"/>
    </row>
    <row r="1200" spans="15:17" ht="21.75" customHeight="1" x14ac:dyDescent="0.45">
      <c r="O1200"/>
      <c r="P1200"/>
      <c r="Q1200"/>
    </row>
    <row r="1201" spans="15:17" ht="21.75" customHeight="1" x14ac:dyDescent="0.45">
      <c r="O1201"/>
      <c r="P1201"/>
      <c r="Q1201"/>
    </row>
    <row r="1202" spans="15:17" ht="21.75" customHeight="1" x14ac:dyDescent="0.45">
      <c r="O1202"/>
      <c r="P1202"/>
      <c r="Q1202"/>
    </row>
    <row r="1203" spans="15:17" ht="21.75" customHeight="1" x14ac:dyDescent="0.45">
      <c r="O1203"/>
      <c r="P1203"/>
      <c r="Q1203"/>
    </row>
    <row r="1204" spans="15:17" ht="21.75" customHeight="1" x14ac:dyDescent="0.45">
      <c r="O1204"/>
      <c r="P1204"/>
      <c r="Q1204"/>
    </row>
    <row r="1205" spans="15:17" ht="21.75" customHeight="1" x14ac:dyDescent="0.45">
      <c r="O1205"/>
      <c r="P1205"/>
      <c r="Q1205"/>
    </row>
    <row r="1206" spans="15:17" ht="21.75" customHeight="1" x14ac:dyDescent="0.45">
      <c r="O1206"/>
      <c r="P1206"/>
      <c r="Q1206"/>
    </row>
    <row r="1207" spans="15:17" ht="21.75" customHeight="1" x14ac:dyDescent="0.45">
      <c r="O1207"/>
      <c r="P1207"/>
      <c r="Q1207"/>
    </row>
    <row r="1208" spans="15:17" ht="21.75" customHeight="1" x14ac:dyDescent="0.45">
      <c r="O1208"/>
      <c r="P1208"/>
      <c r="Q1208"/>
    </row>
    <row r="1209" spans="15:17" ht="21.75" customHeight="1" x14ac:dyDescent="0.45">
      <c r="O1209"/>
      <c r="P1209"/>
      <c r="Q1209"/>
    </row>
    <row r="1210" spans="15:17" ht="21.75" customHeight="1" x14ac:dyDescent="0.45">
      <c r="O1210"/>
      <c r="P1210"/>
      <c r="Q1210"/>
    </row>
    <row r="1211" spans="15:17" ht="21.75" customHeight="1" x14ac:dyDescent="0.45">
      <c r="O1211"/>
      <c r="P1211"/>
      <c r="Q1211"/>
    </row>
    <row r="1212" spans="15:17" ht="21.75" customHeight="1" x14ac:dyDescent="0.45">
      <c r="O1212"/>
      <c r="P1212"/>
      <c r="Q1212"/>
    </row>
    <row r="1213" spans="15:17" ht="21.75" customHeight="1" x14ac:dyDescent="0.45">
      <c r="O1213"/>
      <c r="P1213"/>
      <c r="Q1213"/>
    </row>
    <row r="1214" spans="15:17" ht="21.75" customHeight="1" x14ac:dyDescent="0.45">
      <c r="O1214"/>
      <c r="P1214"/>
      <c r="Q1214"/>
    </row>
    <row r="1215" spans="15:17" ht="21.75" customHeight="1" x14ac:dyDescent="0.45">
      <c r="O1215"/>
      <c r="P1215"/>
      <c r="Q1215"/>
    </row>
    <row r="1216" spans="15:17" ht="21.75" customHeight="1" x14ac:dyDescent="0.45">
      <c r="O1216"/>
      <c r="P1216"/>
      <c r="Q1216"/>
    </row>
    <row r="1217" spans="15:17" ht="21.75" customHeight="1" x14ac:dyDescent="0.45">
      <c r="O1217"/>
      <c r="P1217"/>
      <c r="Q1217"/>
    </row>
    <row r="1218" spans="15:17" ht="21.75" customHeight="1" x14ac:dyDescent="0.45">
      <c r="O1218"/>
      <c r="P1218"/>
      <c r="Q1218"/>
    </row>
    <row r="1219" spans="15:17" ht="21.75" customHeight="1" x14ac:dyDescent="0.45">
      <c r="O1219"/>
      <c r="P1219"/>
      <c r="Q1219"/>
    </row>
    <row r="1220" spans="15:17" ht="21.75" customHeight="1" x14ac:dyDescent="0.45">
      <c r="O1220"/>
      <c r="P1220"/>
      <c r="Q1220"/>
    </row>
    <row r="1221" spans="15:17" ht="21.75" customHeight="1" x14ac:dyDescent="0.45">
      <c r="O1221"/>
      <c r="P1221"/>
      <c r="Q1221"/>
    </row>
    <row r="1222" spans="15:17" ht="21.75" customHeight="1" x14ac:dyDescent="0.45">
      <c r="O1222"/>
      <c r="P1222"/>
      <c r="Q1222"/>
    </row>
    <row r="1223" spans="15:17" ht="21.75" customHeight="1" x14ac:dyDescent="0.45">
      <c r="O1223"/>
      <c r="P1223"/>
      <c r="Q1223"/>
    </row>
    <row r="1224" spans="15:17" ht="21.75" customHeight="1" x14ac:dyDescent="0.45">
      <c r="O1224"/>
      <c r="P1224"/>
      <c r="Q1224"/>
    </row>
    <row r="1225" spans="15:17" ht="21.75" customHeight="1" x14ac:dyDescent="0.45">
      <c r="O1225"/>
      <c r="P1225"/>
      <c r="Q1225"/>
    </row>
    <row r="1226" spans="15:17" ht="21.75" customHeight="1" x14ac:dyDescent="0.45">
      <c r="O1226"/>
      <c r="P1226"/>
      <c r="Q1226"/>
    </row>
    <row r="1227" spans="15:17" ht="21.75" customHeight="1" x14ac:dyDescent="0.45">
      <c r="O1227"/>
      <c r="P1227"/>
      <c r="Q1227"/>
    </row>
    <row r="1228" spans="15:17" ht="21.75" customHeight="1" x14ac:dyDescent="0.45">
      <c r="O1228"/>
      <c r="P1228"/>
      <c r="Q1228"/>
    </row>
    <row r="1229" spans="15:17" ht="21.75" customHeight="1" x14ac:dyDescent="0.45">
      <c r="O1229"/>
      <c r="P1229"/>
      <c r="Q1229"/>
    </row>
    <row r="1230" spans="15:17" ht="21.75" customHeight="1" x14ac:dyDescent="0.45">
      <c r="O1230"/>
      <c r="P1230"/>
      <c r="Q1230"/>
    </row>
    <row r="1231" spans="15:17" ht="21.75" customHeight="1" x14ac:dyDescent="0.45">
      <c r="O1231"/>
      <c r="P1231"/>
      <c r="Q1231"/>
    </row>
    <row r="1232" spans="15:17" ht="21.75" customHeight="1" x14ac:dyDescent="0.45">
      <c r="O1232"/>
      <c r="P1232"/>
      <c r="Q1232"/>
    </row>
    <row r="1233" spans="15:17" ht="21.75" customHeight="1" x14ac:dyDescent="0.45">
      <c r="O1233"/>
      <c r="P1233"/>
      <c r="Q1233"/>
    </row>
    <row r="1234" spans="15:17" ht="21.75" customHeight="1" x14ac:dyDescent="0.45">
      <c r="O1234"/>
      <c r="P1234"/>
      <c r="Q1234"/>
    </row>
    <row r="1235" spans="15:17" ht="21.75" customHeight="1" x14ac:dyDescent="0.45">
      <c r="O1235"/>
      <c r="P1235"/>
      <c r="Q1235"/>
    </row>
    <row r="1236" spans="15:17" ht="21.75" customHeight="1" x14ac:dyDescent="0.45">
      <c r="O1236"/>
      <c r="P1236"/>
      <c r="Q1236"/>
    </row>
    <row r="1237" spans="15:17" ht="21.75" customHeight="1" x14ac:dyDescent="0.45">
      <c r="O1237"/>
      <c r="P1237"/>
      <c r="Q1237"/>
    </row>
    <row r="1238" spans="15:17" ht="21.75" customHeight="1" x14ac:dyDescent="0.45">
      <c r="O1238"/>
      <c r="P1238"/>
      <c r="Q1238"/>
    </row>
    <row r="1239" spans="15:17" ht="21.75" customHeight="1" x14ac:dyDescent="0.45">
      <c r="O1239"/>
      <c r="P1239"/>
      <c r="Q1239"/>
    </row>
    <row r="1240" spans="15:17" ht="21.75" customHeight="1" x14ac:dyDescent="0.45">
      <c r="O1240"/>
      <c r="P1240"/>
      <c r="Q1240"/>
    </row>
    <row r="1241" spans="15:17" ht="21.75" customHeight="1" x14ac:dyDescent="0.45">
      <c r="O1241"/>
      <c r="P1241"/>
      <c r="Q1241"/>
    </row>
    <row r="1242" spans="15:17" ht="21.75" customHeight="1" x14ac:dyDescent="0.45">
      <c r="O1242"/>
      <c r="P1242"/>
      <c r="Q1242"/>
    </row>
    <row r="1243" spans="15:17" ht="21.75" customHeight="1" x14ac:dyDescent="0.45">
      <c r="O1243"/>
      <c r="P1243"/>
      <c r="Q1243"/>
    </row>
    <row r="1244" spans="15:17" ht="21.75" customHeight="1" x14ac:dyDescent="0.45">
      <c r="O1244"/>
      <c r="P1244"/>
      <c r="Q1244"/>
    </row>
    <row r="1245" spans="15:17" ht="21.75" customHeight="1" x14ac:dyDescent="0.45">
      <c r="O1245"/>
      <c r="P1245"/>
      <c r="Q1245"/>
    </row>
    <row r="1246" spans="15:17" ht="21.75" customHeight="1" x14ac:dyDescent="0.45">
      <c r="O1246"/>
      <c r="P1246"/>
      <c r="Q1246"/>
    </row>
    <row r="1247" spans="15:17" ht="21.75" customHeight="1" x14ac:dyDescent="0.45">
      <c r="O1247"/>
      <c r="P1247"/>
      <c r="Q1247"/>
    </row>
    <row r="1248" spans="15:17" ht="21.75" customHeight="1" x14ac:dyDescent="0.45">
      <c r="O1248"/>
      <c r="P1248"/>
      <c r="Q1248"/>
    </row>
    <row r="1249" spans="15:17" ht="21.75" customHeight="1" x14ac:dyDescent="0.45">
      <c r="O1249"/>
      <c r="P1249"/>
      <c r="Q1249"/>
    </row>
    <row r="1250" spans="15:17" ht="21.75" customHeight="1" x14ac:dyDescent="0.45">
      <c r="O1250"/>
      <c r="P1250"/>
      <c r="Q1250"/>
    </row>
    <row r="1251" spans="15:17" ht="21.75" customHeight="1" x14ac:dyDescent="0.45">
      <c r="O1251"/>
      <c r="P1251"/>
      <c r="Q1251"/>
    </row>
    <row r="1252" spans="15:17" ht="21.75" customHeight="1" x14ac:dyDescent="0.45">
      <c r="O1252"/>
      <c r="P1252"/>
      <c r="Q1252"/>
    </row>
    <row r="1253" spans="15:17" ht="21.75" customHeight="1" x14ac:dyDescent="0.45">
      <c r="O1253"/>
      <c r="P1253"/>
      <c r="Q1253"/>
    </row>
    <row r="1254" spans="15:17" ht="21.75" customHeight="1" x14ac:dyDescent="0.45">
      <c r="O1254"/>
      <c r="P1254"/>
      <c r="Q1254"/>
    </row>
    <row r="1255" spans="15:17" ht="21.75" customHeight="1" x14ac:dyDescent="0.45">
      <c r="O1255"/>
      <c r="P1255"/>
      <c r="Q1255"/>
    </row>
    <row r="1256" spans="15:17" ht="21.75" customHeight="1" x14ac:dyDescent="0.45">
      <c r="O1256"/>
      <c r="P1256"/>
      <c r="Q1256"/>
    </row>
    <row r="1257" spans="15:17" ht="21.75" customHeight="1" x14ac:dyDescent="0.45">
      <c r="O1257"/>
      <c r="P1257"/>
      <c r="Q1257"/>
    </row>
    <row r="1258" spans="15:17" ht="21.75" customHeight="1" x14ac:dyDescent="0.45">
      <c r="O1258"/>
      <c r="P1258"/>
      <c r="Q1258"/>
    </row>
    <row r="1259" spans="15:17" ht="21.75" customHeight="1" x14ac:dyDescent="0.45">
      <c r="O1259"/>
      <c r="P1259"/>
      <c r="Q1259"/>
    </row>
    <row r="1260" spans="15:17" ht="21.75" customHeight="1" x14ac:dyDescent="0.45">
      <c r="O1260"/>
      <c r="P1260"/>
      <c r="Q1260"/>
    </row>
    <row r="1261" spans="15:17" ht="21.75" customHeight="1" x14ac:dyDescent="0.45">
      <c r="O1261"/>
      <c r="P1261"/>
      <c r="Q1261"/>
    </row>
    <row r="1262" spans="15:17" ht="21.75" customHeight="1" x14ac:dyDescent="0.45">
      <c r="O1262"/>
      <c r="P1262"/>
      <c r="Q1262"/>
    </row>
    <row r="1263" spans="15:17" ht="21.75" customHeight="1" x14ac:dyDescent="0.45">
      <c r="O1263"/>
      <c r="P1263"/>
      <c r="Q1263"/>
    </row>
    <row r="1264" spans="15:17" ht="21.75" customHeight="1" x14ac:dyDescent="0.45">
      <c r="O1264"/>
      <c r="P1264"/>
      <c r="Q1264"/>
    </row>
    <row r="1265" spans="15:17" ht="21.75" customHeight="1" x14ac:dyDescent="0.45">
      <c r="O1265"/>
      <c r="P1265"/>
      <c r="Q1265"/>
    </row>
    <row r="1266" spans="15:17" ht="21.75" customHeight="1" x14ac:dyDescent="0.45">
      <c r="O1266"/>
      <c r="P1266"/>
      <c r="Q1266"/>
    </row>
    <row r="1267" spans="15:17" ht="21.75" customHeight="1" x14ac:dyDescent="0.45">
      <c r="O1267"/>
      <c r="P1267"/>
      <c r="Q1267"/>
    </row>
    <row r="1268" spans="15:17" ht="21.75" customHeight="1" x14ac:dyDescent="0.45">
      <c r="O1268"/>
      <c r="P1268"/>
      <c r="Q1268"/>
    </row>
    <row r="1269" spans="15:17" ht="21.75" customHeight="1" x14ac:dyDescent="0.45">
      <c r="O1269"/>
      <c r="P1269"/>
      <c r="Q1269"/>
    </row>
    <row r="1270" spans="15:17" ht="21.75" customHeight="1" x14ac:dyDescent="0.45">
      <c r="O1270"/>
      <c r="P1270"/>
      <c r="Q1270"/>
    </row>
    <row r="1271" spans="15:17" ht="21.75" customHeight="1" x14ac:dyDescent="0.45">
      <c r="O1271"/>
      <c r="P1271"/>
      <c r="Q1271"/>
    </row>
    <row r="1272" spans="15:17" ht="21.75" customHeight="1" x14ac:dyDescent="0.45">
      <c r="O1272"/>
      <c r="P1272"/>
      <c r="Q1272"/>
    </row>
    <row r="1273" spans="15:17" ht="21.75" customHeight="1" x14ac:dyDescent="0.45">
      <c r="O1273"/>
      <c r="P1273"/>
      <c r="Q1273"/>
    </row>
    <row r="1274" spans="15:17" ht="21.75" customHeight="1" x14ac:dyDescent="0.45">
      <c r="O1274"/>
      <c r="P1274"/>
      <c r="Q1274"/>
    </row>
    <row r="1275" spans="15:17" ht="21.75" customHeight="1" x14ac:dyDescent="0.45">
      <c r="O1275"/>
      <c r="P1275"/>
      <c r="Q1275"/>
    </row>
    <row r="1276" spans="15:17" ht="21.75" customHeight="1" x14ac:dyDescent="0.45">
      <c r="O1276"/>
      <c r="P1276"/>
      <c r="Q1276"/>
    </row>
    <row r="1277" spans="15:17" ht="21.75" customHeight="1" x14ac:dyDescent="0.45">
      <c r="O1277"/>
      <c r="P1277"/>
      <c r="Q1277"/>
    </row>
    <row r="1278" spans="15:17" ht="21.75" customHeight="1" x14ac:dyDescent="0.45">
      <c r="O1278"/>
      <c r="P1278"/>
      <c r="Q1278"/>
    </row>
    <row r="1279" spans="15:17" ht="21.75" customHeight="1" x14ac:dyDescent="0.45">
      <c r="O1279"/>
      <c r="P1279"/>
      <c r="Q1279"/>
    </row>
    <row r="1280" spans="15:17" ht="21.75" customHeight="1" x14ac:dyDescent="0.45">
      <c r="O1280"/>
      <c r="P1280"/>
      <c r="Q1280"/>
    </row>
    <row r="1281" spans="15:17" ht="21.75" customHeight="1" x14ac:dyDescent="0.45">
      <c r="O1281"/>
      <c r="P1281"/>
      <c r="Q1281"/>
    </row>
    <row r="1282" spans="15:17" ht="21.75" customHeight="1" x14ac:dyDescent="0.45">
      <c r="O1282"/>
      <c r="P1282"/>
      <c r="Q1282"/>
    </row>
    <row r="1283" spans="15:17" ht="21.75" customHeight="1" x14ac:dyDescent="0.45">
      <c r="O1283"/>
      <c r="P1283"/>
      <c r="Q1283"/>
    </row>
    <row r="1284" spans="15:17" ht="21.75" customHeight="1" x14ac:dyDescent="0.45">
      <c r="O1284"/>
      <c r="P1284"/>
      <c r="Q1284"/>
    </row>
    <row r="1285" spans="15:17" ht="21.75" customHeight="1" x14ac:dyDescent="0.45">
      <c r="O1285"/>
      <c r="P1285"/>
      <c r="Q1285"/>
    </row>
    <row r="1286" spans="15:17" ht="21.75" customHeight="1" x14ac:dyDescent="0.45">
      <c r="O1286"/>
      <c r="P1286"/>
      <c r="Q1286"/>
    </row>
    <row r="1287" spans="15:17" ht="21.75" customHeight="1" x14ac:dyDescent="0.45">
      <c r="O1287"/>
      <c r="P1287"/>
      <c r="Q1287"/>
    </row>
    <row r="1288" spans="15:17" ht="21.75" customHeight="1" x14ac:dyDescent="0.45">
      <c r="O1288"/>
      <c r="P1288"/>
      <c r="Q1288"/>
    </row>
    <row r="1289" spans="15:17" ht="21.75" customHeight="1" x14ac:dyDescent="0.45">
      <c r="O1289"/>
      <c r="P1289"/>
      <c r="Q1289"/>
    </row>
    <row r="1290" spans="15:17" ht="21.75" customHeight="1" x14ac:dyDescent="0.45">
      <c r="O1290"/>
      <c r="P1290"/>
      <c r="Q1290"/>
    </row>
    <row r="1291" spans="15:17" ht="21.75" customHeight="1" x14ac:dyDescent="0.45">
      <c r="O1291"/>
      <c r="P1291"/>
      <c r="Q1291"/>
    </row>
    <row r="1292" spans="15:17" ht="21.75" customHeight="1" x14ac:dyDescent="0.45">
      <c r="O1292"/>
      <c r="P1292"/>
      <c r="Q1292"/>
    </row>
    <row r="1293" spans="15:17" ht="21.75" customHeight="1" x14ac:dyDescent="0.45">
      <c r="O1293"/>
      <c r="P1293"/>
      <c r="Q1293"/>
    </row>
    <row r="1294" spans="15:17" ht="21.75" customHeight="1" x14ac:dyDescent="0.45">
      <c r="O1294"/>
      <c r="P1294"/>
      <c r="Q1294"/>
    </row>
    <row r="1295" spans="15:17" ht="21.75" customHeight="1" x14ac:dyDescent="0.45">
      <c r="O1295"/>
      <c r="P1295"/>
      <c r="Q1295"/>
    </row>
    <row r="1296" spans="15:17" ht="21.75" customHeight="1" x14ac:dyDescent="0.45">
      <c r="O1296"/>
      <c r="P1296"/>
      <c r="Q1296"/>
    </row>
    <row r="1297" spans="15:17" ht="21.75" customHeight="1" x14ac:dyDescent="0.45">
      <c r="O1297"/>
      <c r="P1297"/>
      <c r="Q1297"/>
    </row>
    <row r="1298" spans="15:17" ht="21.75" customHeight="1" x14ac:dyDescent="0.45">
      <c r="O1298"/>
      <c r="P1298"/>
      <c r="Q1298"/>
    </row>
    <row r="1299" spans="15:17" ht="21.75" customHeight="1" x14ac:dyDescent="0.45">
      <c r="O1299"/>
      <c r="P1299"/>
      <c r="Q1299"/>
    </row>
    <row r="1300" spans="15:17" ht="21.75" customHeight="1" x14ac:dyDescent="0.45">
      <c r="O1300"/>
      <c r="P1300"/>
      <c r="Q1300"/>
    </row>
    <row r="1301" spans="15:17" ht="21.75" customHeight="1" x14ac:dyDescent="0.45">
      <c r="O1301"/>
      <c r="P1301"/>
      <c r="Q1301"/>
    </row>
    <row r="1302" spans="15:17" ht="21.75" customHeight="1" x14ac:dyDescent="0.45">
      <c r="O1302"/>
      <c r="P1302"/>
      <c r="Q1302"/>
    </row>
    <row r="1303" spans="15:17" ht="21.75" customHeight="1" x14ac:dyDescent="0.45">
      <c r="O1303"/>
      <c r="P1303"/>
      <c r="Q1303"/>
    </row>
    <row r="1304" spans="15:17" ht="21.75" customHeight="1" x14ac:dyDescent="0.45">
      <c r="O1304"/>
      <c r="P1304"/>
      <c r="Q1304"/>
    </row>
    <row r="1305" spans="15:17" ht="21.75" customHeight="1" x14ac:dyDescent="0.45">
      <c r="O1305"/>
      <c r="P1305"/>
      <c r="Q1305"/>
    </row>
    <row r="1306" spans="15:17" ht="21.75" customHeight="1" x14ac:dyDescent="0.45">
      <c r="O1306"/>
      <c r="P1306"/>
      <c r="Q1306"/>
    </row>
    <row r="1307" spans="15:17" ht="21.75" customHeight="1" x14ac:dyDescent="0.45">
      <c r="O1307"/>
      <c r="P1307"/>
      <c r="Q1307"/>
    </row>
    <row r="1308" spans="15:17" ht="21.75" customHeight="1" x14ac:dyDescent="0.45">
      <c r="O1308"/>
      <c r="P1308"/>
      <c r="Q1308"/>
    </row>
    <row r="1309" spans="15:17" ht="21.75" customHeight="1" x14ac:dyDescent="0.45">
      <c r="O1309"/>
      <c r="P1309"/>
      <c r="Q1309"/>
    </row>
    <row r="1310" spans="15:17" ht="21.75" customHeight="1" x14ac:dyDescent="0.45">
      <c r="O1310"/>
      <c r="P1310"/>
      <c r="Q1310"/>
    </row>
    <row r="1311" spans="15:17" ht="21.75" customHeight="1" x14ac:dyDescent="0.45">
      <c r="O1311"/>
      <c r="P1311"/>
      <c r="Q1311"/>
    </row>
    <row r="1312" spans="15:17" ht="21.75" customHeight="1" x14ac:dyDescent="0.45">
      <c r="O1312"/>
      <c r="P1312"/>
      <c r="Q1312"/>
    </row>
    <row r="1313" spans="15:17" ht="21.75" customHeight="1" x14ac:dyDescent="0.45">
      <c r="O1313"/>
      <c r="P1313"/>
      <c r="Q1313"/>
    </row>
    <row r="1314" spans="15:17" ht="21.75" customHeight="1" x14ac:dyDescent="0.45">
      <c r="O1314"/>
      <c r="P1314"/>
      <c r="Q1314"/>
    </row>
    <row r="1315" spans="15:17" ht="21.75" customHeight="1" x14ac:dyDescent="0.45">
      <c r="O1315"/>
      <c r="P1315"/>
      <c r="Q1315"/>
    </row>
    <row r="1316" spans="15:17" ht="21.75" customHeight="1" x14ac:dyDescent="0.45">
      <c r="O1316"/>
      <c r="P1316"/>
      <c r="Q1316"/>
    </row>
    <row r="1317" spans="15:17" ht="21.75" customHeight="1" x14ac:dyDescent="0.45">
      <c r="O1317"/>
      <c r="P1317"/>
      <c r="Q1317"/>
    </row>
    <row r="1318" spans="15:17" ht="21.75" customHeight="1" x14ac:dyDescent="0.45">
      <c r="O1318"/>
      <c r="P1318"/>
      <c r="Q1318"/>
    </row>
    <row r="1319" spans="15:17" ht="21.75" customHeight="1" x14ac:dyDescent="0.45">
      <c r="O1319"/>
      <c r="P1319"/>
      <c r="Q1319"/>
    </row>
    <row r="1320" spans="15:17" ht="21.75" customHeight="1" x14ac:dyDescent="0.45">
      <c r="O1320"/>
      <c r="P1320"/>
      <c r="Q1320"/>
    </row>
    <row r="1321" spans="15:17" ht="21.75" customHeight="1" x14ac:dyDescent="0.45">
      <c r="O1321"/>
      <c r="P1321"/>
      <c r="Q1321"/>
    </row>
    <row r="1322" spans="15:17" ht="21.75" customHeight="1" x14ac:dyDescent="0.45">
      <c r="O1322"/>
      <c r="P1322"/>
      <c r="Q1322"/>
    </row>
    <row r="1323" spans="15:17" ht="21.75" customHeight="1" x14ac:dyDescent="0.45">
      <c r="O1323"/>
      <c r="P1323"/>
      <c r="Q1323"/>
    </row>
    <row r="1324" spans="15:17" ht="21.75" customHeight="1" x14ac:dyDescent="0.45">
      <c r="O1324"/>
      <c r="P1324"/>
      <c r="Q1324"/>
    </row>
    <row r="1325" spans="15:17" ht="21.75" customHeight="1" x14ac:dyDescent="0.45">
      <c r="O1325"/>
      <c r="P1325"/>
      <c r="Q1325"/>
    </row>
    <row r="1326" spans="15:17" ht="21.75" customHeight="1" x14ac:dyDescent="0.45">
      <c r="O1326"/>
      <c r="P1326"/>
      <c r="Q1326"/>
    </row>
    <row r="1327" spans="15:17" ht="21.75" customHeight="1" x14ac:dyDescent="0.45">
      <c r="O1327"/>
      <c r="P1327"/>
      <c r="Q1327"/>
    </row>
    <row r="1328" spans="15:17" ht="21.75" customHeight="1" x14ac:dyDescent="0.45">
      <c r="O1328"/>
      <c r="P1328"/>
      <c r="Q1328"/>
    </row>
    <row r="1329" spans="15:17" ht="21.75" customHeight="1" x14ac:dyDescent="0.45">
      <c r="O1329"/>
      <c r="P1329"/>
      <c r="Q1329"/>
    </row>
    <row r="1330" spans="15:17" ht="21.75" customHeight="1" x14ac:dyDescent="0.45">
      <c r="O1330"/>
      <c r="P1330"/>
      <c r="Q1330"/>
    </row>
    <row r="1331" spans="15:17" ht="21.75" customHeight="1" x14ac:dyDescent="0.45">
      <c r="O1331"/>
      <c r="P1331"/>
      <c r="Q1331"/>
    </row>
    <row r="1332" spans="15:17" ht="21.75" customHeight="1" x14ac:dyDescent="0.45">
      <c r="O1332"/>
      <c r="P1332"/>
      <c r="Q1332"/>
    </row>
    <row r="1333" spans="15:17" ht="21.75" customHeight="1" x14ac:dyDescent="0.45">
      <c r="O1333"/>
      <c r="P1333"/>
      <c r="Q1333"/>
    </row>
    <row r="1334" spans="15:17" ht="21.75" customHeight="1" x14ac:dyDescent="0.45">
      <c r="O1334"/>
      <c r="P1334"/>
      <c r="Q1334"/>
    </row>
    <row r="1335" spans="15:17" ht="21.75" customHeight="1" x14ac:dyDescent="0.45">
      <c r="O1335"/>
      <c r="P1335"/>
      <c r="Q1335"/>
    </row>
    <row r="1336" spans="15:17" ht="21.75" customHeight="1" x14ac:dyDescent="0.45">
      <c r="O1336"/>
      <c r="P1336"/>
      <c r="Q1336"/>
    </row>
    <row r="1337" spans="15:17" ht="21.75" customHeight="1" x14ac:dyDescent="0.45">
      <c r="O1337"/>
      <c r="P1337"/>
      <c r="Q1337"/>
    </row>
    <row r="1338" spans="15:17" ht="21.75" customHeight="1" x14ac:dyDescent="0.45">
      <c r="O1338"/>
      <c r="P1338"/>
      <c r="Q1338"/>
    </row>
    <row r="1339" spans="15:17" ht="21.75" customHeight="1" x14ac:dyDescent="0.45">
      <c r="O1339"/>
      <c r="P1339"/>
      <c r="Q1339"/>
    </row>
    <row r="1340" spans="15:17" ht="21.75" customHeight="1" x14ac:dyDescent="0.45">
      <c r="O1340"/>
      <c r="P1340"/>
      <c r="Q1340"/>
    </row>
    <row r="1341" spans="15:17" ht="21.75" customHeight="1" x14ac:dyDescent="0.45">
      <c r="O1341"/>
      <c r="P1341"/>
      <c r="Q1341"/>
    </row>
    <row r="1342" spans="15:17" ht="21.75" customHeight="1" x14ac:dyDescent="0.45">
      <c r="O1342"/>
      <c r="P1342"/>
      <c r="Q1342"/>
    </row>
    <row r="1343" spans="15:17" ht="21.75" customHeight="1" x14ac:dyDescent="0.45">
      <c r="O1343"/>
      <c r="P1343"/>
      <c r="Q1343"/>
    </row>
    <row r="1344" spans="15:17" ht="21.75" customHeight="1" x14ac:dyDescent="0.45">
      <c r="O1344"/>
      <c r="P1344"/>
      <c r="Q1344"/>
    </row>
    <row r="1345" spans="15:17" ht="21.75" customHeight="1" x14ac:dyDescent="0.45">
      <c r="O1345"/>
      <c r="P1345"/>
      <c r="Q1345"/>
    </row>
    <row r="1346" spans="15:17" ht="21.75" customHeight="1" x14ac:dyDescent="0.45">
      <c r="O1346"/>
      <c r="P1346"/>
      <c r="Q1346"/>
    </row>
    <row r="1347" spans="15:17" ht="21.75" customHeight="1" x14ac:dyDescent="0.45">
      <c r="O1347"/>
      <c r="P1347"/>
      <c r="Q1347"/>
    </row>
    <row r="1348" spans="15:17" ht="21.75" customHeight="1" x14ac:dyDescent="0.45">
      <c r="O1348"/>
      <c r="P1348"/>
      <c r="Q1348"/>
    </row>
    <row r="1349" spans="15:17" ht="21.75" customHeight="1" x14ac:dyDescent="0.45">
      <c r="O1349"/>
      <c r="P1349"/>
      <c r="Q1349"/>
    </row>
    <row r="1350" spans="15:17" ht="21.75" customHeight="1" x14ac:dyDescent="0.45">
      <c r="O1350"/>
      <c r="P1350"/>
      <c r="Q1350"/>
    </row>
    <row r="1351" spans="15:17" ht="21.75" customHeight="1" x14ac:dyDescent="0.45">
      <c r="O1351"/>
      <c r="P1351"/>
      <c r="Q1351"/>
    </row>
    <row r="1352" spans="15:17" ht="21.75" customHeight="1" x14ac:dyDescent="0.45">
      <c r="O1352"/>
      <c r="P1352"/>
      <c r="Q1352"/>
    </row>
    <row r="1353" spans="15:17" ht="21.75" customHeight="1" x14ac:dyDescent="0.45">
      <c r="O1353"/>
      <c r="P1353"/>
      <c r="Q1353"/>
    </row>
    <row r="1354" spans="15:17" ht="21.75" customHeight="1" x14ac:dyDescent="0.45">
      <c r="O1354"/>
      <c r="P1354"/>
      <c r="Q1354"/>
    </row>
    <row r="1355" spans="15:17" ht="21.75" customHeight="1" x14ac:dyDescent="0.45">
      <c r="O1355"/>
      <c r="P1355"/>
      <c r="Q1355"/>
    </row>
    <row r="1356" spans="15:17" ht="21.75" customHeight="1" x14ac:dyDescent="0.45">
      <c r="O1356"/>
      <c r="P1356"/>
      <c r="Q1356"/>
    </row>
    <row r="1357" spans="15:17" ht="21.75" customHeight="1" x14ac:dyDescent="0.45">
      <c r="O1357"/>
      <c r="P1357"/>
      <c r="Q1357"/>
    </row>
    <row r="1358" spans="15:17" ht="21.75" customHeight="1" x14ac:dyDescent="0.45">
      <c r="O1358"/>
      <c r="P1358"/>
      <c r="Q1358"/>
    </row>
    <row r="1359" spans="15:17" ht="21.75" customHeight="1" x14ac:dyDescent="0.45">
      <c r="O1359"/>
      <c r="P1359"/>
      <c r="Q1359"/>
    </row>
    <row r="1360" spans="15:17" ht="21.75" customHeight="1" x14ac:dyDescent="0.45">
      <c r="O1360"/>
      <c r="P1360"/>
      <c r="Q1360"/>
    </row>
    <row r="1361" spans="15:17" ht="21.75" customHeight="1" x14ac:dyDescent="0.45">
      <c r="O1361"/>
      <c r="P1361"/>
      <c r="Q1361"/>
    </row>
    <row r="1362" spans="15:17" ht="21.75" customHeight="1" x14ac:dyDescent="0.45">
      <c r="O1362"/>
      <c r="P1362"/>
      <c r="Q1362"/>
    </row>
    <row r="1363" spans="15:17" ht="21.75" customHeight="1" x14ac:dyDescent="0.45">
      <c r="O1363"/>
      <c r="P1363"/>
      <c r="Q1363"/>
    </row>
    <row r="1364" spans="15:17" ht="21.75" customHeight="1" x14ac:dyDescent="0.45">
      <c r="O1364"/>
      <c r="P1364"/>
      <c r="Q1364"/>
    </row>
    <row r="1365" spans="15:17" ht="21.75" customHeight="1" x14ac:dyDescent="0.45">
      <c r="O1365"/>
      <c r="P1365"/>
      <c r="Q1365"/>
    </row>
    <row r="1366" spans="15:17" ht="21.75" customHeight="1" x14ac:dyDescent="0.45">
      <c r="O1366"/>
      <c r="P1366"/>
      <c r="Q1366"/>
    </row>
    <row r="1367" spans="15:17" ht="21.75" customHeight="1" x14ac:dyDescent="0.45">
      <c r="O1367"/>
      <c r="P1367"/>
      <c r="Q1367"/>
    </row>
    <row r="1368" spans="15:17" ht="21.75" customHeight="1" x14ac:dyDescent="0.45">
      <c r="O1368"/>
      <c r="P1368"/>
      <c r="Q1368"/>
    </row>
    <row r="1369" spans="15:17" ht="21.75" customHeight="1" x14ac:dyDescent="0.45">
      <c r="O1369"/>
      <c r="P1369"/>
      <c r="Q1369"/>
    </row>
    <row r="1370" spans="15:17" ht="21.75" customHeight="1" x14ac:dyDescent="0.45">
      <c r="O1370"/>
      <c r="P1370"/>
      <c r="Q1370"/>
    </row>
    <row r="1371" spans="15:17" ht="21.75" customHeight="1" x14ac:dyDescent="0.45">
      <c r="O1371"/>
      <c r="P1371"/>
      <c r="Q1371"/>
    </row>
    <row r="1372" spans="15:17" ht="21.75" customHeight="1" x14ac:dyDescent="0.45">
      <c r="O1372"/>
      <c r="P1372"/>
      <c r="Q1372"/>
    </row>
    <row r="1373" spans="15:17" ht="21.75" customHeight="1" x14ac:dyDescent="0.45">
      <c r="O1373"/>
      <c r="P1373"/>
      <c r="Q1373"/>
    </row>
    <row r="1374" spans="15:17" ht="21.75" customHeight="1" x14ac:dyDescent="0.45">
      <c r="O1374"/>
      <c r="P1374"/>
      <c r="Q1374"/>
    </row>
    <row r="1375" spans="15:17" ht="21.75" customHeight="1" x14ac:dyDescent="0.45">
      <c r="O1375"/>
      <c r="P1375"/>
      <c r="Q1375"/>
    </row>
    <row r="1376" spans="15:17" ht="21.75" customHeight="1" x14ac:dyDescent="0.45">
      <c r="O1376"/>
      <c r="P1376"/>
      <c r="Q1376"/>
    </row>
    <row r="1377" spans="15:17" ht="21.75" customHeight="1" x14ac:dyDescent="0.45">
      <c r="O1377"/>
      <c r="P1377"/>
      <c r="Q1377"/>
    </row>
    <row r="1378" spans="15:17" ht="21.75" customHeight="1" x14ac:dyDescent="0.45">
      <c r="O1378"/>
      <c r="P1378"/>
      <c r="Q1378"/>
    </row>
    <row r="1379" spans="15:17" ht="21.75" customHeight="1" x14ac:dyDescent="0.45">
      <c r="O1379"/>
      <c r="P1379"/>
      <c r="Q1379"/>
    </row>
    <row r="1380" spans="15:17" ht="21.75" customHeight="1" x14ac:dyDescent="0.45">
      <c r="O1380"/>
      <c r="P1380"/>
      <c r="Q1380"/>
    </row>
    <row r="1381" spans="15:17" ht="21.75" customHeight="1" x14ac:dyDescent="0.45">
      <c r="O1381"/>
      <c r="P1381"/>
      <c r="Q1381"/>
    </row>
    <row r="1382" spans="15:17" ht="21.75" customHeight="1" x14ac:dyDescent="0.45">
      <c r="O1382"/>
      <c r="P1382"/>
      <c r="Q1382"/>
    </row>
    <row r="1383" spans="15:17" ht="21.75" customHeight="1" x14ac:dyDescent="0.45">
      <c r="O1383"/>
      <c r="P1383"/>
      <c r="Q1383"/>
    </row>
    <row r="1384" spans="15:17" ht="21.75" customHeight="1" x14ac:dyDescent="0.45">
      <c r="O1384"/>
      <c r="P1384"/>
      <c r="Q1384"/>
    </row>
    <row r="1385" spans="15:17" ht="21.75" customHeight="1" x14ac:dyDescent="0.45">
      <c r="O1385"/>
      <c r="P1385"/>
      <c r="Q1385"/>
    </row>
    <row r="1386" spans="15:17" ht="21.75" customHeight="1" x14ac:dyDescent="0.45">
      <c r="O1386"/>
      <c r="P1386"/>
      <c r="Q1386"/>
    </row>
    <row r="1387" spans="15:17" ht="21.75" customHeight="1" x14ac:dyDescent="0.45">
      <c r="O1387"/>
      <c r="P1387"/>
      <c r="Q1387"/>
    </row>
    <row r="1388" spans="15:17" ht="21.75" customHeight="1" x14ac:dyDescent="0.45">
      <c r="O1388"/>
      <c r="P1388"/>
      <c r="Q1388"/>
    </row>
    <row r="1389" spans="15:17" ht="21.75" customHeight="1" x14ac:dyDescent="0.45">
      <c r="O1389"/>
      <c r="P1389"/>
      <c r="Q1389"/>
    </row>
    <row r="1390" spans="15:17" ht="21.75" customHeight="1" x14ac:dyDescent="0.45">
      <c r="O1390"/>
      <c r="P1390"/>
      <c r="Q1390"/>
    </row>
    <row r="1391" spans="15:17" ht="21.75" customHeight="1" x14ac:dyDescent="0.45">
      <c r="O1391"/>
      <c r="P1391"/>
      <c r="Q1391"/>
    </row>
    <row r="1392" spans="15:17" ht="21.75" customHeight="1" x14ac:dyDescent="0.45">
      <c r="O1392"/>
      <c r="P1392"/>
      <c r="Q1392"/>
    </row>
    <row r="1393" spans="15:17" ht="21.75" customHeight="1" x14ac:dyDescent="0.45">
      <c r="O1393"/>
      <c r="P1393"/>
      <c r="Q1393"/>
    </row>
    <row r="1394" spans="15:17" ht="21.75" customHeight="1" x14ac:dyDescent="0.45">
      <c r="O1394"/>
      <c r="P1394"/>
      <c r="Q1394"/>
    </row>
    <row r="1395" spans="15:17" ht="21.75" customHeight="1" x14ac:dyDescent="0.45">
      <c r="O1395"/>
      <c r="P1395"/>
      <c r="Q1395"/>
    </row>
    <row r="1396" spans="15:17" ht="21.75" customHeight="1" x14ac:dyDescent="0.45">
      <c r="O1396"/>
      <c r="P1396"/>
      <c r="Q1396"/>
    </row>
    <row r="1397" spans="15:17" ht="21.75" customHeight="1" x14ac:dyDescent="0.45">
      <c r="O1397"/>
      <c r="P1397"/>
      <c r="Q1397"/>
    </row>
    <row r="1398" spans="15:17" ht="21.75" customHeight="1" x14ac:dyDescent="0.45">
      <c r="O1398"/>
      <c r="P1398"/>
      <c r="Q1398"/>
    </row>
    <row r="1399" spans="15:17" ht="21.75" customHeight="1" x14ac:dyDescent="0.45">
      <c r="O1399"/>
      <c r="P1399"/>
      <c r="Q1399"/>
    </row>
    <row r="1400" spans="15:17" ht="21.75" customHeight="1" x14ac:dyDescent="0.45">
      <c r="O1400"/>
      <c r="P1400"/>
      <c r="Q1400"/>
    </row>
    <row r="1401" spans="15:17" ht="21.75" customHeight="1" x14ac:dyDescent="0.45">
      <c r="O1401"/>
      <c r="P1401"/>
      <c r="Q1401"/>
    </row>
    <row r="1402" spans="15:17" ht="21.75" customHeight="1" x14ac:dyDescent="0.45">
      <c r="O1402"/>
      <c r="P1402"/>
      <c r="Q1402"/>
    </row>
    <row r="1403" spans="15:17" ht="21.75" customHeight="1" x14ac:dyDescent="0.45">
      <c r="O1403"/>
      <c r="P1403"/>
      <c r="Q1403"/>
    </row>
    <row r="1404" spans="15:17" ht="21.75" customHeight="1" x14ac:dyDescent="0.45">
      <c r="O1404"/>
      <c r="P1404"/>
      <c r="Q1404"/>
    </row>
    <row r="1405" spans="15:17" ht="21.75" customHeight="1" x14ac:dyDescent="0.45">
      <c r="O1405"/>
      <c r="P1405"/>
      <c r="Q1405"/>
    </row>
    <row r="1406" spans="15:17" ht="21.75" customHeight="1" x14ac:dyDescent="0.45">
      <c r="O1406"/>
      <c r="P1406"/>
      <c r="Q1406"/>
    </row>
    <row r="1407" spans="15:17" ht="21.75" customHeight="1" x14ac:dyDescent="0.45">
      <c r="O1407"/>
      <c r="P1407"/>
      <c r="Q1407"/>
    </row>
    <row r="1408" spans="15:17" ht="21.75" customHeight="1" x14ac:dyDescent="0.45">
      <c r="O1408"/>
      <c r="P1408"/>
      <c r="Q1408"/>
    </row>
    <row r="1409" spans="15:17" ht="21.75" customHeight="1" x14ac:dyDescent="0.45">
      <c r="O1409"/>
      <c r="P1409"/>
      <c r="Q1409"/>
    </row>
    <row r="1410" spans="15:17" ht="21.75" customHeight="1" x14ac:dyDescent="0.45">
      <c r="O1410"/>
      <c r="P1410"/>
      <c r="Q1410"/>
    </row>
    <row r="1411" spans="15:17" ht="21.75" customHeight="1" x14ac:dyDescent="0.45">
      <c r="O1411"/>
      <c r="P1411"/>
      <c r="Q1411"/>
    </row>
    <row r="1412" spans="15:17" ht="21.75" customHeight="1" x14ac:dyDescent="0.45">
      <c r="O1412"/>
      <c r="P1412"/>
      <c r="Q1412"/>
    </row>
    <row r="1413" spans="15:17" ht="21.75" customHeight="1" x14ac:dyDescent="0.45">
      <c r="O1413"/>
      <c r="P1413"/>
      <c r="Q1413"/>
    </row>
    <row r="1414" spans="15:17" ht="21.75" customHeight="1" x14ac:dyDescent="0.45">
      <c r="O1414"/>
      <c r="P1414"/>
      <c r="Q1414"/>
    </row>
    <row r="1415" spans="15:17" ht="21.75" customHeight="1" x14ac:dyDescent="0.45">
      <c r="O1415"/>
      <c r="P1415"/>
      <c r="Q1415"/>
    </row>
    <row r="1416" spans="15:17" ht="21.75" customHeight="1" x14ac:dyDescent="0.45">
      <c r="O1416"/>
      <c r="P1416"/>
      <c r="Q1416"/>
    </row>
    <row r="1417" spans="15:17" ht="21.75" customHeight="1" x14ac:dyDescent="0.45">
      <c r="O1417"/>
      <c r="P1417"/>
      <c r="Q1417"/>
    </row>
    <row r="1418" spans="15:17" ht="21.75" customHeight="1" x14ac:dyDescent="0.45">
      <c r="O1418"/>
      <c r="P1418"/>
      <c r="Q1418"/>
    </row>
    <row r="1419" spans="15:17" ht="21.75" customHeight="1" x14ac:dyDescent="0.45">
      <c r="O1419"/>
      <c r="P1419"/>
      <c r="Q1419"/>
    </row>
    <row r="1420" spans="15:17" ht="21.75" customHeight="1" x14ac:dyDescent="0.45">
      <c r="O1420"/>
      <c r="P1420"/>
      <c r="Q1420"/>
    </row>
    <row r="1421" spans="15:17" ht="21.75" customHeight="1" x14ac:dyDescent="0.45">
      <c r="O1421"/>
      <c r="P1421"/>
      <c r="Q1421"/>
    </row>
    <row r="1422" spans="15:17" ht="21.75" customHeight="1" x14ac:dyDescent="0.45">
      <c r="O1422"/>
      <c r="P1422"/>
      <c r="Q1422"/>
    </row>
    <row r="1423" spans="15:17" ht="21.75" customHeight="1" x14ac:dyDescent="0.45">
      <c r="O1423"/>
      <c r="P1423"/>
      <c r="Q1423"/>
    </row>
    <row r="1424" spans="15:17" ht="21.75" customHeight="1" x14ac:dyDescent="0.45">
      <c r="O1424"/>
      <c r="P1424"/>
      <c r="Q1424"/>
    </row>
    <row r="1425" spans="15:17" ht="21.75" customHeight="1" x14ac:dyDescent="0.45">
      <c r="O1425"/>
      <c r="P1425"/>
      <c r="Q1425"/>
    </row>
    <row r="1426" spans="15:17" ht="21.75" customHeight="1" x14ac:dyDescent="0.45">
      <c r="O1426"/>
      <c r="P1426"/>
      <c r="Q1426"/>
    </row>
    <row r="1427" spans="15:17" ht="21.75" customHeight="1" x14ac:dyDescent="0.45">
      <c r="O1427"/>
      <c r="P1427"/>
      <c r="Q1427"/>
    </row>
    <row r="1428" spans="15:17" ht="21.75" customHeight="1" x14ac:dyDescent="0.45">
      <c r="O1428"/>
      <c r="P1428"/>
      <c r="Q1428"/>
    </row>
    <row r="1429" spans="15:17" ht="21.75" customHeight="1" x14ac:dyDescent="0.45">
      <c r="O1429"/>
      <c r="P1429"/>
      <c r="Q1429"/>
    </row>
    <row r="1430" spans="15:17" ht="21.75" customHeight="1" x14ac:dyDescent="0.45">
      <c r="O1430"/>
      <c r="P1430"/>
      <c r="Q1430"/>
    </row>
    <row r="1431" spans="15:17" ht="21.75" customHeight="1" x14ac:dyDescent="0.45">
      <c r="O1431"/>
      <c r="P1431"/>
      <c r="Q1431"/>
    </row>
    <row r="1432" spans="15:17" ht="21.75" customHeight="1" x14ac:dyDescent="0.45">
      <c r="O1432"/>
      <c r="P1432"/>
      <c r="Q1432"/>
    </row>
    <row r="1433" spans="15:17" ht="21.75" customHeight="1" x14ac:dyDescent="0.45">
      <c r="O1433"/>
      <c r="P1433"/>
      <c r="Q1433"/>
    </row>
    <row r="1434" spans="15:17" ht="21.75" customHeight="1" x14ac:dyDescent="0.45">
      <c r="O1434"/>
      <c r="P1434"/>
      <c r="Q1434"/>
    </row>
    <row r="1435" spans="15:17" ht="21.75" customHeight="1" x14ac:dyDescent="0.45">
      <c r="O1435"/>
      <c r="P1435"/>
      <c r="Q1435"/>
    </row>
    <row r="1436" spans="15:17" ht="21.75" customHeight="1" x14ac:dyDescent="0.45">
      <c r="O1436"/>
      <c r="P1436"/>
      <c r="Q1436"/>
    </row>
    <row r="1437" spans="15:17" ht="21.75" customHeight="1" x14ac:dyDescent="0.45">
      <c r="O1437"/>
      <c r="P1437"/>
      <c r="Q1437"/>
    </row>
    <row r="1438" spans="15:17" ht="21.75" customHeight="1" x14ac:dyDescent="0.45">
      <c r="O1438"/>
      <c r="P1438"/>
      <c r="Q1438"/>
    </row>
    <row r="1439" spans="15:17" ht="21.75" customHeight="1" x14ac:dyDescent="0.45">
      <c r="O1439"/>
      <c r="P1439"/>
      <c r="Q1439"/>
    </row>
    <row r="1440" spans="15:17" ht="21.75" customHeight="1" x14ac:dyDescent="0.45">
      <c r="O1440"/>
      <c r="P1440"/>
      <c r="Q1440"/>
    </row>
    <row r="1441" spans="15:17" ht="21.75" customHeight="1" x14ac:dyDescent="0.45">
      <c r="O1441"/>
      <c r="P1441"/>
      <c r="Q1441"/>
    </row>
    <row r="1442" spans="15:17" ht="21.75" customHeight="1" x14ac:dyDescent="0.45">
      <c r="O1442"/>
      <c r="P1442"/>
      <c r="Q1442"/>
    </row>
    <row r="1443" spans="15:17" ht="21.75" customHeight="1" x14ac:dyDescent="0.45">
      <c r="O1443"/>
      <c r="P1443"/>
      <c r="Q1443"/>
    </row>
    <row r="1444" spans="15:17" ht="21.75" customHeight="1" x14ac:dyDescent="0.45">
      <c r="O1444"/>
      <c r="P1444"/>
      <c r="Q1444"/>
    </row>
    <row r="1445" spans="15:17" ht="21.75" customHeight="1" x14ac:dyDescent="0.45">
      <c r="O1445"/>
      <c r="P1445"/>
      <c r="Q1445"/>
    </row>
    <row r="1446" spans="15:17" ht="21.75" customHeight="1" x14ac:dyDescent="0.45">
      <c r="O1446"/>
      <c r="P1446"/>
      <c r="Q1446"/>
    </row>
    <row r="1447" spans="15:17" ht="21.75" customHeight="1" x14ac:dyDescent="0.45">
      <c r="O1447"/>
      <c r="P1447"/>
      <c r="Q1447"/>
    </row>
    <row r="1448" spans="15:17" ht="21.75" customHeight="1" x14ac:dyDescent="0.45">
      <c r="O1448"/>
      <c r="P1448"/>
      <c r="Q1448"/>
    </row>
    <row r="1449" spans="15:17" ht="21.75" customHeight="1" x14ac:dyDescent="0.45">
      <c r="O1449"/>
      <c r="P1449"/>
      <c r="Q1449"/>
    </row>
    <row r="1450" spans="15:17" ht="21.75" customHeight="1" x14ac:dyDescent="0.45">
      <c r="O1450"/>
      <c r="P1450"/>
      <c r="Q1450"/>
    </row>
    <row r="1451" spans="15:17" ht="21.75" customHeight="1" x14ac:dyDescent="0.45">
      <c r="O1451"/>
      <c r="P1451"/>
      <c r="Q1451"/>
    </row>
    <row r="1452" spans="15:17" ht="21.75" customHeight="1" x14ac:dyDescent="0.45">
      <c r="O1452"/>
      <c r="P1452"/>
      <c r="Q1452"/>
    </row>
    <row r="1453" spans="15:17" ht="21.75" customHeight="1" x14ac:dyDescent="0.45">
      <c r="O1453"/>
      <c r="P1453"/>
      <c r="Q1453"/>
    </row>
    <row r="1454" spans="15:17" ht="21.75" customHeight="1" x14ac:dyDescent="0.45">
      <c r="O1454"/>
      <c r="P1454"/>
      <c r="Q1454"/>
    </row>
    <row r="1455" spans="15:17" ht="21.75" customHeight="1" x14ac:dyDescent="0.45">
      <c r="O1455"/>
      <c r="P1455"/>
      <c r="Q1455"/>
    </row>
    <row r="1456" spans="15:17" ht="21.75" customHeight="1" x14ac:dyDescent="0.45">
      <c r="O1456"/>
      <c r="P1456"/>
      <c r="Q1456"/>
    </row>
    <row r="1457" spans="15:17" ht="21.75" customHeight="1" x14ac:dyDescent="0.45">
      <c r="O1457"/>
      <c r="P1457"/>
      <c r="Q1457"/>
    </row>
    <row r="1458" spans="15:17" ht="21.75" customHeight="1" x14ac:dyDescent="0.45">
      <c r="O1458"/>
      <c r="P1458"/>
      <c r="Q1458"/>
    </row>
    <row r="1459" spans="15:17" ht="21.75" customHeight="1" x14ac:dyDescent="0.45">
      <c r="O1459"/>
      <c r="P1459"/>
      <c r="Q1459"/>
    </row>
    <row r="1460" spans="15:17" ht="21.75" customHeight="1" x14ac:dyDescent="0.45">
      <c r="O1460"/>
      <c r="P1460"/>
      <c r="Q1460"/>
    </row>
    <row r="1461" spans="15:17" ht="21.75" customHeight="1" x14ac:dyDescent="0.45">
      <c r="O1461"/>
      <c r="P1461"/>
      <c r="Q1461"/>
    </row>
    <row r="1462" spans="15:17" ht="21.75" customHeight="1" x14ac:dyDescent="0.45">
      <c r="O1462"/>
      <c r="P1462"/>
      <c r="Q1462"/>
    </row>
    <row r="1463" spans="15:17" ht="21.75" customHeight="1" x14ac:dyDescent="0.45">
      <c r="O1463"/>
      <c r="P1463"/>
      <c r="Q1463"/>
    </row>
    <row r="1464" spans="15:17" ht="21.75" customHeight="1" x14ac:dyDescent="0.45">
      <c r="O1464"/>
      <c r="P1464"/>
      <c r="Q1464"/>
    </row>
    <row r="1465" spans="15:17" ht="21.75" customHeight="1" x14ac:dyDescent="0.45">
      <c r="O1465"/>
      <c r="P1465"/>
      <c r="Q1465"/>
    </row>
    <row r="1466" spans="15:17" ht="21.75" customHeight="1" x14ac:dyDescent="0.45">
      <c r="O1466"/>
      <c r="P1466"/>
      <c r="Q1466"/>
    </row>
    <row r="1467" spans="15:17" ht="21.75" customHeight="1" x14ac:dyDescent="0.45">
      <c r="O1467"/>
      <c r="P1467"/>
      <c r="Q1467"/>
    </row>
    <row r="1468" spans="15:17" ht="21.75" customHeight="1" x14ac:dyDescent="0.45">
      <c r="O1468"/>
      <c r="P1468"/>
      <c r="Q1468"/>
    </row>
    <row r="1469" spans="15:17" ht="21.75" customHeight="1" x14ac:dyDescent="0.45">
      <c r="O1469"/>
      <c r="P1469"/>
      <c r="Q1469"/>
    </row>
    <row r="1470" spans="15:17" ht="21.75" customHeight="1" x14ac:dyDescent="0.45">
      <c r="O1470"/>
      <c r="P1470"/>
      <c r="Q1470"/>
    </row>
    <row r="1471" spans="15:17" ht="21.75" customHeight="1" x14ac:dyDescent="0.45">
      <c r="O1471"/>
      <c r="P1471"/>
      <c r="Q1471"/>
    </row>
    <row r="1472" spans="15:17" ht="21.75" customHeight="1" x14ac:dyDescent="0.45">
      <c r="O1472"/>
      <c r="P1472"/>
      <c r="Q1472"/>
    </row>
    <row r="1473" spans="15:17" ht="21.75" customHeight="1" x14ac:dyDescent="0.45">
      <c r="O1473"/>
      <c r="P1473"/>
      <c r="Q1473"/>
    </row>
    <row r="1474" spans="15:17" ht="21.75" customHeight="1" x14ac:dyDescent="0.45">
      <c r="O1474"/>
      <c r="P1474"/>
      <c r="Q1474"/>
    </row>
    <row r="1475" spans="15:17" ht="21.75" customHeight="1" x14ac:dyDescent="0.45">
      <c r="O1475"/>
      <c r="P1475"/>
      <c r="Q1475"/>
    </row>
    <row r="1476" spans="15:17" ht="21.75" customHeight="1" x14ac:dyDescent="0.45">
      <c r="O1476"/>
      <c r="P1476"/>
      <c r="Q1476"/>
    </row>
    <row r="1477" spans="15:17" ht="21.75" customHeight="1" x14ac:dyDescent="0.45">
      <c r="O1477"/>
      <c r="P1477"/>
      <c r="Q1477"/>
    </row>
    <row r="1478" spans="15:17" ht="21.75" customHeight="1" x14ac:dyDescent="0.45">
      <c r="O1478"/>
      <c r="P1478"/>
      <c r="Q1478"/>
    </row>
    <row r="1479" spans="15:17" ht="21.75" customHeight="1" x14ac:dyDescent="0.45">
      <c r="O1479"/>
      <c r="P1479"/>
      <c r="Q1479"/>
    </row>
    <row r="1480" spans="15:17" ht="21.75" customHeight="1" x14ac:dyDescent="0.45">
      <c r="O1480"/>
      <c r="P1480"/>
      <c r="Q1480"/>
    </row>
    <row r="1481" spans="15:17" ht="21.75" customHeight="1" x14ac:dyDescent="0.45">
      <c r="O1481"/>
      <c r="P1481"/>
      <c r="Q1481"/>
    </row>
    <row r="1482" spans="15:17" ht="21.75" customHeight="1" x14ac:dyDescent="0.45">
      <c r="O1482"/>
      <c r="P1482"/>
      <c r="Q1482"/>
    </row>
    <row r="1483" spans="15:17" ht="21.75" customHeight="1" x14ac:dyDescent="0.45">
      <c r="O1483"/>
      <c r="P1483"/>
      <c r="Q1483"/>
    </row>
    <row r="1484" spans="15:17" ht="21.75" customHeight="1" x14ac:dyDescent="0.45">
      <c r="O1484"/>
      <c r="P1484"/>
      <c r="Q1484"/>
    </row>
    <row r="1485" spans="15:17" ht="21.75" customHeight="1" x14ac:dyDescent="0.45">
      <c r="O1485"/>
      <c r="P1485"/>
      <c r="Q1485"/>
    </row>
    <row r="1486" spans="15:17" ht="21.75" customHeight="1" x14ac:dyDescent="0.45">
      <c r="O1486"/>
      <c r="P1486"/>
      <c r="Q1486"/>
    </row>
    <row r="1487" spans="15:17" ht="21.75" customHeight="1" x14ac:dyDescent="0.45">
      <c r="O1487"/>
      <c r="P1487"/>
      <c r="Q1487"/>
    </row>
    <row r="1488" spans="15:17" ht="21.75" customHeight="1" x14ac:dyDescent="0.45">
      <c r="O1488"/>
      <c r="P1488"/>
      <c r="Q1488"/>
    </row>
    <row r="1489" spans="15:17" ht="21.75" customHeight="1" x14ac:dyDescent="0.45">
      <c r="O1489"/>
      <c r="P1489"/>
      <c r="Q1489"/>
    </row>
    <row r="1490" spans="15:17" ht="21.75" customHeight="1" x14ac:dyDescent="0.45">
      <c r="O1490"/>
      <c r="P1490"/>
      <c r="Q1490"/>
    </row>
    <row r="1491" spans="15:17" ht="21.75" customHeight="1" x14ac:dyDescent="0.45">
      <c r="O1491"/>
      <c r="P1491"/>
      <c r="Q1491"/>
    </row>
    <row r="1492" spans="15:17" ht="21.75" customHeight="1" x14ac:dyDescent="0.45">
      <c r="O1492"/>
      <c r="P1492"/>
      <c r="Q1492"/>
    </row>
    <row r="1493" spans="15:17" ht="21.75" customHeight="1" x14ac:dyDescent="0.45">
      <c r="O1493"/>
      <c r="P1493"/>
      <c r="Q1493"/>
    </row>
    <row r="1494" spans="15:17" ht="21.75" customHeight="1" x14ac:dyDescent="0.45">
      <c r="O1494"/>
      <c r="P1494"/>
      <c r="Q1494"/>
    </row>
    <row r="1495" spans="15:17" ht="21.75" customHeight="1" x14ac:dyDescent="0.45">
      <c r="O1495"/>
      <c r="P1495"/>
      <c r="Q1495"/>
    </row>
    <row r="1496" spans="15:17" ht="21.75" customHeight="1" x14ac:dyDescent="0.45">
      <c r="O1496"/>
      <c r="P1496"/>
      <c r="Q1496"/>
    </row>
    <row r="1497" spans="15:17" ht="21.75" customHeight="1" x14ac:dyDescent="0.45">
      <c r="O1497"/>
      <c r="P1497"/>
      <c r="Q1497"/>
    </row>
    <row r="1498" spans="15:17" ht="21.75" customHeight="1" x14ac:dyDescent="0.45">
      <c r="O1498"/>
      <c r="P1498"/>
      <c r="Q1498"/>
    </row>
    <row r="1499" spans="15:17" ht="21.75" customHeight="1" x14ac:dyDescent="0.45">
      <c r="O1499"/>
      <c r="P1499"/>
      <c r="Q1499"/>
    </row>
    <row r="1500" spans="15:17" ht="21.75" customHeight="1" x14ac:dyDescent="0.45">
      <c r="O1500"/>
      <c r="P1500"/>
      <c r="Q1500"/>
    </row>
    <row r="1501" spans="15:17" ht="21.75" customHeight="1" x14ac:dyDescent="0.45">
      <c r="O1501"/>
      <c r="P1501"/>
      <c r="Q1501"/>
    </row>
    <row r="1502" spans="15:17" ht="21.75" customHeight="1" x14ac:dyDescent="0.45">
      <c r="O1502"/>
      <c r="P1502"/>
      <c r="Q1502"/>
    </row>
    <row r="1503" spans="15:17" ht="21.75" customHeight="1" x14ac:dyDescent="0.45">
      <c r="O1503"/>
      <c r="P1503"/>
      <c r="Q1503"/>
    </row>
    <row r="1504" spans="15:17" ht="21.75" customHeight="1" x14ac:dyDescent="0.45">
      <c r="O1504"/>
      <c r="P1504"/>
      <c r="Q1504"/>
    </row>
    <row r="1505" spans="15:17" ht="21.75" customHeight="1" x14ac:dyDescent="0.45">
      <c r="O1505"/>
      <c r="P1505"/>
      <c r="Q1505"/>
    </row>
    <row r="1506" spans="15:17" ht="21.75" customHeight="1" x14ac:dyDescent="0.45">
      <c r="O1506"/>
      <c r="P1506"/>
      <c r="Q1506"/>
    </row>
    <row r="1507" spans="15:17" ht="21.75" customHeight="1" x14ac:dyDescent="0.45">
      <c r="O1507"/>
      <c r="P1507"/>
      <c r="Q1507"/>
    </row>
    <row r="1508" spans="15:17" ht="21.75" customHeight="1" x14ac:dyDescent="0.45">
      <c r="O1508"/>
      <c r="P1508"/>
      <c r="Q1508"/>
    </row>
    <row r="1509" spans="15:17" ht="21.75" customHeight="1" x14ac:dyDescent="0.45">
      <c r="O1509"/>
      <c r="P1509"/>
      <c r="Q1509"/>
    </row>
    <row r="1510" spans="15:17" ht="21.75" customHeight="1" x14ac:dyDescent="0.45">
      <c r="O1510"/>
      <c r="P1510"/>
      <c r="Q1510"/>
    </row>
    <row r="1511" spans="15:17" ht="21.75" customHeight="1" x14ac:dyDescent="0.45">
      <c r="O1511"/>
      <c r="P1511"/>
      <c r="Q1511"/>
    </row>
    <row r="1512" spans="15:17" ht="21.75" customHeight="1" x14ac:dyDescent="0.45">
      <c r="O1512"/>
      <c r="P1512"/>
      <c r="Q1512"/>
    </row>
    <row r="1513" spans="15:17" ht="21.75" customHeight="1" x14ac:dyDescent="0.45">
      <c r="O1513"/>
      <c r="P1513"/>
      <c r="Q1513"/>
    </row>
    <row r="1514" spans="15:17" ht="21.75" customHeight="1" x14ac:dyDescent="0.45">
      <c r="O1514"/>
      <c r="P1514"/>
      <c r="Q1514"/>
    </row>
    <row r="1515" spans="15:17" ht="21.75" customHeight="1" x14ac:dyDescent="0.45">
      <c r="O1515"/>
      <c r="P1515"/>
      <c r="Q1515"/>
    </row>
    <row r="1516" spans="15:17" ht="21.75" customHeight="1" x14ac:dyDescent="0.45">
      <c r="O1516"/>
      <c r="P1516"/>
      <c r="Q1516"/>
    </row>
    <row r="1517" spans="15:17" ht="21.75" customHeight="1" x14ac:dyDescent="0.45">
      <c r="O1517"/>
      <c r="P1517"/>
      <c r="Q1517"/>
    </row>
    <row r="1518" spans="15:17" ht="21.75" customHeight="1" x14ac:dyDescent="0.45">
      <c r="O1518"/>
      <c r="P1518"/>
      <c r="Q1518"/>
    </row>
    <row r="1519" spans="15:17" ht="21.75" customHeight="1" x14ac:dyDescent="0.45">
      <c r="O1519"/>
      <c r="P1519"/>
      <c r="Q1519"/>
    </row>
    <row r="1520" spans="15:17" ht="21.75" customHeight="1" x14ac:dyDescent="0.45">
      <c r="O1520"/>
      <c r="P1520"/>
      <c r="Q1520"/>
    </row>
    <row r="1521" spans="15:17" ht="21.75" customHeight="1" x14ac:dyDescent="0.45">
      <c r="O1521"/>
      <c r="P1521"/>
      <c r="Q1521"/>
    </row>
    <row r="1522" spans="15:17" ht="21.75" customHeight="1" x14ac:dyDescent="0.45">
      <c r="O1522"/>
      <c r="P1522"/>
      <c r="Q1522"/>
    </row>
    <row r="1523" spans="15:17" ht="21.75" customHeight="1" x14ac:dyDescent="0.45">
      <c r="O1523"/>
      <c r="P1523"/>
      <c r="Q1523"/>
    </row>
    <row r="1524" spans="15:17" ht="21.75" customHeight="1" x14ac:dyDescent="0.45">
      <c r="O1524"/>
      <c r="P1524"/>
      <c r="Q1524"/>
    </row>
    <row r="1525" spans="15:17" ht="21.75" customHeight="1" x14ac:dyDescent="0.45">
      <c r="O1525"/>
      <c r="P1525"/>
      <c r="Q1525"/>
    </row>
    <row r="1526" spans="15:17" ht="21.75" customHeight="1" x14ac:dyDescent="0.45">
      <c r="O1526"/>
      <c r="P1526"/>
      <c r="Q1526"/>
    </row>
    <row r="1527" spans="15:17" ht="21.75" customHeight="1" x14ac:dyDescent="0.45">
      <c r="O1527"/>
      <c r="P1527"/>
      <c r="Q1527"/>
    </row>
    <row r="1528" spans="15:17" ht="21.75" customHeight="1" x14ac:dyDescent="0.45">
      <c r="O1528"/>
      <c r="P1528"/>
      <c r="Q1528"/>
    </row>
    <row r="1529" spans="15:17" ht="21.75" customHeight="1" x14ac:dyDescent="0.45">
      <c r="O1529"/>
      <c r="P1529"/>
      <c r="Q1529"/>
    </row>
    <row r="1530" spans="15:17" ht="21.75" customHeight="1" x14ac:dyDescent="0.45">
      <c r="O1530"/>
      <c r="P1530"/>
      <c r="Q1530"/>
    </row>
    <row r="1531" spans="15:17" ht="21.75" customHeight="1" x14ac:dyDescent="0.45">
      <c r="O1531"/>
      <c r="P1531"/>
      <c r="Q1531"/>
    </row>
    <row r="1532" spans="15:17" ht="21.75" customHeight="1" x14ac:dyDescent="0.45">
      <c r="O1532"/>
      <c r="P1532"/>
      <c r="Q1532"/>
    </row>
    <row r="1533" spans="15:17" ht="21.75" customHeight="1" x14ac:dyDescent="0.45">
      <c r="O1533"/>
      <c r="P1533"/>
      <c r="Q1533"/>
    </row>
    <row r="1534" spans="15:17" ht="21.75" customHeight="1" x14ac:dyDescent="0.45">
      <c r="O1534"/>
      <c r="P1534"/>
      <c r="Q1534"/>
    </row>
    <row r="1535" spans="15:17" ht="21.75" customHeight="1" x14ac:dyDescent="0.45">
      <c r="O1535"/>
      <c r="P1535"/>
      <c r="Q1535"/>
    </row>
    <row r="1536" spans="15:17" ht="21.75" customHeight="1" x14ac:dyDescent="0.45">
      <c r="O1536"/>
      <c r="P1536"/>
      <c r="Q1536"/>
    </row>
    <row r="1537" spans="15:17" ht="21.75" customHeight="1" x14ac:dyDescent="0.45">
      <c r="O1537"/>
      <c r="P1537"/>
      <c r="Q1537"/>
    </row>
    <row r="1538" spans="15:17" ht="21.75" customHeight="1" x14ac:dyDescent="0.45">
      <c r="O1538"/>
      <c r="P1538"/>
      <c r="Q1538"/>
    </row>
    <row r="1539" spans="15:17" ht="21.75" customHeight="1" x14ac:dyDescent="0.45">
      <c r="O1539"/>
      <c r="P1539"/>
      <c r="Q1539"/>
    </row>
    <row r="1540" spans="15:17" ht="21.75" customHeight="1" x14ac:dyDescent="0.45">
      <c r="O1540"/>
      <c r="P1540"/>
      <c r="Q1540"/>
    </row>
    <row r="1541" spans="15:17" ht="21.75" customHeight="1" x14ac:dyDescent="0.45">
      <c r="O1541"/>
      <c r="P1541"/>
      <c r="Q1541"/>
    </row>
    <row r="1542" spans="15:17" ht="21.75" customHeight="1" x14ac:dyDescent="0.45">
      <c r="O1542"/>
      <c r="P1542"/>
      <c r="Q1542"/>
    </row>
    <row r="1543" spans="15:17" ht="21.75" customHeight="1" x14ac:dyDescent="0.45">
      <c r="O1543"/>
      <c r="P1543"/>
      <c r="Q1543"/>
    </row>
    <row r="1544" spans="15:17" ht="21.75" customHeight="1" x14ac:dyDescent="0.45">
      <c r="O1544"/>
      <c r="P1544"/>
      <c r="Q1544"/>
    </row>
    <row r="1545" spans="15:17" ht="21.75" customHeight="1" x14ac:dyDescent="0.45">
      <c r="O1545"/>
      <c r="P1545"/>
      <c r="Q1545"/>
    </row>
    <row r="1546" spans="15:17" ht="21.75" customHeight="1" x14ac:dyDescent="0.45">
      <c r="O1546"/>
      <c r="P1546"/>
      <c r="Q1546"/>
    </row>
    <row r="1547" spans="15:17" ht="21.75" customHeight="1" x14ac:dyDescent="0.45">
      <c r="O1547"/>
      <c r="P1547"/>
      <c r="Q1547"/>
    </row>
    <row r="1548" spans="15:17" ht="21.75" customHeight="1" x14ac:dyDescent="0.45">
      <c r="O1548"/>
      <c r="P1548"/>
      <c r="Q1548"/>
    </row>
    <row r="1549" spans="15:17" ht="21.75" customHeight="1" x14ac:dyDescent="0.45">
      <c r="O1549"/>
      <c r="P1549"/>
      <c r="Q1549"/>
    </row>
    <row r="1550" spans="15:17" ht="21.75" customHeight="1" x14ac:dyDescent="0.45">
      <c r="O1550"/>
      <c r="P1550"/>
      <c r="Q1550"/>
    </row>
    <row r="1551" spans="15:17" ht="21.75" customHeight="1" x14ac:dyDescent="0.45">
      <c r="O1551"/>
      <c r="P1551"/>
      <c r="Q1551"/>
    </row>
    <row r="1552" spans="15:17" ht="21.75" customHeight="1" x14ac:dyDescent="0.45">
      <c r="O1552"/>
      <c r="P1552"/>
      <c r="Q1552"/>
    </row>
    <row r="1553" spans="15:17" ht="21.75" customHeight="1" x14ac:dyDescent="0.45">
      <c r="O1553"/>
      <c r="P1553"/>
      <c r="Q1553"/>
    </row>
    <row r="1554" spans="15:17" ht="21.75" customHeight="1" x14ac:dyDescent="0.45">
      <c r="O1554"/>
      <c r="P1554"/>
      <c r="Q1554"/>
    </row>
    <row r="1555" spans="15:17" ht="21.75" customHeight="1" x14ac:dyDescent="0.45">
      <c r="O1555"/>
      <c r="P1555"/>
      <c r="Q1555"/>
    </row>
    <row r="1556" spans="15:17" ht="21.75" customHeight="1" x14ac:dyDescent="0.45">
      <c r="O1556"/>
      <c r="P1556"/>
      <c r="Q1556"/>
    </row>
    <row r="1557" spans="15:17" ht="21.75" customHeight="1" x14ac:dyDescent="0.45">
      <c r="O1557"/>
      <c r="P1557"/>
      <c r="Q1557"/>
    </row>
    <row r="1558" spans="15:17" ht="21.75" customHeight="1" x14ac:dyDescent="0.45">
      <c r="O1558"/>
      <c r="P1558"/>
      <c r="Q1558"/>
    </row>
    <row r="1559" spans="15:17" ht="21.75" customHeight="1" x14ac:dyDescent="0.45">
      <c r="O1559"/>
      <c r="P1559"/>
      <c r="Q1559"/>
    </row>
    <row r="1560" spans="15:17" ht="21.75" customHeight="1" x14ac:dyDescent="0.45">
      <c r="O1560"/>
      <c r="P1560"/>
      <c r="Q1560"/>
    </row>
    <row r="1561" spans="15:17" ht="21.75" customHeight="1" x14ac:dyDescent="0.45">
      <c r="O1561"/>
      <c r="P1561"/>
      <c r="Q1561"/>
    </row>
    <row r="1562" spans="15:17" ht="21.75" customHeight="1" x14ac:dyDescent="0.45">
      <c r="O1562"/>
      <c r="P1562"/>
      <c r="Q1562"/>
    </row>
    <row r="1563" spans="15:17" ht="21.75" customHeight="1" x14ac:dyDescent="0.45">
      <c r="O1563"/>
      <c r="P1563"/>
      <c r="Q1563"/>
    </row>
    <row r="1564" spans="15:17" ht="21.75" customHeight="1" x14ac:dyDescent="0.45">
      <c r="O1564"/>
      <c r="P1564"/>
      <c r="Q1564"/>
    </row>
    <row r="1565" spans="15:17" ht="21.75" customHeight="1" x14ac:dyDescent="0.45">
      <c r="O1565"/>
      <c r="P1565"/>
      <c r="Q1565"/>
    </row>
    <row r="1566" spans="15:17" ht="21.75" customHeight="1" x14ac:dyDescent="0.45">
      <c r="O1566"/>
      <c r="P1566"/>
      <c r="Q1566"/>
    </row>
    <row r="1567" spans="15:17" ht="21.75" customHeight="1" x14ac:dyDescent="0.45">
      <c r="O1567"/>
      <c r="P1567"/>
      <c r="Q1567"/>
    </row>
    <row r="1568" spans="15:17" ht="21.75" customHeight="1" x14ac:dyDescent="0.45">
      <c r="O1568"/>
      <c r="P1568"/>
      <c r="Q1568"/>
    </row>
    <row r="1569" spans="15:17" ht="21.75" customHeight="1" x14ac:dyDescent="0.45">
      <c r="O1569"/>
      <c r="P1569"/>
      <c r="Q1569"/>
    </row>
    <row r="1570" spans="15:17" ht="21.75" customHeight="1" x14ac:dyDescent="0.45">
      <c r="O1570"/>
      <c r="P1570"/>
      <c r="Q1570"/>
    </row>
    <row r="1571" spans="15:17" ht="21.75" customHeight="1" x14ac:dyDescent="0.45">
      <c r="O1571"/>
      <c r="P1571"/>
      <c r="Q1571"/>
    </row>
    <row r="1572" spans="15:17" ht="21.75" customHeight="1" x14ac:dyDescent="0.45">
      <c r="O1572"/>
      <c r="P1572"/>
      <c r="Q1572"/>
    </row>
    <row r="1573" spans="15:17" ht="21.75" customHeight="1" x14ac:dyDescent="0.45">
      <c r="O1573"/>
      <c r="P1573"/>
      <c r="Q1573"/>
    </row>
    <row r="1574" spans="15:17" ht="21.75" customHeight="1" x14ac:dyDescent="0.45">
      <c r="O1574"/>
      <c r="P1574"/>
      <c r="Q1574"/>
    </row>
    <row r="1575" spans="15:17" ht="21.75" customHeight="1" x14ac:dyDescent="0.45">
      <c r="O1575"/>
      <c r="P1575"/>
      <c r="Q1575"/>
    </row>
    <row r="1576" spans="15:17" ht="21.75" customHeight="1" x14ac:dyDescent="0.45">
      <c r="O1576"/>
      <c r="P1576"/>
      <c r="Q1576"/>
    </row>
    <row r="1577" spans="15:17" ht="21.75" customHeight="1" x14ac:dyDescent="0.45">
      <c r="O1577"/>
      <c r="P1577"/>
      <c r="Q1577"/>
    </row>
    <row r="1578" spans="15:17" ht="21.75" customHeight="1" x14ac:dyDescent="0.45">
      <c r="O1578"/>
      <c r="P1578"/>
      <c r="Q1578"/>
    </row>
    <row r="1579" spans="15:17" ht="21.75" customHeight="1" x14ac:dyDescent="0.45">
      <c r="O1579"/>
      <c r="P1579"/>
      <c r="Q1579"/>
    </row>
    <row r="1580" spans="15:17" ht="21.75" customHeight="1" x14ac:dyDescent="0.45">
      <c r="O1580"/>
      <c r="P1580"/>
      <c r="Q1580"/>
    </row>
    <row r="1581" spans="15:17" ht="21.75" customHeight="1" x14ac:dyDescent="0.45">
      <c r="O1581"/>
      <c r="P1581"/>
      <c r="Q1581"/>
    </row>
    <row r="1582" spans="15:17" ht="21.75" customHeight="1" x14ac:dyDescent="0.45">
      <c r="O1582"/>
      <c r="P1582"/>
      <c r="Q1582"/>
    </row>
    <row r="1583" spans="15:17" ht="21.75" customHeight="1" x14ac:dyDescent="0.45">
      <c r="O1583"/>
      <c r="P1583"/>
      <c r="Q1583"/>
    </row>
    <row r="1584" spans="15:17" ht="21.75" customHeight="1" x14ac:dyDescent="0.45">
      <c r="O1584"/>
      <c r="P1584"/>
      <c r="Q1584"/>
    </row>
    <row r="1585" spans="15:17" ht="21.75" customHeight="1" x14ac:dyDescent="0.45">
      <c r="O1585"/>
      <c r="P1585"/>
      <c r="Q1585"/>
    </row>
    <row r="1586" spans="15:17" ht="21.75" customHeight="1" x14ac:dyDescent="0.45">
      <c r="O1586"/>
      <c r="P1586"/>
      <c r="Q1586"/>
    </row>
    <row r="1587" spans="15:17" ht="21.75" customHeight="1" x14ac:dyDescent="0.45">
      <c r="O1587"/>
      <c r="P1587"/>
      <c r="Q1587"/>
    </row>
    <row r="1588" spans="15:17" ht="21.75" customHeight="1" x14ac:dyDescent="0.45">
      <c r="O1588"/>
      <c r="P1588"/>
      <c r="Q1588"/>
    </row>
    <row r="1589" spans="15:17" ht="21.75" customHeight="1" x14ac:dyDescent="0.45">
      <c r="O1589"/>
      <c r="P1589"/>
      <c r="Q1589"/>
    </row>
    <row r="1590" spans="15:17" ht="21.75" customHeight="1" x14ac:dyDescent="0.45">
      <c r="O1590"/>
      <c r="P1590"/>
      <c r="Q1590"/>
    </row>
    <row r="1591" spans="15:17" ht="21.75" customHeight="1" x14ac:dyDescent="0.45">
      <c r="O1591"/>
      <c r="P1591"/>
      <c r="Q1591"/>
    </row>
    <row r="1592" spans="15:17" ht="21.75" customHeight="1" x14ac:dyDescent="0.45">
      <c r="O1592"/>
      <c r="P1592"/>
      <c r="Q1592"/>
    </row>
    <row r="1593" spans="15:17" ht="21.75" customHeight="1" x14ac:dyDescent="0.45">
      <c r="O1593"/>
      <c r="P1593"/>
      <c r="Q1593"/>
    </row>
    <row r="1594" spans="15:17" ht="21.75" customHeight="1" x14ac:dyDescent="0.45">
      <c r="O1594"/>
      <c r="P1594"/>
      <c r="Q1594"/>
    </row>
    <row r="1595" spans="15:17" ht="21.75" customHeight="1" x14ac:dyDescent="0.45">
      <c r="O1595"/>
      <c r="P1595"/>
      <c r="Q1595"/>
    </row>
    <row r="1596" spans="15:17" ht="21.75" customHeight="1" x14ac:dyDescent="0.45">
      <c r="O1596"/>
      <c r="P1596"/>
      <c r="Q1596"/>
    </row>
    <row r="1597" spans="15:17" ht="21.75" customHeight="1" x14ac:dyDescent="0.45">
      <c r="O1597"/>
      <c r="P1597"/>
      <c r="Q1597"/>
    </row>
    <row r="1598" spans="15:17" ht="21.75" customHeight="1" x14ac:dyDescent="0.45">
      <c r="O1598"/>
      <c r="P1598"/>
      <c r="Q1598"/>
    </row>
    <row r="1599" spans="15:17" ht="21.75" customHeight="1" x14ac:dyDescent="0.45">
      <c r="O1599"/>
      <c r="P1599"/>
      <c r="Q1599"/>
    </row>
    <row r="1600" spans="15:17" ht="21.75" customHeight="1" x14ac:dyDescent="0.45">
      <c r="O1600"/>
      <c r="P1600"/>
      <c r="Q1600"/>
    </row>
    <row r="1601" spans="15:17" ht="21.75" customHeight="1" x14ac:dyDescent="0.45">
      <c r="O1601"/>
      <c r="P1601"/>
      <c r="Q1601"/>
    </row>
    <row r="1602" spans="15:17" ht="21.75" customHeight="1" x14ac:dyDescent="0.45">
      <c r="O1602"/>
      <c r="P1602"/>
      <c r="Q1602"/>
    </row>
    <row r="1603" spans="15:17" ht="21.75" customHeight="1" x14ac:dyDescent="0.45">
      <c r="O1603"/>
      <c r="P1603"/>
      <c r="Q1603"/>
    </row>
    <row r="1604" spans="15:17" ht="21.75" customHeight="1" x14ac:dyDescent="0.45">
      <c r="O1604"/>
      <c r="P1604"/>
      <c r="Q1604"/>
    </row>
    <row r="1605" spans="15:17" ht="21.75" customHeight="1" x14ac:dyDescent="0.45">
      <c r="O1605"/>
      <c r="P1605"/>
      <c r="Q1605"/>
    </row>
    <row r="1606" spans="15:17" ht="21.75" customHeight="1" x14ac:dyDescent="0.45">
      <c r="O1606"/>
      <c r="P1606"/>
      <c r="Q1606"/>
    </row>
    <row r="1607" spans="15:17" ht="21.75" customHeight="1" x14ac:dyDescent="0.45">
      <c r="O1607"/>
      <c r="P1607"/>
      <c r="Q1607"/>
    </row>
    <row r="1608" spans="15:17" ht="21.75" customHeight="1" x14ac:dyDescent="0.45">
      <c r="O1608"/>
      <c r="P1608"/>
      <c r="Q1608"/>
    </row>
    <row r="1609" spans="15:17" ht="21.75" customHeight="1" x14ac:dyDescent="0.45">
      <c r="O1609"/>
      <c r="P1609"/>
      <c r="Q1609"/>
    </row>
    <row r="1610" spans="15:17" ht="21.75" customHeight="1" x14ac:dyDescent="0.45">
      <c r="O1610"/>
      <c r="P1610"/>
      <c r="Q1610"/>
    </row>
    <row r="1611" spans="15:17" ht="21.75" customHeight="1" x14ac:dyDescent="0.45">
      <c r="O1611"/>
      <c r="P1611"/>
      <c r="Q1611"/>
    </row>
    <row r="1612" spans="15:17" ht="21.75" customHeight="1" x14ac:dyDescent="0.45">
      <c r="O1612"/>
      <c r="P1612"/>
      <c r="Q1612"/>
    </row>
    <row r="1613" spans="15:17" ht="21.75" customHeight="1" x14ac:dyDescent="0.45">
      <c r="O1613"/>
      <c r="P1613"/>
      <c r="Q1613"/>
    </row>
    <row r="1614" spans="15:17" ht="21.75" customHeight="1" x14ac:dyDescent="0.45">
      <c r="O1614"/>
      <c r="P1614"/>
      <c r="Q1614"/>
    </row>
    <row r="1615" spans="15:17" ht="21.75" customHeight="1" x14ac:dyDescent="0.45">
      <c r="O1615"/>
      <c r="P1615"/>
      <c r="Q1615"/>
    </row>
    <row r="1616" spans="15:17" ht="21.75" customHeight="1" x14ac:dyDescent="0.45">
      <c r="O1616"/>
      <c r="P1616"/>
      <c r="Q1616"/>
    </row>
    <row r="1617" spans="15:17" ht="21.75" customHeight="1" x14ac:dyDescent="0.45">
      <c r="O1617"/>
      <c r="P1617"/>
      <c r="Q1617"/>
    </row>
    <row r="1618" spans="15:17" ht="21.75" customHeight="1" x14ac:dyDescent="0.45">
      <c r="O1618"/>
      <c r="P1618"/>
      <c r="Q1618"/>
    </row>
    <row r="1619" spans="15:17" ht="21.75" customHeight="1" x14ac:dyDescent="0.45">
      <c r="O1619"/>
      <c r="P1619"/>
      <c r="Q1619"/>
    </row>
    <row r="1620" spans="15:17" ht="21.75" customHeight="1" x14ac:dyDescent="0.45">
      <c r="O1620"/>
      <c r="P1620"/>
      <c r="Q1620"/>
    </row>
    <row r="1621" spans="15:17" ht="21.75" customHeight="1" x14ac:dyDescent="0.45">
      <c r="O1621"/>
      <c r="P1621"/>
      <c r="Q1621"/>
    </row>
    <row r="1622" spans="15:17" ht="21.75" customHeight="1" x14ac:dyDescent="0.45">
      <c r="O1622"/>
      <c r="P1622"/>
      <c r="Q1622"/>
    </row>
    <row r="1623" spans="15:17" ht="21.75" customHeight="1" x14ac:dyDescent="0.45">
      <c r="O1623"/>
      <c r="P1623"/>
      <c r="Q1623"/>
    </row>
    <row r="1624" spans="15:17" ht="21.75" customHeight="1" x14ac:dyDescent="0.45">
      <c r="O1624"/>
      <c r="P1624"/>
      <c r="Q1624"/>
    </row>
    <row r="1625" spans="15:17" ht="21.75" customHeight="1" x14ac:dyDescent="0.45">
      <c r="O1625"/>
      <c r="P1625"/>
      <c r="Q1625"/>
    </row>
    <row r="1626" spans="15:17" ht="21.75" customHeight="1" x14ac:dyDescent="0.45">
      <c r="O1626"/>
      <c r="P1626"/>
      <c r="Q1626"/>
    </row>
    <row r="1627" spans="15:17" ht="21.75" customHeight="1" x14ac:dyDescent="0.45">
      <c r="O1627"/>
      <c r="P1627"/>
      <c r="Q1627"/>
    </row>
    <row r="1628" spans="15:17" ht="21.75" customHeight="1" x14ac:dyDescent="0.45">
      <c r="O1628"/>
      <c r="P1628"/>
      <c r="Q1628"/>
    </row>
    <row r="1629" spans="15:17" ht="21.75" customHeight="1" x14ac:dyDescent="0.45">
      <c r="O1629"/>
      <c r="P1629"/>
      <c r="Q1629"/>
    </row>
    <row r="1630" spans="15:17" ht="21.75" customHeight="1" x14ac:dyDescent="0.45">
      <c r="O1630"/>
      <c r="P1630"/>
      <c r="Q1630"/>
    </row>
    <row r="1631" spans="15:17" ht="21.75" customHeight="1" x14ac:dyDescent="0.45">
      <c r="O1631"/>
      <c r="P1631"/>
      <c r="Q1631"/>
    </row>
    <row r="1632" spans="15:17" ht="21.75" customHeight="1" x14ac:dyDescent="0.45">
      <c r="O1632"/>
      <c r="P1632"/>
      <c r="Q1632"/>
    </row>
    <row r="1633" spans="15:17" ht="21.75" customHeight="1" x14ac:dyDescent="0.45">
      <c r="O1633"/>
      <c r="P1633"/>
      <c r="Q1633"/>
    </row>
    <row r="1634" spans="15:17" ht="21.75" customHeight="1" x14ac:dyDescent="0.45">
      <c r="O1634"/>
      <c r="P1634"/>
      <c r="Q1634"/>
    </row>
    <row r="1635" spans="15:17" ht="21.75" customHeight="1" x14ac:dyDescent="0.45">
      <c r="O1635"/>
      <c r="P1635"/>
      <c r="Q1635"/>
    </row>
    <row r="1636" spans="15:17" ht="21.75" customHeight="1" x14ac:dyDescent="0.45">
      <c r="O1636"/>
      <c r="P1636"/>
      <c r="Q1636"/>
    </row>
    <row r="1637" spans="15:17" ht="21.75" customHeight="1" x14ac:dyDescent="0.45">
      <c r="O1637"/>
      <c r="P1637"/>
      <c r="Q1637"/>
    </row>
    <row r="1638" spans="15:17" ht="21.75" customHeight="1" x14ac:dyDescent="0.45">
      <c r="O1638"/>
      <c r="P1638"/>
      <c r="Q1638"/>
    </row>
    <row r="1639" spans="15:17" ht="21.75" customHeight="1" x14ac:dyDescent="0.45">
      <c r="O1639"/>
      <c r="P1639"/>
      <c r="Q1639"/>
    </row>
    <row r="1640" spans="15:17" ht="21.75" customHeight="1" x14ac:dyDescent="0.45">
      <c r="O1640"/>
      <c r="P1640"/>
      <c r="Q1640"/>
    </row>
    <row r="1641" spans="15:17" ht="21.75" customHeight="1" x14ac:dyDescent="0.45">
      <c r="O1641"/>
      <c r="P1641"/>
      <c r="Q1641"/>
    </row>
    <row r="1642" spans="15:17" ht="21.75" customHeight="1" x14ac:dyDescent="0.45">
      <c r="O1642"/>
      <c r="P1642"/>
      <c r="Q1642"/>
    </row>
    <row r="1643" spans="15:17" ht="21.75" customHeight="1" x14ac:dyDescent="0.45">
      <c r="O1643"/>
      <c r="P1643"/>
      <c r="Q1643"/>
    </row>
    <row r="1644" spans="15:17" ht="21.75" customHeight="1" x14ac:dyDescent="0.45">
      <c r="O1644"/>
      <c r="P1644"/>
      <c r="Q1644"/>
    </row>
    <row r="1645" spans="15:17" ht="21.75" customHeight="1" x14ac:dyDescent="0.45">
      <c r="O1645"/>
      <c r="P1645"/>
      <c r="Q1645"/>
    </row>
    <row r="1646" spans="15:17" ht="21.75" customHeight="1" x14ac:dyDescent="0.45">
      <c r="O1646"/>
      <c r="P1646"/>
      <c r="Q1646"/>
    </row>
    <row r="1647" spans="15:17" ht="21.75" customHeight="1" x14ac:dyDescent="0.45">
      <c r="O1647"/>
      <c r="P1647"/>
      <c r="Q1647"/>
    </row>
    <row r="1648" spans="15:17" ht="21.75" customHeight="1" x14ac:dyDescent="0.45">
      <c r="O1648"/>
      <c r="P1648"/>
      <c r="Q1648"/>
    </row>
    <row r="1649" spans="15:17" ht="21.75" customHeight="1" x14ac:dyDescent="0.45">
      <c r="O1649"/>
      <c r="P1649"/>
      <c r="Q1649"/>
    </row>
    <row r="1650" spans="15:17" ht="21.75" customHeight="1" x14ac:dyDescent="0.45">
      <c r="O1650"/>
      <c r="P1650"/>
      <c r="Q1650"/>
    </row>
    <row r="1651" spans="15:17" ht="21.75" customHeight="1" x14ac:dyDescent="0.45">
      <c r="O1651"/>
      <c r="P1651"/>
      <c r="Q1651"/>
    </row>
    <row r="1652" spans="15:17" ht="21.75" customHeight="1" x14ac:dyDescent="0.45">
      <c r="O1652"/>
      <c r="P1652"/>
      <c r="Q1652"/>
    </row>
    <row r="1653" spans="15:17" ht="21.75" customHeight="1" x14ac:dyDescent="0.45">
      <c r="O1653"/>
      <c r="P1653"/>
      <c r="Q1653"/>
    </row>
    <row r="1654" spans="15:17" ht="21.75" customHeight="1" x14ac:dyDescent="0.45">
      <c r="O1654"/>
      <c r="P1654"/>
      <c r="Q1654"/>
    </row>
    <row r="1655" spans="15:17" ht="21.75" customHeight="1" x14ac:dyDescent="0.45">
      <c r="O1655"/>
      <c r="P1655"/>
      <c r="Q1655"/>
    </row>
    <row r="1656" spans="15:17" ht="21.75" customHeight="1" x14ac:dyDescent="0.45">
      <c r="O1656"/>
      <c r="P1656"/>
      <c r="Q1656"/>
    </row>
    <row r="1657" spans="15:17" ht="21.75" customHeight="1" x14ac:dyDescent="0.45">
      <c r="O1657"/>
      <c r="P1657"/>
      <c r="Q1657"/>
    </row>
    <row r="1658" spans="15:17" ht="21.75" customHeight="1" x14ac:dyDescent="0.45">
      <c r="O1658"/>
      <c r="P1658"/>
      <c r="Q1658"/>
    </row>
    <row r="1659" spans="15:17" ht="21.75" customHeight="1" x14ac:dyDescent="0.45">
      <c r="O1659"/>
      <c r="P1659"/>
      <c r="Q1659"/>
    </row>
    <row r="1660" spans="15:17" ht="21.75" customHeight="1" x14ac:dyDescent="0.45">
      <c r="O1660"/>
      <c r="P1660"/>
      <c r="Q1660"/>
    </row>
    <row r="1661" spans="15:17" ht="21.75" customHeight="1" x14ac:dyDescent="0.45">
      <c r="O1661"/>
      <c r="P1661"/>
      <c r="Q1661"/>
    </row>
    <row r="1662" spans="15:17" ht="21.75" customHeight="1" x14ac:dyDescent="0.45">
      <c r="O1662"/>
      <c r="P1662"/>
      <c r="Q1662"/>
    </row>
    <row r="1663" spans="15:17" ht="21.75" customHeight="1" x14ac:dyDescent="0.45">
      <c r="O1663"/>
      <c r="P1663"/>
      <c r="Q1663"/>
    </row>
    <row r="1664" spans="15:17" ht="21.75" customHeight="1" x14ac:dyDescent="0.45">
      <c r="O1664"/>
      <c r="P1664"/>
      <c r="Q1664"/>
    </row>
    <row r="1665" spans="15:17" ht="21.75" customHeight="1" x14ac:dyDescent="0.45">
      <c r="O1665"/>
      <c r="P1665"/>
      <c r="Q1665"/>
    </row>
    <row r="1666" spans="15:17" ht="21.75" customHeight="1" x14ac:dyDescent="0.45">
      <c r="O1666"/>
      <c r="P1666"/>
      <c r="Q1666"/>
    </row>
    <row r="1667" spans="15:17" ht="21.75" customHeight="1" x14ac:dyDescent="0.45">
      <c r="O1667"/>
      <c r="P1667"/>
      <c r="Q1667"/>
    </row>
    <row r="1668" spans="15:17" ht="21.75" customHeight="1" x14ac:dyDescent="0.45">
      <c r="O1668"/>
      <c r="P1668"/>
      <c r="Q1668"/>
    </row>
    <row r="1669" spans="15:17" ht="21.75" customHeight="1" x14ac:dyDescent="0.45">
      <c r="O1669"/>
      <c r="P1669"/>
      <c r="Q1669"/>
    </row>
    <row r="1670" spans="15:17" ht="21.75" customHeight="1" x14ac:dyDescent="0.45">
      <c r="O1670"/>
      <c r="P1670"/>
      <c r="Q1670"/>
    </row>
    <row r="1671" spans="15:17" ht="21.75" customHeight="1" x14ac:dyDescent="0.45">
      <c r="O1671"/>
      <c r="P1671"/>
      <c r="Q1671"/>
    </row>
    <row r="1672" spans="15:17" ht="21.75" customHeight="1" x14ac:dyDescent="0.45">
      <c r="O1672"/>
      <c r="P1672"/>
      <c r="Q1672"/>
    </row>
    <row r="1673" spans="15:17" ht="21.75" customHeight="1" x14ac:dyDescent="0.45">
      <c r="O1673"/>
      <c r="P1673"/>
      <c r="Q1673"/>
    </row>
    <row r="1674" spans="15:17" ht="21.75" customHeight="1" x14ac:dyDescent="0.45">
      <c r="O1674"/>
      <c r="P1674"/>
      <c r="Q1674"/>
    </row>
    <row r="1675" spans="15:17" ht="21.75" customHeight="1" x14ac:dyDescent="0.45">
      <c r="O1675"/>
      <c r="P1675"/>
      <c r="Q1675"/>
    </row>
    <row r="1676" spans="15:17" ht="21.75" customHeight="1" x14ac:dyDescent="0.45">
      <c r="O1676"/>
      <c r="P1676"/>
      <c r="Q1676"/>
    </row>
    <row r="1677" spans="15:17" ht="21.75" customHeight="1" x14ac:dyDescent="0.45">
      <c r="O1677"/>
      <c r="P1677"/>
      <c r="Q1677"/>
    </row>
    <row r="1678" spans="15:17" ht="21.75" customHeight="1" x14ac:dyDescent="0.45">
      <c r="O1678"/>
      <c r="P1678"/>
      <c r="Q1678"/>
    </row>
    <row r="1679" spans="15:17" ht="21.75" customHeight="1" x14ac:dyDescent="0.45">
      <c r="O1679"/>
      <c r="P1679"/>
      <c r="Q1679"/>
    </row>
    <row r="1680" spans="15:17" ht="21.75" customHeight="1" x14ac:dyDescent="0.45">
      <c r="O1680"/>
      <c r="P1680"/>
      <c r="Q1680"/>
    </row>
    <row r="1681" spans="15:17" ht="21.75" customHeight="1" x14ac:dyDescent="0.45">
      <c r="O1681"/>
      <c r="P1681"/>
      <c r="Q1681"/>
    </row>
    <row r="1682" spans="15:17" ht="21.75" customHeight="1" x14ac:dyDescent="0.45">
      <c r="O1682"/>
      <c r="P1682"/>
      <c r="Q1682"/>
    </row>
    <row r="1683" spans="15:17" ht="21.75" customHeight="1" x14ac:dyDescent="0.45">
      <c r="O1683"/>
      <c r="P1683"/>
      <c r="Q1683"/>
    </row>
    <row r="1684" spans="15:17" ht="21.75" customHeight="1" x14ac:dyDescent="0.45">
      <c r="O1684"/>
      <c r="P1684"/>
      <c r="Q1684"/>
    </row>
    <row r="1685" spans="15:17" ht="21.75" customHeight="1" x14ac:dyDescent="0.45">
      <c r="O1685"/>
      <c r="P1685"/>
      <c r="Q1685"/>
    </row>
    <row r="1686" spans="15:17" ht="21.75" customHeight="1" x14ac:dyDescent="0.45">
      <c r="O1686"/>
      <c r="P1686"/>
      <c r="Q1686"/>
    </row>
    <row r="1687" spans="15:17" ht="21.75" customHeight="1" x14ac:dyDescent="0.45">
      <c r="O1687"/>
      <c r="P1687"/>
      <c r="Q1687"/>
    </row>
    <row r="1688" spans="15:17" ht="21.75" customHeight="1" x14ac:dyDescent="0.45">
      <c r="O1688"/>
      <c r="P1688"/>
      <c r="Q1688"/>
    </row>
    <row r="1689" spans="15:17" ht="21.75" customHeight="1" x14ac:dyDescent="0.45">
      <c r="O1689"/>
      <c r="P1689"/>
      <c r="Q1689"/>
    </row>
    <row r="1690" spans="15:17" ht="21.75" customHeight="1" x14ac:dyDescent="0.45">
      <c r="O1690"/>
      <c r="P1690"/>
      <c r="Q1690"/>
    </row>
    <row r="1691" spans="15:17" ht="21.75" customHeight="1" x14ac:dyDescent="0.45">
      <c r="O1691"/>
      <c r="P1691"/>
      <c r="Q1691"/>
    </row>
    <row r="1692" spans="15:17" ht="21.75" customHeight="1" x14ac:dyDescent="0.45">
      <c r="O1692"/>
      <c r="P1692"/>
      <c r="Q1692"/>
    </row>
    <row r="1693" spans="15:17" ht="21.75" customHeight="1" x14ac:dyDescent="0.45">
      <c r="O1693"/>
      <c r="P1693"/>
      <c r="Q1693"/>
    </row>
    <row r="1694" spans="15:17" ht="21.75" customHeight="1" x14ac:dyDescent="0.45">
      <c r="O1694"/>
      <c r="P1694"/>
      <c r="Q1694"/>
    </row>
    <row r="1695" spans="15:17" ht="21.75" customHeight="1" x14ac:dyDescent="0.45">
      <c r="O1695"/>
      <c r="P1695"/>
      <c r="Q1695"/>
    </row>
    <row r="1696" spans="15:17" ht="21.75" customHeight="1" x14ac:dyDescent="0.45">
      <c r="O1696"/>
      <c r="P1696"/>
      <c r="Q1696"/>
    </row>
    <row r="1697" spans="15:17" ht="21.75" customHeight="1" x14ac:dyDescent="0.45">
      <c r="O1697"/>
      <c r="P1697"/>
      <c r="Q1697"/>
    </row>
    <row r="1698" spans="15:17" ht="21.75" customHeight="1" x14ac:dyDescent="0.45">
      <c r="O1698"/>
      <c r="P1698"/>
      <c r="Q1698"/>
    </row>
    <row r="1699" spans="15:17" ht="21.75" customHeight="1" x14ac:dyDescent="0.45">
      <c r="O1699"/>
      <c r="P1699"/>
      <c r="Q1699"/>
    </row>
    <row r="1700" spans="15:17" ht="21.75" customHeight="1" x14ac:dyDescent="0.45">
      <c r="O1700"/>
      <c r="P1700"/>
      <c r="Q1700"/>
    </row>
    <row r="1701" spans="15:17" ht="21.75" customHeight="1" x14ac:dyDescent="0.45">
      <c r="O1701"/>
      <c r="P1701"/>
      <c r="Q1701"/>
    </row>
    <row r="1702" spans="15:17" ht="21.75" customHeight="1" x14ac:dyDescent="0.45">
      <c r="O1702"/>
      <c r="P1702"/>
      <c r="Q1702"/>
    </row>
    <row r="1703" spans="15:17" ht="21.75" customHeight="1" x14ac:dyDescent="0.45">
      <c r="O1703"/>
      <c r="P1703"/>
      <c r="Q1703"/>
    </row>
    <row r="1704" spans="15:17" ht="21.75" customHeight="1" x14ac:dyDescent="0.45">
      <c r="O1704"/>
      <c r="P1704"/>
      <c r="Q1704"/>
    </row>
    <row r="1705" spans="15:17" ht="21.75" customHeight="1" x14ac:dyDescent="0.45">
      <c r="O1705"/>
      <c r="P1705"/>
      <c r="Q1705"/>
    </row>
    <row r="1706" spans="15:17" ht="21.75" customHeight="1" x14ac:dyDescent="0.45">
      <c r="O1706"/>
      <c r="P1706"/>
      <c r="Q1706"/>
    </row>
    <row r="1707" spans="15:17" ht="21.75" customHeight="1" x14ac:dyDescent="0.45">
      <c r="O1707"/>
      <c r="P1707"/>
      <c r="Q1707"/>
    </row>
    <row r="1708" spans="15:17" ht="21.75" customHeight="1" x14ac:dyDescent="0.45">
      <c r="O1708"/>
      <c r="P1708"/>
      <c r="Q1708"/>
    </row>
    <row r="1709" spans="15:17" ht="21.75" customHeight="1" x14ac:dyDescent="0.45">
      <c r="O1709"/>
      <c r="P1709"/>
      <c r="Q1709"/>
    </row>
    <row r="1710" spans="15:17" ht="21.75" customHeight="1" x14ac:dyDescent="0.45">
      <c r="O1710"/>
      <c r="P1710"/>
      <c r="Q1710"/>
    </row>
    <row r="1711" spans="15:17" ht="21.75" customHeight="1" x14ac:dyDescent="0.45">
      <c r="O1711"/>
      <c r="P1711"/>
      <c r="Q1711"/>
    </row>
    <row r="1712" spans="15:17" ht="21.75" customHeight="1" x14ac:dyDescent="0.45">
      <c r="O1712"/>
      <c r="P1712"/>
      <c r="Q1712"/>
    </row>
    <row r="1713" spans="15:17" ht="21.75" customHeight="1" x14ac:dyDescent="0.45">
      <c r="O1713"/>
      <c r="P1713"/>
      <c r="Q1713"/>
    </row>
    <row r="1714" spans="15:17" ht="21.75" customHeight="1" x14ac:dyDescent="0.45">
      <c r="O1714"/>
      <c r="P1714"/>
      <c r="Q1714"/>
    </row>
    <row r="1715" spans="15:17" ht="21.75" customHeight="1" x14ac:dyDescent="0.45">
      <c r="O1715"/>
      <c r="P1715"/>
      <c r="Q1715"/>
    </row>
    <row r="1716" spans="15:17" ht="21.75" customHeight="1" x14ac:dyDescent="0.45">
      <c r="O1716"/>
      <c r="P1716"/>
      <c r="Q1716"/>
    </row>
    <row r="1717" spans="15:17" ht="21.75" customHeight="1" x14ac:dyDescent="0.45">
      <c r="O1717"/>
      <c r="P1717"/>
      <c r="Q1717"/>
    </row>
    <row r="1718" spans="15:17" ht="21.75" customHeight="1" x14ac:dyDescent="0.45">
      <c r="O1718"/>
      <c r="P1718"/>
      <c r="Q1718"/>
    </row>
    <row r="1719" spans="15:17" ht="21.75" customHeight="1" x14ac:dyDescent="0.45">
      <c r="O1719"/>
      <c r="P1719"/>
      <c r="Q1719"/>
    </row>
    <row r="1720" spans="15:17" ht="21.75" customHeight="1" x14ac:dyDescent="0.45">
      <c r="O1720"/>
      <c r="P1720"/>
      <c r="Q1720"/>
    </row>
    <row r="1721" spans="15:17" ht="21.75" customHeight="1" x14ac:dyDescent="0.45">
      <c r="O1721"/>
      <c r="P1721"/>
      <c r="Q1721"/>
    </row>
    <row r="1722" spans="15:17" ht="21.75" customHeight="1" x14ac:dyDescent="0.45">
      <c r="O1722"/>
      <c r="P1722"/>
      <c r="Q1722"/>
    </row>
    <row r="1723" spans="15:17" ht="21.75" customHeight="1" x14ac:dyDescent="0.45">
      <c r="O1723"/>
      <c r="P1723"/>
      <c r="Q1723"/>
    </row>
    <row r="1724" spans="15:17" ht="21.75" customHeight="1" x14ac:dyDescent="0.45">
      <c r="O1724"/>
      <c r="P1724"/>
      <c r="Q1724"/>
    </row>
    <row r="1725" spans="15:17" ht="21.75" customHeight="1" x14ac:dyDescent="0.45">
      <c r="O1725"/>
      <c r="P1725"/>
      <c r="Q1725"/>
    </row>
    <row r="1726" spans="15:17" ht="21.75" customHeight="1" x14ac:dyDescent="0.45">
      <c r="O1726"/>
      <c r="P1726"/>
      <c r="Q1726"/>
    </row>
    <row r="1727" spans="15:17" ht="21.75" customHeight="1" x14ac:dyDescent="0.45">
      <c r="O1727"/>
      <c r="P1727"/>
      <c r="Q1727"/>
    </row>
    <row r="1728" spans="15:17" ht="21.75" customHeight="1" x14ac:dyDescent="0.45">
      <c r="O1728"/>
      <c r="P1728"/>
      <c r="Q1728"/>
    </row>
    <row r="1729" spans="15:17" ht="21.75" customHeight="1" x14ac:dyDescent="0.45">
      <c r="O1729"/>
      <c r="P1729"/>
      <c r="Q1729"/>
    </row>
    <row r="1730" spans="15:17" ht="21.75" customHeight="1" x14ac:dyDescent="0.45">
      <c r="O1730"/>
      <c r="P1730"/>
      <c r="Q1730"/>
    </row>
    <row r="1731" spans="15:17" ht="21.75" customHeight="1" x14ac:dyDescent="0.45">
      <c r="O1731"/>
      <c r="P1731"/>
      <c r="Q1731"/>
    </row>
    <row r="1732" spans="15:17" ht="21.75" customHeight="1" x14ac:dyDescent="0.45">
      <c r="O1732"/>
      <c r="P1732"/>
      <c r="Q1732"/>
    </row>
    <row r="1733" spans="15:17" ht="21.75" customHeight="1" x14ac:dyDescent="0.45">
      <c r="O1733"/>
      <c r="P1733"/>
      <c r="Q1733"/>
    </row>
    <row r="1734" spans="15:17" ht="21.75" customHeight="1" x14ac:dyDescent="0.45">
      <c r="O1734"/>
      <c r="P1734"/>
      <c r="Q1734"/>
    </row>
    <row r="1735" spans="15:17" ht="21.75" customHeight="1" x14ac:dyDescent="0.45">
      <c r="O1735"/>
      <c r="P1735"/>
      <c r="Q1735"/>
    </row>
    <row r="1736" spans="15:17" ht="21.75" customHeight="1" x14ac:dyDescent="0.45">
      <c r="O1736"/>
      <c r="P1736"/>
      <c r="Q1736"/>
    </row>
    <row r="1737" spans="15:17" ht="21.75" customHeight="1" x14ac:dyDescent="0.45">
      <c r="O1737"/>
      <c r="P1737"/>
      <c r="Q1737"/>
    </row>
    <row r="1738" spans="15:17" ht="21.75" customHeight="1" x14ac:dyDescent="0.45">
      <c r="O1738"/>
      <c r="P1738"/>
      <c r="Q1738"/>
    </row>
    <row r="1739" spans="15:17" ht="21.75" customHeight="1" x14ac:dyDescent="0.45">
      <c r="O1739"/>
      <c r="P1739"/>
      <c r="Q1739"/>
    </row>
    <row r="1740" spans="15:17" ht="21.75" customHeight="1" x14ac:dyDescent="0.45">
      <c r="O1740"/>
      <c r="P1740"/>
      <c r="Q1740"/>
    </row>
    <row r="1741" spans="15:17" ht="21.75" customHeight="1" x14ac:dyDescent="0.45">
      <c r="O1741"/>
      <c r="P1741"/>
      <c r="Q1741"/>
    </row>
    <row r="1742" spans="15:17" ht="21.75" customHeight="1" x14ac:dyDescent="0.45">
      <c r="O1742"/>
      <c r="P1742"/>
      <c r="Q1742"/>
    </row>
    <row r="1743" spans="15:17" ht="21.75" customHeight="1" x14ac:dyDescent="0.45">
      <c r="O1743"/>
      <c r="P1743"/>
      <c r="Q1743"/>
    </row>
    <row r="1744" spans="15:17" ht="21.75" customHeight="1" x14ac:dyDescent="0.45">
      <c r="O1744"/>
      <c r="P1744"/>
      <c r="Q1744"/>
    </row>
    <row r="1745" spans="15:17" ht="21.75" customHeight="1" x14ac:dyDescent="0.45">
      <c r="O1745"/>
      <c r="P1745"/>
      <c r="Q1745"/>
    </row>
    <row r="1746" spans="15:17" ht="21.75" customHeight="1" x14ac:dyDescent="0.45">
      <c r="O1746"/>
      <c r="P1746"/>
      <c r="Q1746"/>
    </row>
    <row r="1747" spans="15:17" ht="21.75" customHeight="1" x14ac:dyDescent="0.45">
      <c r="O1747"/>
      <c r="P1747"/>
      <c r="Q1747"/>
    </row>
    <row r="1748" spans="15:17" ht="21.75" customHeight="1" x14ac:dyDescent="0.45">
      <c r="O1748"/>
      <c r="P1748"/>
      <c r="Q1748"/>
    </row>
    <row r="1749" spans="15:17" ht="21.75" customHeight="1" x14ac:dyDescent="0.45">
      <c r="O1749"/>
      <c r="P1749"/>
      <c r="Q1749"/>
    </row>
    <row r="1750" spans="15:17" ht="21.75" customHeight="1" x14ac:dyDescent="0.45">
      <c r="O1750"/>
      <c r="P1750"/>
      <c r="Q1750"/>
    </row>
    <row r="1751" spans="15:17" ht="21.75" customHeight="1" x14ac:dyDescent="0.45">
      <c r="O1751"/>
      <c r="P1751"/>
      <c r="Q1751"/>
    </row>
    <row r="1752" spans="15:17" ht="21.75" customHeight="1" x14ac:dyDescent="0.45">
      <c r="O1752"/>
      <c r="P1752"/>
      <c r="Q1752"/>
    </row>
    <row r="1753" spans="15:17" ht="21.75" customHeight="1" x14ac:dyDescent="0.45">
      <c r="O1753"/>
      <c r="P1753"/>
      <c r="Q1753"/>
    </row>
    <row r="1754" spans="15:17" ht="21.75" customHeight="1" x14ac:dyDescent="0.45">
      <c r="O1754"/>
      <c r="P1754"/>
      <c r="Q1754"/>
    </row>
    <row r="1755" spans="15:17" ht="21.75" customHeight="1" x14ac:dyDescent="0.45">
      <c r="O1755"/>
      <c r="P1755"/>
      <c r="Q1755"/>
    </row>
    <row r="1756" spans="15:17" ht="21.75" customHeight="1" x14ac:dyDescent="0.45">
      <c r="O1756"/>
      <c r="P1756"/>
      <c r="Q1756"/>
    </row>
    <row r="1757" spans="15:17" ht="21.75" customHeight="1" x14ac:dyDescent="0.45">
      <c r="O1757"/>
      <c r="P1757"/>
      <c r="Q1757"/>
    </row>
    <row r="1758" spans="15:17" ht="21.75" customHeight="1" x14ac:dyDescent="0.45">
      <c r="O1758"/>
      <c r="P1758"/>
      <c r="Q1758"/>
    </row>
    <row r="1759" spans="15:17" ht="21.75" customHeight="1" x14ac:dyDescent="0.45">
      <c r="O1759"/>
      <c r="P1759"/>
      <c r="Q1759"/>
    </row>
    <row r="1760" spans="15:17" ht="21.75" customHeight="1" x14ac:dyDescent="0.45">
      <c r="O1760"/>
      <c r="P1760"/>
      <c r="Q1760"/>
    </row>
    <row r="1761" spans="15:17" ht="21.75" customHeight="1" x14ac:dyDescent="0.45">
      <c r="O1761"/>
      <c r="P1761"/>
      <c r="Q1761"/>
    </row>
    <row r="1762" spans="15:17" ht="21.75" customHeight="1" x14ac:dyDescent="0.45">
      <c r="O1762"/>
      <c r="P1762"/>
      <c r="Q1762"/>
    </row>
    <row r="1763" spans="15:17" ht="21.75" customHeight="1" x14ac:dyDescent="0.45">
      <c r="O1763"/>
      <c r="P1763"/>
      <c r="Q1763"/>
    </row>
    <row r="1764" spans="15:17" ht="21.75" customHeight="1" x14ac:dyDescent="0.45">
      <c r="O1764"/>
      <c r="P1764"/>
      <c r="Q1764"/>
    </row>
    <row r="1765" spans="15:17" ht="21.75" customHeight="1" x14ac:dyDescent="0.45">
      <c r="O1765"/>
      <c r="P1765"/>
      <c r="Q1765"/>
    </row>
    <row r="1766" spans="15:17" ht="21.75" customHeight="1" x14ac:dyDescent="0.45">
      <c r="O1766"/>
      <c r="P1766"/>
      <c r="Q1766"/>
    </row>
    <row r="1767" spans="15:17" ht="21.75" customHeight="1" x14ac:dyDescent="0.45">
      <c r="O1767"/>
      <c r="P1767"/>
      <c r="Q1767"/>
    </row>
    <row r="1768" spans="15:17" ht="21.75" customHeight="1" x14ac:dyDescent="0.45">
      <c r="O1768"/>
      <c r="P1768"/>
      <c r="Q1768"/>
    </row>
    <row r="1769" spans="15:17" ht="21.75" customHeight="1" x14ac:dyDescent="0.45">
      <c r="O1769"/>
      <c r="P1769"/>
      <c r="Q1769"/>
    </row>
    <row r="1770" spans="15:17" ht="21.75" customHeight="1" x14ac:dyDescent="0.45">
      <c r="O1770"/>
      <c r="P1770"/>
      <c r="Q1770"/>
    </row>
    <row r="1771" spans="15:17" ht="21.75" customHeight="1" x14ac:dyDescent="0.45">
      <c r="O1771"/>
      <c r="P1771"/>
      <c r="Q1771"/>
    </row>
    <row r="1772" spans="15:17" ht="21.75" customHeight="1" x14ac:dyDescent="0.45">
      <c r="O1772"/>
      <c r="P1772"/>
      <c r="Q1772"/>
    </row>
    <row r="1773" spans="15:17" ht="21.75" customHeight="1" x14ac:dyDescent="0.45">
      <c r="O1773"/>
      <c r="P1773"/>
      <c r="Q1773"/>
    </row>
    <row r="1774" spans="15:17" ht="21.75" customHeight="1" x14ac:dyDescent="0.45">
      <c r="O1774"/>
      <c r="P1774"/>
      <c r="Q1774"/>
    </row>
    <row r="1775" spans="15:17" ht="21.75" customHeight="1" x14ac:dyDescent="0.45">
      <c r="O1775"/>
      <c r="P1775"/>
      <c r="Q1775"/>
    </row>
    <row r="1776" spans="15:17" ht="21.75" customHeight="1" x14ac:dyDescent="0.45">
      <c r="O1776"/>
      <c r="P1776"/>
      <c r="Q1776"/>
    </row>
    <row r="1777" spans="15:17" ht="21.75" customHeight="1" x14ac:dyDescent="0.45">
      <c r="O1777"/>
      <c r="P1777"/>
      <c r="Q1777"/>
    </row>
    <row r="1778" spans="15:17" ht="21.75" customHeight="1" x14ac:dyDescent="0.45">
      <c r="O1778"/>
      <c r="P1778"/>
      <c r="Q1778"/>
    </row>
    <row r="1779" spans="15:17" ht="21.75" customHeight="1" x14ac:dyDescent="0.45">
      <c r="O1779"/>
      <c r="P1779"/>
      <c r="Q1779"/>
    </row>
    <row r="1780" spans="15:17" ht="21.75" customHeight="1" x14ac:dyDescent="0.45">
      <c r="O1780"/>
      <c r="P1780"/>
      <c r="Q1780"/>
    </row>
    <row r="1781" spans="15:17" ht="21.75" customHeight="1" x14ac:dyDescent="0.45">
      <c r="O1781"/>
      <c r="P1781"/>
      <c r="Q1781"/>
    </row>
    <row r="1782" spans="15:17" ht="21.75" customHeight="1" x14ac:dyDescent="0.45">
      <c r="O1782"/>
      <c r="P1782"/>
      <c r="Q1782"/>
    </row>
    <row r="1783" spans="15:17" ht="21.75" customHeight="1" x14ac:dyDescent="0.45">
      <c r="O1783"/>
      <c r="P1783"/>
      <c r="Q1783"/>
    </row>
    <row r="1784" spans="15:17" ht="21.75" customHeight="1" x14ac:dyDescent="0.45">
      <c r="O1784"/>
      <c r="P1784"/>
      <c r="Q1784"/>
    </row>
    <row r="1785" spans="15:17" ht="21.75" customHeight="1" x14ac:dyDescent="0.45">
      <c r="O1785"/>
      <c r="P1785"/>
      <c r="Q1785"/>
    </row>
    <row r="1786" spans="15:17" ht="21.75" customHeight="1" x14ac:dyDescent="0.45">
      <c r="O1786"/>
      <c r="P1786"/>
      <c r="Q1786"/>
    </row>
    <row r="1787" spans="15:17" ht="21.75" customHeight="1" x14ac:dyDescent="0.45">
      <c r="O1787"/>
      <c r="P1787"/>
      <c r="Q1787"/>
    </row>
    <row r="1788" spans="15:17" ht="21.75" customHeight="1" x14ac:dyDescent="0.45">
      <c r="O1788"/>
      <c r="P1788"/>
      <c r="Q1788"/>
    </row>
    <row r="1789" spans="15:17" ht="21.75" customHeight="1" x14ac:dyDescent="0.45">
      <c r="O1789"/>
      <c r="P1789"/>
      <c r="Q1789"/>
    </row>
    <row r="1790" spans="15:17" ht="21.75" customHeight="1" x14ac:dyDescent="0.45">
      <c r="O1790"/>
      <c r="P1790"/>
      <c r="Q1790"/>
    </row>
    <row r="1791" spans="15:17" ht="21.75" customHeight="1" x14ac:dyDescent="0.45">
      <c r="O1791"/>
      <c r="P1791"/>
      <c r="Q1791"/>
    </row>
    <row r="1792" spans="15:17" ht="21.75" customHeight="1" x14ac:dyDescent="0.45">
      <c r="O1792"/>
      <c r="P1792"/>
      <c r="Q1792"/>
    </row>
    <row r="1793" spans="15:17" ht="21.75" customHeight="1" x14ac:dyDescent="0.45">
      <c r="O1793"/>
      <c r="P1793"/>
      <c r="Q1793"/>
    </row>
    <row r="1794" spans="15:17" ht="21.75" customHeight="1" x14ac:dyDescent="0.45">
      <c r="O1794"/>
      <c r="P1794"/>
      <c r="Q1794"/>
    </row>
    <row r="1795" spans="15:17" ht="21.75" customHeight="1" x14ac:dyDescent="0.45">
      <c r="O1795"/>
      <c r="P1795"/>
      <c r="Q1795"/>
    </row>
    <row r="1796" spans="15:17" ht="21.75" customHeight="1" x14ac:dyDescent="0.45">
      <c r="O1796"/>
      <c r="P1796"/>
      <c r="Q1796"/>
    </row>
    <row r="1797" spans="15:17" ht="21.75" customHeight="1" x14ac:dyDescent="0.45">
      <c r="O1797"/>
      <c r="P1797"/>
      <c r="Q1797"/>
    </row>
    <row r="1798" spans="15:17" ht="21.75" customHeight="1" x14ac:dyDescent="0.45">
      <c r="O1798"/>
      <c r="P1798"/>
      <c r="Q1798"/>
    </row>
    <row r="1799" spans="15:17" ht="21.75" customHeight="1" x14ac:dyDescent="0.45">
      <c r="O1799"/>
      <c r="P1799"/>
      <c r="Q1799"/>
    </row>
    <row r="1800" spans="15:17" ht="21.75" customHeight="1" x14ac:dyDescent="0.45">
      <c r="O1800"/>
      <c r="P1800"/>
      <c r="Q1800"/>
    </row>
    <row r="1801" spans="15:17" ht="21.75" customHeight="1" x14ac:dyDescent="0.45">
      <c r="O1801"/>
      <c r="P1801"/>
      <c r="Q1801"/>
    </row>
    <row r="1802" spans="15:17" ht="21.75" customHeight="1" x14ac:dyDescent="0.45">
      <c r="O1802"/>
      <c r="P1802"/>
      <c r="Q1802"/>
    </row>
    <row r="1803" spans="15:17" ht="21.75" customHeight="1" x14ac:dyDescent="0.45">
      <c r="O1803"/>
      <c r="P1803"/>
      <c r="Q1803"/>
    </row>
    <row r="1804" spans="15:17" ht="21.75" customHeight="1" x14ac:dyDescent="0.45">
      <c r="O1804"/>
      <c r="P1804"/>
      <c r="Q1804"/>
    </row>
    <row r="1805" spans="15:17" ht="21.75" customHeight="1" x14ac:dyDescent="0.45">
      <c r="O1805"/>
      <c r="P1805"/>
      <c r="Q1805"/>
    </row>
    <row r="1806" spans="15:17" ht="21.75" customHeight="1" x14ac:dyDescent="0.45">
      <c r="O1806"/>
      <c r="P1806"/>
      <c r="Q1806"/>
    </row>
    <row r="1807" spans="15:17" ht="21.75" customHeight="1" x14ac:dyDescent="0.45">
      <c r="O1807"/>
      <c r="P1807"/>
      <c r="Q1807"/>
    </row>
    <row r="1808" spans="15:17" ht="21.75" customHeight="1" x14ac:dyDescent="0.45">
      <c r="O1808"/>
      <c r="P1808"/>
      <c r="Q1808"/>
    </row>
    <row r="1809" spans="15:17" ht="21.75" customHeight="1" x14ac:dyDescent="0.45">
      <c r="O1809"/>
      <c r="P1809"/>
      <c r="Q1809"/>
    </row>
    <row r="1810" spans="15:17" ht="21.75" customHeight="1" x14ac:dyDescent="0.45">
      <c r="O1810"/>
      <c r="P1810"/>
      <c r="Q1810"/>
    </row>
    <row r="1811" spans="15:17" ht="21.75" customHeight="1" x14ac:dyDescent="0.45">
      <c r="O1811"/>
      <c r="P1811"/>
      <c r="Q1811"/>
    </row>
    <row r="1812" spans="15:17" ht="21.75" customHeight="1" x14ac:dyDescent="0.45">
      <c r="O1812"/>
      <c r="P1812"/>
      <c r="Q1812"/>
    </row>
    <row r="1813" spans="15:17" ht="21.75" customHeight="1" x14ac:dyDescent="0.45">
      <c r="O1813"/>
      <c r="P1813"/>
      <c r="Q1813"/>
    </row>
    <row r="1814" spans="15:17" ht="21.75" customHeight="1" x14ac:dyDescent="0.45">
      <c r="O1814"/>
      <c r="P1814"/>
      <c r="Q1814"/>
    </row>
    <row r="1815" spans="15:17" ht="21.75" customHeight="1" x14ac:dyDescent="0.45">
      <c r="O1815"/>
      <c r="P1815"/>
      <c r="Q1815"/>
    </row>
    <row r="1816" spans="15:17" ht="21.75" customHeight="1" x14ac:dyDescent="0.45">
      <c r="O1816"/>
      <c r="P1816"/>
      <c r="Q1816"/>
    </row>
    <row r="1817" spans="15:17" ht="21.75" customHeight="1" x14ac:dyDescent="0.45">
      <c r="O1817"/>
      <c r="P1817"/>
      <c r="Q1817"/>
    </row>
    <row r="1818" spans="15:17" ht="21.75" customHeight="1" x14ac:dyDescent="0.45">
      <c r="O1818"/>
      <c r="P1818"/>
      <c r="Q1818"/>
    </row>
    <row r="1819" spans="15:17" ht="21.75" customHeight="1" x14ac:dyDescent="0.45">
      <c r="O1819"/>
      <c r="P1819"/>
      <c r="Q1819"/>
    </row>
    <row r="1820" spans="15:17" ht="21.75" customHeight="1" x14ac:dyDescent="0.45">
      <c r="O1820"/>
      <c r="P1820"/>
      <c r="Q1820"/>
    </row>
    <row r="1821" spans="15:17" ht="21.75" customHeight="1" x14ac:dyDescent="0.45">
      <c r="O1821"/>
      <c r="P1821"/>
      <c r="Q1821"/>
    </row>
    <row r="1822" spans="15:17" ht="21.75" customHeight="1" x14ac:dyDescent="0.45">
      <c r="O1822"/>
      <c r="P1822"/>
      <c r="Q1822"/>
    </row>
    <row r="1823" spans="15:17" ht="21.75" customHeight="1" x14ac:dyDescent="0.45">
      <c r="O1823"/>
      <c r="P1823"/>
      <c r="Q1823"/>
    </row>
    <row r="1824" spans="15:17" ht="21.75" customHeight="1" x14ac:dyDescent="0.45">
      <c r="O1824"/>
      <c r="P1824"/>
      <c r="Q1824"/>
    </row>
    <row r="1825" spans="15:17" ht="21.75" customHeight="1" x14ac:dyDescent="0.45">
      <c r="O1825"/>
      <c r="P1825"/>
      <c r="Q1825"/>
    </row>
    <row r="1826" spans="15:17" ht="21.75" customHeight="1" x14ac:dyDescent="0.45">
      <c r="O1826"/>
      <c r="P1826"/>
      <c r="Q1826"/>
    </row>
    <row r="1827" spans="15:17" ht="21.75" customHeight="1" x14ac:dyDescent="0.45">
      <c r="O1827"/>
      <c r="P1827"/>
      <c r="Q1827"/>
    </row>
    <row r="1828" spans="15:17" ht="21.75" customHeight="1" x14ac:dyDescent="0.45">
      <c r="O1828"/>
      <c r="P1828"/>
      <c r="Q1828"/>
    </row>
    <row r="1829" spans="15:17" ht="21.75" customHeight="1" x14ac:dyDescent="0.45">
      <c r="O1829"/>
      <c r="P1829"/>
      <c r="Q1829"/>
    </row>
    <row r="1830" spans="15:17" ht="21.75" customHeight="1" x14ac:dyDescent="0.45">
      <c r="O1830"/>
      <c r="P1830"/>
      <c r="Q1830"/>
    </row>
    <row r="1831" spans="15:17" ht="21.75" customHeight="1" x14ac:dyDescent="0.45">
      <c r="O1831"/>
      <c r="P1831"/>
      <c r="Q1831"/>
    </row>
    <row r="1832" spans="15:17" ht="21.75" customHeight="1" x14ac:dyDescent="0.45">
      <c r="O1832"/>
      <c r="P1832"/>
      <c r="Q1832"/>
    </row>
    <row r="1833" spans="15:17" ht="21.75" customHeight="1" x14ac:dyDescent="0.45">
      <c r="O1833"/>
      <c r="P1833"/>
      <c r="Q1833"/>
    </row>
    <row r="1834" spans="15:17" ht="21.75" customHeight="1" x14ac:dyDescent="0.45">
      <c r="O1834"/>
      <c r="P1834"/>
      <c r="Q1834"/>
    </row>
    <row r="1835" spans="15:17" ht="21.75" customHeight="1" x14ac:dyDescent="0.45">
      <c r="O1835"/>
      <c r="P1835"/>
      <c r="Q1835"/>
    </row>
    <row r="1836" spans="15:17" ht="21.75" customHeight="1" x14ac:dyDescent="0.45">
      <c r="O1836"/>
      <c r="P1836"/>
      <c r="Q1836"/>
    </row>
    <row r="1837" spans="15:17" ht="21.75" customHeight="1" x14ac:dyDescent="0.45">
      <c r="O1837"/>
      <c r="P1837"/>
      <c r="Q1837"/>
    </row>
    <row r="1838" spans="15:17" ht="21.75" customHeight="1" x14ac:dyDescent="0.45">
      <c r="O1838"/>
      <c r="P1838"/>
      <c r="Q1838"/>
    </row>
    <row r="1839" spans="15:17" ht="21.75" customHeight="1" x14ac:dyDescent="0.45">
      <c r="O1839"/>
      <c r="P1839"/>
      <c r="Q1839"/>
    </row>
    <row r="1840" spans="15:17" ht="21.75" customHeight="1" x14ac:dyDescent="0.45">
      <c r="O1840"/>
      <c r="P1840"/>
      <c r="Q1840"/>
    </row>
    <row r="1841" spans="15:17" ht="21.75" customHeight="1" x14ac:dyDescent="0.45">
      <c r="O1841"/>
      <c r="P1841"/>
      <c r="Q1841"/>
    </row>
    <row r="1842" spans="15:17" ht="21.75" customHeight="1" x14ac:dyDescent="0.45">
      <c r="O1842"/>
      <c r="P1842"/>
      <c r="Q1842"/>
    </row>
    <row r="1843" spans="15:17" ht="21.75" customHeight="1" x14ac:dyDescent="0.45">
      <c r="O1843"/>
      <c r="P1843"/>
      <c r="Q1843"/>
    </row>
    <row r="1844" spans="15:17" ht="21.75" customHeight="1" x14ac:dyDescent="0.45">
      <c r="O1844"/>
      <c r="P1844"/>
      <c r="Q1844"/>
    </row>
    <row r="1845" spans="15:17" ht="21.75" customHeight="1" x14ac:dyDescent="0.45">
      <c r="O1845"/>
      <c r="P1845"/>
      <c r="Q1845"/>
    </row>
    <row r="1846" spans="15:17" ht="21.75" customHeight="1" x14ac:dyDescent="0.45">
      <c r="O1846"/>
      <c r="P1846"/>
      <c r="Q1846"/>
    </row>
    <row r="1847" spans="15:17" ht="21.75" customHeight="1" x14ac:dyDescent="0.45">
      <c r="O1847"/>
      <c r="P1847"/>
      <c r="Q1847"/>
    </row>
    <row r="1848" spans="15:17" ht="21.75" customHeight="1" x14ac:dyDescent="0.45">
      <c r="O1848"/>
      <c r="P1848"/>
      <c r="Q1848"/>
    </row>
    <row r="1849" spans="15:17" ht="21.75" customHeight="1" x14ac:dyDescent="0.45">
      <c r="O1849"/>
      <c r="P1849"/>
      <c r="Q1849"/>
    </row>
    <row r="1850" spans="15:17" ht="21.75" customHeight="1" x14ac:dyDescent="0.45">
      <c r="O1850"/>
      <c r="P1850"/>
      <c r="Q1850"/>
    </row>
    <row r="1851" spans="15:17" ht="21.75" customHeight="1" x14ac:dyDescent="0.45">
      <c r="O1851"/>
      <c r="P1851"/>
      <c r="Q1851"/>
    </row>
    <row r="1852" spans="15:17" ht="21.75" customHeight="1" x14ac:dyDescent="0.45">
      <c r="O1852"/>
      <c r="P1852"/>
      <c r="Q1852"/>
    </row>
    <row r="1853" spans="15:17" ht="21.75" customHeight="1" x14ac:dyDescent="0.45">
      <c r="O1853"/>
      <c r="P1853"/>
      <c r="Q1853"/>
    </row>
    <row r="1854" spans="15:17" ht="21.75" customHeight="1" x14ac:dyDescent="0.45">
      <c r="O1854"/>
      <c r="P1854"/>
      <c r="Q1854"/>
    </row>
    <row r="1855" spans="15:17" ht="21.75" customHeight="1" x14ac:dyDescent="0.45">
      <c r="O1855"/>
      <c r="P1855"/>
      <c r="Q1855"/>
    </row>
    <row r="1856" spans="15:17" ht="21.75" customHeight="1" x14ac:dyDescent="0.45">
      <c r="O1856"/>
      <c r="P1856"/>
      <c r="Q1856"/>
    </row>
    <row r="1857" spans="15:17" ht="21.75" customHeight="1" x14ac:dyDescent="0.45">
      <c r="O1857"/>
      <c r="P1857"/>
      <c r="Q1857"/>
    </row>
    <row r="1858" spans="15:17" ht="21.75" customHeight="1" x14ac:dyDescent="0.45">
      <c r="O1858"/>
      <c r="P1858"/>
      <c r="Q1858"/>
    </row>
    <row r="1859" spans="15:17" ht="21.75" customHeight="1" x14ac:dyDescent="0.45">
      <c r="O1859"/>
      <c r="P1859"/>
      <c r="Q1859"/>
    </row>
    <row r="1860" spans="15:17" ht="21.75" customHeight="1" x14ac:dyDescent="0.45">
      <c r="O1860"/>
      <c r="P1860"/>
      <c r="Q1860"/>
    </row>
    <row r="1861" spans="15:17" ht="21.75" customHeight="1" x14ac:dyDescent="0.45">
      <c r="O1861"/>
      <c r="P1861"/>
      <c r="Q1861"/>
    </row>
    <row r="1862" spans="15:17" ht="21.75" customHeight="1" x14ac:dyDescent="0.45">
      <c r="O1862"/>
      <c r="P1862"/>
      <c r="Q1862"/>
    </row>
    <row r="1863" spans="15:17" ht="21.75" customHeight="1" x14ac:dyDescent="0.45">
      <c r="O1863"/>
      <c r="P1863"/>
      <c r="Q1863"/>
    </row>
    <row r="1864" spans="15:17" ht="21.75" customHeight="1" x14ac:dyDescent="0.45">
      <c r="O1864"/>
      <c r="P1864"/>
      <c r="Q1864"/>
    </row>
    <row r="1865" spans="15:17" ht="21.75" customHeight="1" x14ac:dyDescent="0.45">
      <c r="O1865"/>
      <c r="P1865"/>
      <c r="Q1865"/>
    </row>
    <row r="1866" spans="15:17" ht="21.75" customHeight="1" x14ac:dyDescent="0.45">
      <c r="O1866"/>
      <c r="P1866"/>
      <c r="Q1866"/>
    </row>
    <row r="1867" spans="15:17" ht="21.75" customHeight="1" x14ac:dyDescent="0.45">
      <c r="O1867"/>
      <c r="P1867"/>
      <c r="Q1867"/>
    </row>
    <row r="1868" spans="15:17" ht="21.75" customHeight="1" x14ac:dyDescent="0.45">
      <c r="O1868"/>
      <c r="P1868"/>
      <c r="Q1868"/>
    </row>
    <row r="1869" spans="15:17" ht="21.75" customHeight="1" x14ac:dyDescent="0.45">
      <c r="O1869"/>
      <c r="P1869"/>
      <c r="Q1869"/>
    </row>
    <row r="1870" spans="15:17" ht="21.75" customHeight="1" x14ac:dyDescent="0.45">
      <c r="O1870"/>
      <c r="P1870"/>
      <c r="Q1870"/>
    </row>
    <row r="1871" spans="15:17" ht="21.75" customHeight="1" x14ac:dyDescent="0.45">
      <c r="O1871"/>
      <c r="P1871"/>
      <c r="Q1871"/>
    </row>
    <row r="1872" spans="15:17" ht="21.75" customHeight="1" x14ac:dyDescent="0.45">
      <c r="O1872"/>
      <c r="P1872"/>
      <c r="Q1872"/>
    </row>
    <row r="1873" spans="15:17" ht="21.75" customHeight="1" x14ac:dyDescent="0.45">
      <c r="O1873"/>
      <c r="P1873"/>
      <c r="Q1873"/>
    </row>
    <row r="1874" spans="15:17" ht="21.75" customHeight="1" x14ac:dyDescent="0.45">
      <c r="O1874"/>
      <c r="P1874"/>
      <c r="Q1874"/>
    </row>
    <row r="1875" spans="15:17" ht="21.75" customHeight="1" x14ac:dyDescent="0.45">
      <c r="O1875"/>
      <c r="P1875"/>
      <c r="Q1875"/>
    </row>
    <row r="1876" spans="15:17" ht="21.75" customHeight="1" x14ac:dyDescent="0.45">
      <c r="O1876"/>
      <c r="P1876"/>
      <c r="Q1876"/>
    </row>
    <row r="1877" spans="15:17" ht="21.75" customHeight="1" x14ac:dyDescent="0.45">
      <c r="O1877"/>
      <c r="P1877"/>
      <c r="Q1877"/>
    </row>
    <row r="1878" spans="15:17" ht="21.75" customHeight="1" x14ac:dyDescent="0.45">
      <c r="O1878"/>
      <c r="P1878"/>
      <c r="Q1878"/>
    </row>
    <row r="1879" spans="15:17" ht="21.75" customHeight="1" x14ac:dyDescent="0.45">
      <c r="O1879"/>
      <c r="P1879"/>
      <c r="Q1879"/>
    </row>
    <row r="1880" spans="15:17" ht="21.75" customHeight="1" x14ac:dyDescent="0.45">
      <c r="O1880"/>
      <c r="P1880"/>
      <c r="Q1880"/>
    </row>
    <row r="1881" spans="15:17" ht="21.75" customHeight="1" x14ac:dyDescent="0.45">
      <c r="O1881"/>
      <c r="P1881"/>
      <c r="Q1881"/>
    </row>
    <row r="1882" spans="15:17" ht="21.75" customHeight="1" x14ac:dyDescent="0.45">
      <c r="O1882"/>
      <c r="P1882"/>
      <c r="Q1882"/>
    </row>
    <row r="1883" spans="15:17" ht="21.75" customHeight="1" x14ac:dyDescent="0.45">
      <c r="O1883"/>
      <c r="P1883"/>
      <c r="Q1883"/>
    </row>
    <row r="1884" spans="15:17" ht="21.75" customHeight="1" x14ac:dyDescent="0.45">
      <c r="O1884"/>
      <c r="P1884"/>
      <c r="Q1884"/>
    </row>
    <row r="1885" spans="15:17" ht="21.75" customHeight="1" x14ac:dyDescent="0.45">
      <c r="O1885"/>
      <c r="P1885"/>
      <c r="Q1885"/>
    </row>
    <row r="1886" spans="15:17" ht="21.75" customHeight="1" x14ac:dyDescent="0.45">
      <c r="O1886"/>
      <c r="P1886"/>
      <c r="Q1886"/>
    </row>
    <row r="1887" spans="15:17" ht="21.75" customHeight="1" x14ac:dyDescent="0.45">
      <c r="O1887"/>
      <c r="P1887"/>
      <c r="Q1887"/>
    </row>
    <row r="1888" spans="15:17" ht="21.75" customHeight="1" x14ac:dyDescent="0.45">
      <c r="O1888"/>
      <c r="P1888"/>
      <c r="Q1888"/>
    </row>
    <row r="1889" spans="15:17" ht="21.75" customHeight="1" x14ac:dyDescent="0.45">
      <c r="O1889"/>
      <c r="P1889"/>
      <c r="Q1889"/>
    </row>
    <row r="1890" spans="15:17" ht="21.75" customHeight="1" x14ac:dyDescent="0.45">
      <c r="O1890"/>
      <c r="P1890"/>
      <c r="Q1890"/>
    </row>
    <row r="1891" spans="15:17" ht="21.75" customHeight="1" x14ac:dyDescent="0.45">
      <c r="O1891"/>
      <c r="P1891"/>
      <c r="Q1891"/>
    </row>
    <row r="1892" spans="15:17" ht="21.75" customHeight="1" x14ac:dyDescent="0.45">
      <c r="O1892"/>
      <c r="P1892"/>
      <c r="Q1892"/>
    </row>
    <row r="1893" spans="15:17" ht="21.75" customHeight="1" x14ac:dyDescent="0.45">
      <c r="O1893"/>
      <c r="P1893"/>
      <c r="Q1893"/>
    </row>
    <row r="1894" spans="15:17" ht="21.75" customHeight="1" x14ac:dyDescent="0.45">
      <c r="O1894"/>
      <c r="P1894"/>
      <c r="Q1894"/>
    </row>
    <row r="1895" spans="15:17" ht="21.75" customHeight="1" x14ac:dyDescent="0.45">
      <c r="O1895"/>
      <c r="P1895"/>
      <c r="Q1895"/>
    </row>
    <row r="1896" spans="15:17" ht="21.75" customHeight="1" x14ac:dyDescent="0.45">
      <c r="O1896"/>
      <c r="P1896"/>
      <c r="Q1896"/>
    </row>
    <row r="1897" spans="15:17" ht="21.75" customHeight="1" x14ac:dyDescent="0.45">
      <c r="O1897"/>
      <c r="P1897"/>
      <c r="Q1897"/>
    </row>
    <row r="1898" spans="15:17" ht="21.75" customHeight="1" x14ac:dyDescent="0.45">
      <c r="O1898"/>
      <c r="P1898"/>
      <c r="Q1898"/>
    </row>
    <row r="1899" spans="15:17" ht="21.75" customHeight="1" x14ac:dyDescent="0.45">
      <c r="O1899"/>
      <c r="P1899"/>
      <c r="Q1899"/>
    </row>
    <row r="1900" spans="15:17" ht="21.75" customHeight="1" x14ac:dyDescent="0.45">
      <c r="O1900"/>
      <c r="P1900"/>
      <c r="Q1900"/>
    </row>
    <row r="1901" spans="15:17" ht="21.75" customHeight="1" x14ac:dyDescent="0.45">
      <c r="O1901"/>
      <c r="P1901"/>
      <c r="Q1901"/>
    </row>
    <row r="1902" spans="15:17" ht="21.75" customHeight="1" x14ac:dyDescent="0.45">
      <c r="O1902"/>
      <c r="P1902"/>
      <c r="Q1902"/>
    </row>
    <row r="1903" spans="15:17" ht="21.75" customHeight="1" x14ac:dyDescent="0.45">
      <c r="O1903"/>
      <c r="P1903"/>
      <c r="Q1903"/>
    </row>
    <row r="1904" spans="15:17" ht="21.75" customHeight="1" x14ac:dyDescent="0.45">
      <c r="O1904"/>
      <c r="P1904"/>
      <c r="Q1904"/>
    </row>
    <row r="1905" spans="15:17" ht="21.75" customHeight="1" x14ac:dyDescent="0.45">
      <c r="O1905"/>
      <c r="P1905"/>
      <c r="Q1905"/>
    </row>
    <row r="1906" spans="15:17" ht="21.75" customHeight="1" x14ac:dyDescent="0.45">
      <c r="O1906"/>
      <c r="P1906"/>
      <c r="Q1906"/>
    </row>
    <row r="1907" spans="15:17" ht="21.75" customHeight="1" x14ac:dyDescent="0.45">
      <c r="O1907"/>
      <c r="P1907"/>
      <c r="Q1907"/>
    </row>
    <row r="1908" spans="15:17" ht="21.75" customHeight="1" x14ac:dyDescent="0.45">
      <c r="O1908"/>
      <c r="P1908"/>
      <c r="Q1908"/>
    </row>
    <row r="1909" spans="15:17" ht="21.75" customHeight="1" x14ac:dyDescent="0.45">
      <c r="O1909"/>
      <c r="P1909"/>
      <c r="Q1909"/>
    </row>
    <row r="1910" spans="15:17" ht="21.75" customHeight="1" x14ac:dyDescent="0.45">
      <c r="O1910"/>
      <c r="P1910"/>
      <c r="Q1910"/>
    </row>
    <row r="1911" spans="15:17" ht="21.75" customHeight="1" x14ac:dyDescent="0.45">
      <c r="O1911"/>
      <c r="P1911"/>
      <c r="Q1911"/>
    </row>
    <row r="1912" spans="15:17" ht="21.75" customHeight="1" x14ac:dyDescent="0.45">
      <c r="O1912"/>
      <c r="P1912"/>
      <c r="Q1912"/>
    </row>
    <row r="1913" spans="15:17" ht="21.75" customHeight="1" x14ac:dyDescent="0.45">
      <c r="O1913"/>
      <c r="P1913"/>
      <c r="Q1913"/>
    </row>
    <row r="1914" spans="15:17" ht="21.75" customHeight="1" x14ac:dyDescent="0.45">
      <c r="O1914"/>
      <c r="P1914"/>
      <c r="Q1914"/>
    </row>
    <row r="1915" spans="15:17" ht="21.75" customHeight="1" x14ac:dyDescent="0.45">
      <c r="O1915"/>
      <c r="P1915"/>
      <c r="Q1915"/>
    </row>
    <row r="1916" spans="15:17" ht="21.75" customHeight="1" x14ac:dyDescent="0.45">
      <c r="O1916"/>
      <c r="P1916"/>
      <c r="Q1916"/>
    </row>
    <row r="1917" spans="15:17" ht="21.75" customHeight="1" x14ac:dyDescent="0.45">
      <c r="O1917"/>
      <c r="P1917"/>
      <c r="Q1917"/>
    </row>
    <row r="1918" spans="15:17" ht="21.75" customHeight="1" x14ac:dyDescent="0.45">
      <c r="O1918"/>
      <c r="P1918"/>
      <c r="Q1918"/>
    </row>
    <row r="1919" spans="15:17" ht="21.75" customHeight="1" x14ac:dyDescent="0.45">
      <c r="O1919"/>
      <c r="P1919"/>
      <c r="Q1919"/>
    </row>
    <row r="1920" spans="15:17" ht="21.75" customHeight="1" x14ac:dyDescent="0.45">
      <c r="O1920"/>
      <c r="P1920"/>
      <c r="Q1920"/>
    </row>
    <row r="1921" spans="15:17" ht="21.75" customHeight="1" x14ac:dyDescent="0.45">
      <c r="O1921"/>
      <c r="P1921"/>
      <c r="Q1921"/>
    </row>
    <row r="1922" spans="15:17" ht="21.75" customHeight="1" x14ac:dyDescent="0.45">
      <c r="O1922"/>
      <c r="P1922"/>
      <c r="Q1922"/>
    </row>
    <row r="1923" spans="15:17" ht="21.75" customHeight="1" x14ac:dyDescent="0.45">
      <c r="O1923"/>
      <c r="P1923"/>
      <c r="Q1923"/>
    </row>
    <row r="1924" spans="15:17" ht="21.75" customHeight="1" x14ac:dyDescent="0.45">
      <c r="O1924"/>
      <c r="P1924"/>
      <c r="Q1924"/>
    </row>
    <row r="1925" spans="15:17" ht="21.75" customHeight="1" x14ac:dyDescent="0.45">
      <c r="O1925"/>
      <c r="P1925"/>
      <c r="Q1925"/>
    </row>
    <row r="1926" spans="15:17" ht="21.75" customHeight="1" x14ac:dyDescent="0.45">
      <c r="O1926"/>
      <c r="P1926"/>
      <c r="Q1926"/>
    </row>
    <row r="1927" spans="15:17" ht="21.75" customHeight="1" x14ac:dyDescent="0.45">
      <c r="O1927"/>
      <c r="P1927"/>
      <c r="Q1927"/>
    </row>
    <row r="1928" spans="15:17" ht="21.75" customHeight="1" x14ac:dyDescent="0.45">
      <c r="O1928"/>
      <c r="P1928"/>
      <c r="Q1928"/>
    </row>
    <row r="1929" spans="15:17" ht="21.75" customHeight="1" x14ac:dyDescent="0.45">
      <c r="O1929"/>
      <c r="P1929"/>
      <c r="Q1929"/>
    </row>
    <row r="1930" spans="15:17" ht="21.75" customHeight="1" x14ac:dyDescent="0.45">
      <c r="O1930"/>
      <c r="P1930"/>
      <c r="Q1930"/>
    </row>
    <row r="1931" spans="15:17" ht="21.75" customHeight="1" x14ac:dyDescent="0.45">
      <c r="O1931"/>
      <c r="P1931"/>
      <c r="Q1931"/>
    </row>
    <row r="1932" spans="15:17" ht="21.75" customHeight="1" x14ac:dyDescent="0.45">
      <c r="O1932"/>
      <c r="P1932"/>
      <c r="Q1932"/>
    </row>
    <row r="1933" spans="15:17" ht="21.75" customHeight="1" x14ac:dyDescent="0.45">
      <c r="O1933"/>
      <c r="P1933"/>
      <c r="Q1933"/>
    </row>
    <row r="1934" spans="15:17" ht="21.75" customHeight="1" x14ac:dyDescent="0.45">
      <c r="O1934"/>
      <c r="P1934"/>
      <c r="Q1934"/>
    </row>
    <row r="1935" spans="15:17" ht="21.75" customHeight="1" x14ac:dyDescent="0.45">
      <c r="O1935"/>
      <c r="P1935"/>
      <c r="Q1935"/>
    </row>
    <row r="1936" spans="15:17" ht="21.75" customHeight="1" x14ac:dyDescent="0.45">
      <c r="O1936"/>
      <c r="P1936"/>
      <c r="Q1936"/>
    </row>
    <row r="1937" spans="15:17" ht="21.75" customHeight="1" x14ac:dyDescent="0.45">
      <c r="O1937"/>
      <c r="P1937"/>
      <c r="Q1937"/>
    </row>
    <row r="1938" spans="15:17" ht="21.75" customHeight="1" x14ac:dyDescent="0.45">
      <c r="O1938"/>
      <c r="P1938"/>
      <c r="Q1938"/>
    </row>
    <row r="1939" spans="15:17" ht="21.75" customHeight="1" x14ac:dyDescent="0.45">
      <c r="O1939"/>
      <c r="P1939"/>
      <c r="Q1939"/>
    </row>
    <row r="1940" spans="15:17" ht="21.75" customHeight="1" x14ac:dyDescent="0.45">
      <c r="O1940"/>
      <c r="P1940"/>
      <c r="Q1940"/>
    </row>
    <row r="1941" spans="15:17" ht="21.75" customHeight="1" x14ac:dyDescent="0.45">
      <c r="O1941"/>
      <c r="P1941"/>
      <c r="Q1941"/>
    </row>
    <row r="1942" spans="15:17" ht="21.75" customHeight="1" x14ac:dyDescent="0.45">
      <c r="O1942"/>
      <c r="P1942"/>
      <c r="Q1942"/>
    </row>
    <row r="1943" spans="15:17" ht="21.75" customHeight="1" x14ac:dyDescent="0.45">
      <c r="O1943"/>
      <c r="P1943"/>
      <c r="Q1943"/>
    </row>
    <row r="1944" spans="15:17" ht="21.75" customHeight="1" x14ac:dyDescent="0.45">
      <c r="O1944"/>
      <c r="P1944"/>
      <c r="Q1944"/>
    </row>
    <row r="1945" spans="15:17" ht="21.75" customHeight="1" x14ac:dyDescent="0.45">
      <c r="O1945"/>
      <c r="P1945"/>
      <c r="Q1945"/>
    </row>
    <row r="1946" spans="15:17" ht="21.75" customHeight="1" x14ac:dyDescent="0.45">
      <c r="O1946"/>
      <c r="P1946"/>
      <c r="Q1946"/>
    </row>
    <row r="1947" spans="15:17" ht="21.75" customHeight="1" x14ac:dyDescent="0.45">
      <c r="O1947"/>
      <c r="P1947"/>
      <c r="Q1947"/>
    </row>
    <row r="1948" spans="15:17" ht="21.75" customHeight="1" x14ac:dyDescent="0.45">
      <c r="O1948"/>
      <c r="P1948"/>
      <c r="Q1948"/>
    </row>
    <row r="1949" spans="15:17" ht="21.75" customHeight="1" x14ac:dyDescent="0.45">
      <c r="O1949"/>
      <c r="P1949"/>
      <c r="Q1949"/>
    </row>
    <row r="1950" spans="15:17" ht="21.75" customHeight="1" x14ac:dyDescent="0.45">
      <c r="O1950"/>
      <c r="P1950"/>
      <c r="Q1950"/>
    </row>
    <row r="1951" spans="15:17" ht="21.75" customHeight="1" x14ac:dyDescent="0.45">
      <c r="O1951"/>
      <c r="P1951"/>
      <c r="Q1951"/>
    </row>
    <row r="1952" spans="15:17" ht="21.75" customHeight="1" x14ac:dyDescent="0.45">
      <c r="O1952"/>
      <c r="P1952"/>
      <c r="Q1952"/>
    </row>
    <row r="1953" spans="15:17" ht="21.75" customHeight="1" x14ac:dyDescent="0.45">
      <c r="O1953"/>
      <c r="P1953"/>
      <c r="Q1953"/>
    </row>
    <row r="1954" spans="15:17" ht="21.75" customHeight="1" x14ac:dyDescent="0.45">
      <c r="O1954"/>
      <c r="P1954"/>
      <c r="Q1954"/>
    </row>
    <row r="1955" spans="15:17" ht="21.75" customHeight="1" x14ac:dyDescent="0.45">
      <c r="O1955"/>
      <c r="P1955"/>
      <c r="Q1955"/>
    </row>
    <row r="1956" spans="15:17" ht="21.75" customHeight="1" x14ac:dyDescent="0.45">
      <c r="O1956"/>
      <c r="P1956"/>
      <c r="Q1956"/>
    </row>
    <row r="1957" spans="15:17" ht="21.75" customHeight="1" x14ac:dyDescent="0.45">
      <c r="O1957"/>
      <c r="P1957"/>
      <c r="Q1957"/>
    </row>
    <row r="1958" spans="15:17" ht="21.75" customHeight="1" x14ac:dyDescent="0.45">
      <c r="O1958"/>
      <c r="P1958"/>
      <c r="Q1958"/>
    </row>
    <row r="1959" spans="15:17" ht="21.75" customHeight="1" x14ac:dyDescent="0.45">
      <c r="O1959"/>
      <c r="P1959"/>
      <c r="Q1959"/>
    </row>
    <row r="1960" spans="15:17" ht="21.75" customHeight="1" x14ac:dyDescent="0.45">
      <c r="O1960"/>
      <c r="P1960"/>
      <c r="Q1960"/>
    </row>
    <row r="1961" spans="15:17" ht="21.75" customHeight="1" x14ac:dyDescent="0.45">
      <c r="O1961"/>
      <c r="P1961"/>
      <c r="Q1961"/>
    </row>
    <row r="1962" spans="15:17" ht="21.75" customHeight="1" x14ac:dyDescent="0.45">
      <c r="O1962"/>
      <c r="P1962"/>
      <c r="Q1962"/>
    </row>
    <row r="1963" spans="15:17" ht="21.75" customHeight="1" x14ac:dyDescent="0.45">
      <c r="O1963"/>
      <c r="P1963"/>
      <c r="Q1963"/>
    </row>
    <row r="1964" spans="15:17" ht="21.75" customHeight="1" x14ac:dyDescent="0.45">
      <c r="O1964"/>
      <c r="P1964"/>
      <c r="Q1964"/>
    </row>
    <row r="1965" spans="15:17" ht="21.75" customHeight="1" x14ac:dyDescent="0.45">
      <c r="O1965"/>
      <c r="P1965"/>
      <c r="Q1965"/>
    </row>
    <row r="1966" spans="15:17" ht="21.75" customHeight="1" x14ac:dyDescent="0.45">
      <c r="O1966"/>
      <c r="P1966"/>
      <c r="Q1966"/>
    </row>
    <row r="1967" spans="15:17" ht="21.75" customHeight="1" x14ac:dyDescent="0.45">
      <c r="O1967"/>
      <c r="P1967"/>
      <c r="Q1967"/>
    </row>
    <row r="1968" spans="15:17" ht="21.75" customHeight="1" x14ac:dyDescent="0.45">
      <c r="O1968"/>
      <c r="P1968"/>
      <c r="Q1968"/>
    </row>
    <row r="1969" spans="15:17" ht="21.75" customHeight="1" x14ac:dyDescent="0.45">
      <c r="O1969"/>
      <c r="P1969"/>
      <c r="Q1969"/>
    </row>
    <row r="1970" spans="15:17" ht="21.75" customHeight="1" x14ac:dyDescent="0.45">
      <c r="O1970"/>
      <c r="P1970"/>
      <c r="Q1970"/>
    </row>
    <row r="1971" spans="15:17" ht="21.75" customHeight="1" x14ac:dyDescent="0.45">
      <c r="O1971"/>
      <c r="P1971"/>
      <c r="Q1971"/>
    </row>
    <row r="1972" spans="15:17" ht="21.75" customHeight="1" x14ac:dyDescent="0.45">
      <c r="O1972"/>
      <c r="P1972"/>
      <c r="Q1972"/>
    </row>
    <row r="1973" spans="15:17" ht="21.75" customHeight="1" x14ac:dyDescent="0.45">
      <c r="O1973"/>
      <c r="P1973"/>
      <c r="Q1973"/>
    </row>
    <row r="1974" spans="15:17" ht="21.75" customHeight="1" x14ac:dyDescent="0.45">
      <c r="O1974"/>
      <c r="P1974"/>
      <c r="Q1974"/>
    </row>
    <row r="1975" spans="15:17" ht="21.75" customHeight="1" x14ac:dyDescent="0.45">
      <c r="O1975"/>
      <c r="P1975"/>
      <c r="Q1975"/>
    </row>
    <row r="1976" spans="15:17" ht="21.75" customHeight="1" x14ac:dyDescent="0.45">
      <c r="O1976"/>
      <c r="P1976"/>
      <c r="Q1976"/>
    </row>
    <row r="1977" spans="15:17" ht="21.75" customHeight="1" x14ac:dyDescent="0.45">
      <c r="O1977"/>
      <c r="P1977"/>
      <c r="Q1977"/>
    </row>
    <row r="1978" spans="15:17" ht="21.75" customHeight="1" x14ac:dyDescent="0.45">
      <c r="O1978"/>
      <c r="P1978"/>
      <c r="Q1978"/>
    </row>
    <row r="1979" spans="15:17" ht="21.75" customHeight="1" x14ac:dyDescent="0.45">
      <c r="O1979"/>
      <c r="P1979"/>
      <c r="Q1979"/>
    </row>
    <row r="1980" spans="15:17" ht="21.75" customHeight="1" x14ac:dyDescent="0.45">
      <c r="O1980"/>
      <c r="P1980"/>
      <c r="Q1980"/>
    </row>
    <row r="1981" spans="15:17" ht="21.75" customHeight="1" x14ac:dyDescent="0.45">
      <c r="O1981"/>
      <c r="P1981"/>
      <c r="Q1981"/>
    </row>
    <row r="1982" spans="15:17" ht="21.75" customHeight="1" x14ac:dyDescent="0.45">
      <c r="O1982"/>
      <c r="P1982"/>
      <c r="Q1982"/>
    </row>
    <row r="1983" spans="15:17" ht="21.75" customHeight="1" x14ac:dyDescent="0.45">
      <c r="O1983"/>
      <c r="P1983"/>
      <c r="Q1983"/>
    </row>
    <row r="1984" spans="15:17" ht="21.75" customHeight="1" x14ac:dyDescent="0.45">
      <c r="O1984"/>
      <c r="P1984"/>
      <c r="Q1984"/>
    </row>
    <row r="1985" spans="15:17" ht="21.75" customHeight="1" x14ac:dyDescent="0.45">
      <c r="O1985"/>
      <c r="P1985"/>
      <c r="Q1985"/>
    </row>
    <row r="1986" spans="15:17" ht="21.75" customHeight="1" x14ac:dyDescent="0.45">
      <c r="O1986"/>
      <c r="P1986"/>
      <c r="Q1986"/>
    </row>
    <row r="1987" spans="15:17" ht="21.75" customHeight="1" x14ac:dyDescent="0.45">
      <c r="O1987"/>
      <c r="P1987"/>
      <c r="Q1987"/>
    </row>
    <row r="1988" spans="15:17" ht="21.75" customHeight="1" x14ac:dyDescent="0.45">
      <c r="O1988"/>
      <c r="P1988"/>
      <c r="Q1988"/>
    </row>
    <row r="1989" spans="15:17" ht="21.75" customHeight="1" x14ac:dyDescent="0.45">
      <c r="O1989"/>
      <c r="P1989"/>
      <c r="Q1989"/>
    </row>
    <row r="1990" spans="15:17" ht="21.75" customHeight="1" x14ac:dyDescent="0.45">
      <c r="O1990"/>
      <c r="P1990"/>
      <c r="Q1990"/>
    </row>
    <row r="1991" spans="15:17" ht="21.75" customHeight="1" x14ac:dyDescent="0.45">
      <c r="O1991"/>
      <c r="P1991"/>
      <c r="Q1991"/>
    </row>
    <row r="1992" spans="15:17" ht="21.75" customHeight="1" x14ac:dyDescent="0.45">
      <c r="O1992"/>
      <c r="P1992"/>
      <c r="Q1992"/>
    </row>
    <row r="1993" spans="15:17" ht="21.75" customHeight="1" x14ac:dyDescent="0.45">
      <c r="O1993"/>
      <c r="P1993"/>
      <c r="Q1993"/>
    </row>
    <row r="1994" spans="15:17" ht="21.75" customHeight="1" x14ac:dyDescent="0.45">
      <c r="O1994"/>
      <c r="P1994"/>
      <c r="Q1994"/>
    </row>
    <row r="1995" spans="15:17" ht="21.75" customHeight="1" x14ac:dyDescent="0.45">
      <c r="O1995"/>
      <c r="P1995"/>
      <c r="Q1995"/>
    </row>
    <row r="1996" spans="15:17" ht="21.75" customHeight="1" x14ac:dyDescent="0.45">
      <c r="O1996"/>
      <c r="P1996"/>
      <c r="Q1996"/>
    </row>
    <row r="1997" spans="15:17" ht="21.75" customHeight="1" x14ac:dyDescent="0.45">
      <c r="O1997"/>
      <c r="P1997"/>
      <c r="Q1997"/>
    </row>
    <row r="1998" spans="15:17" ht="21.75" customHeight="1" x14ac:dyDescent="0.45">
      <c r="O1998"/>
      <c r="P1998"/>
      <c r="Q1998"/>
    </row>
    <row r="1999" spans="15:17" ht="21.75" customHeight="1" x14ac:dyDescent="0.45">
      <c r="O1999"/>
      <c r="P1999"/>
      <c r="Q1999"/>
    </row>
    <row r="2000" spans="15:17" ht="21.75" customHeight="1" x14ac:dyDescent="0.45">
      <c r="O2000"/>
      <c r="P2000"/>
      <c r="Q2000"/>
    </row>
    <row r="2001" spans="15:17" ht="21.75" customHeight="1" x14ac:dyDescent="0.45">
      <c r="O2001"/>
      <c r="P2001"/>
      <c r="Q2001"/>
    </row>
    <row r="2002" spans="15:17" ht="21.75" customHeight="1" x14ac:dyDescent="0.45">
      <c r="O2002"/>
      <c r="P2002"/>
      <c r="Q2002"/>
    </row>
    <row r="2003" spans="15:17" ht="21.75" customHeight="1" x14ac:dyDescent="0.45">
      <c r="O2003"/>
      <c r="P2003"/>
      <c r="Q2003"/>
    </row>
    <row r="2004" spans="15:17" ht="21.75" customHeight="1" x14ac:dyDescent="0.45">
      <c r="O2004"/>
      <c r="P2004"/>
      <c r="Q2004"/>
    </row>
    <row r="2005" spans="15:17" ht="21.75" customHeight="1" x14ac:dyDescent="0.45">
      <c r="O2005"/>
      <c r="P2005"/>
      <c r="Q2005"/>
    </row>
    <row r="2006" spans="15:17" ht="21.75" customHeight="1" x14ac:dyDescent="0.45">
      <c r="O2006"/>
      <c r="P2006"/>
      <c r="Q2006"/>
    </row>
    <row r="2007" spans="15:17" ht="21.75" customHeight="1" x14ac:dyDescent="0.45">
      <c r="O2007"/>
      <c r="P2007"/>
      <c r="Q2007"/>
    </row>
    <row r="2008" spans="15:17" ht="21.75" customHeight="1" x14ac:dyDescent="0.45">
      <c r="O2008"/>
      <c r="P2008"/>
      <c r="Q2008"/>
    </row>
    <row r="2009" spans="15:17" ht="21.75" customHeight="1" x14ac:dyDescent="0.45">
      <c r="O2009"/>
      <c r="P2009"/>
      <c r="Q2009"/>
    </row>
    <row r="2010" spans="15:17" ht="21.75" customHeight="1" x14ac:dyDescent="0.45">
      <c r="O2010"/>
      <c r="P2010"/>
      <c r="Q2010"/>
    </row>
    <row r="2011" spans="15:17" ht="21.75" customHeight="1" x14ac:dyDescent="0.45">
      <c r="O2011"/>
      <c r="P2011"/>
      <c r="Q2011"/>
    </row>
    <row r="2012" spans="15:17" ht="21.75" customHeight="1" x14ac:dyDescent="0.45">
      <c r="O2012"/>
      <c r="P2012"/>
      <c r="Q2012"/>
    </row>
    <row r="2013" spans="15:17" ht="21.75" customHeight="1" x14ac:dyDescent="0.45">
      <c r="O2013"/>
      <c r="P2013"/>
      <c r="Q2013"/>
    </row>
    <row r="2014" spans="15:17" ht="21.75" customHeight="1" x14ac:dyDescent="0.45">
      <c r="O2014"/>
      <c r="P2014"/>
      <c r="Q2014"/>
    </row>
    <row r="2015" spans="15:17" ht="21.75" customHeight="1" x14ac:dyDescent="0.45">
      <c r="O2015"/>
      <c r="P2015"/>
      <c r="Q2015"/>
    </row>
    <row r="2016" spans="15:17" ht="21.75" customHeight="1" x14ac:dyDescent="0.45">
      <c r="O2016"/>
      <c r="P2016"/>
      <c r="Q2016"/>
    </row>
    <row r="2017" spans="15:17" ht="21.75" customHeight="1" x14ac:dyDescent="0.45">
      <c r="O2017"/>
      <c r="P2017"/>
      <c r="Q2017"/>
    </row>
    <row r="2018" spans="15:17" ht="21.75" customHeight="1" x14ac:dyDescent="0.45">
      <c r="O2018"/>
      <c r="P2018"/>
      <c r="Q2018"/>
    </row>
    <row r="2019" spans="15:17" ht="21.75" customHeight="1" x14ac:dyDescent="0.45">
      <c r="O2019"/>
      <c r="P2019"/>
      <c r="Q2019"/>
    </row>
    <row r="2020" spans="15:17" ht="21.75" customHeight="1" x14ac:dyDescent="0.45">
      <c r="O2020"/>
      <c r="P2020"/>
      <c r="Q2020"/>
    </row>
    <row r="2021" spans="15:17" ht="21.75" customHeight="1" x14ac:dyDescent="0.45">
      <c r="O2021"/>
      <c r="P2021"/>
      <c r="Q2021"/>
    </row>
    <row r="2022" spans="15:17" ht="21.75" customHeight="1" x14ac:dyDescent="0.45">
      <c r="O2022"/>
      <c r="P2022"/>
      <c r="Q2022"/>
    </row>
    <row r="2023" spans="15:17" ht="21.75" customHeight="1" x14ac:dyDescent="0.45">
      <c r="O2023"/>
      <c r="P2023"/>
      <c r="Q2023"/>
    </row>
    <row r="2024" spans="15:17" ht="21.75" customHeight="1" x14ac:dyDescent="0.45">
      <c r="O2024"/>
      <c r="P2024"/>
      <c r="Q2024"/>
    </row>
    <row r="2025" spans="15:17" ht="21.75" customHeight="1" x14ac:dyDescent="0.45">
      <c r="O2025"/>
      <c r="P2025"/>
      <c r="Q2025"/>
    </row>
    <row r="2026" spans="15:17" ht="21.75" customHeight="1" x14ac:dyDescent="0.45">
      <c r="O2026"/>
      <c r="P2026"/>
      <c r="Q2026"/>
    </row>
    <row r="2027" spans="15:17" ht="21.75" customHeight="1" x14ac:dyDescent="0.45">
      <c r="O2027"/>
      <c r="P2027"/>
      <c r="Q2027"/>
    </row>
    <row r="2028" spans="15:17" ht="21.75" customHeight="1" x14ac:dyDescent="0.45">
      <c r="O2028"/>
      <c r="P2028"/>
      <c r="Q2028"/>
    </row>
    <row r="2029" spans="15:17" ht="21.75" customHeight="1" x14ac:dyDescent="0.45">
      <c r="O2029"/>
      <c r="P2029"/>
      <c r="Q2029"/>
    </row>
    <row r="2030" spans="15:17" ht="21.75" customHeight="1" x14ac:dyDescent="0.45">
      <c r="O2030"/>
      <c r="P2030"/>
      <c r="Q2030"/>
    </row>
    <row r="2031" spans="15:17" ht="21.75" customHeight="1" x14ac:dyDescent="0.45">
      <c r="O2031"/>
      <c r="P2031"/>
      <c r="Q2031"/>
    </row>
    <row r="2032" spans="15:17" ht="21.75" customHeight="1" x14ac:dyDescent="0.45">
      <c r="O2032"/>
      <c r="P2032"/>
      <c r="Q2032"/>
    </row>
    <row r="2033" spans="15:17" ht="21.75" customHeight="1" x14ac:dyDescent="0.45">
      <c r="O2033"/>
      <c r="P2033"/>
      <c r="Q2033"/>
    </row>
    <row r="2034" spans="15:17" ht="21.75" customHeight="1" x14ac:dyDescent="0.45">
      <c r="O2034"/>
      <c r="P2034"/>
      <c r="Q2034"/>
    </row>
    <row r="2035" spans="15:17" ht="21.75" customHeight="1" x14ac:dyDescent="0.45">
      <c r="O2035"/>
      <c r="P2035"/>
      <c r="Q2035"/>
    </row>
    <row r="2036" spans="15:17" ht="21.75" customHeight="1" x14ac:dyDescent="0.45">
      <c r="O2036"/>
      <c r="P2036"/>
      <c r="Q2036"/>
    </row>
    <row r="2037" spans="15:17" ht="21.75" customHeight="1" x14ac:dyDescent="0.45">
      <c r="O2037"/>
      <c r="P2037"/>
      <c r="Q2037"/>
    </row>
    <row r="2038" spans="15:17" ht="21.75" customHeight="1" x14ac:dyDescent="0.45">
      <c r="O2038"/>
      <c r="P2038"/>
      <c r="Q2038"/>
    </row>
    <row r="2039" spans="15:17" ht="21.75" customHeight="1" x14ac:dyDescent="0.45">
      <c r="O2039"/>
      <c r="P2039"/>
      <c r="Q2039"/>
    </row>
    <row r="2040" spans="15:17" ht="21.75" customHeight="1" x14ac:dyDescent="0.45">
      <c r="O2040"/>
      <c r="P2040"/>
      <c r="Q2040"/>
    </row>
    <row r="2041" spans="15:17" ht="21.75" customHeight="1" x14ac:dyDescent="0.45">
      <c r="O2041"/>
      <c r="P2041"/>
      <c r="Q2041"/>
    </row>
    <row r="2042" spans="15:17" ht="21.75" customHeight="1" x14ac:dyDescent="0.45">
      <c r="O2042"/>
      <c r="P2042"/>
      <c r="Q2042"/>
    </row>
    <row r="2043" spans="15:17" ht="21.75" customHeight="1" x14ac:dyDescent="0.45">
      <c r="O2043"/>
      <c r="P2043"/>
      <c r="Q2043"/>
    </row>
    <row r="2044" spans="15:17" ht="21.75" customHeight="1" x14ac:dyDescent="0.45">
      <c r="O2044"/>
      <c r="P2044"/>
      <c r="Q2044"/>
    </row>
    <row r="2045" spans="15:17" ht="21.75" customHeight="1" x14ac:dyDescent="0.45">
      <c r="O2045"/>
      <c r="P2045"/>
      <c r="Q2045"/>
    </row>
    <row r="2046" spans="15:17" ht="21.75" customHeight="1" x14ac:dyDescent="0.45">
      <c r="O2046"/>
      <c r="P2046"/>
      <c r="Q2046"/>
    </row>
    <row r="2047" spans="15:17" ht="21.75" customHeight="1" x14ac:dyDescent="0.45">
      <c r="O2047"/>
      <c r="P2047"/>
      <c r="Q2047"/>
    </row>
    <row r="2048" spans="15:17" ht="21.75" customHeight="1" x14ac:dyDescent="0.45">
      <c r="O2048"/>
      <c r="P2048"/>
      <c r="Q2048"/>
    </row>
    <row r="2049" spans="15:17" ht="21.75" customHeight="1" x14ac:dyDescent="0.45">
      <c r="O2049"/>
      <c r="P2049"/>
      <c r="Q2049"/>
    </row>
    <row r="2050" spans="15:17" ht="21.75" customHeight="1" x14ac:dyDescent="0.45">
      <c r="O2050"/>
      <c r="P2050"/>
      <c r="Q2050"/>
    </row>
    <row r="2051" spans="15:17" ht="21.75" customHeight="1" x14ac:dyDescent="0.45">
      <c r="O2051"/>
      <c r="P2051"/>
      <c r="Q2051"/>
    </row>
    <row r="2052" spans="15:17" ht="21.75" customHeight="1" x14ac:dyDescent="0.45">
      <c r="O2052"/>
      <c r="P2052"/>
      <c r="Q2052"/>
    </row>
    <row r="2053" spans="15:17" ht="21.75" customHeight="1" x14ac:dyDescent="0.45">
      <c r="O2053"/>
      <c r="P2053"/>
      <c r="Q2053"/>
    </row>
    <row r="2054" spans="15:17" ht="21.75" customHeight="1" x14ac:dyDescent="0.45">
      <c r="O2054"/>
      <c r="P2054"/>
      <c r="Q2054"/>
    </row>
    <row r="2055" spans="15:17" ht="21.75" customHeight="1" x14ac:dyDescent="0.45">
      <c r="O2055"/>
      <c r="P2055"/>
      <c r="Q2055"/>
    </row>
    <row r="2056" spans="15:17" ht="21.75" customHeight="1" x14ac:dyDescent="0.45">
      <c r="O2056"/>
      <c r="P2056"/>
      <c r="Q2056"/>
    </row>
    <row r="2057" spans="15:17" ht="21.75" customHeight="1" x14ac:dyDescent="0.45">
      <c r="O2057"/>
      <c r="P2057"/>
      <c r="Q2057"/>
    </row>
    <row r="2058" spans="15:17" ht="21.75" customHeight="1" x14ac:dyDescent="0.45">
      <c r="O2058"/>
      <c r="P2058"/>
      <c r="Q2058"/>
    </row>
    <row r="2059" spans="15:17" ht="21.75" customHeight="1" x14ac:dyDescent="0.45">
      <c r="O2059"/>
      <c r="P2059"/>
      <c r="Q2059"/>
    </row>
    <row r="2060" spans="15:17" ht="21.75" customHeight="1" x14ac:dyDescent="0.45">
      <c r="O2060"/>
      <c r="P2060"/>
      <c r="Q2060"/>
    </row>
    <row r="2061" spans="15:17" ht="21.75" customHeight="1" x14ac:dyDescent="0.45">
      <c r="O2061"/>
      <c r="P2061"/>
      <c r="Q2061"/>
    </row>
    <row r="2062" spans="15:17" ht="21.75" customHeight="1" x14ac:dyDescent="0.45">
      <c r="O2062"/>
      <c r="P2062"/>
      <c r="Q2062"/>
    </row>
    <row r="2063" spans="15:17" ht="21.75" customHeight="1" x14ac:dyDescent="0.45">
      <c r="O2063"/>
      <c r="P2063"/>
      <c r="Q2063"/>
    </row>
    <row r="2064" spans="15:17" ht="21.75" customHeight="1" x14ac:dyDescent="0.45">
      <c r="O2064"/>
      <c r="P2064"/>
      <c r="Q2064"/>
    </row>
    <row r="2065" spans="15:17" ht="21.75" customHeight="1" x14ac:dyDescent="0.45">
      <c r="O2065"/>
      <c r="P2065"/>
      <c r="Q2065"/>
    </row>
    <row r="2066" spans="15:17" ht="21.75" customHeight="1" x14ac:dyDescent="0.45">
      <c r="O2066"/>
      <c r="P2066"/>
      <c r="Q2066"/>
    </row>
    <row r="2067" spans="15:17" ht="21.75" customHeight="1" x14ac:dyDescent="0.45">
      <c r="O2067"/>
      <c r="P2067"/>
      <c r="Q2067"/>
    </row>
    <row r="2068" spans="15:17" ht="21.75" customHeight="1" x14ac:dyDescent="0.45">
      <c r="O2068"/>
      <c r="P2068"/>
      <c r="Q2068"/>
    </row>
    <row r="2069" spans="15:17" ht="21.75" customHeight="1" x14ac:dyDescent="0.45">
      <c r="O2069"/>
      <c r="P2069"/>
      <c r="Q2069"/>
    </row>
    <row r="2070" spans="15:17" ht="21.75" customHeight="1" x14ac:dyDescent="0.45">
      <c r="O2070"/>
      <c r="P2070"/>
      <c r="Q2070"/>
    </row>
    <row r="2071" spans="15:17" ht="21.75" customHeight="1" x14ac:dyDescent="0.45">
      <c r="O2071"/>
      <c r="P2071"/>
      <c r="Q2071"/>
    </row>
    <row r="2072" spans="15:17" ht="21.75" customHeight="1" x14ac:dyDescent="0.45">
      <c r="O2072"/>
      <c r="P2072"/>
      <c r="Q2072"/>
    </row>
    <row r="2073" spans="15:17" ht="21.75" customHeight="1" x14ac:dyDescent="0.45">
      <c r="O2073"/>
      <c r="P2073"/>
      <c r="Q2073"/>
    </row>
    <row r="2074" spans="15:17" ht="21.75" customHeight="1" x14ac:dyDescent="0.45">
      <c r="O2074"/>
      <c r="P2074"/>
      <c r="Q2074"/>
    </row>
    <row r="2075" spans="15:17" ht="21.75" customHeight="1" x14ac:dyDescent="0.45">
      <c r="O2075"/>
      <c r="P2075"/>
      <c r="Q2075"/>
    </row>
    <row r="2076" spans="15:17" ht="21.75" customHeight="1" x14ac:dyDescent="0.45">
      <c r="O2076"/>
      <c r="P2076"/>
      <c r="Q2076"/>
    </row>
    <row r="2077" spans="15:17" ht="21.75" customHeight="1" x14ac:dyDescent="0.45">
      <c r="O2077"/>
      <c r="P2077"/>
      <c r="Q2077"/>
    </row>
    <row r="2078" spans="15:17" ht="21.75" customHeight="1" x14ac:dyDescent="0.45">
      <c r="O2078"/>
      <c r="P2078"/>
      <c r="Q2078"/>
    </row>
    <row r="2079" spans="15:17" ht="21.75" customHeight="1" x14ac:dyDescent="0.45">
      <c r="O2079"/>
      <c r="P2079"/>
      <c r="Q2079"/>
    </row>
    <row r="2080" spans="15:17" ht="21.75" customHeight="1" x14ac:dyDescent="0.45">
      <c r="O2080"/>
      <c r="P2080"/>
      <c r="Q2080"/>
    </row>
    <row r="2081" spans="15:17" ht="21.75" customHeight="1" x14ac:dyDescent="0.45">
      <c r="O2081"/>
      <c r="P2081"/>
      <c r="Q2081"/>
    </row>
    <row r="2082" spans="15:17" ht="21.75" customHeight="1" x14ac:dyDescent="0.45">
      <c r="O2082"/>
      <c r="P2082"/>
      <c r="Q2082"/>
    </row>
    <row r="2083" spans="15:17" ht="21.75" customHeight="1" x14ac:dyDescent="0.45">
      <c r="O2083"/>
      <c r="P2083"/>
      <c r="Q2083"/>
    </row>
    <row r="2084" spans="15:17" ht="21.75" customHeight="1" x14ac:dyDescent="0.45">
      <c r="O2084"/>
      <c r="P2084"/>
      <c r="Q2084"/>
    </row>
    <row r="2085" spans="15:17" ht="21.75" customHeight="1" x14ac:dyDescent="0.45">
      <c r="O2085"/>
      <c r="P2085"/>
      <c r="Q2085"/>
    </row>
    <row r="2086" spans="15:17" ht="21.75" customHeight="1" x14ac:dyDescent="0.45">
      <c r="O2086"/>
      <c r="P2086"/>
      <c r="Q2086"/>
    </row>
    <row r="2087" spans="15:17" ht="21.75" customHeight="1" x14ac:dyDescent="0.45">
      <c r="O2087"/>
      <c r="P2087"/>
      <c r="Q2087"/>
    </row>
    <row r="2088" spans="15:17" ht="21.75" customHeight="1" x14ac:dyDescent="0.45">
      <c r="O2088"/>
      <c r="P2088"/>
      <c r="Q2088"/>
    </row>
    <row r="2089" spans="15:17" ht="21.75" customHeight="1" x14ac:dyDescent="0.45">
      <c r="O2089"/>
      <c r="P2089"/>
      <c r="Q2089"/>
    </row>
    <row r="2090" spans="15:17" ht="21.75" customHeight="1" x14ac:dyDescent="0.45">
      <c r="O2090"/>
      <c r="P2090"/>
      <c r="Q2090"/>
    </row>
    <row r="2091" spans="15:17" ht="21.75" customHeight="1" x14ac:dyDescent="0.45">
      <c r="O2091"/>
      <c r="P2091"/>
      <c r="Q2091"/>
    </row>
    <row r="2092" spans="15:17" ht="21.75" customHeight="1" x14ac:dyDescent="0.45">
      <c r="O2092"/>
      <c r="P2092"/>
      <c r="Q2092"/>
    </row>
    <row r="2093" spans="15:17" ht="21.75" customHeight="1" x14ac:dyDescent="0.45">
      <c r="O2093"/>
      <c r="P2093"/>
      <c r="Q2093"/>
    </row>
    <row r="2094" spans="15:17" ht="21.75" customHeight="1" x14ac:dyDescent="0.45">
      <c r="O2094"/>
      <c r="P2094"/>
      <c r="Q2094"/>
    </row>
    <row r="2095" spans="15:17" ht="21.75" customHeight="1" x14ac:dyDescent="0.45">
      <c r="O2095"/>
      <c r="P2095"/>
      <c r="Q2095"/>
    </row>
    <row r="2096" spans="15:17" ht="21.75" customHeight="1" x14ac:dyDescent="0.45">
      <c r="O2096"/>
      <c r="P2096"/>
      <c r="Q2096"/>
    </row>
    <row r="2097" spans="15:17" ht="21.75" customHeight="1" x14ac:dyDescent="0.45">
      <c r="O2097"/>
      <c r="P2097"/>
      <c r="Q2097"/>
    </row>
    <row r="2098" spans="15:17" ht="21.75" customHeight="1" x14ac:dyDescent="0.45">
      <c r="O2098"/>
      <c r="P2098"/>
      <c r="Q2098"/>
    </row>
    <row r="2099" spans="15:17" ht="21.75" customHeight="1" x14ac:dyDescent="0.45">
      <c r="O2099"/>
      <c r="P2099"/>
      <c r="Q2099"/>
    </row>
    <row r="2100" spans="15:17" ht="21.75" customHeight="1" x14ac:dyDescent="0.45">
      <c r="O2100"/>
      <c r="P2100"/>
      <c r="Q2100"/>
    </row>
    <row r="2101" spans="15:17" ht="21.75" customHeight="1" x14ac:dyDescent="0.45">
      <c r="O2101"/>
      <c r="P2101"/>
      <c r="Q2101"/>
    </row>
    <row r="2102" spans="15:17" ht="21.75" customHeight="1" x14ac:dyDescent="0.45">
      <c r="O2102"/>
      <c r="P2102"/>
      <c r="Q2102"/>
    </row>
    <row r="2103" spans="15:17" ht="21.75" customHeight="1" x14ac:dyDescent="0.45">
      <c r="O2103"/>
      <c r="P2103"/>
      <c r="Q2103"/>
    </row>
    <row r="2104" spans="15:17" ht="21.75" customHeight="1" x14ac:dyDescent="0.45">
      <c r="O2104"/>
      <c r="P2104"/>
      <c r="Q2104"/>
    </row>
    <row r="2105" spans="15:17" ht="21.75" customHeight="1" x14ac:dyDescent="0.45">
      <c r="O2105"/>
      <c r="P2105"/>
      <c r="Q2105"/>
    </row>
    <row r="2106" spans="15:17" ht="21.75" customHeight="1" x14ac:dyDescent="0.45">
      <c r="O2106"/>
      <c r="P2106"/>
      <c r="Q2106"/>
    </row>
    <row r="2107" spans="15:17" ht="21.75" customHeight="1" x14ac:dyDescent="0.45">
      <c r="O2107"/>
      <c r="P2107"/>
      <c r="Q2107"/>
    </row>
    <row r="2108" spans="15:17" ht="21.75" customHeight="1" x14ac:dyDescent="0.45">
      <c r="O2108"/>
      <c r="P2108"/>
      <c r="Q2108"/>
    </row>
    <row r="2109" spans="15:17" ht="21.75" customHeight="1" x14ac:dyDescent="0.45">
      <c r="O2109"/>
      <c r="P2109"/>
      <c r="Q2109"/>
    </row>
    <row r="2110" spans="15:17" ht="21.75" customHeight="1" x14ac:dyDescent="0.45">
      <c r="O2110"/>
      <c r="P2110"/>
      <c r="Q2110"/>
    </row>
    <row r="2111" spans="15:17" ht="21.75" customHeight="1" x14ac:dyDescent="0.45">
      <c r="O2111"/>
      <c r="P2111"/>
      <c r="Q2111"/>
    </row>
    <row r="2112" spans="15:17" ht="21.75" customHeight="1" x14ac:dyDescent="0.45">
      <c r="O2112"/>
      <c r="P2112"/>
      <c r="Q2112"/>
    </row>
    <row r="2113" spans="15:17" ht="21.75" customHeight="1" x14ac:dyDescent="0.45">
      <c r="O2113"/>
      <c r="P2113"/>
      <c r="Q2113"/>
    </row>
    <row r="2114" spans="15:17" ht="21.75" customHeight="1" x14ac:dyDescent="0.45">
      <c r="O2114"/>
      <c r="P2114"/>
      <c r="Q2114"/>
    </row>
    <row r="2115" spans="15:17" ht="21.75" customHeight="1" x14ac:dyDescent="0.45">
      <c r="O2115"/>
      <c r="P2115"/>
      <c r="Q2115"/>
    </row>
    <row r="2116" spans="15:17" ht="21.75" customHeight="1" x14ac:dyDescent="0.45">
      <c r="O2116"/>
      <c r="P2116"/>
      <c r="Q2116"/>
    </row>
    <row r="2117" spans="15:17" ht="21.75" customHeight="1" x14ac:dyDescent="0.45">
      <c r="O2117"/>
      <c r="P2117"/>
      <c r="Q2117"/>
    </row>
    <row r="2118" spans="15:17" ht="21.75" customHeight="1" x14ac:dyDescent="0.45">
      <c r="O2118"/>
      <c r="P2118"/>
      <c r="Q2118"/>
    </row>
    <row r="2119" spans="15:17" ht="21.75" customHeight="1" x14ac:dyDescent="0.45">
      <c r="O2119"/>
      <c r="P2119"/>
      <c r="Q2119"/>
    </row>
    <row r="2120" spans="15:17" ht="21.75" customHeight="1" x14ac:dyDescent="0.45">
      <c r="O2120"/>
      <c r="P2120"/>
      <c r="Q2120"/>
    </row>
    <row r="2121" spans="15:17" ht="21.75" customHeight="1" x14ac:dyDescent="0.45">
      <c r="O2121"/>
      <c r="P2121"/>
      <c r="Q2121"/>
    </row>
    <row r="2122" spans="15:17" ht="21.75" customHeight="1" x14ac:dyDescent="0.45">
      <c r="O2122"/>
      <c r="P2122"/>
      <c r="Q2122"/>
    </row>
    <row r="2123" spans="15:17" ht="21.75" customHeight="1" x14ac:dyDescent="0.45">
      <c r="O2123"/>
      <c r="P2123"/>
      <c r="Q2123"/>
    </row>
    <row r="2124" spans="15:17" ht="21.75" customHeight="1" x14ac:dyDescent="0.45">
      <c r="O2124"/>
      <c r="P2124"/>
      <c r="Q2124"/>
    </row>
    <row r="2125" spans="15:17" ht="21.75" customHeight="1" x14ac:dyDescent="0.45">
      <c r="O2125"/>
      <c r="P2125"/>
      <c r="Q2125"/>
    </row>
    <row r="2126" spans="15:17" ht="21.75" customHeight="1" x14ac:dyDescent="0.45">
      <c r="O2126"/>
      <c r="P2126"/>
      <c r="Q2126"/>
    </row>
    <row r="2127" spans="15:17" ht="21.75" customHeight="1" x14ac:dyDescent="0.45">
      <c r="O2127"/>
      <c r="P2127"/>
      <c r="Q2127"/>
    </row>
    <row r="2128" spans="15:17" ht="21.75" customHeight="1" x14ac:dyDescent="0.45">
      <c r="O2128"/>
      <c r="P2128"/>
      <c r="Q2128"/>
    </row>
    <row r="2129" spans="15:17" ht="21.75" customHeight="1" x14ac:dyDescent="0.45">
      <c r="O2129"/>
      <c r="P2129"/>
      <c r="Q2129"/>
    </row>
    <row r="2130" spans="15:17" ht="21.75" customHeight="1" x14ac:dyDescent="0.45">
      <c r="O2130"/>
      <c r="P2130"/>
      <c r="Q2130"/>
    </row>
    <row r="2131" spans="15:17" ht="21.75" customHeight="1" x14ac:dyDescent="0.45">
      <c r="O2131"/>
      <c r="P2131"/>
      <c r="Q2131"/>
    </row>
    <row r="2132" spans="15:17" ht="21.75" customHeight="1" x14ac:dyDescent="0.45">
      <c r="O2132"/>
      <c r="P2132"/>
      <c r="Q2132"/>
    </row>
    <row r="2133" spans="15:17" ht="21.75" customHeight="1" x14ac:dyDescent="0.45">
      <c r="O2133"/>
      <c r="P2133"/>
      <c r="Q2133"/>
    </row>
    <row r="2134" spans="15:17" ht="21.75" customHeight="1" x14ac:dyDescent="0.45">
      <c r="O2134"/>
      <c r="P2134"/>
      <c r="Q2134"/>
    </row>
    <row r="2135" spans="15:17" ht="21.75" customHeight="1" x14ac:dyDescent="0.45">
      <c r="O2135"/>
      <c r="P2135"/>
      <c r="Q2135"/>
    </row>
    <row r="2136" spans="15:17" ht="21.75" customHeight="1" x14ac:dyDescent="0.45">
      <c r="O2136"/>
      <c r="P2136"/>
      <c r="Q2136"/>
    </row>
    <row r="2137" spans="15:17" ht="21.75" customHeight="1" x14ac:dyDescent="0.45">
      <c r="O2137"/>
      <c r="P2137"/>
      <c r="Q2137"/>
    </row>
    <row r="2138" spans="15:17" ht="21.75" customHeight="1" x14ac:dyDescent="0.45">
      <c r="O2138"/>
      <c r="P2138"/>
      <c r="Q2138"/>
    </row>
    <row r="2139" spans="15:17" ht="21.75" customHeight="1" x14ac:dyDescent="0.45">
      <c r="O2139"/>
      <c r="P2139"/>
      <c r="Q2139"/>
    </row>
    <row r="2140" spans="15:17" ht="21.75" customHeight="1" x14ac:dyDescent="0.45">
      <c r="O2140"/>
      <c r="P2140"/>
      <c r="Q2140"/>
    </row>
    <row r="2141" spans="15:17" ht="21.75" customHeight="1" x14ac:dyDescent="0.45">
      <c r="O2141"/>
      <c r="P2141"/>
      <c r="Q2141"/>
    </row>
    <row r="2142" spans="15:17" ht="21.75" customHeight="1" x14ac:dyDescent="0.45">
      <c r="O2142"/>
      <c r="P2142"/>
      <c r="Q2142"/>
    </row>
    <row r="2143" spans="15:17" ht="21.75" customHeight="1" x14ac:dyDescent="0.45">
      <c r="O2143"/>
      <c r="P2143"/>
      <c r="Q2143"/>
    </row>
    <row r="2144" spans="15:17" ht="21.75" customHeight="1" x14ac:dyDescent="0.45">
      <c r="O2144"/>
      <c r="P2144"/>
      <c r="Q2144"/>
    </row>
    <row r="2145" spans="15:17" ht="21.75" customHeight="1" x14ac:dyDescent="0.45">
      <c r="O2145"/>
      <c r="P2145"/>
      <c r="Q2145"/>
    </row>
    <row r="2146" spans="15:17" ht="21.75" customHeight="1" x14ac:dyDescent="0.45">
      <c r="O2146"/>
      <c r="P2146"/>
      <c r="Q2146"/>
    </row>
    <row r="2147" spans="15:17" ht="21.75" customHeight="1" x14ac:dyDescent="0.45">
      <c r="O2147"/>
      <c r="P2147"/>
      <c r="Q2147"/>
    </row>
    <row r="2148" spans="15:17" ht="21.75" customHeight="1" x14ac:dyDescent="0.45">
      <c r="O2148"/>
      <c r="P2148"/>
      <c r="Q2148"/>
    </row>
    <row r="2149" spans="15:17" ht="21.75" customHeight="1" x14ac:dyDescent="0.45">
      <c r="O2149"/>
      <c r="P2149"/>
      <c r="Q2149"/>
    </row>
    <row r="2150" spans="15:17" ht="21.75" customHeight="1" x14ac:dyDescent="0.45">
      <c r="O2150"/>
      <c r="P2150"/>
      <c r="Q2150"/>
    </row>
    <row r="2151" spans="15:17" ht="21.75" customHeight="1" x14ac:dyDescent="0.45">
      <c r="O2151"/>
      <c r="P2151"/>
      <c r="Q2151"/>
    </row>
    <row r="2152" spans="15:17" ht="21.75" customHeight="1" x14ac:dyDescent="0.45">
      <c r="O2152"/>
      <c r="P2152"/>
      <c r="Q2152"/>
    </row>
    <row r="2153" spans="15:17" ht="21.75" customHeight="1" x14ac:dyDescent="0.45">
      <c r="O2153"/>
      <c r="P2153"/>
      <c r="Q2153"/>
    </row>
    <row r="2154" spans="15:17" ht="21.75" customHeight="1" x14ac:dyDescent="0.45">
      <c r="O2154"/>
      <c r="P2154"/>
      <c r="Q2154"/>
    </row>
    <row r="2155" spans="15:17" ht="21.75" customHeight="1" x14ac:dyDescent="0.45">
      <c r="O2155"/>
      <c r="P2155"/>
      <c r="Q2155"/>
    </row>
    <row r="2156" spans="15:17" ht="21.75" customHeight="1" x14ac:dyDescent="0.45">
      <c r="O2156"/>
      <c r="P2156"/>
      <c r="Q2156"/>
    </row>
    <row r="2157" spans="15:17" ht="21.75" customHeight="1" x14ac:dyDescent="0.45">
      <c r="O2157"/>
      <c r="P2157"/>
      <c r="Q2157"/>
    </row>
    <row r="2158" spans="15:17" ht="21.75" customHeight="1" x14ac:dyDescent="0.45">
      <c r="O2158"/>
      <c r="P2158"/>
      <c r="Q2158"/>
    </row>
    <row r="2159" spans="15:17" ht="21.75" customHeight="1" x14ac:dyDescent="0.45">
      <c r="O2159"/>
      <c r="P2159"/>
      <c r="Q2159"/>
    </row>
    <row r="2160" spans="15:17" ht="21.75" customHeight="1" x14ac:dyDescent="0.45">
      <c r="O2160"/>
      <c r="P2160"/>
      <c r="Q2160"/>
    </row>
    <row r="2161" spans="15:17" ht="21.75" customHeight="1" x14ac:dyDescent="0.45">
      <c r="O2161"/>
      <c r="P2161"/>
      <c r="Q2161"/>
    </row>
    <row r="2162" spans="15:17" ht="21.75" customHeight="1" x14ac:dyDescent="0.45">
      <c r="O2162"/>
      <c r="P2162"/>
      <c r="Q2162"/>
    </row>
    <row r="2163" spans="15:17" ht="21.75" customHeight="1" x14ac:dyDescent="0.45">
      <c r="O2163"/>
      <c r="P2163"/>
      <c r="Q2163"/>
    </row>
    <row r="2164" spans="15:17" ht="21.75" customHeight="1" x14ac:dyDescent="0.45">
      <c r="O2164"/>
      <c r="P2164"/>
      <c r="Q2164"/>
    </row>
    <row r="2165" spans="15:17" ht="21.75" customHeight="1" x14ac:dyDescent="0.45">
      <c r="O2165"/>
      <c r="P2165"/>
      <c r="Q2165"/>
    </row>
    <row r="2166" spans="15:17" ht="21.75" customHeight="1" x14ac:dyDescent="0.45">
      <c r="O2166"/>
      <c r="P2166"/>
      <c r="Q2166"/>
    </row>
    <row r="2167" spans="15:17" ht="21.75" customHeight="1" x14ac:dyDescent="0.45">
      <c r="O2167"/>
      <c r="P2167"/>
      <c r="Q2167"/>
    </row>
    <row r="2168" spans="15:17" ht="21.75" customHeight="1" x14ac:dyDescent="0.45">
      <c r="O2168"/>
      <c r="P2168"/>
      <c r="Q2168"/>
    </row>
    <row r="2169" spans="15:17" ht="21.75" customHeight="1" x14ac:dyDescent="0.45">
      <c r="O2169"/>
      <c r="P2169"/>
      <c r="Q2169"/>
    </row>
    <row r="2170" spans="15:17" ht="21.75" customHeight="1" x14ac:dyDescent="0.45">
      <c r="O2170"/>
      <c r="P2170"/>
      <c r="Q2170"/>
    </row>
    <row r="2171" spans="15:17" ht="21.75" customHeight="1" x14ac:dyDescent="0.45">
      <c r="O2171"/>
      <c r="P2171"/>
      <c r="Q2171"/>
    </row>
    <row r="2172" spans="15:17" ht="21.75" customHeight="1" x14ac:dyDescent="0.45">
      <c r="O2172"/>
      <c r="P2172"/>
      <c r="Q2172"/>
    </row>
    <row r="2173" spans="15:17" ht="21.75" customHeight="1" x14ac:dyDescent="0.45">
      <c r="O2173"/>
      <c r="P2173"/>
      <c r="Q2173"/>
    </row>
    <row r="2174" spans="15:17" ht="21.75" customHeight="1" x14ac:dyDescent="0.45">
      <c r="O2174"/>
      <c r="P2174"/>
      <c r="Q2174"/>
    </row>
    <row r="2175" spans="15:17" ht="21.75" customHeight="1" x14ac:dyDescent="0.45">
      <c r="O2175"/>
      <c r="P2175"/>
      <c r="Q2175"/>
    </row>
    <row r="2176" spans="15:17" ht="21.75" customHeight="1" x14ac:dyDescent="0.45">
      <c r="O2176"/>
      <c r="P2176"/>
      <c r="Q2176"/>
    </row>
    <row r="2177" spans="15:17" ht="21.75" customHeight="1" x14ac:dyDescent="0.45">
      <c r="O2177"/>
      <c r="P2177"/>
      <c r="Q2177"/>
    </row>
    <row r="2178" spans="15:17" ht="21.75" customHeight="1" x14ac:dyDescent="0.45">
      <c r="O2178"/>
      <c r="P2178"/>
      <c r="Q2178"/>
    </row>
    <row r="2179" spans="15:17" ht="21.75" customHeight="1" x14ac:dyDescent="0.45">
      <c r="O2179"/>
      <c r="P2179"/>
      <c r="Q2179"/>
    </row>
    <row r="2180" spans="15:17" ht="21.75" customHeight="1" x14ac:dyDescent="0.45">
      <c r="O2180"/>
      <c r="P2180"/>
      <c r="Q2180"/>
    </row>
    <row r="2181" spans="15:17" ht="21.75" customHeight="1" x14ac:dyDescent="0.45">
      <c r="O2181"/>
      <c r="P2181"/>
      <c r="Q2181"/>
    </row>
    <row r="2182" spans="15:17" ht="21.75" customHeight="1" x14ac:dyDescent="0.45">
      <c r="O2182"/>
      <c r="P2182"/>
      <c r="Q2182"/>
    </row>
    <row r="2183" spans="15:17" ht="21.75" customHeight="1" x14ac:dyDescent="0.45">
      <c r="O2183"/>
      <c r="P2183"/>
      <c r="Q2183"/>
    </row>
    <row r="2184" spans="15:17" ht="21.75" customHeight="1" x14ac:dyDescent="0.45">
      <c r="O2184"/>
      <c r="P2184"/>
      <c r="Q2184"/>
    </row>
    <row r="2185" spans="15:17" ht="21.75" customHeight="1" x14ac:dyDescent="0.45">
      <c r="O2185"/>
      <c r="P2185"/>
      <c r="Q2185"/>
    </row>
    <row r="2186" spans="15:17" ht="21.75" customHeight="1" x14ac:dyDescent="0.45">
      <c r="O2186"/>
      <c r="P2186"/>
      <c r="Q2186"/>
    </row>
    <row r="2187" spans="15:17" ht="21.75" customHeight="1" x14ac:dyDescent="0.45">
      <c r="O2187"/>
      <c r="P2187"/>
      <c r="Q2187"/>
    </row>
    <row r="2188" spans="15:17" ht="21.75" customHeight="1" x14ac:dyDescent="0.45">
      <c r="O2188"/>
      <c r="P2188"/>
      <c r="Q2188"/>
    </row>
    <row r="2189" spans="15:17" ht="21.75" customHeight="1" x14ac:dyDescent="0.45">
      <c r="O2189"/>
      <c r="P2189"/>
      <c r="Q2189"/>
    </row>
    <row r="2190" spans="15:17" ht="21.75" customHeight="1" x14ac:dyDescent="0.45">
      <c r="O2190"/>
      <c r="P2190"/>
      <c r="Q2190"/>
    </row>
    <row r="2191" spans="15:17" ht="21.75" customHeight="1" x14ac:dyDescent="0.45">
      <c r="O2191"/>
      <c r="P2191"/>
      <c r="Q2191"/>
    </row>
    <row r="2192" spans="15:17" ht="21.75" customHeight="1" x14ac:dyDescent="0.45">
      <c r="O2192"/>
      <c r="P2192"/>
      <c r="Q2192"/>
    </row>
    <row r="2193" spans="15:17" ht="21.75" customHeight="1" x14ac:dyDescent="0.45">
      <c r="O2193"/>
      <c r="P2193"/>
      <c r="Q2193"/>
    </row>
    <row r="2194" spans="15:17" ht="21.75" customHeight="1" x14ac:dyDescent="0.45">
      <c r="O2194"/>
      <c r="P2194"/>
      <c r="Q2194"/>
    </row>
    <row r="2195" spans="15:17" ht="21.75" customHeight="1" x14ac:dyDescent="0.45">
      <c r="O2195"/>
      <c r="P2195"/>
      <c r="Q2195"/>
    </row>
    <row r="2196" spans="15:17" ht="21.75" customHeight="1" x14ac:dyDescent="0.45">
      <c r="O2196"/>
      <c r="P2196"/>
      <c r="Q2196"/>
    </row>
    <row r="2197" spans="15:17" ht="21.75" customHeight="1" x14ac:dyDescent="0.45">
      <c r="O2197"/>
      <c r="P2197"/>
      <c r="Q2197"/>
    </row>
    <row r="2198" spans="15:17" ht="21.75" customHeight="1" x14ac:dyDescent="0.45">
      <c r="O2198"/>
      <c r="P2198"/>
      <c r="Q2198"/>
    </row>
    <row r="2199" spans="15:17" ht="21.75" customHeight="1" x14ac:dyDescent="0.45">
      <c r="O2199"/>
      <c r="P2199"/>
      <c r="Q2199"/>
    </row>
    <row r="2200" spans="15:17" ht="21.75" customHeight="1" x14ac:dyDescent="0.45">
      <c r="O2200"/>
      <c r="P2200"/>
      <c r="Q2200"/>
    </row>
    <row r="2201" spans="15:17" ht="21.75" customHeight="1" x14ac:dyDescent="0.45">
      <c r="O2201"/>
      <c r="P2201"/>
      <c r="Q2201"/>
    </row>
    <row r="2202" spans="15:17" ht="21.75" customHeight="1" x14ac:dyDescent="0.45">
      <c r="O2202"/>
      <c r="P2202"/>
      <c r="Q2202"/>
    </row>
    <row r="2203" spans="15:17" ht="21.75" customHeight="1" x14ac:dyDescent="0.45">
      <c r="O2203"/>
      <c r="P2203"/>
      <c r="Q2203"/>
    </row>
    <row r="2204" spans="15:17" ht="21.75" customHeight="1" x14ac:dyDescent="0.45">
      <c r="O2204"/>
      <c r="P2204"/>
      <c r="Q2204"/>
    </row>
    <row r="2205" spans="15:17" ht="21.75" customHeight="1" x14ac:dyDescent="0.45">
      <c r="O2205"/>
      <c r="P2205"/>
      <c r="Q2205"/>
    </row>
    <row r="2206" spans="15:17" ht="21.75" customHeight="1" x14ac:dyDescent="0.45">
      <c r="O2206"/>
      <c r="P2206"/>
      <c r="Q2206"/>
    </row>
    <row r="2207" spans="15:17" ht="21.75" customHeight="1" x14ac:dyDescent="0.45">
      <c r="O2207"/>
      <c r="P2207"/>
      <c r="Q2207"/>
    </row>
    <row r="2208" spans="15:17" ht="21.75" customHeight="1" x14ac:dyDescent="0.45">
      <c r="O2208"/>
      <c r="P2208"/>
      <c r="Q2208"/>
    </row>
    <row r="2209" spans="15:17" ht="21.75" customHeight="1" x14ac:dyDescent="0.45">
      <c r="O2209"/>
      <c r="P2209"/>
      <c r="Q2209"/>
    </row>
    <row r="2210" spans="15:17" ht="21.75" customHeight="1" x14ac:dyDescent="0.45">
      <c r="O2210"/>
      <c r="P2210"/>
      <c r="Q2210"/>
    </row>
    <row r="2211" spans="15:17" ht="21.75" customHeight="1" x14ac:dyDescent="0.45">
      <c r="O2211"/>
      <c r="P2211"/>
      <c r="Q2211"/>
    </row>
    <row r="2212" spans="15:17" ht="21.75" customHeight="1" x14ac:dyDescent="0.45">
      <c r="O2212"/>
      <c r="P2212"/>
      <c r="Q2212"/>
    </row>
    <row r="2213" spans="15:17" ht="21.75" customHeight="1" x14ac:dyDescent="0.45">
      <c r="O2213"/>
      <c r="P2213"/>
      <c r="Q2213"/>
    </row>
    <row r="2214" spans="15:17" ht="21.75" customHeight="1" x14ac:dyDescent="0.45">
      <c r="O2214"/>
      <c r="P2214"/>
      <c r="Q2214"/>
    </row>
    <row r="2215" spans="15:17" ht="21.75" customHeight="1" x14ac:dyDescent="0.45">
      <c r="O2215"/>
      <c r="P2215"/>
      <c r="Q2215"/>
    </row>
    <row r="2216" spans="15:17" ht="21.75" customHeight="1" x14ac:dyDescent="0.45">
      <c r="O2216"/>
      <c r="P2216"/>
      <c r="Q2216"/>
    </row>
    <row r="2217" spans="15:17" ht="21.75" customHeight="1" x14ac:dyDescent="0.45">
      <c r="O2217"/>
      <c r="P2217"/>
      <c r="Q2217"/>
    </row>
    <row r="2218" spans="15:17" ht="21.75" customHeight="1" x14ac:dyDescent="0.45">
      <c r="O2218"/>
      <c r="P2218"/>
      <c r="Q2218"/>
    </row>
    <row r="2219" spans="15:17" ht="21.75" customHeight="1" x14ac:dyDescent="0.45">
      <c r="O2219"/>
      <c r="P2219"/>
      <c r="Q2219"/>
    </row>
    <row r="2220" spans="15:17" ht="21.75" customHeight="1" x14ac:dyDescent="0.45">
      <c r="O2220"/>
      <c r="P2220"/>
      <c r="Q2220"/>
    </row>
    <row r="2221" spans="15:17" ht="21.75" customHeight="1" x14ac:dyDescent="0.45">
      <c r="O2221"/>
      <c r="P2221"/>
      <c r="Q2221"/>
    </row>
    <row r="2222" spans="15:17" ht="21.75" customHeight="1" x14ac:dyDescent="0.45">
      <c r="O2222"/>
      <c r="P2222"/>
      <c r="Q2222"/>
    </row>
    <row r="2223" spans="15:17" ht="21.75" customHeight="1" x14ac:dyDescent="0.45">
      <c r="O2223"/>
      <c r="P2223"/>
      <c r="Q2223"/>
    </row>
    <row r="2224" spans="15:17" ht="21.75" customHeight="1" x14ac:dyDescent="0.45">
      <c r="O2224"/>
      <c r="P2224"/>
      <c r="Q2224"/>
    </row>
    <row r="2225" spans="15:17" ht="21.75" customHeight="1" x14ac:dyDescent="0.45">
      <c r="O2225"/>
      <c r="P2225"/>
      <c r="Q2225"/>
    </row>
    <row r="2226" spans="15:17" ht="21.75" customHeight="1" x14ac:dyDescent="0.45">
      <c r="O2226"/>
      <c r="P2226"/>
      <c r="Q2226"/>
    </row>
    <row r="2227" spans="15:17" ht="21.75" customHeight="1" x14ac:dyDescent="0.45">
      <c r="O2227"/>
      <c r="P2227"/>
      <c r="Q2227"/>
    </row>
    <row r="2228" spans="15:17" ht="21.75" customHeight="1" x14ac:dyDescent="0.45">
      <c r="O2228"/>
      <c r="P2228"/>
      <c r="Q2228"/>
    </row>
    <row r="2229" spans="15:17" ht="21.75" customHeight="1" x14ac:dyDescent="0.45">
      <c r="O2229"/>
      <c r="P2229"/>
      <c r="Q2229"/>
    </row>
    <row r="2230" spans="15:17" ht="21.75" customHeight="1" x14ac:dyDescent="0.45">
      <c r="O2230"/>
      <c r="P2230"/>
      <c r="Q2230"/>
    </row>
    <row r="2231" spans="15:17" ht="21.75" customHeight="1" x14ac:dyDescent="0.45">
      <c r="O2231"/>
      <c r="P2231"/>
      <c r="Q2231"/>
    </row>
    <row r="2232" spans="15:17" ht="21.75" customHeight="1" x14ac:dyDescent="0.45">
      <c r="O2232"/>
      <c r="P2232"/>
      <c r="Q2232"/>
    </row>
    <row r="2233" spans="15:17" ht="21.75" customHeight="1" x14ac:dyDescent="0.45">
      <c r="O2233"/>
      <c r="P2233"/>
      <c r="Q2233"/>
    </row>
    <row r="2234" spans="15:17" ht="21.75" customHeight="1" x14ac:dyDescent="0.45">
      <c r="O2234"/>
      <c r="P2234"/>
      <c r="Q2234"/>
    </row>
    <row r="2235" spans="15:17" ht="21.75" customHeight="1" x14ac:dyDescent="0.45">
      <c r="O2235"/>
      <c r="P2235"/>
      <c r="Q2235"/>
    </row>
    <row r="2236" spans="15:17" ht="21.75" customHeight="1" x14ac:dyDescent="0.45">
      <c r="O2236"/>
      <c r="P2236"/>
      <c r="Q2236"/>
    </row>
    <row r="2237" spans="15:17" ht="21.75" customHeight="1" x14ac:dyDescent="0.45">
      <c r="O2237"/>
      <c r="P2237"/>
      <c r="Q2237"/>
    </row>
    <row r="2238" spans="15:17" ht="21.75" customHeight="1" x14ac:dyDescent="0.45">
      <c r="O2238"/>
      <c r="P2238"/>
      <c r="Q2238"/>
    </row>
    <row r="2239" spans="15:17" ht="21.75" customHeight="1" x14ac:dyDescent="0.45">
      <c r="O2239"/>
      <c r="P2239"/>
      <c r="Q2239"/>
    </row>
    <row r="2240" spans="15:17" ht="21.75" customHeight="1" x14ac:dyDescent="0.45">
      <c r="O2240"/>
      <c r="P2240"/>
      <c r="Q2240"/>
    </row>
    <row r="2241" spans="15:17" ht="21.75" customHeight="1" x14ac:dyDescent="0.45">
      <c r="O2241"/>
      <c r="P2241"/>
      <c r="Q2241"/>
    </row>
    <row r="2242" spans="15:17" ht="21.75" customHeight="1" x14ac:dyDescent="0.45">
      <c r="O2242"/>
      <c r="P2242"/>
      <c r="Q2242"/>
    </row>
    <row r="2243" spans="15:17" ht="21.75" customHeight="1" x14ac:dyDescent="0.45">
      <c r="O2243"/>
      <c r="P2243"/>
      <c r="Q2243"/>
    </row>
    <row r="2244" spans="15:17" ht="21.75" customHeight="1" x14ac:dyDescent="0.45">
      <c r="O2244"/>
      <c r="P2244"/>
      <c r="Q2244"/>
    </row>
    <row r="2245" spans="15:17" ht="21.75" customHeight="1" x14ac:dyDescent="0.45">
      <c r="O2245"/>
      <c r="P2245"/>
      <c r="Q2245"/>
    </row>
    <row r="2246" spans="15:17" ht="21.75" customHeight="1" x14ac:dyDescent="0.45">
      <c r="O2246"/>
      <c r="P2246"/>
      <c r="Q2246"/>
    </row>
    <row r="2247" spans="15:17" ht="21.75" customHeight="1" x14ac:dyDescent="0.45">
      <c r="O2247"/>
      <c r="P2247"/>
      <c r="Q2247"/>
    </row>
    <row r="2248" spans="15:17" ht="21.75" customHeight="1" x14ac:dyDescent="0.45">
      <c r="O2248"/>
      <c r="P2248"/>
      <c r="Q2248"/>
    </row>
    <row r="2249" spans="15:17" ht="21.75" customHeight="1" x14ac:dyDescent="0.45">
      <c r="O2249"/>
      <c r="P2249"/>
      <c r="Q2249"/>
    </row>
    <row r="2250" spans="15:17" ht="21.75" customHeight="1" x14ac:dyDescent="0.45">
      <c r="O2250"/>
      <c r="P2250"/>
      <c r="Q2250"/>
    </row>
    <row r="2251" spans="15:17" ht="21.75" customHeight="1" x14ac:dyDescent="0.45">
      <c r="O2251"/>
      <c r="P2251"/>
      <c r="Q2251"/>
    </row>
    <row r="2252" spans="15:17" ht="21.75" customHeight="1" x14ac:dyDescent="0.45">
      <c r="O2252"/>
      <c r="P2252"/>
      <c r="Q2252"/>
    </row>
    <row r="2253" spans="15:17" ht="21.75" customHeight="1" x14ac:dyDescent="0.45">
      <c r="O2253"/>
      <c r="P2253"/>
      <c r="Q2253"/>
    </row>
    <row r="2254" spans="15:17" ht="21.75" customHeight="1" x14ac:dyDescent="0.45">
      <c r="O2254"/>
      <c r="P2254"/>
      <c r="Q2254"/>
    </row>
    <row r="2255" spans="15:17" ht="21.75" customHeight="1" x14ac:dyDescent="0.45">
      <c r="O2255"/>
      <c r="P2255"/>
      <c r="Q2255"/>
    </row>
    <row r="2256" spans="15:17" ht="21.75" customHeight="1" x14ac:dyDescent="0.45">
      <c r="O2256"/>
      <c r="P2256"/>
      <c r="Q2256"/>
    </row>
    <row r="2257" spans="15:17" ht="21.75" customHeight="1" x14ac:dyDescent="0.45">
      <c r="O2257"/>
      <c r="P2257"/>
      <c r="Q2257"/>
    </row>
    <row r="2258" spans="15:17" ht="21.75" customHeight="1" x14ac:dyDescent="0.45">
      <c r="O2258"/>
      <c r="P2258"/>
      <c r="Q2258"/>
    </row>
    <row r="2259" spans="15:17" ht="21.75" customHeight="1" x14ac:dyDescent="0.45">
      <c r="O2259"/>
      <c r="P2259"/>
      <c r="Q2259"/>
    </row>
    <row r="2260" spans="15:17" ht="21.75" customHeight="1" x14ac:dyDescent="0.45">
      <c r="O2260"/>
      <c r="P2260"/>
      <c r="Q2260"/>
    </row>
    <row r="2261" spans="15:17" ht="21.75" customHeight="1" x14ac:dyDescent="0.45">
      <c r="O2261"/>
      <c r="P2261"/>
      <c r="Q2261"/>
    </row>
    <row r="2262" spans="15:17" ht="21.75" customHeight="1" x14ac:dyDescent="0.45">
      <c r="O2262"/>
      <c r="P2262"/>
      <c r="Q2262"/>
    </row>
  </sheetData>
  <mergeCells count="10">
    <mergeCell ref="O1:T1"/>
    <mergeCell ref="U1:Z1"/>
    <mergeCell ref="AA1:AF1"/>
    <mergeCell ref="AG1:AK1"/>
    <mergeCell ref="AL1:AO1"/>
    <mergeCell ref="A1:D1"/>
    <mergeCell ref="E1:F1"/>
    <mergeCell ref="H1:I1"/>
    <mergeCell ref="J1:K1"/>
    <mergeCell ref="L1:N1"/>
  </mergeCells>
  <phoneticPr fontId="34" type="noConversion"/>
  <conditionalFormatting sqref="J4:J11">
    <cfRule type="duplicateValues" dxfId="6" priority="10"/>
  </conditionalFormatting>
  <conditionalFormatting sqref="M3:N27 L3:L1048576 M28 M29:N409">
    <cfRule type="expression" dxfId="5" priority="5">
      <formula>LEN(L3)&gt;40</formula>
    </cfRule>
  </conditionalFormatting>
  <conditionalFormatting sqref="O4:Q2262">
    <cfRule type="expression" dxfId="4" priority="3">
      <formula>LEN(O4)&gt;22</formula>
    </cfRule>
  </conditionalFormatting>
  <conditionalFormatting sqref="R4:T1048576">
    <cfRule type="expression" dxfId="3" priority="2">
      <formula>LEN(R4)&gt;22</formula>
    </cfRule>
  </conditionalFormatting>
  <conditionalFormatting sqref="X4:Z1048576">
    <cfRule type="expression" dxfId="2" priority="1">
      <formula>LEN(X4)&gt;28</formula>
    </cfRule>
  </conditionalFormatting>
  <dataValidations xWindow="1134" yWindow="582" count="16">
    <dataValidation type="list" allowBlank="1" showInputMessage="1" showErrorMessage="1" promptTitle="Information" prompt="Select value from dropdown" sqref="A3:A1048576" xr:uid="{00000000-0002-0000-0100-000000000000}">
      <formula1>"DELETE"</formula1>
    </dataValidation>
    <dataValidation type="list" allowBlank="1" showInputMessage="1" showErrorMessage="1" promptTitle="Information" prompt="Select value from dropdown" sqref="B3:B1048576" xr:uid="{00000000-0002-0000-0100-000001000000}">
      <formula1>RSC_ENTITY_NAME</formula1>
    </dataValidation>
    <dataValidation type="list" allowBlank="1" sqref="F3 F495:F1048576" xr:uid="{00000000-0002-0000-0100-000002000000}">
      <formula1>RSC_atxwarengruppesap__de_DE</formula1>
    </dataValidation>
    <dataValidation type="list" allowBlank="1" showInputMessage="1" showErrorMessage="1" promptTitle="Information" prompt="Select value from dropdown" sqref="AL495:AL1048576 AG3:AJ3 AL3 AG495:AJ1048576 AN3:AN1048576" xr:uid="{00000000-0002-0000-0100-00000B000000}">
      <formula1>"TRUE,FALSE"</formula1>
    </dataValidation>
    <dataValidation type="list" allowBlank="1" showInputMessage="1" showErrorMessage="1" promptTitle="Information" prompt="Select value from dropdown" sqref="E3:E1048576" xr:uid="{00000000-0002-0000-0100-000010000000}">
      <formula1>RSC__refxartikeltypsap</formula1>
    </dataValidation>
    <dataValidation type="list" allowBlank="1" showInputMessage="1" showErrorMessage="1" promptTitle="Information" prompt="Select value from dropdown" sqref="H3:H1048576" xr:uid="{00000000-0002-0000-0100-000013000000}">
      <formula1>RSC_de_DE_refxartikelartsap</formula1>
    </dataValidation>
    <dataValidation type="list" allowBlank="1" showInputMessage="1" showErrorMessage="1" promptTitle="Information" prompt="Select value from dropdown" sqref="I3:I1048576" xr:uid="{00000000-0002-0000-0100-000016000000}">
      <formula1>RSC_de_DE_refxsaisontypsap</formula1>
    </dataValidation>
    <dataValidation type="list" allowBlank="1" showInputMessage="1" showErrorMessage="1" promptTitle="Information" prompt="Select value from dropdown" sqref="AB3:AB1048576" xr:uid="{00000000-0002-0000-0100-000019000000}">
      <formula1>RSC_de_DE_refxmengeneinheit</formula1>
    </dataValidation>
    <dataValidation type="list" allowBlank="1" showInputMessage="1" showErrorMessage="1" promptTitle="Information" prompt="Select value from dropdown" sqref="AE3:AE1048576" xr:uid="{00000000-0002-0000-0100-000022000000}">
      <formula1>RSC_de_DE_refxtaxclass</formula1>
    </dataValidation>
    <dataValidation type="list" allowBlank="1" showInputMessage="1" showErrorMessage="1" promptTitle="Information" prompt="Select value from dropdown" sqref="AF3:AF1048576" xr:uid="{00000000-0002-0000-0100-000025000000}">
      <formula1>RSC_de_DE_refxaltersbegrtyp</formula1>
    </dataValidation>
    <dataValidation type="list" allowBlank="1" showInputMessage="1" showErrorMessage="1" promptTitle="Information" prompt="Select value from dropdown" sqref="AK3 AK495:AK1048576" xr:uid="{00000000-0002-0000-0100-000028000000}">
      <formula1>RSC__refxshopinshop</formula1>
    </dataValidation>
    <dataValidation type="list" allowBlank="1" showInputMessage="1" promptTitle="Information" prompt="Select value from dropdown" sqref="AM3 AM495:AM1048576" xr:uid="{00000000-0002-0000-0100-000029000000}">
      <formula1>RSC__refxgtintyperegioartikel</formula1>
    </dataValidation>
    <dataValidation allowBlank="1" showInputMessage="1" showErrorMessage="1" promptTitle="Information" prompt="Select value from dropdown" sqref="AC1:AC1048576" xr:uid="{1A424533-B9FB-4B28-95E8-5223C67491D0}"/>
    <dataValidation type="list" allowBlank="1" showInputMessage="1" showErrorMessage="1" promptTitle="Information" prompt="Select value from dropdown" sqref="AO3:AO1048576" xr:uid="{00000000-0002-0000-0100-00002A000000}">
      <formula1>RSC__refxsystemsap</formula1>
    </dataValidation>
    <dataValidation allowBlank="1" sqref="F4:F494" xr:uid="{C4A72171-FC4A-4A32-9286-771D015CB924}"/>
    <dataValidation allowBlank="1" showInputMessage="1" promptTitle="Information" prompt="Select value from dropdown" sqref="AM4:AM494" xr:uid="{ABBF123A-743C-4641-B21D-C38F5C411B13}"/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xWindow="1134" yWindow="582" count="1">
        <x14:dataValidation type="list" allowBlank="1" showErrorMessage="1" xr:uid="{00000000-0002-0000-0100-00001F000000}">
          <x14:formula1>
            <xm:f>OFFSET(dedea_axba2387!$A$1,1,IF(OR(ISBLANK($H3),$H3="[DELETE]",$H3="[NULL]"),MATCH("[EMPTY]",dedea_axba2387!$A$1:$K$1,0),MATCH($H3,dedea_axba2387!$A$1:$K$1,0))-1,32768,1)</xm:f>
          </x14:formula1>
          <xm:sqref>AD3 AD495:AD1048576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88951-E8B4-401D-B980-3152BED71B8F}">
  <dimension ref="A1:AJ261"/>
  <sheetViews>
    <sheetView topLeftCell="J1" workbookViewId="0">
      <selection activeCell="G2" sqref="G2"/>
    </sheetView>
  </sheetViews>
  <sheetFormatPr defaultColWidth="11.3984375" defaultRowHeight="14.25" x14ac:dyDescent="0.45"/>
  <cols>
    <col min="1" max="1" width="5.1328125" customWidth="1"/>
    <col min="2" max="2" width="7.59765625" style="36" customWidth="1"/>
    <col min="3" max="3" width="7.73046875" customWidth="1"/>
    <col min="4" max="4" width="7.1328125" customWidth="1"/>
    <col min="5" max="5" width="16.86328125" customWidth="1"/>
    <col min="6" max="6" width="25.1328125" customWidth="1"/>
    <col min="7" max="7" width="20.73046875" customWidth="1"/>
    <col min="8" max="8" width="11.3984375" customWidth="1"/>
    <col min="9" max="9" width="27.73046875" bestFit="1" customWidth="1"/>
    <col min="10" max="10" width="24" bestFit="1" customWidth="1"/>
    <col min="11" max="11" width="23.3984375" customWidth="1"/>
    <col min="12" max="12" width="13.86328125" bestFit="1" customWidth="1"/>
    <col min="13" max="13" width="28.3984375" bestFit="1" customWidth="1"/>
    <col min="14" max="15" width="24" bestFit="1" customWidth="1"/>
    <col min="16" max="16" width="11.3984375" customWidth="1"/>
    <col min="17" max="17" width="26.3984375" bestFit="1" customWidth="1"/>
    <col min="18" max="18" width="11.3984375" style="45" customWidth="1"/>
    <col min="19" max="20" width="17.265625" customWidth="1"/>
    <col min="21" max="21" width="19.59765625" customWidth="1"/>
    <col min="22" max="22" width="31.1328125" customWidth="1"/>
    <col min="23" max="23" width="26.265625" customWidth="1"/>
    <col min="24" max="27" width="22.86328125" customWidth="1"/>
    <col min="28" max="28" width="14.86328125" customWidth="1"/>
    <col min="29" max="29" width="14.73046875" customWidth="1"/>
    <col min="30" max="30" width="18.86328125" customWidth="1"/>
    <col min="31" max="31" width="11.3984375" customWidth="1"/>
    <col min="32" max="32" width="8.59765625" customWidth="1"/>
    <col min="33" max="33" width="13.59765625" style="61" customWidth="1"/>
    <col min="35" max="35" width="22" style="61" customWidth="1"/>
    <col min="36" max="36" width="16.86328125" customWidth="1"/>
  </cols>
  <sheetData>
    <row r="1" spans="1:36" ht="78.75" x14ac:dyDescent="0.45">
      <c r="A1" s="47" t="s">
        <v>231</v>
      </c>
      <c r="B1" s="48" t="s">
        <v>232</v>
      </c>
      <c r="C1" s="49" t="s">
        <v>233</v>
      </c>
      <c r="D1" s="49" t="s">
        <v>234</v>
      </c>
      <c r="E1" s="50" t="s">
        <v>235</v>
      </c>
      <c r="F1" s="49" t="s">
        <v>236</v>
      </c>
      <c r="G1" s="49" t="s">
        <v>237</v>
      </c>
      <c r="H1" s="49" t="s">
        <v>238</v>
      </c>
      <c r="I1" s="49" t="s">
        <v>239</v>
      </c>
      <c r="J1" s="49" t="s">
        <v>240</v>
      </c>
      <c r="K1" s="49" t="s">
        <v>241</v>
      </c>
      <c r="L1" s="49" t="s">
        <v>242</v>
      </c>
      <c r="M1" s="49" t="s">
        <v>243</v>
      </c>
      <c r="N1" s="49" t="s">
        <v>244</v>
      </c>
      <c r="O1" s="49" t="s">
        <v>245</v>
      </c>
      <c r="P1" s="49" t="s">
        <v>246</v>
      </c>
      <c r="Q1" s="49" t="s">
        <v>247</v>
      </c>
      <c r="R1" s="51" t="s">
        <v>57</v>
      </c>
      <c r="S1" s="49" t="s">
        <v>248</v>
      </c>
      <c r="T1" s="49" t="s">
        <v>249</v>
      </c>
      <c r="U1" s="49" t="s">
        <v>250</v>
      </c>
      <c r="V1" s="49" t="s">
        <v>251</v>
      </c>
      <c r="W1" s="49" t="s">
        <v>252</v>
      </c>
      <c r="X1" s="49" t="s">
        <v>253</v>
      </c>
      <c r="Y1" s="49" t="s">
        <v>1412</v>
      </c>
      <c r="Z1" s="49" t="s">
        <v>1413</v>
      </c>
      <c r="AA1" s="49" t="s">
        <v>1414</v>
      </c>
      <c r="AB1" s="49" t="s">
        <v>254</v>
      </c>
      <c r="AC1" s="49" t="s">
        <v>255</v>
      </c>
      <c r="AD1" s="49" t="s">
        <v>256</v>
      </c>
      <c r="AE1" s="49" t="s">
        <v>257</v>
      </c>
      <c r="AF1" s="49" t="s">
        <v>258</v>
      </c>
      <c r="AG1" s="49" t="s">
        <v>259</v>
      </c>
      <c r="AH1" s="49" t="s">
        <v>260</v>
      </c>
      <c r="AI1" s="49" t="s">
        <v>261</v>
      </c>
      <c r="AJ1" s="49" t="s">
        <v>262</v>
      </c>
    </row>
    <row r="2" spans="1:36" x14ac:dyDescent="0.45">
      <c r="A2" s="52">
        <v>1</v>
      </c>
      <c r="B2" s="43">
        <v>700</v>
      </c>
      <c r="C2" s="53" t="s">
        <v>263</v>
      </c>
      <c r="D2" s="53" t="s">
        <v>84</v>
      </c>
      <c r="E2" s="54"/>
      <c r="F2" s="53" t="s">
        <v>264</v>
      </c>
      <c r="G2" s="53" t="s">
        <v>265</v>
      </c>
      <c r="H2" s="53" t="s">
        <v>266</v>
      </c>
      <c r="I2" s="53" t="s">
        <v>267</v>
      </c>
      <c r="J2" s="53" t="s">
        <v>268</v>
      </c>
      <c r="K2" s="53" t="s">
        <v>269</v>
      </c>
      <c r="L2" s="53" t="s">
        <v>266</v>
      </c>
      <c r="M2" s="53" t="s">
        <v>267</v>
      </c>
      <c r="N2" s="53" t="s">
        <v>264</v>
      </c>
      <c r="O2" s="53" t="s">
        <v>270</v>
      </c>
      <c r="P2" s="53" t="s">
        <v>266</v>
      </c>
      <c r="Q2" s="53" t="s">
        <v>267</v>
      </c>
      <c r="R2" s="55">
        <v>0.25</v>
      </c>
      <c r="S2" s="53">
        <v>100</v>
      </c>
      <c r="T2" s="53" t="s">
        <v>130</v>
      </c>
      <c r="U2" s="53" t="s">
        <v>169</v>
      </c>
      <c r="V2" s="53" t="s">
        <v>271</v>
      </c>
      <c r="W2" s="53" t="s">
        <v>272</v>
      </c>
      <c r="X2" s="53" t="s">
        <v>273</v>
      </c>
      <c r="Y2" s="53"/>
      <c r="Z2" s="53"/>
      <c r="AA2" s="53"/>
      <c r="AB2" s="53" t="s">
        <v>274</v>
      </c>
      <c r="AC2" s="53" t="s">
        <v>274</v>
      </c>
      <c r="AD2" s="53" t="s">
        <v>274</v>
      </c>
      <c r="AE2" s="53" t="s">
        <v>274</v>
      </c>
      <c r="AF2" s="53" t="s">
        <v>275</v>
      </c>
      <c r="AG2" s="53" t="s">
        <v>275</v>
      </c>
      <c r="AH2" s="53" t="s">
        <v>274</v>
      </c>
      <c r="AI2" s="53">
        <v>0.05</v>
      </c>
      <c r="AJ2" s="56" t="s">
        <v>275</v>
      </c>
    </row>
    <row r="3" spans="1:36" x14ac:dyDescent="0.45">
      <c r="A3" s="52">
        <v>2</v>
      </c>
      <c r="B3" s="43">
        <v>701</v>
      </c>
      <c r="C3" s="53" t="s">
        <v>263</v>
      </c>
      <c r="D3" s="53" t="s">
        <v>84</v>
      </c>
      <c r="E3" s="54"/>
      <c r="F3" s="53" t="s">
        <v>276</v>
      </c>
      <c r="G3" s="53" t="s">
        <v>265</v>
      </c>
      <c r="H3" s="53" t="s">
        <v>266</v>
      </c>
      <c r="I3" s="53" t="s">
        <v>277</v>
      </c>
      <c r="J3" s="53" t="s">
        <v>278</v>
      </c>
      <c r="K3" s="53" t="s">
        <v>269</v>
      </c>
      <c r="L3" s="53" t="s">
        <v>266</v>
      </c>
      <c r="M3" s="53" t="s">
        <v>279</v>
      </c>
      <c r="N3" s="53" t="s">
        <v>280</v>
      </c>
      <c r="O3" s="53" t="s">
        <v>270</v>
      </c>
      <c r="P3" s="53" t="s">
        <v>266</v>
      </c>
      <c r="Q3" s="53" t="s">
        <v>281</v>
      </c>
      <c r="R3" s="55">
        <v>0.25</v>
      </c>
      <c r="S3" s="53">
        <v>100</v>
      </c>
      <c r="T3" s="53" t="s">
        <v>130</v>
      </c>
      <c r="U3" s="53" t="s">
        <v>169</v>
      </c>
      <c r="V3" s="53" t="s">
        <v>271</v>
      </c>
      <c r="W3" s="53" t="s">
        <v>272</v>
      </c>
      <c r="X3" s="53" t="s">
        <v>273</v>
      </c>
      <c r="Y3" s="53"/>
      <c r="Z3" s="53"/>
      <c r="AA3" s="53"/>
      <c r="AB3" s="53" t="s">
        <v>274</v>
      </c>
      <c r="AC3" s="53" t="s">
        <v>274</v>
      </c>
      <c r="AD3" s="53" t="s">
        <v>274</v>
      </c>
      <c r="AE3" s="53" t="s">
        <v>274</v>
      </c>
      <c r="AF3" s="53" t="s">
        <v>275</v>
      </c>
      <c r="AG3" s="53" t="s">
        <v>275</v>
      </c>
      <c r="AH3" s="53" t="s">
        <v>274</v>
      </c>
      <c r="AI3" s="53">
        <v>0.05</v>
      </c>
      <c r="AJ3" s="56" t="s">
        <v>275</v>
      </c>
    </row>
    <row r="4" spans="1:36" x14ac:dyDescent="0.45">
      <c r="A4" s="52">
        <v>3</v>
      </c>
      <c r="B4" s="43">
        <v>702</v>
      </c>
      <c r="C4" s="53" t="s">
        <v>263</v>
      </c>
      <c r="D4" s="53" t="s">
        <v>84</v>
      </c>
      <c r="E4" s="54"/>
      <c r="F4" s="53" t="s">
        <v>276</v>
      </c>
      <c r="G4" s="53" t="s">
        <v>265</v>
      </c>
      <c r="H4" s="53" t="s">
        <v>282</v>
      </c>
      <c r="I4" s="53" t="s">
        <v>283</v>
      </c>
      <c r="J4" s="53" t="s">
        <v>278</v>
      </c>
      <c r="K4" s="53" t="s">
        <v>269</v>
      </c>
      <c r="L4" s="53" t="s">
        <v>282</v>
      </c>
      <c r="M4" s="53" t="s">
        <v>284</v>
      </c>
      <c r="N4" s="53" t="s">
        <v>280</v>
      </c>
      <c r="O4" s="53" t="s">
        <v>270</v>
      </c>
      <c r="P4" s="53" t="s">
        <v>282</v>
      </c>
      <c r="Q4" s="53" t="s">
        <v>285</v>
      </c>
      <c r="R4" s="55">
        <v>0.5</v>
      </c>
      <c r="S4" s="53">
        <v>100</v>
      </c>
      <c r="T4" s="53" t="s">
        <v>130</v>
      </c>
      <c r="U4" s="53" t="s">
        <v>169</v>
      </c>
      <c r="V4" s="53" t="s">
        <v>271</v>
      </c>
      <c r="W4" s="53" t="s">
        <v>272</v>
      </c>
      <c r="X4" s="53" t="s">
        <v>273</v>
      </c>
      <c r="Y4" s="53"/>
      <c r="Z4" s="53"/>
      <c r="AA4" s="53"/>
      <c r="AB4" s="53" t="s">
        <v>274</v>
      </c>
      <c r="AC4" s="53" t="s">
        <v>274</v>
      </c>
      <c r="AD4" s="53" t="s">
        <v>274</v>
      </c>
      <c r="AE4" s="53" t="s">
        <v>274</v>
      </c>
      <c r="AF4" s="53" t="s">
        <v>275</v>
      </c>
      <c r="AG4" s="53" t="s">
        <v>275</v>
      </c>
      <c r="AH4" s="53" t="s">
        <v>274</v>
      </c>
      <c r="AI4" s="53">
        <v>0.05</v>
      </c>
      <c r="AJ4" s="56" t="s">
        <v>275</v>
      </c>
    </row>
    <row r="5" spans="1:36" x14ac:dyDescent="0.45">
      <c r="A5" s="52">
        <v>4</v>
      </c>
      <c r="B5" s="43">
        <v>703</v>
      </c>
      <c r="C5" s="53" t="s">
        <v>263</v>
      </c>
      <c r="D5" s="53" t="s">
        <v>84</v>
      </c>
      <c r="E5" s="54"/>
      <c r="F5" s="53" t="s">
        <v>286</v>
      </c>
      <c r="G5" s="53" t="s">
        <v>265</v>
      </c>
      <c r="H5" s="53" t="s">
        <v>287</v>
      </c>
      <c r="I5" s="53" t="s">
        <v>286</v>
      </c>
      <c r="J5" s="53" t="s">
        <v>288</v>
      </c>
      <c r="K5" s="53" t="s">
        <v>269</v>
      </c>
      <c r="L5" s="53" t="s">
        <v>289</v>
      </c>
      <c r="M5" s="53" t="s">
        <v>288</v>
      </c>
      <c r="N5" s="53" t="s">
        <v>286</v>
      </c>
      <c r="O5" s="53" t="s">
        <v>270</v>
      </c>
      <c r="P5" s="53" t="s">
        <v>290</v>
      </c>
      <c r="Q5" s="53" t="s">
        <v>286</v>
      </c>
      <c r="R5" s="55">
        <v>1</v>
      </c>
      <c r="S5" s="53">
        <v>1</v>
      </c>
      <c r="T5" s="53" t="s">
        <v>137</v>
      </c>
      <c r="U5" s="53" t="s">
        <v>169</v>
      </c>
      <c r="V5" s="53" t="s">
        <v>271</v>
      </c>
      <c r="W5" s="53" t="s">
        <v>272</v>
      </c>
      <c r="X5" s="53" t="s">
        <v>273</v>
      </c>
      <c r="Y5" s="53"/>
      <c r="Z5" s="53"/>
      <c r="AA5" s="53"/>
      <c r="AB5" s="53" t="s">
        <v>274</v>
      </c>
      <c r="AC5" s="53" t="s">
        <v>274</v>
      </c>
      <c r="AD5" s="53" t="s">
        <v>274</v>
      </c>
      <c r="AE5" s="53" t="s">
        <v>274</v>
      </c>
      <c r="AF5" s="53" t="s">
        <v>275</v>
      </c>
      <c r="AG5" s="53" t="s">
        <v>275</v>
      </c>
      <c r="AH5" s="53" t="s">
        <v>274</v>
      </c>
      <c r="AI5" s="53">
        <v>0.05</v>
      </c>
      <c r="AJ5" s="56" t="s">
        <v>275</v>
      </c>
    </row>
    <row r="6" spans="1:36" x14ac:dyDescent="0.45">
      <c r="A6" s="52">
        <v>5</v>
      </c>
      <c r="B6" s="43">
        <v>704</v>
      </c>
      <c r="C6" s="53" t="s">
        <v>263</v>
      </c>
      <c r="D6" s="53" t="s">
        <v>84</v>
      </c>
      <c r="E6" s="54"/>
      <c r="F6" s="53" t="s">
        <v>291</v>
      </c>
      <c r="G6" s="53" t="s">
        <v>265</v>
      </c>
      <c r="H6" s="53" t="s">
        <v>287</v>
      </c>
      <c r="I6" s="53" t="s">
        <v>291</v>
      </c>
      <c r="J6" s="53" t="s">
        <v>291</v>
      </c>
      <c r="K6" s="53" t="s">
        <v>269</v>
      </c>
      <c r="L6" s="53" t="s">
        <v>289</v>
      </c>
      <c r="M6" s="53" t="s">
        <v>291</v>
      </c>
      <c r="N6" s="53" t="s">
        <v>291</v>
      </c>
      <c r="O6" s="53" t="s">
        <v>270</v>
      </c>
      <c r="P6" s="53" t="s">
        <v>290</v>
      </c>
      <c r="Q6" s="53" t="s">
        <v>291</v>
      </c>
      <c r="R6" s="55">
        <v>1</v>
      </c>
      <c r="S6" s="53">
        <v>1</v>
      </c>
      <c r="T6" s="53" t="s">
        <v>137</v>
      </c>
      <c r="U6" s="53" t="s">
        <v>169</v>
      </c>
      <c r="V6" s="53" t="s">
        <v>271</v>
      </c>
      <c r="W6" s="53" t="s">
        <v>272</v>
      </c>
      <c r="X6" s="53" t="s">
        <v>273</v>
      </c>
      <c r="Y6" s="53"/>
      <c r="Z6" s="53"/>
      <c r="AA6" s="53"/>
      <c r="AB6" s="53" t="s">
        <v>274</v>
      </c>
      <c r="AC6" s="53" t="s">
        <v>274</v>
      </c>
      <c r="AD6" s="53" t="s">
        <v>274</v>
      </c>
      <c r="AE6" s="53" t="s">
        <v>274</v>
      </c>
      <c r="AF6" s="53" t="s">
        <v>275</v>
      </c>
      <c r="AG6" s="53" t="s">
        <v>275</v>
      </c>
      <c r="AH6" s="53" t="s">
        <v>274</v>
      </c>
      <c r="AI6" s="53">
        <v>0.05</v>
      </c>
      <c r="AJ6" s="56" t="s">
        <v>275</v>
      </c>
    </row>
    <row r="7" spans="1:36" x14ac:dyDescent="0.45">
      <c r="A7" s="52">
        <v>6</v>
      </c>
      <c r="B7" s="43">
        <v>705</v>
      </c>
      <c r="C7" s="53" t="s">
        <v>263</v>
      </c>
      <c r="D7" s="53" t="s">
        <v>84</v>
      </c>
      <c r="E7" s="54"/>
      <c r="F7" s="53" t="s">
        <v>292</v>
      </c>
      <c r="G7" s="53" t="s">
        <v>265</v>
      </c>
      <c r="H7" s="53" t="s">
        <v>287</v>
      </c>
      <c r="I7" s="53" t="s">
        <v>292</v>
      </c>
      <c r="J7" s="53" t="s">
        <v>293</v>
      </c>
      <c r="K7" s="53" t="s">
        <v>269</v>
      </c>
      <c r="L7" s="53" t="s">
        <v>289</v>
      </c>
      <c r="M7" s="53" t="s">
        <v>293</v>
      </c>
      <c r="N7" s="53" t="s">
        <v>293</v>
      </c>
      <c r="O7" s="53" t="s">
        <v>270</v>
      </c>
      <c r="P7" s="53" t="s">
        <v>290</v>
      </c>
      <c r="Q7" s="53" t="s">
        <v>293</v>
      </c>
      <c r="R7" s="55">
        <v>1</v>
      </c>
      <c r="S7" s="53">
        <v>1</v>
      </c>
      <c r="T7" s="53" t="s">
        <v>137</v>
      </c>
      <c r="U7" s="53" t="s">
        <v>169</v>
      </c>
      <c r="V7" s="53" t="s">
        <v>271</v>
      </c>
      <c r="W7" s="53" t="s">
        <v>272</v>
      </c>
      <c r="X7" s="53" t="s">
        <v>273</v>
      </c>
      <c r="Y7" s="53"/>
      <c r="Z7" s="53"/>
      <c r="AA7" s="53"/>
      <c r="AB7" s="53" t="s">
        <v>274</v>
      </c>
      <c r="AC7" s="53" t="s">
        <v>274</v>
      </c>
      <c r="AD7" s="53" t="s">
        <v>274</v>
      </c>
      <c r="AE7" s="53" t="s">
        <v>274</v>
      </c>
      <c r="AF7" s="53" t="s">
        <v>275</v>
      </c>
      <c r="AG7" s="53" t="s">
        <v>275</v>
      </c>
      <c r="AH7" s="53" t="s">
        <v>274</v>
      </c>
      <c r="AI7" s="53">
        <v>0.05</v>
      </c>
      <c r="AJ7" s="56" t="s">
        <v>275</v>
      </c>
    </row>
    <row r="8" spans="1:36" x14ac:dyDescent="0.45">
      <c r="A8" s="52">
        <v>7</v>
      </c>
      <c r="B8" s="43">
        <v>706</v>
      </c>
      <c r="C8" s="53" t="s">
        <v>263</v>
      </c>
      <c r="D8" s="53" t="s">
        <v>84</v>
      </c>
      <c r="E8" s="54"/>
      <c r="F8" s="53" t="s">
        <v>294</v>
      </c>
      <c r="G8" s="53" t="s">
        <v>265</v>
      </c>
      <c r="H8" s="53" t="s">
        <v>287</v>
      </c>
      <c r="I8" s="53" t="s">
        <v>294</v>
      </c>
      <c r="J8" s="53" t="s">
        <v>295</v>
      </c>
      <c r="K8" s="53" t="s">
        <v>269</v>
      </c>
      <c r="L8" s="53" t="s">
        <v>289</v>
      </c>
      <c r="M8" s="53" t="s">
        <v>295</v>
      </c>
      <c r="N8" s="53" t="s">
        <v>296</v>
      </c>
      <c r="O8" s="53" t="s">
        <v>270</v>
      </c>
      <c r="P8" s="53" t="s">
        <v>290</v>
      </c>
      <c r="Q8" s="53" t="s">
        <v>296</v>
      </c>
      <c r="R8" s="55">
        <v>1</v>
      </c>
      <c r="S8" s="53">
        <v>1</v>
      </c>
      <c r="T8" s="53" t="s">
        <v>137</v>
      </c>
      <c r="U8" s="53" t="s">
        <v>169</v>
      </c>
      <c r="V8" s="53" t="s">
        <v>271</v>
      </c>
      <c r="W8" s="53" t="s">
        <v>272</v>
      </c>
      <c r="X8" s="53" t="s">
        <v>273</v>
      </c>
      <c r="Y8" s="53"/>
      <c r="Z8" s="53"/>
      <c r="AA8" s="53"/>
      <c r="AB8" s="53" t="s">
        <v>274</v>
      </c>
      <c r="AC8" s="53" t="s">
        <v>274</v>
      </c>
      <c r="AD8" s="53" t="s">
        <v>274</v>
      </c>
      <c r="AE8" s="53" t="s">
        <v>274</v>
      </c>
      <c r="AF8" s="53" t="s">
        <v>275</v>
      </c>
      <c r="AG8" s="53" t="s">
        <v>275</v>
      </c>
      <c r="AH8" s="53" t="s">
        <v>274</v>
      </c>
      <c r="AI8" s="53">
        <v>0</v>
      </c>
      <c r="AJ8" s="56" t="s">
        <v>275</v>
      </c>
    </row>
    <row r="9" spans="1:36" x14ac:dyDescent="0.45">
      <c r="A9" s="52">
        <v>8</v>
      </c>
      <c r="B9" s="43">
        <v>707</v>
      </c>
      <c r="C9" s="53" t="s">
        <v>263</v>
      </c>
      <c r="D9" s="53" t="s">
        <v>84</v>
      </c>
      <c r="E9" s="54"/>
      <c r="F9" s="53" t="s">
        <v>297</v>
      </c>
      <c r="G9" s="53" t="s">
        <v>265</v>
      </c>
      <c r="H9" s="53" t="s">
        <v>287</v>
      </c>
      <c r="I9" s="53" t="s">
        <v>297</v>
      </c>
      <c r="J9" s="53" t="s">
        <v>298</v>
      </c>
      <c r="K9" s="53" t="s">
        <v>269</v>
      </c>
      <c r="L9" s="53" t="s">
        <v>289</v>
      </c>
      <c r="M9" s="53" t="s">
        <v>298</v>
      </c>
      <c r="N9" s="53" t="s">
        <v>299</v>
      </c>
      <c r="O9" s="53" t="s">
        <v>270</v>
      </c>
      <c r="P9" s="53" t="s">
        <v>290</v>
      </c>
      <c r="Q9" s="53" t="s">
        <v>299</v>
      </c>
      <c r="R9" s="55">
        <v>1</v>
      </c>
      <c r="S9" s="53">
        <v>1</v>
      </c>
      <c r="T9" s="53" t="s">
        <v>137</v>
      </c>
      <c r="U9" s="53" t="s">
        <v>169</v>
      </c>
      <c r="V9" s="53" t="s">
        <v>271</v>
      </c>
      <c r="W9" s="53" t="s">
        <v>272</v>
      </c>
      <c r="X9" s="53" t="s">
        <v>273</v>
      </c>
      <c r="Y9" s="53"/>
      <c r="Z9" s="53"/>
      <c r="AA9" s="53"/>
      <c r="AB9" s="53" t="s">
        <v>274</v>
      </c>
      <c r="AC9" s="53" t="s">
        <v>274</v>
      </c>
      <c r="AD9" s="53" t="s">
        <v>274</v>
      </c>
      <c r="AE9" s="53" t="s">
        <v>274</v>
      </c>
      <c r="AF9" s="53" t="s">
        <v>275</v>
      </c>
      <c r="AG9" s="53" t="s">
        <v>275</v>
      </c>
      <c r="AH9" s="53" t="s">
        <v>274</v>
      </c>
      <c r="AI9" s="53">
        <v>0</v>
      </c>
      <c r="AJ9" s="56" t="s">
        <v>275</v>
      </c>
    </row>
    <row r="10" spans="1:36" x14ac:dyDescent="0.45">
      <c r="A10" s="52">
        <v>9</v>
      </c>
      <c r="B10" s="43">
        <v>708</v>
      </c>
      <c r="C10" s="53" t="s">
        <v>263</v>
      </c>
      <c r="D10" s="53" t="s">
        <v>84</v>
      </c>
      <c r="E10" s="54"/>
      <c r="F10" s="53" t="s">
        <v>300</v>
      </c>
      <c r="G10" s="53" t="s">
        <v>265</v>
      </c>
      <c r="H10" s="53" t="s">
        <v>287</v>
      </c>
      <c r="I10" s="53" t="s">
        <v>300</v>
      </c>
      <c r="J10" s="53" t="s">
        <v>301</v>
      </c>
      <c r="K10" s="53" t="s">
        <v>269</v>
      </c>
      <c r="L10" s="53" t="s">
        <v>289</v>
      </c>
      <c r="M10" s="53" t="s">
        <v>301</v>
      </c>
      <c r="N10" s="53" t="s">
        <v>302</v>
      </c>
      <c r="O10" s="53" t="s">
        <v>270</v>
      </c>
      <c r="P10" s="53" t="s">
        <v>290</v>
      </c>
      <c r="Q10" s="53" t="s">
        <v>302</v>
      </c>
      <c r="R10" s="55">
        <v>1</v>
      </c>
      <c r="S10" s="53">
        <v>1</v>
      </c>
      <c r="T10" s="53" t="s">
        <v>137</v>
      </c>
      <c r="U10" s="53" t="s">
        <v>169</v>
      </c>
      <c r="V10" s="53" t="s">
        <v>271</v>
      </c>
      <c r="W10" s="53" t="s">
        <v>272</v>
      </c>
      <c r="X10" s="53" t="s">
        <v>273</v>
      </c>
      <c r="Y10" s="53"/>
      <c r="Z10" s="53"/>
      <c r="AA10" s="53"/>
      <c r="AB10" s="53" t="s">
        <v>274</v>
      </c>
      <c r="AC10" s="53" t="s">
        <v>274</v>
      </c>
      <c r="AD10" s="53" t="s">
        <v>274</v>
      </c>
      <c r="AE10" s="53" t="s">
        <v>274</v>
      </c>
      <c r="AF10" s="53" t="s">
        <v>275</v>
      </c>
      <c r="AG10" s="53" t="s">
        <v>275</v>
      </c>
      <c r="AH10" s="53" t="s">
        <v>274</v>
      </c>
      <c r="AI10" s="53">
        <v>0</v>
      </c>
      <c r="AJ10" s="56" t="s">
        <v>275</v>
      </c>
    </row>
    <row r="11" spans="1:36" x14ac:dyDescent="0.45">
      <c r="A11" s="52">
        <v>10</v>
      </c>
      <c r="B11" s="43">
        <v>709</v>
      </c>
      <c r="C11" s="53" t="s">
        <v>263</v>
      </c>
      <c r="D11" s="53" t="s">
        <v>84</v>
      </c>
      <c r="E11" s="54"/>
      <c r="F11" s="53" t="s">
        <v>303</v>
      </c>
      <c r="G11" s="53" t="s">
        <v>265</v>
      </c>
      <c r="H11" s="53" t="s">
        <v>287</v>
      </c>
      <c r="I11" s="53" t="s">
        <v>303</v>
      </c>
      <c r="J11" s="53" t="s">
        <v>303</v>
      </c>
      <c r="K11" s="53" t="s">
        <v>269</v>
      </c>
      <c r="L11" s="53" t="s">
        <v>289</v>
      </c>
      <c r="M11" s="53" t="s">
        <v>303</v>
      </c>
      <c r="N11" s="53" t="s">
        <v>303</v>
      </c>
      <c r="O11" s="53" t="s">
        <v>270</v>
      </c>
      <c r="P11" s="53" t="s">
        <v>290</v>
      </c>
      <c r="Q11" s="53" t="s">
        <v>303</v>
      </c>
      <c r="R11" s="55">
        <v>1</v>
      </c>
      <c r="S11" s="53">
        <v>1</v>
      </c>
      <c r="T11" s="53" t="s">
        <v>137</v>
      </c>
      <c r="U11" s="53" t="s">
        <v>169</v>
      </c>
      <c r="V11" s="53" t="s">
        <v>271</v>
      </c>
      <c r="W11" s="53" t="s">
        <v>272</v>
      </c>
      <c r="X11" s="53" t="s">
        <v>273</v>
      </c>
      <c r="Y11" s="53"/>
      <c r="Z11" s="53"/>
      <c r="AA11" s="53"/>
      <c r="AB11" s="53" t="s">
        <v>274</v>
      </c>
      <c r="AC11" s="53" t="s">
        <v>274</v>
      </c>
      <c r="AD11" s="53" t="s">
        <v>274</v>
      </c>
      <c r="AE11" s="53" t="s">
        <v>274</v>
      </c>
      <c r="AF11" s="53" t="s">
        <v>275</v>
      </c>
      <c r="AG11" s="53" t="s">
        <v>275</v>
      </c>
      <c r="AH11" s="53" t="s">
        <v>274</v>
      </c>
      <c r="AI11" s="53">
        <v>0.05</v>
      </c>
      <c r="AJ11" s="56" t="s">
        <v>275</v>
      </c>
    </row>
    <row r="12" spans="1:36" x14ac:dyDescent="0.45">
      <c r="A12" s="52">
        <v>11</v>
      </c>
      <c r="B12" s="43">
        <v>710</v>
      </c>
      <c r="C12" s="53" t="s">
        <v>263</v>
      </c>
      <c r="D12" s="53" t="s">
        <v>84</v>
      </c>
      <c r="E12" s="54"/>
      <c r="F12" s="53" t="s">
        <v>304</v>
      </c>
      <c r="G12" s="53" t="s">
        <v>265</v>
      </c>
      <c r="H12" s="53" t="s">
        <v>287</v>
      </c>
      <c r="I12" s="53" t="s">
        <v>304</v>
      </c>
      <c r="J12" s="53" t="s">
        <v>305</v>
      </c>
      <c r="K12" s="53" t="s">
        <v>269</v>
      </c>
      <c r="L12" s="53" t="s">
        <v>289</v>
      </c>
      <c r="M12" s="53" t="s">
        <v>305</v>
      </c>
      <c r="N12" s="53" t="s">
        <v>306</v>
      </c>
      <c r="O12" s="53" t="s">
        <v>270</v>
      </c>
      <c r="P12" s="53" t="s">
        <v>290</v>
      </c>
      <c r="Q12" s="53" t="s">
        <v>306</v>
      </c>
      <c r="R12" s="55">
        <v>1</v>
      </c>
      <c r="S12" s="53">
        <v>1</v>
      </c>
      <c r="T12" s="53" t="s">
        <v>137</v>
      </c>
      <c r="U12" s="53" t="s">
        <v>169</v>
      </c>
      <c r="V12" s="53" t="s">
        <v>271</v>
      </c>
      <c r="W12" s="53" t="s">
        <v>272</v>
      </c>
      <c r="X12" s="53" t="s">
        <v>273</v>
      </c>
      <c r="Y12" s="53"/>
      <c r="Z12" s="53"/>
      <c r="AA12" s="53"/>
      <c r="AB12" s="53" t="s">
        <v>274</v>
      </c>
      <c r="AC12" s="53" t="s">
        <v>274</v>
      </c>
      <c r="AD12" s="53" t="s">
        <v>274</v>
      </c>
      <c r="AE12" s="53" t="s">
        <v>274</v>
      </c>
      <c r="AF12" s="53" t="s">
        <v>275</v>
      </c>
      <c r="AG12" s="53" t="s">
        <v>275</v>
      </c>
      <c r="AH12" s="53" t="s">
        <v>274</v>
      </c>
      <c r="AI12" s="53">
        <v>0.05</v>
      </c>
      <c r="AJ12" s="56" t="s">
        <v>275</v>
      </c>
    </row>
    <row r="13" spans="1:36" x14ac:dyDescent="0.45">
      <c r="A13" s="52">
        <v>12</v>
      </c>
      <c r="B13" s="43">
        <v>711</v>
      </c>
      <c r="C13" s="53" t="s">
        <v>263</v>
      </c>
      <c r="D13" s="53" t="s">
        <v>84</v>
      </c>
      <c r="E13" s="54"/>
      <c r="F13" s="53" t="s">
        <v>307</v>
      </c>
      <c r="G13" s="53" t="s">
        <v>265</v>
      </c>
      <c r="H13" s="53" t="s">
        <v>308</v>
      </c>
      <c r="I13" s="53" t="s">
        <v>309</v>
      </c>
      <c r="J13" s="53" t="s">
        <v>310</v>
      </c>
      <c r="K13" s="53" t="s">
        <v>269</v>
      </c>
      <c r="L13" s="53" t="s">
        <v>308</v>
      </c>
      <c r="M13" s="53" t="s">
        <v>311</v>
      </c>
      <c r="N13" s="53" t="s">
        <v>312</v>
      </c>
      <c r="O13" s="53" t="s">
        <v>270</v>
      </c>
      <c r="P13" s="53" t="s">
        <v>308</v>
      </c>
      <c r="Q13" s="53" t="s">
        <v>313</v>
      </c>
      <c r="R13" s="55">
        <v>0.3</v>
      </c>
      <c r="S13" s="53">
        <v>100</v>
      </c>
      <c r="T13" s="53" t="s">
        <v>130</v>
      </c>
      <c r="U13" s="53" t="s">
        <v>169</v>
      </c>
      <c r="V13" s="53" t="s">
        <v>271</v>
      </c>
      <c r="W13" s="53" t="s">
        <v>272</v>
      </c>
      <c r="X13" s="53" t="s">
        <v>273</v>
      </c>
      <c r="Y13" s="53"/>
      <c r="Z13" s="53"/>
      <c r="AA13" s="53"/>
      <c r="AB13" s="53" t="s">
        <v>274</v>
      </c>
      <c r="AC13" s="53" t="s">
        <v>274</v>
      </c>
      <c r="AD13" s="53" t="s">
        <v>274</v>
      </c>
      <c r="AE13" s="53" t="s">
        <v>274</v>
      </c>
      <c r="AF13" s="53" t="s">
        <v>275</v>
      </c>
      <c r="AG13" s="53" t="s">
        <v>275</v>
      </c>
      <c r="AH13" s="53" t="s">
        <v>274</v>
      </c>
      <c r="AI13" s="53">
        <v>0.05</v>
      </c>
      <c r="AJ13" s="56" t="s">
        <v>275</v>
      </c>
    </row>
    <row r="14" spans="1:36" x14ac:dyDescent="0.45">
      <c r="A14" s="52">
        <v>13</v>
      </c>
      <c r="B14" s="43">
        <v>712</v>
      </c>
      <c r="C14" s="53" t="s">
        <v>263</v>
      </c>
      <c r="D14" s="53" t="s">
        <v>84</v>
      </c>
      <c r="E14" s="54"/>
      <c r="F14" s="53" t="s">
        <v>307</v>
      </c>
      <c r="G14" s="53" t="s">
        <v>265</v>
      </c>
      <c r="H14" s="53" t="s">
        <v>282</v>
      </c>
      <c r="I14" s="53" t="s">
        <v>314</v>
      </c>
      <c r="J14" s="53" t="s">
        <v>310</v>
      </c>
      <c r="K14" s="53" t="s">
        <v>269</v>
      </c>
      <c r="L14" s="53" t="s">
        <v>282</v>
      </c>
      <c r="M14" s="53" t="s">
        <v>315</v>
      </c>
      <c r="N14" s="53" t="s">
        <v>312</v>
      </c>
      <c r="O14" s="53" t="s">
        <v>270</v>
      </c>
      <c r="P14" s="53" t="s">
        <v>282</v>
      </c>
      <c r="Q14" s="53" t="s">
        <v>316</v>
      </c>
      <c r="R14" s="55">
        <v>0.5</v>
      </c>
      <c r="S14" s="53">
        <v>100</v>
      </c>
      <c r="T14" s="53" t="s">
        <v>130</v>
      </c>
      <c r="U14" s="53" t="s">
        <v>169</v>
      </c>
      <c r="V14" s="53" t="s">
        <v>271</v>
      </c>
      <c r="W14" s="53" t="s">
        <v>272</v>
      </c>
      <c r="X14" s="53" t="s">
        <v>273</v>
      </c>
      <c r="Y14" s="53"/>
      <c r="Z14" s="53"/>
      <c r="AA14" s="53"/>
      <c r="AB14" s="53" t="s">
        <v>274</v>
      </c>
      <c r="AC14" s="53" t="s">
        <v>274</v>
      </c>
      <c r="AD14" s="53" t="s">
        <v>274</v>
      </c>
      <c r="AE14" s="53" t="s">
        <v>274</v>
      </c>
      <c r="AF14" s="53" t="s">
        <v>275</v>
      </c>
      <c r="AG14" s="53" t="s">
        <v>275</v>
      </c>
      <c r="AH14" s="53" t="s">
        <v>274</v>
      </c>
      <c r="AI14" s="53">
        <v>0.05</v>
      </c>
      <c r="AJ14" s="56" t="s">
        <v>275</v>
      </c>
    </row>
    <row r="15" spans="1:36" x14ac:dyDescent="0.45">
      <c r="A15" s="52">
        <v>14</v>
      </c>
      <c r="B15" s="43">
        <v>713</v>
      </c>
      <c r="C15" s="53" t="s">
        <v>263</v>
      </c>
      <c r="D15" s="53" t="s">
        <v>84</v>
      </c>
      <c r="E15" s="54"/>
      <c r="F15" s="53" t="s">
        <v>307</v>
      </c>
      <c r="G15" s="53" t="s">
        <v>265</v>
      </c>
      <c r="H15" s="53" t="s">
        <v>317</v>
      </c>
      <c r="I15" s="53" t="s">
        <v>318</v>
      </c>
      <c r="J15" s="53" t="s">
        <v>310</v>
      </c>
      <c r="K15" s="53" t="s">
        <v>269</v>
      </c>
      <c r="L15" s="53" t="s">
        <v>317</v>
      </c>
      <c r="M15" s="53" t="s">
        <v>319</v>
      </c>
      <c r="N15" s="53" t="s">
        <v>312</v>
      </c>
      <c r="O15" s="53" t="s">
        <v>270</v>
      </c>
      <c r="P15" s="53" t="s">
        <v>317</v>
      </c>
      <c r="Q15" s="53" t="s">
        <v>320</v>
      </c>
      <c r="R15" s="55">
        <v>0.7</v>
      </c>
      <c r="S15" s="53">
        <v>100</v>
      </c>
      <c r="T15" s="53" t="s">
        <v>130</v>
      </c>
      <c r="U15" s="53" t="s">
        <v>169</v>
      </c>
      <c r="V15" s="53" t="s">
        <v>271</v>
      </c>
      <c r="W15" s="53" t="s">
        <v>272</v>
      </c>
      <c r="X15" s="53" t="s">
        <v>273</v>
      </c>
      <c r="Y15" s="53"/>
      <c r="Z15" s="53"/>
      <c r="AA15" s="53"/>
      <c r="AB15" s="53" t="s">
        <v>274</v>
      </c>
      <c r="AC15" s="53" t="s">
        <v>274</v>
      </c>
      <c r="AD15" s="53" t="s">
        <v>274</v>
      </c>
      <c r="AE15" s="53" t="s">
        <v>274</v>
      </c>
      <c r="AF15" s="53" t="s">
        <v>275</v>
      </c>
      <c r="AG15" s="53" t="s">
        <v>275</v>
      </c>
      <c r="AH15" s="53" t="s">
        <v>274</v>
      </c>
      <c r="AI15" s="53">
        <v>0.05</v>
      </c>
      <c r="AJ15" s="56" t="s">
        <v>275</v>
      </c>
    </row>
    <row r="16" spans="1:36" x14ac:dyDescent="0.45">
      <c r="A16" s="52">
        <v>15</v>
      </c>
      <c r="B16" s="43">
        <v>714</v>
      </c>
      <c r="C16" s="53" t="s">
        <v>263</v>
      </c>
      <c r="D16" s="53" t="s">
        <v>84</v>
      </c>
      <c r="E16" s="54"/>
      <c r="F16" s="53" t="s">
        <v>321</v>
      </c>
      <c r="G16" s="53" t="s">
        <v>265</v>
      </c>
      <c r="H16" s="53" t="s">
        <v>287</v>
      </c>
      <c r="I16" s="53" t="s">
        <v>321</v>
      </c>
      <c r="J16" s="53" t="s">
        <v>321</v>
      </c>
      <c r="K16" s="53" t="s">
        <v>269</v>
      </c>
      <c r="L16" s="53" t="s">
        <v>289</v>
      </c>
      <c r="M16" s="53" t="s">
        <v>321</v>
      </c>
      <c r="N16" s="53" t="s">
        <v>321</v>
      </c>
      <c r="O16" s="53" t="s">
        <v>270</v>
      </c>
      <c r="P16" s="53" t="s">
        <v>290</v>
      </c>
      <c r="Q16" s="53" t="s">
        <v>321</v>
      </c>
      <c r="R16" s="55">
        <v>1</v>
      </c>
      <c r="S16" s="53">
        <v>1</v>
      </c>
      <c r="T16" s="53" t="s">
        <v>137</v>
      </c>
      <c r="U16" s="53" t="s">
        <v>169</v>
      </c>
      <c r="V16" s="53" t="s">
        <v>271</v>
      </c>
      <c r="W16" s="53" t="s">
        <v>272</v>
      </c>
      <c r="X16" s="53" t="s">
        <v>273</v>
      </c>
      <c r="Y16" s="53"/>
      <c r="Z16" s="53"/>
      <c r="AA16" s="53"/>
      <c r="AB16" s="53" t="s">
        <v>274</v>
      </c>
      <c r="AC16" s="53" t="s">
        <v>274</v>
      </c>
      <c r="AD16" s="53" t="s">
        <v>274</v>
      </c>
      <c r="AE16" s="53" t="s">
        <v>274</v>
      </c>
      <c r="AF16" s="53" t="s">
        <v>275</v>
      </c>
      <c r="AG16" s="53" t="s">
        <v>275</v>
      </c>
      <c r="AH16" s="53" t="s">
        <v>274</v>
      </c>
      <c r="AI16" s="53">
        <v>0.05</v>
      </c>
      <c r="AJ16" s="56" t="s">
        <v>275</v>
      </c>
    </row>
    <row r="17" spans="1:36" x14ac:dyDescent="0.45">
      <c r="A17" s="52">
        <v>16</v>
      </c>
      <c r="B17" s="43">
        <v>715</v>
      </c>
      <c r="C17" s="53" t="s">
        <v>263</v>
      </c>
      <c r="D17" s="53" t="s">
        <v>84</v>
      </c>
      <c r="E17" s="54"/>
      <c r="F17" s="53" t="s">
        <v>322</v>
      </c>
      <c r="G17" s="53" t="s">
        <v>265</v>
      </c>
      <c r="H17" s="53" t="s">
        <v>287</v>
      </c>
      <c r="I17" s="53" t="s">
        <v>322</v>
      </c>
      <c r="J17" s="53" t="s">
        <v>323</v>
      </c>
      <c r="K17" s="53" t="s">
        <v>269</v>
      </c>
      <c r="L17" s="53" t="s">
        <v>289</v>
      </c>
      <c r="M17" s="53" t="s">
        <v>323</v>
      </c>
      <c r="N17" s="53" t="s">
        <v>322</v>
      </c>
      <c r="O17" s="53" t="s">
        <v>270</v>
      </c>
      <c r="P17" s="53" t="s">
        <v>290</v>
      </c>
      <c r="Q17" s="53" t="s">
        <v>322</v>
      </c>
      <c r="R17" s="55">
        <v>1</v>
      </c>
      <c r="S17" s="53">
        <v>1</v>
      </c>
      <c r="T17" s="53" t="s">
        <v>137</v>
      </c>
      <c r="U17" s="53" t="s">
        <v>169</v>
      </c>
      <c r="V17" s="53" t="s">
        <v>271</v>
      </c>
      <c r="W17" s="53" t="s">
        <v>272</v>
      </c>
      <c r="X17" s="53" t="s">
        <v>273</v>
      </c>
      <c r="Y17" s="53"/>
      <c r="Z17" s="53"/>
      <c r="AA17" s="53"/>
      <c r="AB17" s="53" t="s">
        <v>274</v>
      </c>
      <c r="AC17" s="53" t="s">
        <v>274</v>
      </c>
      <c r="AD17" s="53" t="s">
        <v>274</v>
      </c>
      <c r="AE17" s="53" t="s">
        <v>274</v>
      </c>
      <c r="AF17" s="53" t="s">
        <v>275</v>
      </c>
      <c r="AG17" s="53" t="s">
        <v>275</v>
      </c>
      <c r="AH17" s="53" t="s">
        <v>274</v>
      </c>
      <c r="AI17" s="53">
        <v>0.05</v>
      </c>
      <c r="AJ17" s="56" t="s">
        <v>275</v>
      </c>
    </row>
    <row r="18" spans="1:36" x14ac:dyDescent="0.45">
      <c r="A18" s="52">
        <v>17</v>
      </c>
      <c r="B18" s="43">
        <v>716</v>
      </c>
      <c r="C18" s="53" t="s">
        <v>263</v>
      </c>
      <c r="D18" s="53" t="s">
        <v>84</v>
      </c>
      <c r="E18" s="54"/>
      <c r="F18" s="53" t="s">
        <v>324</v>
      </c>
      <c r="G18" s="53" t="s">
        <v>265</v>
      </c>
      <c r="H18" s="53" t="s">
        <v>287</v>
      </c>
      <c r="I18" s="53" t="s">
        <v>324</v>
      </c>
      <c r="J18" s="53" t="s">
        <v>324</v>
      </c>
      <c r="K18" s="53" t="s">
        <v>269</v>
      </c>
      <c r="L18" s="53" t="s">
        <v>289</v>
      </c>
      <c r="M18" s="53" t="s">
        <v>324</v>
      </c>
      <c r="N18" s="53" t="s">
        <v>324</v>
      </c>
      <c r="O18" s="53" t="s">
        <v>270</v>
      </c>
      <c r="P18" s="53" t="s">
        <v>290</v>
      </c>
      <c r="Q18" s="53" t="s">
        <v>324</v>
      </c>
      <c r="R18" s="55">
        <v>1</v>
      </c>
      <c r="S18" s="53">
        <v>1</v>
      </c>
      <c r="T18" s="53" t="s">
        <v>137</v>
      </c>
      <c r="U18" s="53" t="s">
        <v>169</v>
      </c>
      <c r="V18" s="53" t="s">
        <v>271</v>
      </c>
      <c r="W18" s="53" t="s">
        <v>272</v>
      </c>
      <c r="X18" s="53" t="s">
        <v>273</v>
      </c>
      <c r="Y18" s="53"/>
      <c r="Z18" s="53"/>
      <c r="AA18" s="53"/>
      <c r="AB18" s="53" t="s">
        <v>274</v>
      </c>
      <c r="AC18" s="53" t="s">
        <v>274</v>
      </c>
      <c r="AD18" s="53" t="s">
        <v>274</v>
      </c>
      <c r="AE18" s="53" t="s">
        <v>274</v>
      </c>
      <c r="AF18" s="53" t="s">
        <v>275</v>
      </c>
      <c r="AG18" s="53" t="s">
        <v>275</v>
      </c>
      <c r="AH18" s="53" t="s">
        <v>274</v>
      </c>
      <c r="AI18" s="53">
        <v>0.05</v>
      </c>
      <c r="AJ18" s="56" t="s">
        <v>275</v>
      </c>
    </row>
    <row r="19" spans="1:36" x14ac:dyDescent="0.45">
      <c r="A19" s="52">
        <v>22</v>
      </c>
      <c r="B19" s="43">
        <v>717</v>
      </c>
      <c r="C19" s="53" t="s">
        <v>263</v>
      </c>
      <c r="D19" s="53" t="s">
        <v>84</v>
      </c>
      <c r="E19" s="54"/>
      <c r="F19" s="53" t="s">
        <v>325</v>
      </c>
      <c r="G19" s="53" t="s">
        <v>265</v>
      </c>
      <c r="H19" s="53" t="s">
        <v>282</v>
      </c>
      <c r="I19" s="53" t="s">
        <v>326</v>
      </c>
      <c r="J19" s="53" t="s">
        <v>327</v>
      </c>
      <c r="K19" s="53" t="s">
        <v>269</v>
      </c>
      <c r="L19" s="53" t="s">
        <v>282</v>
      </c>
      <c r="M19" s="53" t="s">
        <v>328</v>
      </c>
      <c r="N19" s="53" t="s">
        <v>329</v>
      </c>
      <c r="O19" s="53" t="s">
        <v>270</v>
      </c>
      <c r="P19" s="53" t="s">
        <v>282</v>
      </c>
      <c r="Q19" s="53" t="s">
        <v>330</v>
      </c>
      <c r="R19" s="55">
        <v>0.5</v>
      </c>
      <c r="S19" s="53">
        <v>100</v>
      </c>
      <c r="T19" s="53" t="s">
        <v>130</v>
      </c>
      <c r="U19" s="53" t="s">
        <v>169</v>
      </c>
      <c r="V19" s="53" t="s">
        <v>271</v>
      </c>
      <c r="W19" s="53" t="s">
        <v>272</v>
      </c>
      <c r="X19" s="53" t="s">
        <v>273</v>
      </c>
      <c r="Y19" s="53"/>
      <c r="Z19" s="53"/>
      <c r="AA19" s="53"/>
      <c r="AB19" s="53" t="s">
        <v>274</v>
      </c>
      <c r="AC19" s="53" t="s">
        <v>274</v>
      </c>
      <c r="AD19" s="53" t="s">
        <v>274</v>
      </c>
      <c r="AE19" s="53" t="s">
        <v>274</v>
      </c>
      <c r="AF19" s="53" t="s">
        <v>275</v>
      </c>
      <c r="AG19" s="53" t="s">
        <v>275</v>
      </c>
      <c r="AH19" s="53" t="s">
        <v>274</v>
      </c>
      <c r="AI19" s="53">
        <v>0.05</v>
      </c>
      <c r="AJ19" s="56" t="s">
        <v>275</v>
      </c>
    </row>
    <row r="20" spans="1:36" x14ac:dyDescent="0.45">
      <c r="A20" s="52">
        <v>23</v>
      </c>
      <c r="B20" s="43">
        <v>718</v>
      </c>
      <c r="C20" s="53" t="s">
        <v>263</v>
      </c>
      <c r="D20" s="53" t="s">
        <v>84</v>
      </c>
      <c r="E20" s="54"/>
      <c r="F20" s="53" t="s">
        <v>331</v>
      </c>
      <c r="G20" s="53" t="s">
        <v>265</v>
      </c>
      <c r="H20" s="53" t="s">
        <v>332</v>
      </c>
      <c r="I20" s="53" t="s">
        <v>333</v>
      </c>
      <c r="J20" s="53" t="s">
        <v>327</v>
      </c>
      <c r="K20" s="53" t="s">
        <v>269</v>
      </c>
      <c r="L20" s="53" t="s">
        <v>332</v>
      </c>
      <c r="M20" s="53" t="s">
        <v>334</v>
      </c>
      <c r="N20" s="53" t="s">
        <v>329</v>
      </c>
      <c r="O20" s="53" t="s">
        <v>270</v>
      </c>
      <c r="P20" s="53" t="s">
        <v>332</v>
      </c>
      <c r="Q20" s="53" t="s">
        <v>335</v>
      </c>
      <c r="R20" s="55">
        <v>1</v>
      </c>
      <c r="S20" s="53">
        <v>100</v>
      </c>
      <c r="T20" s="53" t="s">
        <v>130</v>
      </c>
      <c r="U20" s="53" t="s">
        <v>169</v>
      </c>
      <c r="V20" s="53" t="s">
        <v>271</v>
      </c>
      <c r="W20" s="53" t="s">
        <v>272</v>
      </c>
      <c r="X20" s="53" t="s">
        <v>273</v>
      </c>
      <c r="Y20" s="53"/>
      <c r="Z20" s="53"/>
      <c r="AA20" s="53"/>
      <c r="AB20" s="53" t="s">
        <v>274</v>
      </c>
      <c r="AC20" s="53" t="s">
        <v>274</v>
      </c>
      <c r="AD20" s="53" t="s">
        <v>274</v>
      </c>
      <c r="AE20" s="53" t="s">
        <v>274</v>
      </c>
      <c r="AF20" s="53" t="s">
        <v>275</v>
      </c>
      <c r="AG20" s="53" t="s">
        <v>275</v>
      </c>
      <c r="AH20" s="53" t="s">
        <v>274</v>
      </c>
      <c r="AI20" s="53">
        <v>0.05</v>
      </c>
      <c r="AJ20" s="56" t="s">
        <v>275</v>
      </c>
    </row>
    <row r="21" spans="1:36" x14ac:dyDescent="0.45">
      <c r="A21" s="52">
        <v>24</v>
      </c>
      <c r="B21" s="43">
        <v>719</v>
      </c>
      <c r="C21" s="53" t="s">
        <v>263</v>
      </c>
      <c r="D21" s="53" t="s">
        <v>84</v>
      </c>
      <c r="E21" s="54"/>
      <c r="F21" s="53" t="s">
        <v>331</v>
      </c>
      <c r="G21" s="53" t="s">
        <v>265</v>
      </c>
      <c r="H21" s="53" t="s">
        <v>266</v>
      </c>
      <c r="I21" s="53" t="s">
        <v>336</v>
      </c>
      <c r="J21" s="53" t="s">
        <v>327</v>
      </c>
      <c r="K21" s="53" t="s">
        <v>269</v>
      </c>
      <c r="L21" s="53" t="s">
        <v>266</v>
      </c>
      <c r="M21" s="53" t="s">
        <v>337</v>
      </c>
      <c r="N21" s="53" t="s">
        <v>329</v>
      </c>
      <c r="O21" s="53" t="s">
        <v>270</v>
      </c>
      <c r="P21" s="53" t="s">
        <v>266</v>
      </c>
      <c r="Q21" s="53" t="s">
        <v>338</v>
      </c>
      <c r="R21" s="55">
        <v>0.25</v>
      </c>
      <c r="S21" s="53">
        <v>100</v>
      </c>
      <c r="T21" s="53" t="s">
        <v>130</v>
      </c>
      <c r="U21" s="53" t="s">
        <v>169</v>
      </c>
      <c r="V21" s="53" t="s">
        <v>271</v>
      </c>
      <c r="W21" s="53" t="s">
        <v>272</v>
      </c>
      <c r="X21" s="53" t="s">
        <v>273</v>
      </c>
      <c r="Y21" s="53"/>
      <c r="Z21" s="53"/>
      <c r="AA21" s="53"/>
      <c r="AB21" s="53" t="s">
        <v>274</v>
      </c>
      <c r="AC21" s="53" t="s">
        <v>274</v>
      </c>
      <c r="AD21" s="53" t="s">
        <v>274</v>
      </c>
      <c r="AE21" s="53" t="s">
        <v>274</v>
      </c>
      <c r="AF21" s="53" t="s">
        <v>275</v>
      </c>
      <c r="AG21" s="53" t="s">
        <v>275</v>
      </c>
      <c r="AH21" s="53" t="s">
        <v>274</v>
      </c>
      <c r="AI21" s="53">
        <v>0.05</v>
      </c>
      <c r="AJ21" s="56" t="s">
        <v>275</v>
      </c>
    </row>
    <row r="22" spans="1:36" x14ac:dyDescent="0.45">
      <c r="A22" s="52">
        <v>25</v>
      </c>
      <c r="B22" s="43">
        <v>720</v>
      </c>
      <c r="C22" s="53" t="s">
        <v>263</v>
      </c>
      <c r="D22" s="53" t="s">
        <v>84</v>
      </c>
      <c r="E22" s="54"/>
      <c r="F22" s="53" t="s">
        <v>339</v>
      </c>
      <c r="G22" s="53" t="s">
        <v>265</v>
      </c>
      <c r="H22" s="53" t="s">
        <v>287</v>
      </c>
      <c r="I22" s="53" t="s">
        <v>339</v>
      </c>
      <c r="J22" s="53" t="s">
        <v>340</v>
      </c>
      <c r="K22" s="53" t="s">
        <v>269</v>
      </c>
      <c r="L22" s="53" t="s">
        <v>289</v>
      </c>
      <c r="M22" s="53" t="s">
        <v>340</v>
      </c>
      <c r="N22" s="53" t="s">
        <v>341</v>
      </c>
      <c r="O22" s="53" t="s">
        <v>270</v>
      </c>
      <c r="P22" s="53" t="s">
        <v>290</v>
      </c>
      <c r="Q22" s="53" t="s">
        <v>341</v>
      </c>
      <c r="R22" s="55">
        <v>1</v>
      </c>
      <c r="S22" s="53">
        <v>1</v>
      </c>
      <c r="T22" s="53" t="s">
        <v>137</v>
      </c>
      <c r="U22" s="53" t="s">
        <v>169</v>
      </c>
      <c r="V22" s="53" t="s">
        <v>271</v>
      </c>
      <c r="W22" s="53" t="s">
        <v>272</v>
      </c>
      <c r="X22" s="53" t="s">
        <v>273</v>
      </c>
      <c r="Y22" s="53"/>
      <c r="Z22" s="53"/>
      <c r="AA22" s="53"/>
      <c r="AB22" s="53" t="s">
        <v>274</v>
      </c>
      <c r="AC22" s="53" t="s">
        <v>274</v>
      </c>
      <c r="AD22" s="53" t="s">
        <v>274</v>
      </c>
      <c r="AE22" s="53" t="s">
        <v>274</v>
      </c>
      <c r="AF22" s="53" t="s">
        <v>275</v>
      </c>
      <c r="AG22" s="53" t="s">
        <v>275</v>
      </c>
      <c r="AH22" s="53" t="s">
        <v>274</v>
      </c>
      <c r="AI22" s="53">
        <v>0.05</v>
      </c>
      <c r="AJ22" s="56" t="s">
        <v>275</v>
      </c>
    </row>
    <row r="23" spans="1:36" x14ac:dyDescent="0.45">
      <c r="A23" s="52">
        <v>26</v>
      </c>
      <c r="B23" s="43">
        <v>721</v>
      </c>
      <c r="C23" s="53" t="s">
        <v>263</v>
      </c>
      <c r="D23" s="53" t="s">
        <v>84</v>
      </c>
      <c r="E23" s="54"/>
      <c r="F23" s="53" t="s">
        <v>342</v>
      </c>
      <c r="G23" s="53" t="s">
        <v>265</v>
      </c>
      <c r="H23" s="53" t="s">
        <v>287</v>
      </c>
      <c r="I23" s="53" t="s">
        <v>342</v>
      </c>
      <c r="J23" s="53" t="s">
        <v>343</v>
      </c>
      <c r="K23" s="53" t="s">
        <v>269</v>
      </c>
      <c r="L23" s="53" t="s">
        <v>289</v>
      </c>
      <c r="M23" s="53" t="s">
        <v>343</v>
      </c>
      <c r="N23" s="53" t="s">
        <v>344</v>
      </c>
      <c r="O23" s="53" t="s">
        <v>270</v>
      </c>
      <c r="P23" s="53" t="s">
        <v>290</v>
      </c>
      <c r="Q23" s="53" t="s">
        <v>344</v>
      </c>
      <c r="R23" s="55">
        <v>1</v>
      </c>
      <c r="S23" s="53">
        <v>1</v>
      </c>
      <c r="T23" s="53" t="s">
        <v>137</v>
      </c>
      <c r="U23" s="53" t="s">
        <v>169</v>
      </c>
      <c r="V23" s="53" t="s">
        <v>271</v>
      </c>
      <c r="W23" s="53" t="s">
        <v>272</v>
      </c>
      <c r="X23" s="53" t="s">
        <v>273</v>
      </c>
      <c r="Y23" s="53"/>
      <c r="Z23" s="53"/>
      <c r="AA23" s="53"/>
      <c r="AB23" s="53" t="s">
        <v>274</v>
      </c>
      <c r="AC23" s="53" t="s">
        <v>274</v>
      </c>
      <c r="AD23" s="53" t="s">
        <v>274</v>
      </c>
      <c r="AE23" s="53" t="s">
        <v>274</v>
      </c>
      <c r="AF23" s="53" t="s">
        <v>275</v>
      </c>
      <c r="AG23" s="53" t="s">
        <v>275</v>
      </c>
      <c r="AH23" s="53" t="s">
        <v>274</v>
      </c>
      <c r="AI23" s="53">
        <v>0.05</v>
      </c>
      <c r="AJ23" s="56" t="s">
        <v>275</v>
      </c>
    </row>
    <row r="24" spans="1:36" x14ac:dyDescent="0.45">
      <c r="A24" s="52">
        <v>27</v>
      </c>
      <c r="B24" s="43">
        <v>722</v>
      </c>
      <c r="C24" s="53" t="s">
        <v>263</v>
      </c>
      <c r="D24" s="53" t="s">
        <v>84</v>
      </c>
      <c r="E24" s="54"/>
      <c r="F24" s="53" t="s">
        <v>345</v>
      </c>
      <c r="G24" s="53" t="s">
        <v>265</v>
      </c>
      <c r="H24" s="53" t="s">
        <v>287</v>
      </c>
      <c r="I24" s="53" t="s">
        <v>345</v>
      </c>
      <c r="J24" s="53" t="s">
        <v>346</v>
      </c>
      <c r="K24" s="53" t="s">
        <v>269</v>
      </c>
      <c r="L24" s="53" t="s">
        <v>289</v>
      </c>
      <c r="M24" s="53" t="s">
        <v>346</v>
      </c>
      <c r="N24" s="53" t="s">
        <v>347</v>
      </c>
      <c r="O24" s="53" t="s">
        <v>270</v>
      </c>
      <c r="P24" s="53" t="s">
        <v>290</v>
      </c>
      <c r="Q24" s="53" t="s">
        <v>347</v>
      </c>
      <c r="R24" s="55">
        <v>1</v>
      </c>
      <c r="S24" s="53">
        <v>1</v>
      </c>
      <c r="T24" s="53" t="s">
        <v>137</v>
      </c>
      <c r="U24" s="53" t="s">
        <v>169</v>
      </c>
      <c r="V24" s="53" t="s">
        <v>271</v>
      </c>
      <c r="W24" s="53" t="s">
        <v>272</v>
      </c>
      <c r="X24" s="53" t="s">
        <v>273</v>
      </c>
      <c r="Y24" s="53"/>
      <c r="Z24" s="53"/>
      <c r="AA24" s="53"/>
      <c r="AB24" s="53" t="s">
        <v>274</v>
      </c>
      <c r="AC24" s="53" t="s">
        <v>274</v>
      </c>
      <c r="AD24" s="53" t="s">
        <v>274</v>
      </c>
      <c r="AE24" s="53" t="s">
        <v>274</v>
      </c>
      <c r="AF24" s="53" t="s">
        <v>275</v>
      </c>
      <c r="AG24" s="53" t="s">
        <v>275</v>
      </c>
      <c r="AH24" s="53" t="s">
        <v>274</v>
      </c>
      <c r="AI24" s="53">
        <v>0.05</v>
      </c>
      <c r="AJ24" s="56" t="s">
        <v>275</v>
      </c>
    </row>
    <row r="25" spans="1:36" x14ac:dyDescent="0.45">
      <c r="A25" s="52">
        <v>28</v>
      </c>
      <c r="B25" s="43">
        <v>723</v>
      </c>
      <c r="C25" s="53" t="s">
        <v>263</v>
      </c>
      <c r="D25" s="53" t="s">
        <v>84</v>
      </c>
      <c r="E25" s="54"/>
      <c r="F25" s="53" t="s">
        <v>348</v>
      </c>
      <c r="G25" s="53" t="s">
        <v>265</v>
      </c>
      <c r="H25" s="53" t="s">
        <v>287</v>
      </c>
      <c r="I25" s="53" t="s">
        <v>348</v>
      </c>
      <c r="J25" s="53" t="s">
        <v>349</v>
      </c>
      <c r="K25" s="53" t="s">
        <v>269</v>
      </c>
      <c r="L25" s="53" t="s">
        <v>289</v>
      </c>
      <c r="M25" s="53" t="s">
        <v>349</v>
      </c>
      <c r="N25" s="53" t="s">
        <v>350</v>
      </c>
      <c r="O25" s="53" t="s">
        <v>270</v>
      </c>
      <c r="P25" s="53" t="s">
        <v>290</v>
      </c>
      <c r="Q25" s="53" t="s">
        <v>350</v>
      </c>
      <c r="R25" s="55">
        <v>1</v>
      </c>
      <c r="S25" s="53">
        <v>1</v>
      </c>
      <c r="T25" s="53" t="s">
        <v>137</v>
      </c>
      <c r="U25" s="53" t="s">
        <v>169</v>
      </c>
      <c r="V25" s="53" t="s">
        <v>271</v>
      </c>
      <c r="W25" s="53" t="s">
        <v>272</v>
      </c>
      <c r="X25" s="53" t="s">
        <v>273</v>
      </c>
      <c r="Y25" s="53"/>
      <c r="Z25" s="53"/>
      <c r="AA25" s="53"/>
      <c r="AB25" s="53" t="s">
        <v>274</v>
      </c>
      <c r="AC25" s="53" t="s">
        <v>274</v>
      </c>
      <c r="AD25" s="53" t="s">
        <v>274</v>
      </c>
      <c r="AE25" s="53" t="s">
        <v>274</v>
      </c>
      <c r="AF25" s="53" t="s">
        <v>275</v>
      </c>
      <c r="AG25" s="53" t="s">
        <v>275</v>
      </c>
      <c r="AH25" s="53" t="s">
        <v>274</v>
      </c>
      <c r="AI25" s="53">
        <v>0.05</v>
      </c>
      <c r="AJ25" s="56" t="s">
        <v>275</v>
      </c>
    </row>
    <row r="26" spans="1:36" x14ac:dyDescent="0.45">
      <c r="A26" s="52">
        <v>29</v>
      </c>
      <c r="B26" s="43">
        <v>724</v>
      </c>
      <c r="C26" s="53" t="s">
        <v>263</v>
      </c>
      <c r="D26" s="53" t="s">
        <v>84</v>
      </c>
      <c r="E26" s="54"/>
      <c r="F26" s="53" t="s">
        <v>351</v>
      </c>
      <c r="G26" s="53" t="s">
        <v>265</v>
      </c>
      <c r="H26" s="53" t="s">
        <v>287</v>
      </c>
      <c r="I26" s="53" t="s">
        <v>351</v>
      </c>
      <c r="J26" s="53" t="s">
        <v>352</v>
      </c>
      <c r="K26" s="53" t="s">
        <v>269</v>
      </c>
      <c r="L26" s="53" t="s">
        <v>289</v>
      </c>
      <c r="M26" s="53" t="s">
        <v>353</v>
      </c>
      <c r="N26" s="53" t="s">
        <v>354</v>
      </c>
      <c r="O26" s="53" t="s">
        <v>270</v>
      </c>
      <c r="P26" s="53" t="s">
        <v>290</v>
      </c>
      <c r="Q26" s="53" t="s">
        <v>354</v>
      </c>
      <c r="R26" s="55">
        <v>1</v>
      </c>
      <c r="S26" s="53">
        <v>1</v>
      </c>
      <c r="T26" s="53" t="s">
        <v>137</v>
      </c>
      <c r="U26" s="53" t="s">
        <v>169</v>
      </c>
      <c r="V26" s="53" t="s">
        <v>271</v>
      </c>
      <c r="W26" s="53" t="s">
        <v>272</v>
      </c>
      <c r="X26" s="53" t="s">
        <v>273</v>
      </c>
      <c r="Y26" s="53"/>
      <c r="Z26" s="53"/>
      <c r="AA26" s="53"/>
      <c r="AB26" s="53" t="s">
        <v>274</v>
      </c>
      <c r="AC26" s="53" t="s">
        <v>274</v>
      </c>
      <c r="AD26" s="53" t="s">
        <v>274</v>
      </c>
      <c r="AE26" s="53" t="s">
        <v>274</v>
      </c>
      <c r="AF26" s="53" t="s">
        <v>275</v>
      </c>
      <c r="AG26" s="53" t="s">
        <v>275</v>
      </c>
      <c r="AH26" s="53" t="s">
        <v>274</v>
      </c>
      <c r="AI26" s="53">
        <v>0.05</v>
      </c>
      <c r="AJ26" s="56" t="s">
        <v>275</v>
      </c>
    </row>
    <row r="27" spans="1:36" x14ac:dyDescent="0.45">
      <c r="A27" s="52">
        <v>30</v>
      </c>
      <c r="B27" s="43">
        <v>725</v>
      </c>
      <c r="C27" s="53" t="s">
        <v>263</v>
      </c>
      <c r="D27" s="53" t="s">
        <v>84</v>
      </c>
      <c r="E27" s="54"/>
      <c r="F27" s="53" t="s">
        <v>355</v>
      </c>
      <c r="G27" s="53" t="s">
        <v>265</v>
      </c>
      <c r="H27" s="53" t="s">
        <v>287</v>
      </c>
      <c r="I27" s="53" t="s">
        <v>355</v>
      </c>
      <c r="J27" s="53" t="s">
        <v>356</v>
      </c>
      <c r="K27" s="53" t="s">
        <v>269</v>
      </c>
      <c r="L27" s="53" t="s">
        <v>289</v>
      </c>
      <c r="M27" s="53" t="s">
        <v>356</v>
      </c>
      <c r="N27" s="53" t="s">
        <v>357</v>
      </c>
      <c r="O27" s="53" t="s">
        <v>270</v>
      </c>
      <c r="P27" s="53" t="s">
        <v>290</v>
      </c>
      <c r="Q27" s="53" t="s">
        <v>357</v>
      </c>
      <c r="R27" s="55">
        <v>1</v>
      </c>
      <c r="S27" s="53">
        <v>1</v>
      </c>
      <c r="T27" s="53" t="s">
        <v>137</v>
      </c>
      <c r="U27" s="53" t="s">
        <v>169</v>
      </c>
      <c r="V27" s="53" t="s">
        <v>271</v>
      </c>
      <c r="W27" s="53" t="s">
        <v>272</v>
      </c>
      <c r="X27" s="53" t="s">
        <v>273</v>
      </c>
      <c r="Y27" s="53"/>
      <c r="Z27" s="53"/>
      <c r="AA27" s="53"/>
      <c r="AB27" s="53" t="s">
        <v>274</v>
      </c>
      <c r="AC27" s="53" t="s">
        <v>274</v>
      </c>
      <c r="AD27" s="53" t="s">
        <v>274</v>
      </c>
      <c r="AE27" s="53" t="s">
        <v>274</v>
      </c>
      <c r="AF27" s="53" t="s">
        <v>275</v>
      </c>
      <c r="AG27" s="53" t="s">
        <v>275</v>
      </c>
      <c r="AH27" s="53" t="s">
        <v>274</v>
      </c>
      <c r="AI27" s="53">
        <v>0.05</v>
      </c>
      <c r="AJ27" s="56" t="s">
        <v>275</v>
      </c>
    </row>
    <row r="28" spans="1:36" x14ac:dyDescent="0.45">
      <c r="A28" s="52">
        <v>31</v>
      </c>
      <c r="B28" s="43">
        <v>726</v>
      </c>
      <c r="C28" s="53" t="s">
        <v>263</v>
      </c>
      <c r="D28" s="53" t="s">
        <v>84</v>
      </c>
      <c r="E28" s="54"/>
      <c r="F28" s="53" t="s">
        <v>358</v>
      </c>
      <c r="G28" s="53" t="s">
        <v>265</v>
      </c>
      <c r="H28" s="53" t="s">
        <v>287</v>
      </c>
      <c r="I28" s="53" t="s">
        <v>358</v>
      </c>
      <c r="J28" s="53" t="s">
        <v>359</v>
      </c>
      <c r="K28" s="53" t="s">
        <v>269</v>
      </c>
      <c r="L28" s="53" t="s">
        <v>289</v>
      </c>
      <c r="M28" s="53" t="s">
        <v>359</v>
      </c>
      <c r="N28" s="53" t="s">
        <v>360</v>
      </c>
      <c r="O28" s="53" t="s">
        <v>270</v>
      </c>
      <c r="P28" s="53" t="s">
        <v>290</v>
      </c>
      <c r="Q28" s="53" t="s">
        <v>360</v>
      </c>
      <c r="R28" s="55">
        <v>1</v>
      </c>
      <c r="S28" s="53">
        <v>1</v>
      </c>
      <c r="T28" s="53" t="s">
        <v>137</v>
      </c>
      <c r="U28" s="53" t="s">
        <v>169</v>
      </c>
      <c r="V28" s="53" t="s">
        <v>271</v>
      </c>
      <c r="W28" s="53" t="s">
        <v>272</v>
      </c>
      <c r="X28" s="53" t="s">
        <v>273</v>
      </c>
      <c r="Y28" s="53"/>
      <c r="Z28" s="53"/>
      <c r="AA28" s="53"/>
      <c r="AB28" s="53" t="s">
        <v>274</v>
      </c>
      <c r="AC28" s="53" t="s">
        <v>274</v>
      </c>
      <c r="AD28" s="53" t="s">
        <v>274</v>
      </c>
      <c r="AE28" s="53" t="s">
        <v>274</v>
      </c>
      <c r="AF28" s="53" t="s">
        <v>275</v>
      </c>
      <c r="AG28" s="53" t="s">
        <v>275</v>
      </c>
      <c r="AH28" s="53" t="s">
        <v>274</v>
      </c>
      <c r="AI28" s="53">
        <v>0.05</v>
      </c>
      <c r="AJ28" s="56" t="s">
        <v>275</v>
      </c>
    </row>
    <row r="29" spans="1:36" x14ac:dyDescent="0.45">
      <c r="A29" s="52">
        <v>33</v>
      </c>
      <c r="B29" s="43">
        <v>727</v>
      </c>
      <c r="C29" s="53" t="s">
        <v>263</v>
      </c>
      <c r="D29" s="53" t="s">
        <v>84</v>
      </c>
      <c r="E29" s="54"/>
      <c r="F29" s="53" t="s">
        <v>361</v>
      </c>
      <c r="G29" s="53" t="s">
        <v>265</v>
      </c>
      <c r="H29" s="53" t="s">
        <v>287</v>
      </c>
      <c r="I29" s="53" t="s">
        <v>361</v>
      </c>
      <c r="J29" s="53" t="s">
        <v>362</v>
      </c>
      <c r="K29" s="53" t="s">
        <v>269</v>
      </c>
      <c r="L29" s="53" t="s">
        <v>289</v>
      </c>
      <c r="M29" s="53" t="s">
        <v>362</v>
      </c>
      <c r="N29" s="53" t="s">
        <v>362</v>
      </c>
      <c r="O29" s="53" t="s">
        <v>270</v>
      </c>
      <c r="P29" s="53" t="s">
        <v>290</v>
      </c>
      <c r="Q29" s="53" t="s">
        <v>362</v>
      </c>
      <c r="R29" s="55">
        <v>1</v>
      </c>
      <c r="S29" s="53">
        <v>1</v>
      </c>
      <c r="T29" s="53" t="s">
        <v>137</v>
      </c>
      <c r="U29" s="53" t="s">
        <v>169</v>
      </c>
      <c r="V29" s="53" t="s">
        <v>271</v>
      </c>
      <c r="W29" s="53" t="s">
        <v>272</v>
      </c>
      <c r="X29" s="53" t="s">
        <v>273</v>
      </c>
      <c r="Y29" s="53"/>
      <c r="Z29" s="53"/>
      <c r="AA29" s="53"/>
      <c r="AB29" s="53" t="s">
        <v>274</v>
      </c>
      <c r="AC29" s="53" t="s">
        <v>274</v>
      </c>
      <c r="AD29" s="53" t="s">
        <v>274</v>
      </c>
      <c r="AE29" s="53" t="s">
        <v>274</v>
      </c>
      <c r="AF29" s="53" t="s">
        <v>275</v>
      </c>
      <c r="AG29" s="53" t="s">
        <v>275</v>
      </c>
      <c r="AH29" s="53" t="s">
        <v>274</v>
      </c>
      <c r="AI29" s="53">
        <v>0.05</v>
      </c>
      <c r="AJ29" s="56" t="s">
        <v>275</v>
      </c>
    </row>
    <row r="30" spans="1:36" x14ac:dyDescent="0.45">
      <c r="A30" s="52">
        <v>35</v>
      </c>
      <c r="B30" s="43">
        <v>728</v>
      </c>
      <c r="C30" s="53" t="s">
        <v>263</v>
      </c>
      <c r="D30" s="53" t="s">
        <v>84</v>
      </c>
      <c r="E30" s="54"/>
      <c r="F30" s="53" t="s">
        <v>363</v>
      </c>
      <c r="G30" s="53" t="s">
        <v>265</v>
      </c>
      <c r="H30" s="53" t="s">
        <v>332</v>
      </c>
      <c r="I30" s="53" t="s">
        <v>364</v>
      </c>
      <c r="J30" s="53" t="s">
        <v>365</v>
      </c>
      <c r="K30" s="53" t="s">
        <v>269</v>
      </c>
      <c r="L30" s="53" t="s">
        <v>332</v>
      </c>
      <c r="M30" s="53" t="s">
        <v>366</v>
      </c>
      <c r="N30" s="53" t="s">
        <v>367</v>
      </c>
      <c r="O30" s="53" t="s">
        <v>270</v>
      </c>
      <c r="P30" s="53" t="s">
        <v>332</v>
      </c>
      <c r="Q30" s="53" t="s">
        <v>368</v>
      </c>
      <c r="R30" s="55">
        <v>1</v>
      </c>
      <c r="S30" s="53">
        <v>100</v>
      </c>
      <c r="T30" s="53" t="s">
        <v>130</v>
      </c>
      <c r="U30" s="53" t="s">
        <v>169</v>
      </c>
      <c r="V30" s="53" t="s">
        <v>271</v>
      </c>
      <c r="W30" s="53" t="s">
        <v>272</v>
      </c>
      <c r="X30" s="53" t="s">
        <v>273</v>
      </c>
      <c r="Y30" s="53"/>
      <c r="Z30" s="53"/>
      <c r="AA30" s="53"/>
      <c r="AB30" s="53" t="s">
        <v>274</v>
      </c>
      <c r="AC30" s="53" t="s">
        <v>274</v>
      </c>
      <c r="AD30" s="53" t="s">
        <v>274</v>
      </c>
      <c r="AE30" s="53" t="s">
        <v>274</v>
      </c>
      <c r="AF30" s="53" t="s">
        <v>275</v>
      </c>
      <c r="AG30" s="53" t="s">
        <v>275</v>
      </c>
      <c r="AH30" s="53" t="s">
        <v>274</v>
      </c>
      <c r="AI30" s="53">
        <v>0.05</v>
      </c>
      <c r="AJ30" s="56" t="s">
        <v>275</v>
      </c>
    </row>
    <row r="31" spans="1:36" x14ac:dyDescent="0.45">
      <c r="A31" s="52">
        <v>36</v>
      </c>
      <c r="B31" s="43">
        <v>729</v>
      </c>
      <c r="C31" s="53" t="s">
        <v>263</v>
      </c>
      <c r="D31" s="53" t="s">
        <v>84</v>
      </c>
      <c r="E31" s="54"/>
      <c r="F31" s="53" t="s">
        <v>363</v>
      </c>
      <c r="G31" s="53" t="s">
        <v>265</v>
      </c>
      <c r="H31" s="53" t="s">
        <v>282</v>
      </c>
      <c r="I31" s="53" t="s">
        <v>369</v>
      </c>
      <c r="J31" s="53" t="s">
        <v>365</v>
      </c>
      <c r="K31" s="53" t="s">
        <v>269</v>
      </c>
      <c r="L31" s="53" t="s">
        <v>282</v>
      </c>
      <c r="M31" s="53" t="s">
        <v>370</v>
      </c>
      <c r="N31" s="53" t="s">
        <v>371</v>
      </c>
      <c r="O31" s="53" t="s">
        <v>270</v>
      </c>
      <c r="P31" s="53" t="s">
        <v>282</v>
      </c>
      <c r="Q31" s="53" t="s">
        <v>372</v>
      </c>
      <c r="R31" s="55">
        <v>0.5</v>
      </c>
      <c r="S31" s="53">
        <v>100</v>
      </c>
      <c r="T31" s="53" t="s">
        <v>130</v>
      </c>
      <c r="U31" s="53" t="s">
        <v>169</v>
      </c>
      <c r="V31" s="53" t="s">
        <v>271</v>
      </c>
      <c r="W31" s="53" t="s">
        <v>272</v>
      </c>
      <c r="X31" s="53" t="s">
        <v>273</v>
      </c>
      <c r="Y31" s="53"/>
      <c r="Z31" s="53"/>
      <c r="AA31" s="53"/>
      <c r="AB31" s="53" t="s">
        <v>274</v>
      </c>
      <c r="AC31" s="53" t="s">
        <v>274</v>
      </c>
      <c r="AD31" s="53" t="s">
        <v>274</v>
      </c>
      <c r="AE31" s="53" t="s">
        <v>274</v>
      </c>
      <c r="AF31" s="53" t="s">
        <v>275</v>
      </c>
      <c r="AG31" s="53" t="s">
        <v>275</v>
      </c>
      <c r="AH31" s="53" t="s">
        <v>274</v>
      </c>
      <c r="AI31" s="53">
        <v>0.05</v>
      </c>
      <c r="AJ31" s="56" t="s">
        <v>275</v>
      </c>
    </row>
    <row r="32" spans="1:36" x14ac:dyDescent="0.45">
      <c r="A32" s="52">
        <v>37</v>
      </c>
      <c r="B32" s="43">
        <v>730</v>
      </c>
      <c r="C32" s="53" t="s">
        <v>263</v>
      </c>
      <c r="D32" s="53" t="s">
        <v>84</v>
      </c>
      <c r="E32" s="54"/>
      <c r="F32" s="53" t="s">
        <v>373</v>
      </c>
      <c r="G32" s="53" t="s">
        <v>265</v>
      </c>
      <c r="H32" s="53" t="s">
        <v>266</v>
      </c>
      <c r="I32" s="53" t="s">
        <v>374</v>
      </c>
      <c r="J32" s="53" t="s">
        <v>365</v>
      </c>
      <c r="K32" s="53" t="s">
        <v>269</v>
      </c>
      <c r="L32" s="53" t="s">
        <v>266</v>
      </c>
      <c r="M32" s="53" t="s">
        <v>375</v>
      </c>
      <c r="N32" s="53" t="s">
        <v>371</v>
      </c>
      <c r="O32" s="53" t="s">
        <v>270</v>
      </c>
      <c r="P32" s="53" t="s">
        <v>266</v>
      </c>
      <c r="Q32" s="53" t="s">
        <v>376</v>
      </c>
      <c r="R32" s="55">
        <v>0.25</v>
      </c>
      <c r="S32" s="53">
        <v>100</v>
      </c>
      <c r="T32" s="53" t="s">
        <v>130</v>
      </c>
      <c r="U32" s="53" t="s">
        <v>169</v>
      </c>
      <c r="V32" s="53" t="s">
        <v>271</v>
      </c>
      <c r="W32" s="53" t="s">
        <v>272</v>
      </c>
      <c r="X32" s="53" t="s">
        <v>273</v>
      </c>
      <c r="Y32" s="53"/>
      <c r="Z32" s="53"/>
      <c r="AA32" s="53"/>
      <c r="AB32" s="53" t="s">
        <v>274</v>
      </c>
      <c r="AC32" s="53" t="s">
        <v>274</v>
      </c>
      <c r="AD32" s="53" t="s">
        <v>274</v>
      </c>
      <c r="AE32" s="53" t="s">
        <v>274</v>
      </c>
      <c r="AF32" s="53" t="s">
        <v>275</v>
      </c>
      <c r="AG32" s="53" t="s">
        <v>275</v>
      </c>
      <c r="AH32" s="53" t="s">
        <v>274</v>
      </c>
      <c r="AI32" s="53">
        <v>0.05</v>
      </c>
      <c r="AJ32" s="56" t="s">
        <v>275</v>
      </c>
    </row>
    <row r="33" spans="1:36" x14ac:dyDescent="0.45">
      <c r="A33" s="52">
        <v>38</v>
      </c>
      <c r="B33" s="43">
        <v>731</v>
      </c>
      <c r="C33" s="53" t="s">
        <v>263</v>
      </c>
      <c r="D33" s="53" t="s">
        <v>84</v>
      </c>
      <c r="E33" s="54"/>
      <c r="F33" s="53" t="s">
        <v>377</v>
      </c>
      <c r="G33" s="53" t="s">
        <v>265</v>
      </c>
      <c r="H33" s="53" t="s">
        <v>287</v>
      </c>
      <c r="I33" s="53" t="s">
        <v>377</v>
      </c>
      <c r="J33" s="53" t="s">
        <v>377</v>
      </c>
      <c r="K33" s="53" t="s">
        <v>269</v>
      </c>
      <c r="L33" s="53" t="s">
        <v>289</v>
      </c>
      <c r="M33" s="53" t="s">
        <v>377</v>
      </c>
      <c r="N33" s="53" t="s">
        <v>378</v>
      </c>
      <c r="O33" s="53" t="s">
        <v>270</v>
      </c>
      <c r="P33" s="53" t="s">
        <v>290</v>
      </c>
      <c r="Q33" s="53" t="s">
        <v>378</v>
      </c>
      <c r="R33" s="55">
        <v>1</v>
      </c>
      <c r="S33" s="53">
        <v>1</v>
      </c>
      <c r="T33" s="53" t="s">
        <v>137</v>
      </c>
      <c r="U33" s="53" t="s">
        <v>169</v>
      </c>
      <c r="V33" s="53" t="s">
        <v>271</v>
      </c>
      <c r="W33" s="53" t="s">
        <v>272</v>
      </c>
      <c r="X33" s="53" t="s">
        <v>273</v>
      </c>
      <c r="Y33" s="53"/>
      <c r="Z33" s="53"/>
      <c r="AA33" s="53"/>
      <c r="AB33" s="53" t="s">
        <v>274</v>
      </c>
      <c r="AC33" s="53" t="s">
        <v>274</v>
      </c>
      <c r="AD33" s="53" t="s">
        <v>274</v>
      </c>
      <c r="AE33" s="53" t="s">
        <v>274</v>
      </c>
      <c r="AF33" s="53" t="s">
        <v>275</v>
      </c>
      <c r="AG33" s="53" t="s">
        <v>275</v>
      </c>
      <c r="AH33" s="53" t="s">
        <v>274</v>
      </c>
      <c r="AI33" s="53">
        <v>0</v>
      </c>
      <c r="AJ33" s="56" t="s">
        <v>275</v>
      </c>
    </row>
    <row r="34" spans="1:36" x14ac:dyDescent="0.45">
      <c r="A34" s="52">
        <v>39</v>
      </c>
      <c r="B34" s="43">
        <v>732</v>
      </c>
      <c r="C34" s="53" t="s">
        <v>263</v>
      </c>
      <c r="D34" s="53" t="s">
        <v>84</v>
      </c>
      <c r="E34" s="54"/>
      <c r="F34" s="53" t="s">
        <v>379</v>
      </c>
      <c r="G34" s="53" t="s">
        <v>265</v>
      </c>
      <c r="H34" s="53" t="s">
        <v>287</v>
      </c>
      <c r="I34" s="53" t="s">
        <v>379</v>
      </c>
      <c r="J34" s="53" t="s">
        <v>380</v>
      </c>
      <c r="K34" s="53" t="s">
        <v>269</v>
      </c>
      <c r="L34" s="53" t="s">
        <v>289</v>
      </c>
      <c r="M34" s="53" t="s">
        <v>380</v>
      </c>
      <c r="N34" s="53" t="s">
        <v>381</v>
      </c>
      <c r="O34" s="53" t="s">
        <v>270</v>
      </c>
      <c r="P34" s="53" t="s">
        <v>290</v>
      </c>
      <c r="Q34" s="53" t="s">
        <v>381</v>
      </c>
      <c r="R34" s="55">
        <v>1</v>
      </c>
      <c r="S34" s="53">
        <v>1</v>
      </c>
      <c r="T34" s="53" t="s">
        <v>137</v>
      </c>
      <c r="U34" s="53" t="s">
        <v>169</v>
      </c>
      <c r="V34" s="53" t="s">
        <v>271</v>
      </c>
      <c r="W34" s="53" t="s">
        <v>272</v>
      </c>
      <c r="X34" s="53" t="s">
        <v>273</v>
      </c>
      <c r="Y34" s="53"/>
      <c r="Z34" s="53"/>
      <c r="AA34" s="53"/>
      <c r="AB34" s="53" t="s">
        <v>274</v>
      </c>
      <c r="AC34" s="53" t="s">
        <v>274</v>
      </c>
      <c r="AD34" s="53" t="s">
        <v>274</v>
      </c>
      <c r="AE34" s="53" t="s">
        <v>274</v>
      </c>
      <c r="AF34" s="53" t="s">
        <v>275</v>
      </c>
      <c r="AG34" s="53" t="s">
        <v>275</v>
      </c>
      <c r="AH34" s="53" t="s">
        <v>274</v>
      </c>
      <c r="AI34" s="53">
        <v>0.05</v>
      </c>
      <c r="AJ34" s="56" t="s">
        <v>275</v>
      </c>
    </row>
    <row r="35" spans="1:36" x14ac:dyDescent="0.45">
      <c r="A35" s="52">
        <v>40</v>
      </c>
      <c r="B35" s="43">
        <v>733</v>
      </c>
      <c r="C35" s="53" t="s">
        <v>263</v>
      </c>
      <c r="D35" s="53" t="s">
        <v>84</v>
      </c>
      <c r="E35" s="54"/>
      <c r="F35" s="53" t="s">
        <v>382</v>
      </c>
      <c r="G35" s="53" t="s">
        <v>265</v>
      </c>
      <c r="H35" s="53" t="s">
        <v>287</v>
      </c>
      <c r="I35" s="53" t="s">
        <v>382</v>
      </c>
      <c r="J35" s="53" t="s">
        <v>383</v>
      </c>
      <c r="K35" s="53" t="s">
        <v>269</v>
      </c>
      <c r="L35" s="53" t="s">
        <v>289</v>
      </c>
      <c r="M35" s="53" t="s">
        <v>383</v>
      </c>
      <c r="N35" s="53" t="s">
        <v>384</v>
      </c>
      <c r="O35" s="53" t="s">
        <v>270</v>
      </c>
      <c r="P35" s="53" t="s">
        <v>290</v>
      </c>
      <c r="Q35" s="53" t="s">
        <v>384</v>
      </c>
      <c r="R35" s="55">
        <v>1</v>
      </c>
      <c r="S35" s="53">
        <v>1</v>
      </c>
      <c r="T35" s="53" t="s">
        <v>137</v>
      </c>
      <c r="U35" s="53" t="s">
        <v>169</v>
      </c>
      <c r="V35" s="53" t="s">
        <v>271</v>
      </c>
      <c r="W35" s="53" t="s">
        <v>272</v>
      </c>
      <c r="X35" s="53" t="s">
        <v>273</v>
      </c>
      <c r="Y35" s="53"/>
      <c r="Z35" s="53"/>
      <c r="AA35" s="53"/>
      <c r="AB35" s="53" t="s">
        <v>274</v>
      </c>
      <c r="AC35" s="53" t="s">
        <v>274</v>
      </c>
      <c r="AD35" s="53" t="s">
        <v>274</v>
      </c>
      <c r="AE35" s="53" t="s">
        <v>274</v>
      </c>
      <c r="AF35" s="53" t="s">
        <v>275</v>
      </c>
      <c r="AG35" s="53" t="s">
        <v>275</v>
      </c>
      <c r="AH35" s="53" t="s">
        <v>274</v>
      </c>
      <c r="AI35" s="53">
        <v>0.05</v>
      </c>
      <c r="AJ35" s="56" t="s">
        <v>275</v>
      </c>
    </row>
    <row r="36" spans="1:36" x14ac:dyDescent="0.45">
      <c r="A36" s="52">
        <v>41</v>
      </c>
      <c r="B36" s="43">
        <v>734</v>
      </c>
      <c r="C36" s="53" t="s">
        <v>263</v>
      </c>
      <c r="D36" s="53" t="s">
        <v>84</v>
      </c>
      <c r="E36" s="54"/>
      <c r="F36" s="53" t="s">
        <v>385</v>
      </c>
      <c r="G36" s="53" t="s">
        <v>265</v>
      </c>
      <c r="H36" s="53" t="s">
        <v>287</v>
      </c>
      <c r="I36" s="53" t="s">
        <v>385</v>
      </c>
      <c r="J36" s="53" t="s">
        <v>386</v>
      </c>
      <c r="K36" s="53" t="s">
        <v>269</v>
      </c>
      <c r="L36" s="53" t="s">
        <v>289</v>
      </c>
      <c r="M36" s="53" t="s">
        <v>386</v>
      </c>
      <c r="N36" s="53" t="s">
        <v>387</v>
      </c>
      <c r="O36" s="53" t="s">
        <v>270</v>
      </c>
      <c r="P36" s="53" t="s">
        <v>290</v>
      </c>
      <c r="Q36" s="53" t="s">
        <v>387</v>
      </c>
      <c r="R36" s="55">
        <v>1</v>
      </c>
      <c r="S36" s="53">
        <v>1</v>
      </c>
      <c r="T36" s="53" t="s">
        <v>137</v>
      </c>
      <c r="U36" s="53" t="s">
        <v>169</v>
      </c>
      <c r="V36" s="53" t="s">
        <v>271</v>
      </c>
      <c r="W36" s="53" t="s">
        <v>272</v>
      </c>
      <c r="X36" s="53" t="s">
        <v>273</v>
      </c>
      <c r="Y36" s="53"/>
      <c r="Z36" s="53"/>
      <c r="AA36" s="53"/>
      <c r="AB36" s="53" t="s">
        <v>274</v>
      </c>
      <c r="AC36" s="53" t="s">
        <v>274</v>
      </c>
      <c r="AD36" s="53" t="s">
        <v>274</v>
      </c>
      <c r="AE36" s="53" t="s">
        <v>274</v>
      </c>
      <c r="AF36" s="53" t="s">
        <v>275</v>
      </c>
      <c r="AG36" s="53" t="s">
        <v>275</v>
      </c>
      <c r="AH36" s="53" t="s">
        <v>274</v>
      </c>
      <c r="AI36" s="53">
        <v>0.05</v>
      </c>
      <c r="AJ36" s="56" t="s">
        <v>275</v>
      </c>
    </row>
    <row r="37" spans="1:36" x14ac:dyDescent="0.45">
      <c r="A37" s="52">
        <v>43</v>
      </c>
      <c r="B37" s="43">
        <v>735</v>
      </c>
      <c r="C37" s="53" t="s">
        <v>263</v>
      </c>
      <c r="D37" s="53" t="s">
        <v>84</v>
      </c>
      <c r="E37" s="54"/>
      <c r="F37" s="53" t="s">
        <v>388</v>
      </c>
      <c r="G37" s="53" t="s">
        <v>265</v>
      </c>
      <c r="H37" s="53" t="s">
        <v>287</v>
      </c>
      <c r="I37" s="53" t="s">
        <v>388</v>
      </c>
      <c r="J37" s="53" t="s">
        <v>389</v>
      </c>
      <c r="K37" s="53" t="s">
        <v>269</v>
      </c>
      <c r="L37" s="53" t="s">
        <v>289</v>
      </c>
      <c r="M37" s="53" t="s">
        <v>389</v>
      </c>
      <c r="N37" s="53" t="s">
        <v>390</v>
      </c>
      <c r="O37" s="53" t="s">
        <v>270</v>
      </c>
      <c r="P37" s="53" t="s">
        <v>290</v>
      </c>
      <c r="Q37" s="53" t="s">
        <v>390</v>
      </c>
      <c r="R37" s="55">
        <v>1</v>
      </c>
      <c r="S37" s="53">
        <v>1</v>
      </c>
      <c r="T37" s="53" t="s">
        <v>137</v>
      </c>
      <c r="U37" s="53" t="s">
        <v>169</v>
      </c>
      <c r="V37" s="53" t="s">
        <v>271</v>
      </c>
      <c r="W37" s="53" t="s">
        <v>272</v>
      </c>
      <c r="X37" s="53" t="s">
        <v>273</v>
      </c>
      <c r="Y37" s="53"/>
      <c r="Z37" s="53"/>
      <c r="AA37" s="53"/>
      <c r="AB37" s="53" t="s">
        <v>274</v>
      </c>
      <c r="AC37" s="53" t="s">
        <v>274</v>
      </c>
      <c r="AD37" s="53" t="s">
        <v>274</v>
      </c>
      <c r="AE37" s="53" t="s">
        <v>274</v>
      </c>
      <c r="AF37" s="53" t="s">
        <v>275</v>
      </c>
      <c r="AG37" s="53" t="s">
        <v>275</v>
      </c>
      <c r="AH37" s="53" t="s">
        <v>274</v>
      </c>
      <c r="AI37" s="53">
        <v>0.05</v>
      </c>
      <c r="AJ37" s="56" t="s">
        <v>275</v>
      </c>
    </row>
    <row r="38" spans="1:36" x14ac:dyDescent="0.45">
      <c r="A38" s="52">
        <v>44</v>
      </c>
      <c r="B38" s="43">
        <v>736</v>
      </c>
      <c r="C38" s="53" t="s">
        <v>263</v>
      </c>
      <c r="D38" s="53" t="s">
        <v>84</v>
      </c>
      <c r="E38" s="54"/>
      <c r="F38" s="53" t="s">
        <v>391</v>
      </c>
      <c r="G38" s="53" t="s">
        <v>265</v>
      </c>
      <c r="H38" s="53" t="s">
        <v>287</v>
      </c>
      <c r="I38" s="53" t="s">
        <v>391</v>
      </c>
      <c r="J38" s="53" t="s">
        <v>392</v>
      </c>
      <c r="K38" s="53" t="s">
        <v>269</v>
      </c>
      <c r="L38" s="53" t="s">
        <v>289</v>
      </c>
      <c r="M38" s="53" t="s">
        <v>392</v>
      </c>
      <c r="N38" s="53" t="s">
        <v>393</v>
      </c>
      <c r="O38" s="53" t="s">
        <v>270</v>
      </c>
      <c r="P38" s="53" t="s">
        <v>290</v>
      </c>
      <c r="Q38" s="53" t="s">
        <v>393</v>
      </c>
      <c r="R38" s="55">
        <v>1</v>
      </c>
      <c r="S38" s="53">
        <v>1</v>
      </c>
      <c r="T38" s="53" t="s">
        <v>137</v>
      </c>
      <c r="U38" s="53" t="s">
        <v>169</v>
      </c>
      <c r="V38" s="53" t="s">
        <v>271</v>
      </c>
      <c r="W38" s="53" t="s">
        <v>272</v>
      </c>
      <c r="X38" s="53" t="s">
        <v>273</v>
      </c>
      <c r="Y38" s="53"/>
      <c r="Z38" s="53"/>
      <c r="AA38" s="53"/>
      <c r="AB38" s="53" t="s">
        <v>274</v>
      </c>
      <c r="AC38" s="53" t="s">
        <v>274</v>
      </c>
      <c r="AD38" s="53" t="s">
        <v>274</v>
      </c>
      <c r="AE38" s="53" t="s">
        <v>274</v>
      </c>
      <c r="AF38" s="53" t="s">
        <v>275</v>
      </c>
      <c r="AG38" s="53" t="s">
        <v>275</v>
      </c>
      <c r="AH38" s="53" t="s">
        <v>274</v>
      </c>
      <c r="AI38" s="53">
        <v>0.05</v>
      </c>
      <c r="AJ38" s="56" t="s">
        <v>275</v>
      </c>
    </row>
    <row r="39" spans="1:36" x14ac:dyDescent="0.45">
      <c r="A39" s="52">
        <v>45</v>
      </c>
      <c r="B39" s="43">
        <v>737</v>
      </c>
      <c r="C39" s="53" t="s">
        <v>263</v>
      </c>
      <c r="D39" s="53" t="s">
        <v>84</v>
      </c>
      <c r="E39" s="54"/>
      <c r="F39" s="53" t="s">
        <v>394</v>
      </c>
      <c r="G39" s="53" t="s">
        <v>265</v>
      </c>
      <c r="H39" s="53" t="s">
        <v>287</v>
      </c>
      <c r="I39" s="53" t="s">
        <v>394</v>
      </c>
      <c r="J39" s="53" t="s">
        <v>395</v>
      </c>
      <c r="K39" s="53" t="s">
        <v>269</v>
      </c>
      <c r="L39" s="53" t="s">
        <v>289</v>
      </c>
      <c r="M39" s="53" t="s">
        <v>395</v>
      </c>
      <c r="N39" s="53" t="s">
        <v>396</v>
      </c>
      <c r="O39" s="53" t="s">
        <v>270</v>
      </c>
      <c r="P39" s="53" t="s">
        <v>290</v>
      </c>
      <c r="Q39" s="53" t="s">
        <v>396</v>
      </c>
      <c r="R39" s="55">
        <v>1</v>
      </c>
      <c r="S39" s="53">
        <v>1</v>
      </c>
      <c r="T39" s="53" t="s">
        <v>137</v>
      </c>
      <c r="U39" s="53" t="s">
        <v>169</v>
      </c>
      <c r="V39" s="53" t="s">
        <v>271</v>
      </c>
      <c r="W39" s="53" t="s">
        <v>272</v>
      </c>
      <c r="X39" s="53" t="s">
        <v>273</v>
      </c>
      <c r="Y39" s="53"/>
      <c r="Z39" s="53"/>
      <c r="AA39" s="53"/>
      <c r="AB39" s="53" t="s">
        <v>274</v>
      </c>
      <c r="AC39" s="53" t="s">
        <v>274</v>
      </c>
      <c r="AD39" s="53" t="s">
        <v>274</v>
      </c>
      <c r="AE39" s="53" t="s">
        <v>274</v>
      </c>
      <c r="AF39" s="53" t="s">
        <v>275</v>
      </c>
      <c r="AG39" s="53" t="s">
        <v>275</v>
      </c>
      <c r="AH39" s="53" t="s">
        <v>274</v>
      </c>
      <c r="AI39" s="53">
        <v>0.05</v>
      </c>
      <c r="AJ39" s="56" t="s">
        <v>275</v>
      </c>
    </row>
    <row r="40" spans="1:36" x14ac:dyDescent="0.45">
      <c r="A40" s="52">
        <v>46</v>
      </c>
      <c r="B40" s="43">
        <v>738</v>
      </c>
      <c r="C40" s="53" t="s">
        <v>263</v>
      </c>
      <c r="D40" s="53" t="s">
        <v>84</v>
      </c>
      <c r="E40" s="54"/>
      <c r="F40" s="53" t="s">
        <v>397</v>
      </c>
      <c r="G40" s="53" t="s">
        <v>265</v>
      </c>
      <c r="H40" s="53" t="s">
        <v>287</v>
      </c>
      <c r="I40" s="53" t="s">
        <v>397</v>
      </c>
      <c r="J40" s="53" t="s">
        <v>398</v>
      </c>
      <c r="K40" s="53" t="s">
        <v>269</v>
      </c>
      <c r="L40" s="53" t="s">
        <v>289</v>
      </c>
      <c r="M40" s="53" t="s">
        <v>398</v>
      </c>
      <c r="N40" s="53" t="s">
        <v>399</v>
      </c>
      <c r="O40" s="53" t="s">
        <v>270</v>
      </c>
      <c r="P40" s="53" t="s">
        <v>290</v>
      </c>
      <c r="Q40" s="53" t="s">
        <v>399</v>
      </c>
      <c r="R40" s="55">
        <v>1</v>
      </c>
      <c r="S40" s="53">
        <v>1</v>
      </c>
      <c r="T40" s="53" t="s">
        <v>137</v>
      </c>
      <c r="U40" s="53" t="s">
        <v>169</v>
      </c>
      <c r="V40" s="53" t="s">
        <v>271</v>
      </c>
      <c r="W40" s="53" t="s">
        <v>272</v>
      </c>
      <c r="X40" s="53" t="s">
        <v>273</v>
      </c>
      <c r="Y40" s="53"/>
      <c r="Z40" s="53"/>
      <c r="AA40" s="53"/>
      <c r="AB40" s="53" t="s">
        <v>274</v>
      </c>
      <c r="AC40" s="53" t="s">
        <v>274</v>
      </c>
      <c r="AD40" s="53" t="s">
        <v>274</v>
      </c>
      <c r="AE40" s="53" t="s">
        <v>274</v>
      </c>
      <c r="AF40" s="53" t="s">
        <v>275</v>
      </c>
      <c r="AG40" s="53" t="s">
        <v>275</v>
      </c>
      <c r="AH40" s="53" t="s">
        <v>274</v>
      </c>
      <c r="AI40" s="53">
        <v>0.05</v>
      </c>
      <c r="AJ40" s="56" t="s">
        <v>275</v>
      </c>
    </row>
    <row r="41" spans="1:36" x14ac:dyDescent="0.45">
      <c r="A41" s="52">
        <v>47</v>
      </c>
      <c r="B41" s="43">
        <v>739</v>
      </c>
      <c r="C41" s="53" t="s">
        <v>263</v>
      </c>
      <c r="D41" s="53" t="s">
        <v>84</v>
      </c>
      <c r="E41" s="54"/>
      <c r="F41" s="53" t="s">
        <v>400</v>
      </c>
      <c r="G41" s="53" t="s">
        <v>265</v>
      </c>
      <c r="H41" s="53" t="s">
        <v>266</v>
      </c>
      <c r="I41" s="53" t="s">
        <v>401</v>
      </c>
      <c r="J41" s="53" t="s">
        <v>402</v>
      </c>
      <c r="K41" s="53" t="s">
        <v>269</v>
      </c>
      <c r="L41" s="53" t="s">
        <v>266</v>
      </c>
      <c r="M41" s="53" t="s">
        <v>403</v>
      </c>
      <c r="N41" s="53" t="s">
        <v>404</v>
      </c>
      <c r="O41" s="53" t="s">
        <v>270</v>
      </c>
      <c r="P41" s="53" t="s">
        <v>266</v>
      </c>
      <c r="Q41" s="53" t="s">
        <v>405</v>
      </c>
      <c r="R41" s="55">
        <v>0.25</v>
      </c>
      <c r="S41" s="53">
        <v>1</v>
      </c>
      <c r="T41" s="53" t="s">
        <v>130</v>
      </c>
      <c r="U41" s="53" t="s">
        <v>169</v>
      </c>
      <c r="V41" s="53" t="s">
        <v>271</v>
      </c>
      <c r="W41" s="53" t="s">
        <v>272</v>
      </c>
      <c r="X41" s="53" t="s">
        <v>273</v>
      </c>
      <c r="Y41" s="53"/>
      <c r="Z41" s="53"/>
      <c r="AA41" s="53"/>
      <c r="AB41" s="53" t="s">
        <v>274</v>
      </c>
      <c r="AC41" s="53" t="s">
        <v>274</v>
      </c>
      <c r="AD41" s="53" t="s">
        <v>274</v>
      </c>
      <c r="AE41" s="53" t="s">
        <v>274</v>
      </c>
      <c r="AF41" s="53" t="s">
        <v>275</v>
      </c>
      <c r="AG41" s="53" t="s">
        <v>275</v>
      </c>
      <c r="AH41" s="53" t="s">
        <v>274</v>
      </c>
      <c r="AI41" s="53">
        <v>0.05</v>
      </c>
      <c r="AJ41" s="56" t="s">
        <v>275</v>
      </c>
    </row>
    <row r="42" spans="1:36" x14ac:dyDescent="0.45">
      <c r="A42" s="52">
        <v>48</v>
      </c>
      <c r="B42" s="43">
        <v>740</v>
      </c>
      <c r="C42" s="53" t="s">
        <v>263</v>
      </c>
      <c r="D42" s="53" t="s">
        <v>84</v>
      </c>
      <c r="E42" s="54"/>
      <c r="F42" s="53" t="s">
        <v>400</v>
      </c>
      <c r="G42" s="53" t="s">
        <v>265</v>
      </c>
      <c r="H42" s="53" t="s">
        <v>282</v>
      </c>
      <c r="I42" s="53" t="s">
        <v>406</v>
      </c>
      <c r="J42" s="53" t="s">
        <v>402</v>
      </c>
      <c r="K42" s="53" t="s">
        <v>269</v>
      </c>
      <c r="L42" s="53" t="s">
        <v>282</v>
      </c>
      <c r="M42" s="53" t="s">
        <v>407</v>
      </c>
      <c r="N42" s="53" t="s">
        <v>404</v>
      </c>
      <c r="O42" s="53" t="s">
        <v>270</v>
      </c>
      <c r="P42" s="53" t="s">
        <v>282</v>
      </c>
      <c r="Q42" s="53" t="s">
        <v>408</v>
      </c>
      <c r="R42" s="55">
        <v>0.5</v>
      </c>
      <c r="S42" s="53">
        <v>1</v>
      </c>
      <c r="T42" s="53" t="s">
        <v>130</v>
      </c>
      <c r="U42" s="53" t="s">
        <v>169</v>
      </c>
      <c r="V42" s="53" t="s">
        <v>271</v>
      </c>
      <c r="W42" s="53" t="s">
        <v>272</v>
      </c>
      <c r="X42" s="53" t="s">
        <v>273</v>
      </c>
      <c r="Y42" s="53"/>
      <c r="Z42" s="53"/>
      <c r="AA42" s="53"/>
      <c r="AB42" s="53" t="s">
        <v>274</v>
      </c>
      <c r="AC42" s="53" t="s">
        <v>274</v>
      </c>
      <c r="AD42" s="53" t="s">
        <v>274</v>
      </c>
      <c r="AE42" s="53" t="s">
        <v>274</v>
      </c>
      <c r="AF42" s="53" t="s">
        <v>275</v>
      </c>
      <c r="AG42" s="53" t="s">
        <v>275</v>
      </c>
      <c r="AH42" s="53" t="s">
        <v>274</v>
      </c>
      <c r="AI42" s="53">
        <v>0.05</v>
      </c>
      <c r="AJ42" s="56" t="s">
        <v>275</v>
      </c>
    </row>
    <row r="43" spans="1:36" x14ac:dyDescent="0.45">
      <c r="A43" s="52">
        <v>49</v>
      </c>
      <c r="B43" s="43">
        <v>741</v>
      </c>
      <c r="C43" s="53" t="s">
        <v>263</v>
      </c>
      <c r="D43" s="53" t="s">
        <v>84</v>
      </c>
      <c r="E43" s="54"/>
      <c r="F43" s="53" t="s">
        <v>409</v>
      </c>
      <c r="G43" s="53" t="s">
        <v>265</v>
      </c>
      <c r="H43" s="53" t="s">
        <v>410</v>
      </c>
      <c r="I43" s="53" t="s">
        <v>411</v>
      </c>
      <c r="J43" s="53" t="s">
        <v>412</v>
      </c>
      <c r="K43" s="53" t="s">
        <v>269</v>
      </c>
      <c r="L43" s="53" t="s">
        <v>410</v>
      </c>
      <c r="M43" s="53" t="s">
        <v>413</v>
      </c>
      <c r="N43" s="53" t="s">
        <v>414</v>
      </c>
      <c r="O43" s="53" t="s">
        <v>270</v>
      </c>
      <c r="P43" s="53" t="s">
        <v>410</v>
      </c>
      <c r="Q43" s="53" t="s">
        <v>415</v>
      </c>
      <c r="R43" s="55">
        <v>0.4</v>
      </c>
      <c r="S43" s="53">
        <v>1</v>
      </c>
      <c r="T43" s="53" t="s">
        <v>130</v>
      </c>
      <c r="U43" s="53" t="s">
        <v>169</v>
      </c>
      <c r="V43" s="53" t="s">
        <v>271</v>
      </c>
      <c r="W43" s="53" t="s">
        <v>272</v>
      </c>
      <c r="X43" s="53" t="s">
        <v>273</v>
      </c>
      <c r="Y43" s="53"/>
      <c r="Z43" s="53"/>
      <c r="AA43" s="53"/>
      <c r="AB43" s="53" t="s">
        <v>274</v>
      </c>
      <c r="AC43" s="53" t="s">
        <v>274</v>
      </c>
      <c r="AD43" s="53" t="s">
        <v>274</v>
      </c>
      <c r="AE43" s="53" t="s">
        <v>274</v>
      </c>
      <c r="AF43" s="53" t="s">
        <v>275</v>
      </c>
      <c r="AG43" s="53" t="s">
        <v>275</v>
      </c>
      <c r="AH43" s="53" t="s">
        <v>274</v>
      </c>
      <c r="AI43" s="53">
        <v>0.05</v>
      </c>
      <c r="AJ43" s="56" t="s">
        <v>275</v>
      </c>
    </row>
    <row r="44" spans="1:36" x14ac:dyDescent="0.45">
      <c r="A44" s="52">
        <v>50</v>
      </c>
      <c r="B44" s="43">
        <v>742</v>
      </c>
      <c r="C44" s="53" t="s">
        <v>263</v>
      </c>
      <c r="D44" s="53" t="s">
        <v>84</v>
      </c>
      <c r="E44" s="54"/>
      <c r="F44" s="53" t="s">
        <v>416</v>
      </c>
      <c r="G44" s="53" t="s">
        <v>265</v>
      </c>
      <c r="H44" s="53" t="s">
        <v>287</v>
      </c>
      <c r="I44" s="53" t="s">
        <v>416</v>
      </c>
      <c r="J44" s="53" t="s">
        <v>417</v>
      </c>
      <c r="K44" s="53" t="s">
        <v>269</v>
      </c>
      <c r="L44" s="53" t="s">
        <v>289</v>
      </c>
      <c r="M44" s="53" t="s">
        <v>417</v>
      </c>
      <c r="N44" s="53" t="s">
        <v>418</v>
      </c>
      <c r="O44" s="53" t="s">
        <v>270</v>
      </c>
      <c r="P44" s="53" t="s">
        <v>290</v>
      </c>
      <c r="Q44" s="53" t="s">
        <v>418</v>
      </c>
      <c r="R44" s="55">
        <v>1</v>
      </c>
      <c r="S44" s="53">
        <v>1</v>
      </c>
      <c r="T44" s="53" t="s">
        <v>137</v>
      </c>
      <c r="U44" s="53" t="s">
        <v>169</v>
      </c>
      <c r="V44" s="53" t="s">
        <v>271</v>
      </c>
      <c r="W44" s="53" t="s">
        <v>272</v>
      </c>
      <c r="X44" s="53" t="s">
        <v>273</v>
      </c>
      <c r="Y44" s="53"/>
      <c r="Z44" s="53"/>
      <c r="AA44" s="53"/>
      <c r="AB44" s="53" t="s">
        <v>274</v>
      </c>
      <c r="AC44" s="53" t="s">
        <v>274</v>
      </c>
      <c r="AD44" s="53" t="s">
        <v>274</v>
      </c>
      <c r="AE44" s="53" t="s">
        <v>274</v>
      </c>
      <c r="AF44" s="53" t="s">
        <v>275</v>
      </c>
      <c r="AG44" s="53" t="s">
        <v>275</v>
      </c>
      <c r="AH44" s="53" t="s">
        <v>274</v>
      </c>
      <c r="AI44" s="53">
        <v>0.05</v>
      </c>
      <c r="AJ44" s="56" t="s">
        <v>275</v>
      </c>
    </row>
    <row r="45" spans="1:36" x14ac:dyDescent="0.45">
      <c r="A45" s="52">
        <v>51</v>
      </c>
      <c r="B45" s="43">
        <v>743</v>
      </c>
      <c r="C45" s="53" t="s">
        <v>263</v>
      </c>
      <c r="D45" s="53" t="s">
        <v>84</v>
      </c>
      <c r="E45" s="54"/>
      <c r="F45" s="53" t="s">
        <v>419</v>
      </c>
      <c r="G45" s="53" t="s">
        <v>265</v>
      </c>
      <c r="H45" s="53" t="s">
        <v>287</v>
      </c>
      <c r="I45" s="53" t="s">
        <v>419</v>
      </c>
      <c r="J45" s="53" t="s">
        <v>420</v>
      </c>
      <c r="K45" s="53" t="s">
        <v>269</v>
      </c>
      <c r="L45" s="53" t="s">
        <v>289</v>
      </c>
      <c r="M45" s="53" t="s">
        <v>420</v>
      </c>
      <c r="N45" s="53" t="s">
        <v>421</v>
      </c>
      <c r="O45" s="53" t="s">
        <v>270</v>
      </c>
      <c r="P45" s="53" t="s">
        <v>290</v>
      </c>
      <c r="Q45" s="53" t="s">
        <v>421</v>
      </c>
      <c r="R45" s="55">
        <v>1</v>
      </c>
      <c r="S45" s="53">
        <v>1</v>
      </c>
      <c r="T45" s="53" t="s">
        <v>137</v>
      </c>
      <c r="U45" s="53" t="s">
        <v>169</v>
      </c>
      <c r="V45" s="53" t="s">
        <v>271</v>
      </c>
      <c r="W45" s="53" t="s">
        <v>272</v>
      </c>
      <c r="X45" s="53" t="s">
        <v>273</v>
      </c>
      <c r="Y45" s="53"/>
      <c r="Z45" s="53"/>
      <c r="AA45" s="53"/>
      <c r="AB45" s="53" t="s">
        <v>274</v>
      </c>
      <c r="AC45" s="53" t="s">
        <v>274</v>
      </c>
      <c r="AD45" s="53" t="s">
        <v>274</v>
      </c>
      <c r="AE45" s="53" t="s">
        <v>274</v>
      </c>
      <c r="AF45" s="53" t="s">
        <v>275</v>
      </c>
      <c r="AG45" s="53" t="s">
        <v>275</v>
      </c>
      <c r="AH45" s="53" t="s">
        <v>274</v>
      </c>
      <c r="AI45" s="53">
        <v>0.05</v>
      </c>
      <c r="AJ45" s="56" t="s">
        <v>275</v>
      </c>
    </row>
    <row r="46" spans="1:36" x14ac:dyDescent="0.45">
      <c r="A46" s="52">
        <v>52</v>
      </c>
      <c r="B46" s="43">
        <v>744</v>
      </c>
      <c r="C46" s="53" t="s">
        <v>263</v>
      </c>
      <c r="D46" s="53" t="s">
        <v>84</v>
      </c>
      <c r="E46" s="54"/>
      <c r="F46" s="53" t="s">
        <v>422</v>
      </c>
      <c r="G46" s="53" t="s">
        <v>265</v>
      </c>
      <c r="H46" s="53" t="s">
        <v>287</v>
      </c>
      <c r="I46" s="53" t="s">
        <v>422</v>
      </c>
      <c r="J46" s="53" t="s">
        <v>423</v>
      </c>
      <c r="K46" s="53" t="s">
        <v>269</v>
      </c>
      <c r="L46" s="53" t="s">
        <v>289</v>
      </c>
      <c r="M46" s="53" t="s">
        <v>423</v>
      </c>
      <c r="N46" s="53" t="s">
        <v>424</v>
      </c>
      <c r="O46" s="53" t="s">
        <v>270</v>
      </c>
      <c r="P46" s="53" t="s">
        <v>290</v>
      </c>
      <c r="Q46" s="53" t="s">
        <v>424</v>
      </c>
      <c r="R46" s="55">
        <v>1</v>
      </c>
      <c r="S46" s="53">
        <v>1</v>
      </c>
      <c r="T46" s="53" t="s">
        <v>137</v>
      </c>
      <c r="U46" s="53" t="s">
        <v>169</v>
      </c>
      <c r="V46" s="53" t="s">
        <v>271</v>
      </c>
      <c r="W46" s="53" t="s">
        <v>272</v>
      </c>
      <c r="X46" s="53" t="s">
        <v>273</v>
      </c>
      <c r="Y46" s="53"/>
      <c r="Z46" s="53"/>
      <c r="AA46" s="53"/>
      <c r="AB46" s="53" t="s">
        <v>274</v>
      </c>
      <c r="AC46" s="53" t="s">
        <v>274</v>
      </c>
      <c r="AD46" s="53" t="s">
        <v>274</v>
      </c>
      <c r="AE46" s="53" t="s">
        <v>274</v>
      </c>
      <c r="AF46" s="53" t="s">
        <v>275</v>
      </c>
      <c r="AG46" s="53" t="s">
        <v>275</v>
      </c>
      <c r="AH46" s="53" t="s">
        <v>274</v>
      </c>
      <c r="AI46" s="53">
        <v>0.05</v>
      </c>
      <c r="AJ46" s="56" t="s">
        <v>275</v>
      </c>
    </row>
    <row r="47" spans="1:36" x14ac:dyDescent="0.45">
      <c r="A47" s="52">
        <v>53</v>
      </c>
      <c r="B47" s="43">
        <v>745</v>
      </c>
      <c r="C47" s="53" t="s">
        <v>263</v>
      </c>
      <c r="D47" s="53" t="s">
        <v>84</v>
      </c>
      <c r="E47" s="54"/>
      <c r="F47" s="53" t="s">
        <v>425</v>
      </c>
      <c r="G47" s="53" t="s">
        <v>265</v>
      </c>
      <c r="H47" s="53" t="s">
        <v>287</v>
      </c>
      <c r="I47" s="53" t="s">
        <v>425</v>
      </c>
      <c r="J47" s="53" t="s">
        <v>426</v>
      </c>
      <c r="K47" s="53" t="s">
        <v>269</v>
      </c>
      <c r="L47" s="53" t="s">
        <v>289</v>
      </c>
      <c r="M47" s="53" t="s">
        <v>426</v>
      </c>
      <c r="N47" s="53" t="s">
        <v>427</v>
      </c>
      <c r="O47" s="53" t="s">
        <v>270</v>
      </c>
      <c r="P47" s="53" t="s">
        <v>290</v>
      </c>
      <c r="Q47" s="53" t="s">
        <v>427</v>
      </c>
      <c r="R47" s="55">
        <v>1</v>
      </c>
      <c r="S47" s="53">
        <v>1</v>
      </c>
      <c r="T47" s="53" t="s">
        <v>137</v>
      </c>
      <c r="U47" s="53" t="s">
        <v>169</v>
      </c>
      <c r="V47" s="53" t="s">
        <v>271</v>
      </c>
      <c r="W47" s="53" t="s">
        <v>272</v>
      </c>
      <c r="X47" s="53" t="s">
        <v>273</v>
      </c>
      <c r="Y47" s="53"/>
      <c r="Z47" s="53"/>
      <c r="AA47" s="53"/>
      <c r="AB47" s="53" t="s">
        <v>274</v>
      </c>
      <c r="AC47" s="53" t="s">
        <v>274</v>
      </c>
      <c r="AD47" s="53" t="s">
        <v>274</v>
      </c>
      <c r="AE47" s="53" t="s">
        <v>274</v>
      </c>
      <c r="AF47" s="53" t="s">
        <v>275</v>
      </c>
      <c r="AG47" s="53" t="s">
        <v>275</v>
      </c>
      <c r="AH47" s="53" t="s">
        <v>274</v>
      </c>
      <c r="AI47" s="53">
        <v>0.05</v>
      </c>
      <c r="AJ47" s="56" t="s">
        <v>275</v>
      </c>
    </row>
    <row r="48" spans="1:36" x14ac:dyDescent="0.45">
      <c r="A48" s="52">
        <v>54</v>
      </c>
      <c r="B48" s="43">
        <v>746</v>
      </c>
      <c r="C48" s="53" t="s">
        <v>263</v>
      </c>
      <c r="D48" s="53" t="s">
        <v>84</v>
      </c>
      <c r="E48" s="54"/>
      <c r="F48" s="53" t="s">
        <v>428</v>
      </c>
      <c r="G48" s="53" t="s">
        <v>265</v>
      </c>
      <c r="H48" s="53" t="s">
        <v>287</v>
      </c>
      <c r="I48" s="53" t="s">
        <v>428</v>
      </c>
      <c r="J48" s="53" t="s">
        <v>429</v>
      </c>
      <c r="K48" s="53" t="s">
        <v>269</v>
      </c>
      <c r="L48" s="53" t="s">
        <v>289</v>
      </c>
      <c r="M48" s="53" t="s">
        <v>429</v>
      </c>
      <c r="N48" s="53" t="s">
        <v>430</v>
      </c>
      <c r="O48" s="53" t="s">
        <v>270</v>
      </c>
      <c r="P48" s="53" t="s">
        <v>290</v>
      </c>
      <c r="Q48" s="53" t="s">
        <v>430</v>
      </c>
      <c r="R48" s="55">
        <v>1</v>
      </c>
      <c r="S48" s="53">
        <v>1</v>
      </c>
      <c r="T48" s="53" t="s">
        <v>137</v>
      </c>
      <c r="U48" s="53" t="s">
        <v>169</v>
      </c>
      <c r="V48" s="53" t="s">
        <v>271</v>
      </c>
      <c r="W48" s="53" t="s">
        <v>272</v>
      </c>
      <c r="X48" s="53" t="s">
        <v>273</v>
      </c>
      <c r="Y48" s="53"/>
      <c r="Z48" s="53"/>
      <c r="AA48" s="53"/>
      <c r="AB48" s="53" t="s">
        <v>274</v>
      </c>
      <c r="AC48" s="53" t="s">
        <v>274</v>
      </c>
      <c r="AD48" s="53" t="s">
        <v>274</v>
      </c>
      <c r="AE48" s="53" t="s">
        <v>274</v>
      </c>
      <c r="AF48" s="53" t="s">
        <v>275</v>
      </c>
      <c r="AG48" s="53" t="s">
        <v>275</v>
      </c>
      <c r="AH48" s="53" t="s">
        <v>274</v>
      </c>
      <c r="AI48" s="53">
        <v>0.05</v>
      </c>
      <c r="AJ48" s="56" t="s">
        <v>275</v>
      </c>
    </row>
    <row r="49" spans="1:36" x14ac:dyDescent="0.45">
      <c r="A49" s="52">
        <v>55</v>
      </c>
      <c r="B49" s="43">
        <v>747</v>
      </c>
      <c r="C49" s="53" t="s">
        <v>263</v>
      </c>
      <c r="D49" s="53" t="s">
        <v>84</v>
      </c>
      <c r="E49" s="54"/>
      <c r="F49" s="53" t="s">
        <v>431</v>
      </c>
      <c r="G49" s="53" t="s">
        <v>265</v>
      </c>
      <c r="H49" s="53" t="s">
        <v>287</v>
      </c>
      <c r="I49" s="53" t="s">
        <v>431</v>
      </c>
      <c r="J49" s="53" t="s">
        <v>432</v>
      </c>
      <c r="K49" s="53" t="s">
        <v>269</v>
      </c>
      <c r="L49" s="53" t="s">
        <v>289</v>
      </c>
      <c r="M49" s="53" t="s">
        <v>432</v>
      </c>
      <c r="N49" s="53" t="s">
        <v>433</v>
      </c>
      <c r="O49" s="53" t="s">
        <v>270</v>
      </c>
      <c r="P49" s="53" t="s">
        <v>290</v>
      </c>
      <c r="Q49" s="53" t="s">
        <v>433</v>
      </c>
      <c r="R49" s="55">
        <v>1</v>
      </c>
      <c r="S49" s="53">
        <v>1</v>
      </c>
      <c r="T49" s="53" t="s">
        <v>137</v>
      </c>
      <c r="U49" s="53" t="s">
        <v>169</v>
      </c>
      <c r="V49" s="53" t="s">
        <v>271</v>
      </c>
      <c r="W49" s="53" t="s">
        <v>272</v>
      </c>
      <c r="X49" s="53" t="s">
        <v>273</v>
      </c>
      <c r="Y49" s="53"/>
      <c r="Z49" s="53"/>
      <c r="AA49" s="53"/>
      <c r="AB49" s="53" t="s">
        <v>274</v>
      </c>
      <c r="AC49" s="53" t="s">
        <v>274</v>
      </c>
      <c r="AD49" s="53" t="s">
        <v>274</v>
      </c>
      <c r="AE49" s="53" t="s">
        <v>274</v>
      </c>
      <c r="AF49" s="53" t="s">
        <v>275</v>
      </c>
      <c r="AG49" s="53" t="s">
        <v>275</v>
      </c>
      <c r="AH49" s="53" t="s">
        <v>274</v>
      </c>
      <c r="AI49" s="53">
        <v>0.05</v>
      </c>
      <c r="AJ49" s="56" t="s">
        <v>275</v>
      </c>
    </row>
    <row r="50" spans="1:36" x14ac:dyDescent="0.45">
      <c r="A50" s="52">
        <v>18</v>
      </c>
      <c r="B50" s="43">
        <v>800</v>
      </c>
      <c r="C50" s="53" t="s">
        <v>263</v>
      </c>
      <c r="D50" s="53" t="s">
        <v>84</v>
      </c>
      <c r="E50" s="54"/>
      <c r="F50" s="53" t="s">
        <v>434</v>
      </c>
      <c r="G50" s="53" t="s">
        <v>265</v>
      </c>
      <c r="H50" s="53" t="s">
        <v>287</v>
      </c>
      <c r="I50" s="53" t="s">
        <v>434</v>
      </c>
      <c r="J50" s="53" t="s">
        <v>435</v>
      </c>
      <c r="K50" s="53" t="s">
        <v>269</v>
      </c>
      <c r="L50" s="53" t="s">
        <v>289</v>
      </c>
      <c r="M50" s="53" t="s">
        <v>435</v>
      </c>
      <c r="N50" s="53" t="s">
        <v>436</v>
      </c>
      <c r="O50" s="53" t="s">
        <v>270</v>
      </c>
      <c r="P50" s="53" t="s">
        <v>290</v>
      </c>
      <c r="Q50" s="53" t="s">
        <v>436</v>
      </c>
      <c r="R50" s="55">
        <v>1</v>
      </c>
      <c r="S50" s="53">
        <v>1</v>
      </c>
      <c r="T50" s="53" t="s">
        <v>137</v>
      </c>
      <c r="U50" s="53" t="s">
        <v>169</v>
      </c>
      <c r="V50" s="53" t="s">
        <v>271</v>
      </c>
      <c r="W50" s="53" t="s">
        <v>437</v>
      </c>
      <c r="X50" s="53" t="s">
        <v>438</v>
      </c>
      <c r="Y50" s="53"/>
      <c r="Z50" s="53"/>
      <c r="AA50" s="53"/>
      <c r="AB50" s="53" t="s">
        <v>274</v>
      </c>
      <c r="AC50" s="53" t="s">
        <v>274</v>
      </c>
      <c r="AD50" s="53" t="s">
        <v>274</v>
      </c>
      <c r="AE50" s="53" t="s">
        <v>274</v>
      </c>
      <c r="AF50" s="53" t="s">
        <v>275</v>
      </c>
      <c r="AG50" s="53" t="s">
        <v>275</v>
      </c>
      <c r="AH50" s="53" t="s">
        <v>274</v>
      </c>
      <c r="AI50" s="53">
        <v>0</v>
      </c>
      <c r="AJ50" s="56" t="s">
        <v>275</v>
      </c>
    </row>
    <row r="51" spans="1:36" x14ac:dyDescent="0.45">
      <c r="A51" s="52">
        <v>34</v>
      </c>
      <c r="B51" s="43">
        <v>801</v>
      </c>
      <c r="C51" s="53" t="s">
        <v>263</v>
      </c>
      <c r="D51" s="53" t="s">
        <v>84</v>
      </c>
      <c r="E51" s="54"/>
      <c r="F51" s="53" t="s">
        <v>439</v>
      </c>
      <c r="G51" s="53" t="s">
        <v>265</v>
      </c>
      <c r="H51" s="53" t="s">
        <v>287</v>
      </c>
      <c r="I51" s="53" t="s">
        <v>439</v>
      </c>
      <c r="J51" s="53" t="s">
        <v>439</v>
      </c>
      <c r="K51" s="53" t="s">
        <v>269</v>
      </c>
      <c r="L51" s="53" t="s">
        <v>289</v>
      </c>
      <c r="M51" s="53" t="s">
        <v>439</v>
      </c>
      <c r="N51" s="53" t="s">
        <v>440</v>
      </c>
      <c r="O51" s="53" t="s">
        <v>270</v>
      </c>
      <c r="P51" s="53" t="s">
        <v>290</v>
      </c>
      <c r="Q51" s="53" t="s">
        <v>440</v>
      </c>
      <c r="R51" s="55">
        <v>1</v>
      </c>
      <c r="S51" s="53">
        <v>1</v>
      </c>
      <c r="T51" s="53" t="s">
        <v>137</v>
      </c>
      <c r="U51" s="53" t="s">
        <v>169</v>
      </c>
      <c r="V51" s="53" t="s">
        <v>271</v>
      </c>
      <c r="W51" s="53" t="s">
        <v>437</v>
      </c>
      <c r="X51" s="53" t="s">
        <v>438</v>
      </c>
      <c r="Y51" s="53"/>
      <c r="Z51" s="53"/>
      <c r="AA51" s="53"/>
      <c r="AB51" s="53" t="s">
        <v>274</v>
      </c>
      <c r="AC51" s="53" t="s">
        <v>274</v>
      </c>
      <c r="AD51" s="53" t="s">
        <v>274</v>
      </c>
      <c r="AE51" s="53" t="s">
        <v>274</v>
      </c>
      <c r="AF51" s="53" t="s">
        <v>275</v>
      </c>
      <c r="AG51" s="53" t="s">
        <v>275</v>
      </c>
      <c r="AH51" s="53" t="s">
        <v>274</v>
      </c>
      <c r="AI51" s="53">
        <v>0</v>
      </c>
      <c r="AJ51" s="56" t="s">
        <v>275</v>
      </c>
    </row>
    <row r="52" spans="1:36" x14ac:dyDescent="0.45">
      <c r="A52" s="52">
        <v>19</v>
      </c>
      <c r="B52" s="43">
        <v>802</v>
      </c>
      <c r="C52" s="53" t="s">
        <v>263</v>
      </c>
      <c r="D52" s="53" t="s">
        <v>84</v>
      </c>
      <c r="E52" s="54"/>
      <c r="F52" s="53" t="s">
        <v>441</v>
      </c>
      <c r="G52" s="53" t="s">
        <v>265</v>
      </c>
      <c r="H52" s="53" t="s">
        <v>287</v>
      </c>
      <c r="I52" s="53" t="s">
        <v>441</v>
      </c>
      <c r="J52" s="53" t="s">
        <v>442</v>
      </c>
      <c r="K52" s="53" t="s">
        <v>269</v>
      </c>
      <c r="L52" s="53" t="s">
        <v>289</v>
      </c>
      <c r="M52" s="53" t="s">
        <v>442</v>
      </c>
      <c r="N52" s="53" t="s">
        <v>443</v>
      </c>
      <c r="O52" s="53" t="s">
        <v>270</v>
      </c>
      <c r="P52" s="53" t="s">
        <v>290</v>
      </c>
      <c r="Q52" s="53" t="s">
        <v>443</v>
      </c>
      <c r="R52" s="55">
        <v>1</v>
      </c>
      <c r="S52" s="53">
        <v>1</v>
      </c>
      <c r="T52" s="53" t="s">
        <v>137</v>
      </c>
      <c r="U52" s="53" t="s">
        <v>169</v>
      </c>
      <c r="V52" s="53" t="s">
        <v>271</v>
      </c>
      <c r="W52" s="53" t="s">
        <v>437</v>
      </c>
      <c r="X52" s="53" t="s">
        <v>444</v>
      </c>
      <c r="Y52" s="53"/>
      <c r="Z52" s="53"/>
      <c r="AA52" s="53"/>
      <c r="AB52" s="53" t="s">
        <v>274</v>
      </c>
      <c r="AC52" s="53" t="s">
        <v>274</v>
      </c>
      <c r="AD52" s="53" t="s">
        <v>274</v>
      </c>
      <c r="AE52" s="53" t="s">
        <v>274</v>
      </c>
      <c r="AF52" s="53" t="s">
        <v>275</v>
      </c>
      <c r="AG52" s="53" t="s">
        <v>275</v>
      </c>
      <c r="AH52" s="53" t="s">
        <v>274</v>
      </c>
      <c r="AI52" s="53">
        <v>0</v>
      </c>
      <c r="AJ52" s="56" t="s">
        <v>275</v>
      </c>
    </row>
    <row r="53" spans="1:36" x14ac:dyDescent="0.45">
      <c r="A53" s="52">
        <v>20</v>
      </c>
      <c r="B53" s="43">
        <v>803</v>
      </c>
      <c r="C53" s="53" t="s">
        <v>263</v>
      </c>
      <c r="D53" s="53" t="s">
        <v>84</v>
      </c>
      <c r="E53" s="54"/>
      <c r="F53" s="53" t="s">
        <v>445</v>
      </c>
      <c r="G53" s="53" t="s">
        <v>265</v>
      </c>
      <c r="H53" s="53" t="s">
        <v>287</v>
      </c>
      <c r="I53" s="53" t="s">
        <v>445</v>
      </c>
      <c r="J53" s="53" t="s">
        <v>446</v>
      </c>
      <c r="K53" s="53" t="s">
        <v>269</v>
      </c>
      <c r="L53" s="53" t="s">
        <v>289</v>
      </c>
      <c r="M53" s="53" t="s">
        <v>446</v>
      </c>
      <c r="N53" s="53" t="s">
        <v>447</v>
      </c>
      <c r="O53" s="53" t="s">
        <v>270</v>
      </c>
      <c r="P53" s="53" t="s">
        <v>290</v>
      </c>
      <c r="Q53" s="53" t="s">
        <v>447</v>
      </c>
      <c r="R53" s="55">
        <v>1</v>
      </c>
      <c r="S53" s="53">
        <v>1</v>
      </c>
      <c r="T53" s="53" t="s">
        <v>137</v>
      </c>
      <c r="U53" s="53" t="s">
        <v>169</v>
      </c>
      <c r="V53" s="53" t="s">
        <v>271</v>
      </c>
      <c r="W53" s="53" t="s">
        <v>448</v>
      </c>
      <c r="X53" s="53" t="s">
        <v>448</v>
      </c>
      <c r="Y53" s="53"/>
      <c r="Z53" s="53"/>
      <c r="AA53" s="53"/>
      <c r="AB53" s="53" t="s">
        <v>274</v>
      </c>
      <c r="AC53" s="53" t="s">
        <v>274</v>
      </c>
      <c r="AD53" s="53" t="s">
        <v>274</v>
      </c>
      <c r="AE53" s="53" t="s">
        <v>274</v>
      </c>
      <c r="AF53" s="53" t="s">
        <v>275</v>
      </c>
      <c r="AG53" s="53" t="s">
        <v>275</v>
      </c>
      <c r="AH53" s="53" t="s">
        <v>274</v>
      </c>
      <c r="AI53" s="53">
        <v>0</v>
      </c>
      <c r="AJ53" s="56" t="s">
        <v>275</v>
      </c>
    </row>
    <row r="54" spans="1:36" x14ac:dyDescent="0.45">
      <c r="A54" s="52">
        <v>21</v>
      </c>
      <c r="B54" s="43">
        <v>804</v>
      </c>
      <c r="C54" s="53" t="s">
        <v>263</v>
      </c>
      <c r="D54" s="53" t="s">
        <v>84</v>
      </c>
      <c r="E54" s="54"/>
      <c r="F54" s="53" t="s">
        <v>449</v>
      </c>
      <c r="G54" s="53" t="s">
        <v>265</v>
      </c>
      <c r="H54" s="53" t="s">
        <v>450</v>
      </c>
      <c r="I54" s="53" t="s">
        <v>451</v>
      </c>
      <c r="J54" s="53" t="s">
        <v>452</v>
      </c>
      <c r="K54" s="53" t="s">
        <v>269</v>
      </c>
      <c r="L54" s="53" t="s">
        <v>450</v>
      </c>
      <c r="M54" s="53" t="s">
        <v>453</v>
      </c>
      <c r="N54" s="53" t="s">
        <v>454</v>
      </c>
      <c r="O54" s="53" t="s">
        <v>270</v>
      </c>
      <c r="P54" s="53" t="s">
        <v>450</v>
      </c>
      <c r="Q54" s="53" t="s">
        <v>455</v>
      </c>
      <c r="R54" s="55">
        <v>1</v>
      </c>
      <c r="S54" s="53">
        <v>1</v>
      </c>
      <c r="T54" s="53" t="s">
        <v>133</v>
      </c>
      <c r="U54" s="53" t="s">
        <v>169</v>
      </c>
      <c r="V54" s="53" t="s">
        <v>271</v>
      </c>
      <c r="W54" s="53" t="s">
        <v>448</v>
      </c>
      <c r="X54" s="53" t="s">
        <v>448</v>
      </c>
      <c r="Y54" s="53"/>
      <c r="Z54" s="53"/>
      <c r="AA54" s="53"/>
      <c r="AB54" s="53" t="s">
        <v>274</v>
      </c>
      <c r="AC54" s="53" t="s">
        <v>274</v>
      </c>
      <c r="AD54" s="53" t="s">
        <v>274</v>
      </c>
      <c r="AE54" s="53" t="s">
        <v>274</v>
      </c>
      <c r="AF54" s="53" t="s">
        <v>275</v>
      </c>
      <c r="AG54" s="53" t="s">
        <v>275</v>
      </c>
      <c r="AH54" s="53" t="s">
        <v>274</v>
      </c>
      <c r="AI54" s="53">
        <v>0</v>
      </c>
      <c r="AJ54" s="56" t="s">
        <v>275</v>
      </c>
    </row>
    <row r="55" spans="1:36" x14ac:dyDescent="0.45">
      <c r="A55" s="52">
        <v>62</v>
      </c>
      <c r="B55" s="43">
        <v>805</v>
      </c>
      <c r="C55" s="53" t="s">
        <v>263</v>
      </c>
      <c r="D55" s="53" t="s">
        <v>84</v>
      </c>
      <c r="E55" s="54"/>
      <c r="F55" s="53" t="s">
        <v>456</v>
      </c>
      <c r="G55" s="53" t="s">
        <v>265</v>
      </c>
      <c r="H55" s="53" t="s">
        <v>282</v>
      </c>
      <c r="I55" s="53" t="s">
        <v>457</v>
      </c>
      <c r="J55" s="53" t="s">
        <v>458</v>
      </c>
      <c r="K55" s="53" t="s">
        <v>269</v>
      </c>
      <c r="L55" s="53" t="s">
        <v>282</v>
      </c>
      <c r="M55" s="53" t="s">
        <v>459</v>
      </c>
      <c r="N55" s="53" t="s">
        <v>460</v>
      </c>
      <c r="O55" s="53" t="s">
        <v>270</v>
      </c>
      <c r="P55" s="53" t="s">
        <v>282</v>
      </c>
      <c r="Q55" s="53" t="s">
        <v>461</v>
      </c>
      <c r="R55" s="55">
        <v>0.5</v>
      </c>
      <c r="S55" s="53">
        <v>1</v>
      </c>
      <c r="T55" s="53" t="s">
        <v>131</v>
      </c>
      <c r="U55" s="53" t="s">
        <v>169</v>
      </c>
      <c r="V55" s="53" t="s">
        <v>462</v>
      </c>
      <c r="W55" s="53" t="s">
        <v>463</v>
      </c>
      <c r="X55" s="53" t="s">
        <v>463</v>
      </c>
      <c r="Y55" s="53"/>
      <c r="Z55" s="53"/>
      <c r="AA55" s="53"/>
      <c r="AB55" s="53" t="s">
        <v>274</v>
      </c>
      <c r="AC55" s="53" t="s">
        <v>274</v>
      </c>
      <c r="AD55" s="53" t="s">
        <v>274</v>
      </c>
      <c r="AE55" s="53" t="s">
        <v>274</v>
      </c>
      <c r="AF55" s="53" t="s">
        <v>275</v>
      </c>
      <c r="AG55" s="53" t="s">
        <v>275</v>
      </c>
      <c r="AH55" s="53" t="s">
        <v>274</v>
      </c>
      <c r="AI55" s="53">
        <v>0</v>
      </c>
      <c r="AJ55" s="56" t="s">
        <v>275</v>
      </c>
    </row>
    <row r="56" spans="1:36" x14ac:dyDescent="0.45">
      <c r="A56" s="52">
        <v>62</v>
      </c>
      <c r="B56" s="43">
        <v>806</v>
      </c>
      <c r="C56" s="53" t="s">
        <v>263</v>
      </c>
      <c r="D56" s="53" t="s">
        <v>84</v>
      </c>
      <c r="E56" s="54"/>
      <c r="F56" s="53" t="s">
        <v>456</v>
      </c>
      <c r="G56" s="53" t="s">
        <v>265</v>
      </c>
      <c r="H56" s="53" t="s">
        <v>332</v>
      </c>
      <c r="I56" s="53" t="s">
        <v>464</v>
      </c>
      <c r="J56" s="53" t="s">
        <v>458</v>
      </c>
      <c r="K56" s="53" t="s">
        <v>269</v>
      </c>
      <c r="L56" s="53" t="s">
        <v>332</v>
      </c>
      <c r="M56" s="53" t="s">
        <v>465</v>
      </c>
      <c r="N56" s="53" t="s">
        <v>460</v>
      </c>
      <c r="O56" s="53" t="s">
        <v>270</v>
      </c>
      <c r="P56" s="53" t="s">
        <v>332</v>
      </c>
      <c r="Q56" s="53" t="s">
        <v>466</v>
      </c>
      <c r="R56" s="55">
        <v>1</v>
      </c>
      <c r="S56" s="53">
        <v>1</v>
      </c>
      <c r="T56" s="53" t="s">
        <v>131</v>
      </c>
      <c r="U56" s="53" t="s">
        <v>169</v>
      </c>
      <c r="V56" s="53" t="s">
        <v>462</v>
      </c>
      <c r="W56" s="53" t="s">
        <v>463</v>
      </c>
      <c r="X56" s="53" t="s">
        <v>463</v>
      </c>
      <c r="Y56" s="53"/>
      <c r="Z56" s="53"/>
      <c r="AA56" s="53"/>
      <c r="AB56" s="53" t="s">
        <v>274</v>
      </c>
      <c r="AC56" s="53" t="s">
        <v>274</v>
      </c>
      <c r="AD56" s="53" t="s">
        <v>274</v>
      </c>
      <c r="AE56" s="53" t="s">
        <v>274</v>
      </c>
      <c r="AF56" s="53" t="s">
        <v>275</v>
      </c>
      <c r="AG56" s="53" t="s">
        <v>275</v>
      </c>
      <c r="AH56" s="53" t="s">
        <v>274</v>
      </c>
      <c r="AI56" s="53">
        <v>0</v>
      </c>
      <c r="AJ56" s="56" t="s">
        <v>275</v>
      </c>
    </row>
    <row r="57" spans="1:36" x14ac:dyDescent="0.45">
      <c r="A57" s="52">
        <v>64</v>
      </c>
      <c r="B57" s="43">
        <v>807</v>
      </c>
      <c r="C57" s="53" t="s">
        <v>263</v>
      </c>
      <c r="D57" s="53" t="s">
        <v>84</v>
      </c>
      <c r="E57" s="54"/>
      <c r="F57" s="53" t="s">
        <v>467</v>
      </c>
      <c r="G57" s="53" t="s">
        <v>265</v>
      </c>
      <c r="H57" s="53" t="s">
        <v>468</v>
      </c>
      <c r="I57" s="53" t="s">
        <v>469</v>
      </c>
      <c r="J57" s="53" t="s">
        <v>470</v>
      </c>
      <c r="K57" s="53" t="s">
        <v>269</v>
      </c>
      <c r="L57" s="53" t="s">
        <v>468</v>
      </c>
      <c r="M57" s="53" t="s">
        <v>471</v>
      </c>
      <c r="N57" s="53" t="s">
        <v>472</v>
      </c>
      <c r="O57" s="53" t="s">
        <v>270</v>
      </c>
      <c r="P57" s="53" t="s">
        <v>468</v>
      </c>
      <c r="Q57" s="53" t="s">
        <v>473</v>
      </c>
      <c r="R57" s="55">
        <v>0.5</v>
      </c>
      <c r="S57" s="53">
        <v>1</v>
      </c>
      <c r="T57" s="53" t="s">
        <v>133</v>
      </c>
      <c r="U57" s="53" t="s">
        <v>169</v>
      </c>
      <c r="V57" s="53" t="s">
        <v>462</v>
      </c>
      <c r="W57" s="53" t="s">
        <v>474</v>
      </c>
      <c r="X57" s="53" t="s">
        <v>474</v>
      </c>
      <c r="Y57" s="53"/>
      <c r="Z57" s="53"/>
      <c r="AA57" s="53"/>
      <c r="AB57" s="53" t="s">
        <v>274</v>
      </c>
      <c r="AC57" s="53" t="s">
        <v>274</v>
      </c>
      <c r="AD57" s="53" t="s">
        <v>274</v>
      </c>
      <c r="AE57" s="53" t="s">
        <v>274</v>
      </c>
      <c r="AF57" s="53" t="s">
        <v>275</v>
      </c>
      <c r="AG57" s="53" t="s">
        <v>275</v>
      </c>
      <c r="AH57" s="53" t="s">
        <v>274</v>
      </c>
      <c r="AI57" s="53">
        <v>0</v>
      </c>
      <c r="AJ57" s="56" t="s">
        <v>275</v>
      </c>
    </row>
    <row r="58" spans="1:36" x14ac:dyDescent="0.45">
      <c r="A58" s="52">
        <v>64</v>
      </c>
      <c r="B58" s="43">
        <v>808</v>
      </c>
      <c r="C58" s="53" t="s">
        <v>263</v>
      </c>
      <c r="D58" s="53" t="s">
        <v>84</v>
      </c>
      <c r="E58" s="54"/>
      <c r="F58" s="53" t="s">
        <v>467</v>
      </c>
      <c r="G58" s="53" t="s">
        <v>265</v>
      </c>
      <c r="H58" s="53" t="s">
        <v>450</v>
      </c>
      <c r="I58" s="53" t="s">
        <v>475</v>
      </c>
      <c r="J58" s="53" t="s">
        <v>470</v>
      </c>
      <c r="K58" s="53" t="s">
        <v>269</v>
      </c>
      <c r="L58" s="53" t="s">
        <v>450</v>
      </c>
      <c r="M58" s="53" t="s">
        <v>476</v>
      </c>
      <c r="N58" s="53" t="s">
        <v>472</v>
      </c>
      <c r="O58" s="53" t="s">
        <v>270</v>
      </c>
      <c r="P58" s="53" t="s">
        <v>450</v>
      </c>
      <c r="Q58" s="53" t="s">
        <v>477</v>
      </c>
      <c r="R58" s="55">
        <v>1</v>
      </c>
      <c r="S58" s="53">
        <v>1</v>
      </c>
      <c r="T58" s="53" t="s">
        <v>133</v>
      </c>
      <c r="U58" s="53" t="s">
        <v>169</v>
      </c>
      <c r="V58" s="53" t="s">
        <v>462</v>
      </c>
      <c r="W58" s="53" t="s">
        <v>474</v>
      </c>
      <c r="X58" s="53" t="s">
        <v>474</v>
      </c>
      <c r="Y58" s="53"/>
      <c r="Z58" s="53"/>
      <c r="AA58" s="53"/>
      <c r="AB58" s="53" t="s">
        <v>274</v>
      </c>
      <c r="AC58" s="53" t="s">
        <v>274</v>
      </c>
      <c r="AD58" s="53" t="s">
        <v>274</v>
      </c>
      <c r="AE58" s="53" t="s">
        <v>274</v>
      </c>
      <c r="AF58" s="53" t="s">
        <v>275</v>
      </c>
      <c r="AG58" s="53" t="s">
        <v>275</v>
      </c>
      <c r="AH58" s="53" t="s">
        <v>274</v>
      </c>
      <c r="AI58" s="53">
        <v>0</v>
      </c>
      <c r="AJ58" s="56" t="s">
        <v>275</v>
      </c>
    </row>
    <row r="59" spans="1:36" x14ac:dyDescent="0.45">
      <c r="A59" s="52">
        <v>63</v>
      </c>
      <c r="B59" s="43">
        <v>809</v>
      </c>
      <c r="C59" s="53" t="s">
        <v>263</v>
      </c>
      <c r="D59" s="53" t="s">
        <v>84</v>
      </c>
      <c r="E59" s="54"/>
      <c r="F59" s="53" t="s">
        <v>478</v>
      </c>
      <c r="G59" s="53" t="s">
        <v>265</v>
      </c>
      <c r="H59" s="53" t="s">
        <v>287</v>
      </c>
      <c r="I59" s="53" t="s">
        <v>478</v>
      </c>
      <c r="J59" s="53" t="s">
        <v>479</v>
      </c>
      <c r="K59" s="53" t="s">
        <v>269</v>
      </c>
      <c r="L59" s="53" t="s">
        <v>289</v>
      </c>
      <c r="M59" s="53" t="s">
        <v>479</v>
      </c>
      <c r="N59" s="53" t="s">
        <v>480</v>
      </c>
      <c r="O59" s="53" t="s">
        <v>270</v>
      </c>
      <c r="P59" s="53" t="s">
        <v>290</v>
      </c>
      <c r="Q59" s="53" t="s">
        <v>480</v>
      </c>
      <c r="R59" s="55">
        <v>1</v>
      </c>
      <c r="S59" s="53">
        <v>1</v>
      </c>
      <c r="T59" s="53" t="s">
        <v>137</v>
      </c>
      <c r="U59" s="53" t="s">
        <v>169</v>
      </c>
      <c r="V59" s="53" t="s">
        <v>462</v>
      </c>
      <c r="W59" s="53" t="s">
        <v>481</v>
      </c>
      <c r="X59" s="53" t="s">
        <v>481</v>
      </c>
      <c r="Y59" s="53"/>
      <c r="Z59" s="53"/>
      <c r="AA59" s="53"/>
      <c r="AB59" s="53" t="s">
        <v>274</v>
      </c>
      <c r="AC59" s="53" t="s">
        <v>274</v>
      </c>
      <c r="AD59" s="53" t="s">
        <v>274</v>
      </c>
      <c r="AE59" s="53" t="s">
        <v>274</v>
      </c>
      <c r="AF59" s="53" t="s">
        <v>275</v>
      </c>
      <c r="AG59" s="53" t="s">
        <v>275</v>
      </c>
      <c r="AH59" s="53" t="s">
        <v>274</v>
      </c>
      <c r="AI59" s="53">
        <v>0.05</v>
      </c>
      <c r="AJ59" s="56" t="s">
        <v>275</v>
      </c>
    </row>
    <row r="60" spans="1:36" x14ac:dyDescent="0.45">
      <c r="A60" s="52">
        <v>56</v>
      </c>
      <c r="B60" s="43">
        <v>810</v>
      </c>
      <c r="C60" s="53" t="s">
        <v>263</v>
      </c>
      <c r="D60" s="53" t="s">
        <v>84</v>
      </c>
      <c r="E60" s="54"/>
      <c r="F60" s="53" t="s">
        <v>482</v>
      </c>
      <c r="G60" s="53" t="s">
        <v>265</v>
      </c>
      <c r="H60" s="53" t="s">
        <v>483</v>
      </c>
      <c r="I60" s="53" t="s">
        <v>484</v>
      </c>
      <c r="J60" s="53" t="s">
        <v>485</v>
      </c>
      <c r="K60" s="53" t="s">
        <v>269</v>
      </c>
      <c r="L60" s="53" t="s">
        <v>483</v>
      </c>
      <c r="M60" s="53" t="s">
        <v>486</v>
      </c>
      <c r="N60" s="53" t="s">
        <v>487</v>
      </c>
      <c r="O60" s="53" t="s">
        <v>270</v>
      </c>
      <c r="P60" s="53" t="s">
        <v>483</v>
      </c>
      <c r="Q60" s="53" t="s">
        <v>488</v>
      </c>
      <c r="R60" s="55">
        <v>0.1</v>
      </c>
      <c r="S60" s="53">
        <v>1</v>
      </c>
      <c r="T60" s="53" t="s">
        <v>130</v>
      </c>
      <c r="U60" s="53" t="s">
        <v>169</v>
      </c>
      <c r="V60" s="53" t="s">
        <v>462</v>
      </c>
      <c r="W60" s="53" t="s">
        <v>489</v>
      </c>
      <c r="X60" s="53" t="s">
        <v>489</v>
      </c>
      <c r="Y60" s="53"/>
      <c r="Z60" s="53"/>
      <c r="AA60" s="53"/>
      <c r="AB60" s="53" t="s">
        <v>274</v>
      </c>
      <c r="AC60" s="53" t="s">
        <v>274</v>
      </c>
      <c r="AD60" s="53" t="s">
        <v>274</v>
      </c>
      <c r="AE60" s="53" t="s">
        <v>274</v>
      </c>
      <c r="AF60" s="53" t="s">
        <v>275</v>
      </c>
      <c r="AG60" s="53" t="s">
        <v>275</v>
      </c>
      <c r="AH60" s="53" t="s">
        <v>274</v>
      </c>
      <c r="AI60" s="53">
        <v>0.05</v>
      </c>
      <c r="AJ60" s="56" t="s">
        <v>275</v>
      </c>
    </row>
    <row r="61" spans="1:36" x14ac:dyDescent="0.45">
      <c r="A61" s="52">
        <v>56</v>
      </c>
      <c r="B61" s="43">
        <v>811</v>
      </c>
      <c r="C61" s="53" t="s">
        <v>263</v>
      </c>
      <c r="D61" s="53" t="s">
        <v>84</v>
      </c>
      <c r="E61" s="54"/>
      <c r="F61" s="53" t="s">
        <v>482</v>
      </c>
      <c r="G61" s="53" t="s">
        <v>265</v>
      </c>
      <c r="H61" s="53" t="s">
        <v>266</v>
      </c>
      <c r="I61" s="53" t="s">
        <v>490</v>
      </c>
      <c r="J61" s="53" t="s">
        <v>485</v>
      </c>
      <c r="K61" s="53" t="s">
        <v>269</v>
      </c>
      <c r="L61" s="53" t="s">
        <v>266</v>
      </c>
      <c r="M61" s="53" t="s">
        <v>491</v>
      </c>
      <c r="N61" s="53" t="s">
        <v>487</v>
      </c>
      <c r="O61" s="53" t="s">
        <v>270</v>
      </c>
      <c r="P61" s="53" t="s">
        <v>266</v>
      </c>
      <c r="Q61" s="53" t="s">
        <v>492</v>
      </c>
      <c r="R61" s="55">
        <v>0.25</v>
      </c>
      <c r="S61" s="53">
        <v>1</v>
      </c>
      <c r="T61" s="53" t="s">
        <v>130</v>
      </c>
      <c r="U61" s="53" t="s">
        <v>169</v>
      </c>
      <c r="V61" s="53" t="s">
        <v>462</v>
      </c>
      <c r="W61" s="53" t="s">
        <v>489</v>
      </c>
      <c r="X61" s="53" t="s">
        <v>489</v>
      </c>
      <c r="Y61" s="53"/>
      <c r="Z61" s="53"/>
      <c r="AA61" s="53"/>
      <c r="AB61" s="53" t="s">
        <v>274</v>
      </c>
      <c r="AC61" s="53" t="s">
        <v>274</v>
      </c>
      <c r="AD61" s="53" t="s">
        <v>274</v>
      </c>
      <c r="AE61" s="53" t="s">
        <v>274</v>
      </c>
      <c r="AF61" s="53" t="s">
        <v>275</v>
      </c>
      <c r="AG61" s="53" t="s">
        <v>275</v>
      </c>
      <c r="AH61" s="53" t="s">
        <v>274</v>
      </c>
      <c r="AI61" s="53">
        <v>0.05</v>
      </c>
      <c r="AJ61" s="56" t="s">
        <v>275</v>
      </c>
    </row>
    <row r="62" spans="1:36" x14ac:dyDescent="0.45">
      <c r="A62" s="52">
        <v>57</v>
      </c>
      <c r="B62" s="43">
        <v>812</v>
      </c>
      <c r="C62" s="53" t="s">
        <v>263</v>
      </c>
      <c r="D62" s="53" t="s">
        <v>84</v>
      </c>
      <c r="E62" s="54"/>
      <c r="F62" s="53" t="s">
        <v>493</v>
      </c>
      <c r="G62" s="53" t="s">
        <v>265</v>
      </c>
      <c r="H62" s="53" t="s">
        <v>287</v>
      </c>
      <c r="I62" s="53" t="s">
        <v>493</v>
      </c>
      <c r="J62" s="53" t="s">
        <v>494</v>
      </c>
      <c r="K62" s="53" t="s">
        <v>269</v>
      </c>
      <c r="L62" s="53" t="s">
        <v>289</v>
      </c>
      <c r="M62" s="53" t="s">
        <v>494</v>
      </c>
      <c r="N62" s="53" t="s">
        <v>495</v>
      </c>
      <c r="O62" s="53" t="s">
        <v>270</v>
      </c>
      <c r="P62" s="53" t="s">
        <v>290</v>
      </c>
      <c r="Q62" s="53" t="s">
        <v>495</v>
      </c>
      <c r="R62" s="55">
        <v>1</v>
      </c>
      <c r="S62" s="53">
        <v>1</v>
      </c>
      <c r="T62" s="53" t="s">
        <v>137</v>
      </c>
      <c r="U62" s="53" t="s">
        <v>169</v>
      </c>
      <c r="V62" s="53" t="s">
        <v>462</v>
      </c>
      <c r="W62" s="53" t="s">
        <v>489</v>
      </c>
      <c r="X62" s="53" t="s">
        <v>489</v>
      </c>
      <c r="Y62" s="53"/>
      <c r="Z62" s="53"/>
      <c r="AA62" s="53"/>
      <c r="AB62" s="53" t="s">
        <v>274</v>
      </c>
      <c r="AC62" s="53" t="s">
        <v>274</v>
      </c>
      <c r="AD62" s="53" t="s">
        <v>274</v>
      </c>
      <c r="AE62" s="53" t="s">
        <v>274</v>
      </c>
      <c r="AF62" s="53" t="s">
        <v>275</v>
      </c>
      <c r="AG62" s="53" t="s">
        <v>275</v>
      </c>
      <c r="AH62" s="53" t="s">
        <v>274</v>
      </c>
      <c r="AI62" s="53">
        <v>0</v>
      </c>
      <c r="AJ62" s="56" t="s">
        <v>275</v>
      </c>
    </row>
    <row r="63" spans="1:36" x14ac:dyDescent="0.45">
      <c r="A63" s="52">
        <v>58</v>
      </c>
      <c r="B63" s="43">
        <v>813</v>
      </c>
      <c r="C63" s="53" t="s">
        <v>263</v>
      </c>
      <c r="D63" s="53" t="s">
        <v>84</v>
      </c>
      <c r="E63" s="54"/>
      <c r="F63" s="53" t="s">
        <v>496</v>
      </c>
      <c r="G63" s="53" t="s">
        <v>265</v>
      </c>
      <c r="H63" s="53" t="s">
        <v>266</v>
      </c>
      <c r="I63" s="53" t="s">
        <v>497</v>
      </c>
      <c r="J63" s="53" t="s">
        <v>498</v>
      </c>
      <c r="K63" s="53" t="s">
        <v>269</v>
      </c>
      <c r="L63" s="53" t="s">
        <v>266</v>
      </c>
      <c r="M63" s="53" t="s">
        <v>499</v>
      </c>
      <c r="N63" s="53" t="s">
        <v>500</v>
      </c>
      <c r="O63" s="53" t="s">
        <v>270</v>
      </c>
      <c r="P63" s="53" t="s">
        <v>266</v>
      </c>
      <c r="Q63" s="53" t="s">
        <v>501</v>
      </c>
      <c r="R63" s="55">
        <v>0.25</v>
      </c>
      <c r="S63" s="53">
        <v>1</v>
      </c>
      <c r="T63" s="53" t="s">
        <v>130</v>
      </c>
      <c r="U63" s="53" t="s">
        <v>169</v>
      </c>
      <c r="V63" s="53" t="s">
        <v>462</v>
      </c>
      <c r="W63" s="53" t="s">
        <v>489</v>
      </c>
      <c r="X63" s="53" t="s">
        <v>489</v>
      </c>
      <c r="Y63" s="53"/>
      <c r="Z63" s="53"/>
      <c r="AA63" s="53"/>
      <c r="AB63" s="53" t="s">
        <v>274</v>
      </c>
      <c r="AC63" s="53" t="s">
        <v>274</v>
      </c>
      <c r="AD63" s="53" t="s">
        <v>274</v>
      </c>
      <c r="AE63" s="53" t="s">
        <v>274</v>
      </c>
      <c r="AF63" s="53" t="s">
        <v>275</v>
      </c>
      <c r="AG63" s="53" t="s">
        <v>275</v>
      </c>
      <c r="AH63" s="53" t="s">
        <v>274</v>
      </c>
      <c r="AI63" s="53">
        <v>0</v>
      </c>
      <c r="AJ63" s="56" t="s">
        <v>275</v>
      </c>
    </row>
    <row r="64" spans="1:36" x14ac:dyDescent="0.45">
      <c r="A64" s="52">
        <v>59</v>
      </c>
      <c r="B64" s="43">
        <v>814</v>
      </c>
      <c r="C64" s="53" t="s">
        <v>263</v>
      </c>
      <c r="D64" s="53" t="s">
        <v>84</v>
      </c>
      <c r="E64" s="54"/>
      <c r="F64" s="53" t="s">
        <v>496</v>
      </c>
      <c r="G64" s="53" t="s">
        <v>265</v>
      </c>
      <c r="H64" s="53" t="s">
        <v>282</v>
      </c>
      <c r="I64" s="53" t="s">
        <v>502</v>
      </c>
      <c r="J64" s="53" t="s">
        <v>498</v>
      </c>
      <c r="K64" s="53" t="s">
        <v>269</v>
      </c>
      <c r="L64" s="53" t="s">
        <v>282</v>
      </c>
      <c r="M64" s="53" t="s">
        <v>503</v>
      </c>
      <c r="N64" s="53" t="s">
        <v>500</v>
      </c>
      <c r="O64" s="53" t="s">
        <v>270</v>
      </c>
      <c r="P64" s="53" t="s">
        <v>282</v>
      </c>
      <c r="Q64" s="53" t="s">
        <v>504</v>
      </c>
      <c r="R64" s="55">
        <v>0.5</v>
      </c>
      <c r="S64" s="53">
        <v>1</v>
      </c>
      <c r="T64" s="53" t="s">
        <v>130</v>
      </c>
      <c r="U64" s="53" t="s">
        <v>169</v>
      </c>
      <c r="V64" s="53" t="s">
        <v>462</v>
      </c>
      <c r="W64" s="53" t="s">
        <v>489</v>
      </c>
      <c r="X64" s="53" t="s">
        <v>489</v>
      </c>
      <c r="Y64" s="53"/>
      <c r="Z64" s="53"/>
      <c r="AA64" s="53"/>
      <c r="AB64" s="53" t="s">
        <v>274</v>
      </c>
      <c r="AC64" s="53" t="s">
        <v>274</v>
      </c>
      <c r="AD64" s="53" t="s">
        <v>274</v>
      </c>
      <c r="AE64" s="53" t="s">
        <v>274</v>
      </c>
      <c r="AF64" s="53" t="s">
        <v>275</v>
      </c>
      <c r="AG64" s="53" t="s">
        <v>275</v>
      </c>
      <c r="AH64" s="53" t="s">
        <v>274</v>
      </c>
      <c r="AI64" s="53">
        <v>0</v>
      </c>
      <c r="AJ64" s="56" t="s">
        <v>275</v>
      </c>
    </row>
    <row r="65" spans="1:36" x14ac:dyDescent="0.45">
      <c r="A65" s="52">
        <v>61</v>
      </c>
      <c r="B65" s="43">
        <v>815</v>
      </c>
      <c r="C65" s="53" t="s">
        <v>263</v>
      </c>
      <c r="D65" s="53" t="s">
        <v>84</v>
      </c>
      <c r="E65" s="54"/>
      <c r="F65" s="53" t="s">
        <v>505</v>
      </c>
      <c r="G65" s="53" t="s">
        <v>265</v>
      </c>
      <c r="H65" s="53" t="s">
        <v>506</v>
      </c>
      <c r="I65" s="53" t="s">
        <v>507</v>
      </c>
      <c r="J65" s="53" t="s">
        <v>508</v>
      </c>
      <c r="K65" s="53" t="s">
        <v>269</v>
      </c>
      <c r="L65" s="53" t="s">
        <v>506</v>
      </c>
      <c r="M65" s="53" t="s">
        <v>509</v>
      </c>
      <c r="N65" s="53" t="s">
        <v>510</v>
      </c>
      <c r="O65" s="53" t="s">
        <v>270</v>
      </c>
      <c r="P65" s="53" t="s">
        <v>506</v>
      </c>
      <c r="Q65" s="53" t="s">
        <v>511</v>
      </c>
      <c r="R65" s="55">
        <v>0.15</v>
      </c>
      <c r="S65" s="53">
        <v>1</v>
      </c>
      <c r="T65" s="53" t="s">
        <v>130</v>
      </c>
      <c r="U65" s="53" t="s">
        <v>169</v>
      </c>
      <c r="V65" s="53" t="s">
        <v>462</v>
      </c>
      <c r="W65" s="53" t="s">
        <v>489</v>
      </c>
      <c r="X65" s="53" t="s">
        <v>489</v>
      </c>
      <c r="Y65" s="53"/>
      <c r="Z65" s="53"/>
      <c r="AA65" s="53"/>
      <c r="AB65" s="53" t="s">
        <v>274</v>
      </c>
      <c r="AC65" s="53" t="s">
        <v>274</v>
      </c>
      <c r="AD65" s="53" t="s">
        <v>274</v>
      </c>
      <c r="AE65" s="53" t="s">
        <v>274</v>
      </c>
      <c r="AF65" s="53" t="s">
        <v>275</v>
      </c>
      <c r="AG65" s="53" t="s">
        <v>275</v>
      </c>
      <c r="AH65" s="53" t="s">
        <v>274</v>
      </c>
      <c r="AI65" s="53">
        <v>0</v>
      </c>
      <c r="AJ65" s="56" t="s">
        <v>275</v>
      </c>
    </row>
    <row r="66" spans="1:36" x14ac:dyDescent="0.45">
      <c r="A66" s="52">
        <v>61</v>
      </c>
      <c r="B66" s="43">
        <v>816</v>
      </c>
      <c r="C66" s="53" t="s">
        <v>263</v>
      </c>
      <c r="D66" s="53" t="s">
        <v>84</v>
      </c>
      <c r="E66" s="54"/>
      <c r="F66" s="53" t="s">
        <v>505</v>
      </c>
      <c r="G66" s="53" t="s">
        <v>265</v>
      </c>
      <c r="H66" s="53" t="s">
        <v>266</v>
      </c>
      <c r="I66" s="53" t="s">
        <v>512</v>
      </c>
      <c r="J66" s="53" t="s">
        <v>508</v>
      </c>
      <c r="K66" s="53" t="s">
        <v>269</v>
      </c>
      <c r="L66" s="53" t="s">
        <v>266</v>
      </c>
      <c r="M66" s="53" t="s">
        <v>513</v>
      </c>
      <c r="N66" s="53" t="s">
        <v>510</v>
      </c>
      <c r="O66" s="53" t="s">
        <v>270</v>
      </c>
      <c r="P66" s="53" t="s">
        <v>266</v>
      </c>
      <c r="Q66" s="53" t="s">
        <v>514</v>
      </c>
      <c r="R66" s="55">
        <v>0.25</v>
      </c>
      <c r="S66" s="53">
        <v>1</v>
      </c>
      <c r="T66" s="53" t="s">
        <v>130</v>
      </c>
      <c r="U66" s="53" t="s">
        <v>169</v>
      </c>
      <c r="V66" s="53" t="s">
        <v>462</v>
      </c>
      <c r="W66" s="53" t="s">
        <v>489</v>
      </c>
      <c r="X66" s="53" t="s">
        <v>489</v>
      </c>
      <c r="Y66" s="53"/>
      <c r="Z66" s="53"/>
      <c r="AA66" s="53"/>
      <c r="AB66" s="53" t="s">
        <v>274</v>
      </c>
      <c r="AC66" s="53" t="s">
        <v>274</v>
      </c>
      <c r="AD66" s="53" t="s">
        <v>274</v>
      </c>
      <c r="AE66" s="53" t="s">
        <v>274</v>
      </c>
      <c r="AF66" s="53" t="s">
        <v>275</v>
      </c>
      <c r="AG66" s="53" t="s">
        <v>275</v>
      </c>
      <c r="AH66" s="53" t="s">
        <v>274</v>
      </c>
      <c r="AI66" s="53">
        <v>0</v>
      </c>
      <c r="AJ66" s="56" t="s">
        <v>275</v>
      </c>
    </row>
    <row r="67" spans="1:36" x14ac:dyDescent="0.45">
      <c r="A67" s="52">
        <v>61</v>
      </c>
      <c r="B67" s="43">
        <v>817</v>
      </c>
      <c r="C67" s="53" t="s">
        <v>263</v>
      </c>
      <c r="D67" s="53" t="s">
        <v>84</v>
      </c>
      <c r="E67" s="54"/>
      <c r="F67" s="53" t="s">
        <v>505</v>
      </c>
      <c r="G67" s="53" t="s">
        <v>265</v>
      </c>
      <c r="H67" s="53" t="s">
        <v>515</v>
      </c>
      <c r="I67" s="53" t="s">
        <v>516</v>
      </c>
      <c r="J67" s="53" t="s">
        <v>508</v>
      </c>
      <c r="K67" s="53" t="s">
        <v>269</v>
      </c>
      <c r="L67" s="53" t="s">
        <v>515</v>
      </c>
      <c r="M67" s="53" t="s">
        <v>517</v>
      </c>
      <c r="N67" s="53" t="s">
        <v>510</v>
      </c>
      <c r="O67" s="53" t="s">
        <v>270</v>
      </c>
      <c r="P67" s="53" t="s">
        <v>515</v>
      </c>
      <c r="Q67" s="53" t="s">
        <v>518</v>
      </c>
      <c r="R67" s="55">
        <v>0.35</v>
      </c>
      <c r="S67" s="53">
        <v>1</v>
      </c>
      <c r="T67" s="53" t="s">
        <v>130</v>
      </c>
      <c r="U67" s="53" t="s">
        <v>169</v>
      </c>
      <c r="V67" s="53" t="s">
        <v>462</v>
      </c>
      <c r="W67" s="53" t="s">
        <v>489</v>
      </c>
      <c r="X67" s="53" t="s">
        <v>489</v>
      </c>
      <c r="Y67" s="53"/>
      <c r="Z67" s="53"/>
      <c r="AA67" s="53"/>
      <c r="AB67" s="53" t="s">
        <v>274</v>
      </c>
      <c r="AC67" s="53" t="s">
        <v>274</v>
      </c>
      <c r="AD67" s="53" t="s">
        <v>274</v>
      </c>
      <c r="AE67" s="53" t="s">
        <v>274</v>
      </c>
      <c r="AF67" s="53" t="s">
        <v>275</v>
      </c>
      <c r="AG67" s="53" t="s">
        <v>275</v>
      </c>
      <c r="AH67" s="53" t="s">
        <v>274</v>
      </c>
      <c r="AI67" s="53">
        <v>0</v>
      </c>
      <c r="AJ67" s="56" t="s">
        <v>275</v>
      </c>
    </row>
    <row r="68" spans="1:36" x14ac:dyDescent="0.45">
      <c r="A68" s="52">
        <v>61</v>
      </c>
      <c r="B68" s="43">
        <v>818</v>
      </c>
      <c r="C68" s="53" t="s">
        <v>263</v>
      </c>
      <c r="D68" s="53" t="s">
        <v>84</v>
      </c>
      <c r="E68" s="54"/>
      <c r="F68" s="53" t="s">
        <v>505</v>
      </c>
      <c r="G68" s="53" t="s">
        <v>265</v>
      </c>
      <c r="H68" s="53" t="s">
        <v>519</v>
      </c>
      <c r="I68" s="53" t="s">
        <v>520</v>
      </c>
      <c r="J68" s="53" t="s">
        <v>508</v>
      </c>
      <c r="K68" s="53" t="s">
        <v>269</v>
      </c>
      <c r="L68" s="53" t="s">
        <v>519</v>
      </c>
      <c r="M68" s="53" t="s">
        <v>521</v>
      </c>
      <c r="N68" s="53" t="s">
        <v>510</v>
      </c>
      <c r="O68" s="53" t="s">
        <v>270</v>
      </c>
      <c r="P68" s="53" t="s">
        <v>519</v>
      </c>
      <c r="Q68" s="53" t="s">
        <v>522</v>
      </c>
      <c r="R68" s="55">
        <v>0.45</v>
      </c>
      <c r="S68" s="53">
        <v>1</v>
      </c>
      <c r="T68" s="53" t="s">
        <v>130</v>
      </c>
      <c r="U68" s="53" t="s">
        <v>169</v>
      </c>
      <c r="V68" s="53" t="s">
        <v>462</v>
      </c>
      <c r="W68" s="53" t="s">
        <v>489</v>
      </c>
      <c r="X68" s="53" t="s">
        <v>489</v>
      </c>
      <c r="Y68" s="53"/>
      <c r="Z68" s="53"/>
      <c r="AA68" s="53"/>
      <c r="AB68" s="53" t="s">
        <v>274</v>
      </c>
      <c r="AC68" s="53" t="s">
        <v>274</v>
      </c>
      <c r="AD68" s="53" t="s">
        <v>274</v>
      </c>
      <c r="AE68" s="53" t="s">
        <v>274</v>
      </c>
      <c r="AF68" s="53" t="s">
        <v>275</v>
      </c>
      <c r="AG68" s="53" t="s">
        <v>275</v>
      </c>
      <c r="AH68" s="53" t="s">
        <v>274</v>
      </c>
      <c r="AI68" s="53">
        <v>0</v>
      </c>
      <c r="AJ68" s="56" t="s">
        <v>275</v>
      </c>
    </row>
    <row r="69" spans="1:36" x14ac:dyDescent="0.45">
      <c r="A69" s="52">
        <v>60</v>
      </c>
      <c r="B69" s="43">
        <v>819</v>
      </c>
      <c r="C69" s="53" t="s">
        <v>263</v>
      </c>
      <c r="D69" s="53" t="s">
        <v>84</v>
      </c>
      <c r="E69" s="54"/>
      <c r="F69" s="53" t="s">
        <v>523</v>
      </c>
      <c r="G69" s="53" t="s">
        <v>265</v>
      </c>
      <c r="H69" s="53" t="s">
        <v>287</v>
      </c>
      <c r="I69" s="53" t="s">
        <v>523</v>
      </c>
      <c r="J69" s="53" t="s">
        <v>524</v>
      </c>
      <c r="K69" s="53" t="s">
        <v>269</v>
      </c>
      <c r="L69" s="53" t="s">
        <v>289</v>
      </c>
      <c r="M69" s="53" t="s">
        <v>524</v>
      </c>
      <c r="N69" s="53" t="s">
        <v>525</v>
      </c>
      <c r="O69" s="53" t="s">
        <v>270</v>
      </c>
      <c r="P69" s="53" t="s">
        <v>290</v>
      </c>
      <c r="Q69" s="53" t="s">
        <v>525</v>
      </c>
      <c r="R69" s="55">
        <v>1</v>
      </c>
      <c r="S69" s="53">
        <v>1</v>
      </c>
      <c r="T69" s="53" t="s">
        <v>137</v>
      </c>
      <c r="U69" s="53" t="s">
        <v>169</v>
      </c>
      <c r="V69" s="53" t="s">
        <v>462</v>
      </c>
      <c r="W69" s="53" t="s">
        <v>526</v>
      </c>
      <c r="X69" s="53" t="s">
        <v>526</v>
      </c>
      <c r="Y69" s="53"/>
      <c r="Z69" s="53"/>
      <c r="AA69" s="53"/>
      <c r="AB69" s="53" t="s">
        <v>274</v>
      </c>
      <c r="AC69" s="53" t="s">
        <v>274</v>
      </c>
      <c r="AD69" s="53" t="s">
        <v>274</v>
      </c>
      <c r="AE69" s="53" t="s">
        <v>274</v>
      </c>
      <c r="AF69" s="53" t="s">
        <v>275</v>
      </c>
      <c r="AG69" s="53" t="s">
        <v>275</v>
      </c>
      <c r="AH69" s="53" t="s">
        <v>274</v>
      </c>
      <c r="AI69" s="53">
        <v>0.05</v>
      </c>
      <c r="AJ69" s="56" t="s">
        <v>275</v>
      </c>
    </row>
    <row r="70" spans="1:36" x14ac:dyDescent="0.45">
      <c r="A70" s="52">
        <v>74</v>
      </c>
      <c r="B70" s="43">
        <v>820</v>
      </c>
      <c r="C70" s="53" t="s">
        <v>263</v>
      </c>
      <c r="D70" s="53" t="s">
        <v>84</v>
      </c>
      <c r="E70" s="54"/>
      <c r="F70" s="53" t="s">
        <v>527</v>
      </c>
      <c r="G70" s="53" t="s">
        <v>265</v>
      </c>
      <c r="H70" s="53" t="s">
        <v>528</v>
      </c>
      <c r="I70" s="53" t="s">
        <v>529</v>
      </c>
      <c r="J70" s="53" t="s">
        <v>530</v>
      </c>
      <c r="K70" s="53" t="s">
        <v>269</v>
      </c>
      <c r="L70" s="53" t="s">
        <v>531</v>
      </c>
      <c r="M70" s="53" t="s">
        <v>532</v>
      </c>
      <c r="N70" s="53" t="s">
        <v>533</v>
      </c>
      <c r="O70" s="53" t="s">
        <v>270</v>
      </c>
      <c r="P70" s="53" t="s">
        <v>534</v>
      </c>
      <c r="Q70" s="53" t="s">
        <v>535</v>
      </c>
      <c r="R70" s="55">
        <v>4</v>
      </c>
      <c r="S70" s="53">
        <v>1</v>
      </c>
      <c r="T70" s="53" t="s">
        <v>137</v>
      </c>
      <c r="U70" s="53" t="s">
        <v>169</v>
      </c>
      <c r="V70" s="53" t="s">
        <v>536</v>
      </c>
      <c r="W70" s="53" t="s">
        <v>537</v>
      </c>
      <c r="X70" s="53" t="s">
        <v>527</v>
      </c>
      <c r="Y70" s="53"/>
      <c r="Z70" s="53"/>
      <c r="AA70" s="53"/>
      <c r="AB70" s="53" t="s">
        <v>274</v>
      </c>
      <c r="AC70" s="53" t="s">
        <v>274</v>
      </c>
      <c r="AD70" s="53" t="s">
        <v>274</v>
      </c>
      <c r="AE70" s="53" t="s">
        <v>274</v>
      </c>
      <c r="AF70" s="53" t="s">
        <v>275</v>
      </c>
      <c r="AG70" s="53" t="s">
        <v>275</v>
      </c>
      <c r="AH70" s="53" t="s">
        <v>274</v>
      </c>
      <c r="AI70" s="53">
        <v>0.05</v>
      </c>
      <c r="AJ70" s="56" t="s">
        <v>275</v>
      </c>
    </row>
    <row r="71" spans="1:36" x14ac:dyDescent="0.45">
      <c r="A71" s="52">
        <v>75</v>
      </c>
      <c r="B71" s="43">
        <v>821</v>
      </c>
      <c r="C71" s="53" t="s">
        <v>263</v>
      </c>
      <c r="D71" s="53" t="s">
        <v>84</v>
      </c>
      <c r="E71" s="54"/>
      <c r="F71" s="53" t="s">
        <v>538</v>
      </c>
      <c r="G71" s="53" t="s">
        <v>265</v>
      </c>
      <c r="H71" s="53" t="s">
        <v>539</v>
      </c>
      <c r="I71" s="53" t="s">
        <v>540</v>
      </c>
      <c r="J71" s="53" t="s">
        <v>530</v>
      </c>
      <c r="K71" s="53" t="s">
        <v>269</v>
      </c>
      <c r="L71" s="53" t="s">
        <v>541</v>
      </c>
      <c r="M71" s="53" t="s">
        <v>542</v>
      </c>
      <c r="N71" s="53" t="s">
        <v>533</v>
      </c>
      <c r="O71" s="53" t="s">
        <v>270</v>
      </c>
      <c r="P71" s="53" t="s">
        <v>543</v>
      </c>
      <c r="Q71" s="53" t="s">
        <v>544</v>
      </c>
      <c r="R71" s="55">
        <v>10</v>
      </c>
      <c r="S71" s="53">
        <v>1</v>
      </c>
      <c r="T71" s="53" t="s">
        <v>137</v>
      </c>
      <c r="U71" s="53" t="s">
        <v>169</v>
      </c>
      <c r="V71" s="53" t="s">
        <v>536</v>
      </c>
      <c r="W71" s="53" t="s">
        <v>537</v>
      </c>
      <c r="X71" s="53" t="s">
        <v>527</v>
      </c>
      <c r="Y71" s="53"/>
      <c r="Z71" s="53"/>
      <c r="AA71" s="53"/>
      <c r="AB71" s="53" t="s">
        <v>274</v>
      </c>
      <c r="AC71" s="53" t="s">
        <v>274</v>
      </c>
      <c r="AD71" s="53" t="s">
        <v>274</v>
      </c>
      <c r="AE71" s="53" t="s">
        <v>274</v>
      </c>
      <c r="AF71" s="53" t="s">
        <v>275</v>
      </c>
      <c r="AG71" s="53" t="s">
        <v>275</v>
      </c>
      <c r="AH71" s="53" t="s">
        <v>274</v>
      </c>
      <c r="AI71" s="53">
        <v>0.05</v>
      </c>
      <c r="AJ71" s="56" t="s">
        <v>275</v>
      </c>
    </row>
    <row r="72" spans="1:36" x14ac:dyDescent="0.45">
      <c r="A72" s="52">
        <v>76</v>
      </c>
      <c r="B72" s="43">
        <v>822</v>
      </c>
      <c r="C72" s="53" t="s">
        <v>263</v>
      </c>
      <c r="D72" s="53" t="s">
        <v>84</v>
      </c>
      <c r="E72" s="54"/>
      <c r="F72" s="53" t="s">
        <v>538</v>
      </c>
      <c r="G72" s="53" t="s">
        <v>265</v>
      </c>
      <c r="H72" s="53" t="s">
        <v>287</v>
      </c>
      <c r="I72" s="53" t="s">
        <v>545</v>
      </c>
      <c r="J72" s="53" t="s">
        <v>546</v>
      </c>
      <c r="K72" s="53" t="s">
        <v>269</v>
      </c>
      <c r="L72" s="53" t="s">
        <v>289</v>
      </c>
      <c r="M72" s="53" t="s">
        <v>547</v>
      </c>
      <c r="N72" s="53" t="s">
        <v>548</v>
      </c>
      <c r="O72" s="53" t="s">
        <v>270</v>
      </c>
      <c r="P72" s="53" t="s">
        <v>290</v>
      </c>
      <c r="Q72" s="53" t="s">
        <v>549</v>
      </c>
      <c r="R72" s="55">
        <v>1</v>
      </c>
      <c r="S72" s="53">
        <v>1</v>
      </c>
      <c r="T72" s="53" t="s">
        <v>137</v>
      </c>
      <c r="U72" s="53" t="s">
        <v>169</v>
      </c>
      <c r="V72" s="53" t="s">
        <v>536</v>
      </c>
      <c r="W72" s="53" t="s">
        <v>537</v>
      </c>
      <c r="X72" s="53" t="s">
        <v>527</v>
      </c>
      <c r="Y72" s="53"/>
      <c r="Z72" s="53"/>
      <c r="AA72" s="53"/>
      <c r="AB72" s="53" t="s">
        <v>274</v>
      </c>
      <c r="AC72" s="53" t="s">
        <v>274</v>
      </c>
      <c r="AD72" s="53" t="s">
        <v>274</v>
      </c>
      <c r="AE72" s="53" t="s">
        <v>274</v>
      </c>
      <c r="AF72" s="53" t="s">
        <v>275</v>
      </c>
      <c r="AG72" s="53" t="s">
        <v>275</v>
      </c>
      <c r="AH72" s="53" t="s">
        <v>274</v>
      </c>
      <c r="AI72" s="53">
        <v>0.05</v>
      </c>
      <c r="AJ72" s="56" t="s">
        <v>275</v>
      </c>
    </row>
    <row r="73" spans="1:36" x14ac:dyDescent="0.45">
      <c r="A73" s="52">
        <v>77</v>
      </c>
      <c r="B73" s="43">
        <v>823</v>
      </c>
      <c r="C73" s="53" t="s">
        <v>263</v>
      </c>
      <c r="D73" s="53" t="s">
        <v>84</v>
      </c>
      <c r="E73" s="54"/>
      <c r="F73" s="53" t="s">
        <v>538</v>
      </c>
      <c r="G73" s="53" t="s">
        <v>265</v>
      </c>
      <c r="H73" s="53" t="s">
        <v>550</v>
      </c>
      <c r="I73" s="53" t="s">
        <v>551</v>
      </c>
      <c r="J73" s="53" t="s">
        <v>530</v>
      </c>
      <c r="K73" s="53" t="s">
        <v>269</v>
      </c>
      <c r="L73" s="53" t="s">
        <v>552</v>
      </c>
      <c r="M73" s="53" t="s">
        <v>553</v>
      </c>
      <c r="N73" s="53" t="s">
        <v>533</v>
      </c>
      <c r="O73" s="53" t="s">
        <v>270</v>
      </c>
      <c r="P73" s="53" t="s">
        <v>554</v>
      </c>
      <c r="Q73" s="53" t="s">
        <v>555</v>
      </c>
      <c r="R73" s="55">
        <v>6</v>
      </c>
      <c r="S73" s="53">
        <v>1</v>
      </c>
      <c r="T73" s="53" t="s">
        <v>137</v>
      </c>
      <c r="U73" s="53" t="s">
        <v>169</v>
      </c>
      <c r="V73" s="53" t="s">
        <v>536</v>
      </c>
      <c r="W73" s="53" t="s">
        <v>537</v>
      </c>
      <c r="X73" s="53" t="s">
        <v>527</v>
      </c>
      <c r="Y73" s="53"/>
      <c r="Z73" s="53"/>
      <c r="AA73" s="53"/>
      <c r="AB73" s="53" t="s">
        <v>274</v>
      </c>
      <c r="AC73" s="53" t="s">
        <v>274</v>
      </c>
      <c r="AD73" s="53" t="s">
        <v>274</v>
      </c>
      <c r="AE73" s="53" t="s">
        <v>274</v>
      </c>
      <c r="AF73" s="53" t="s">
        <v>275</v>
      </c>
      <c r="AG73" s="53" t="s">
        <v>275</v>
      </c>
      <c r="AH73" s="53" t="s">
        <v>274</v>
      </c>
      <c r="AI73" s="53">
        <v>0.05</v>
      </c>
      <c r="AJ73" s="56" t="s">
        <v>275</v>
      </c>
    </row>
    <row r="74" spans="1:36" x14ac:dyDescent="0.45">
      <c r="A74" s="52">
        <v>94</v>
      </c>
      <c r="B74" s="43">
        <v>824</v>
      </c>
      <c r="C74" s="53" t="s">
        <v>263</v>
      </c>
      <c r="D74" s="53" t="s">
        <v>84</v>
      </c>
      <c r="E74" s="54"/>
      <c r="F74" s="53" t="s">
        <v>556</v>
      </c>
      <c r="G74" s="53" t="s">
        <v>265</v>
      </c>
      <c r="H74" s="53" t="s">
        <v>550</v>
      </c>
      <c r="I74" s="53" t="s">
        <v>557</v>
      </c>
      <c r="J74" s="53" t="s">
        <v>558</v>
      </c>
      <c r="K74" s="53" t="s">
        <v>269</v>
      </c>
      <c r="L74" s="53" t="s">
        <v>552</v>
      </c>
      <c r="M74" s="53" t="s">
        <v>559</v>
      </c>
      <c r="N74" s="53" t="s">
        <v>560</v>
      </c>
      <c r="O74" s="53" t="s">
        <v>270</v>
      </c>
      <c r="P74" s="53" t="s">
        <v>554</v>
      </c>
      <c r="Q74" s="53" t="s">
        <v>561</v>
      </c>
      <c r="R74" s="55">
        <v>6</v>
      </c>
      <c r="S74" s="53">
        <v>1</v>
      </c>
      <c r="T74" s="53" t="s">
        <v>137</v>
      </c>
      <c r="U74" s="53" t="s">
        <v>169</v>
      </c>
      <c r="V74" s="53" t="s">
        <v>536</v>
      </c>
      <c r="W74" s="53" t="s">
        <v>537</v>
      </c>
      <c r="X74" s="53" t="s">
        <v>527</v>
      </c>
      <c r="Y74" s="53"/>
      <c r="Z74" s="53"/>
      <c r="AA74" s="53"/>
      <c r="AB74" s="53" t="s">
        <v>274</v>
      </c>
      <c r="AC74" s="53" t="s">
        <v>274</v>
      </c>
      <c r="AD74" s="53" t="s">
        <v>274</v>
      </c>
      <c r="AE74" s="53" t="s">
        <v>274</v>
      </c>
      <c r="AF74" s="53" t="s">
        <v>275</v>
      </c>
      <c r="AG74" s="53" t="s">
        <v>275</v>
      </c>
      <c r="AH74" s="53" t="s">
        <v>274</v>
      </c>
      <c r="AI74" s="53">
        <v>0.05</v>
      </c>
      <c r="AJ74" s="56" t="s">
        <v>275</v>
      </c>
    </row>
    <row r="75" spans="1:36" x14ac:dyDescent="0.45">
      <c r="A75" s="52">
        <v>95</v>
      </c>
      <c r="B75" s="43">
        <v>825</v>
      </c>
      <c r="C75" s="53" t="s">
        <v>263</v>
      </c>
      <c r="D75" s="53" t="s">
        <v>84</v>
      </c>
      <c r="E75" s="54"/>
      <c r="F75" s="53" t="s">
        <v>562</v>
      </c>
      <c r="G75" s="53" t="s">
        <v>265</v>
      </c>
      <c r="H75" s="53" t="s">
        <v>287</v>
      </c>
      <c r="I75" s="53" t="s">
        <v>563</v>
      </c>
      <c r="J75" s="53" t="s">
        <v>564</v>
      </c>
      <c r="K75" s="53" t="s">
        <v>269</v>
      </c>
      <c r="L75" s="53" t="s">
        <v>289</v>
      </c>
      <c r="M75" s="53" t="s">
        <v>565</v>
      </c>
      <c r="N75" s="53" t="s">
        <v>566</v>
      </c>
      <c r="O75" s="53" t="s">
        <v>270</v>
      </c>
      <c r="P75" s="53" t="s">
        <v>290</v>
      </c>
      <c r="Q75" s="53" t="s">
        <v>567</v>
      </c>
      <c r="R75" s="55">
        <v>1</v>
      </c>
      <c r="S75" s="53">
        <v>1</v>
      </c>
      <c r="T75" s="53" t="s">
        <v>137</v>
      </c>
      <c r="U75" s="53" t="s">
        <v>169</v>
      </c>
      <c r="V75" s="53" t="s">
        <v>536</v>
      </c>
      <c r="W75" s="53" t="s">
        <v>537</v>
      </c>
      <c r="X75" s="53" t="s">
        <v>527</v>
      </c>
      <c r="Y75" s="53"/>
      <c r="Z75" s="53"/>
      <c r="AA75" s="53"/>
      <c r="AB75" s="53" t="s">
        <v>274</v>
      </c>
      <c r="AC75" s="53" t="s">
        <v>274</v>
      </c>
      <c r="AD75" s="53" t="s">
        <v>274</v>
      </c>
      <c r="AE75" s="53" t="s">
        <v>274</v>
      </c>
      <c r="AF75" s="53" t="s">
        <v>275</v>
      </c>
      <c r="AG75" s="53" t="s">
        <v>275</v>
      </c>
      <c r="AH75" s="53" t="s">
        <v>274</v>
      </c>
      <c r="AI75" s="53">
        <v>0.05</v>
      </c>
      <c r="AJ75" s="56" t="s">
        <v>275</v>
      </c>
    </row>
    <row r="76" spans="1:36" x14ac:dyDescent="0.45">
      <c r="A76" s="52">
        <v>100</v>
      </c>
      <c r="B76" s="43">
        <v>826</v>
      </c>
      <c r="C76" s="53" t="s">
        <v>263</v>
      </c>
      <c r="D76" s="53" t="s">
        <v>84</v>
      </c>
      <c r="E76" s="54"/>
      <c r="F76" s="53" t="s">
        <v>568</v>
      </c>
      <c r="G76" s="53" t="s">
        <v>265</v>
      </c>
      <c r="H76" s="53" t="s">
        <v>569</v>
      </c>
      <c r="I76" s="53" t="s">
        <v>570</v>
      </c>
      <c r="J76" s="53" t="s">
        <v>571</v>
      </c>
      <c r="K76" s="53" t="s">
        <v>269</v>
      </c>
      <c r="L76" s="53" t="s">
        <v>572</v>
      </c>
      <c r="M76" s="53" t="s">
        <v>573</v>
      </c>
      <c r="N76" s="53" t="s">
        <v>574</v>
      </c>
      <c r="O76" s="53" t="s">
        <v>270</v>
      </c>
      <c r="P76" s="53" t="s">
        <v>575</v>
      </c>
      <c r="Q76" s="53" t="s">
        <v>576</v>
      </c>
      <c r="R76" s="55">
        <v>8</v>
      </c>
      <c r="S76" s="53">
        <v>1</v>
      </c>
      <c r="T76" s="53" t="s">
        <v>137</v>
      </c>
      <c r="U76" s="53" t="s">
        <v>169</v>
      </c>
      <c r="V76" s="53" t="s">
        <v>536</v>
      </c>
      <c r="W76" s="53" t="s">
        <v>537</v>
      </c>
      <c r="X76" s="53" t="s">
        <v>527</v>
      </c>
      <c r="Y76" s="53"/>
      <c r="Z76" s="53"/>
      <c r="AA76" s="53"/>
      <c r="AB76" s="53" t="s">
        <v>274</v>
      </c>
      <c r="AC76" s="53" t="s">
        <v>274</v>
      </c>
      <c r="AD76" s="53" t="s">
        <v>274</v>
      </c>
      <c r="AE76" s="53" t="s">
        <v>274</v>
      </c>
      <c r="AF76" s="53" t="s">
        <v>275</v>
      </c>
      <c r="AG76" s="53" t="s">
        <v>275</v>
      </c>
      <c r="AH76" s="53" t="s">
        <v>274</v>
      </c>
      <c r="AI76" s="53">
        <v>0.05</v>
      </c>
      <c r="AJ76" s="56" t="s">
        <v>275</v>
      </c>
    </row>
    <row r="77" spans="1:36" x14ac:dyDescent="0.45">
      <c r="A77" s="52">
        <v>100</v>
      </c>
      <c r="B77" s="43">
        <v>827</v>
      </c>
      <c r="C77" s="53" t="s">
        <v>263</v>
      </c>
      <c r="D77" s="53" t="s">
        <v>84</v>
      </c>
      <c r="E77" s="54"/>
      <c r="F77" s="53" t="s">
        <v>568</v>
      </c>
      <c r="G77" s="53" t="s">
        <v>265</v>
      </c>
      <c r="H77" s="53" t="s">
        <v>550</v>
      </c>
      <c r="I77" s="53" t="s">
        <v>577</v>
      </c>
      <c r="J77" s="53" t="s">
        <v>571</v>
      </c>
      <c r="K77" s="53" t="s">
        <v>269</v>
      </c>
      <c r="L77" s="53" t="s">
        <v>552</v>
      </c>
      <c r="M77" s="53" t="s">
        <v>578</v>
      </c>
      <c r="N77" s="53" t="s">
        <v>574</v>
      </c>
      <c r="O77" s="53" t="s">
        <v>270</v>
      </c>
      <c r="P77" s="53" t="s">
        <v>554</v>
      </c>
      <c r="Q77" s="53" t="s">
        <v>579</v>
      </c>
      <c r="R77" s="55">
        <v>6</v>
      </c>
      <c r="S77" s="53">
        <v>1</v>
      </c>
      <c r="T77" s="53" t="s">
        <v>137</v>
      </c>
      <c r="U77" s="53" t="s">
        <v>169</v>
      </c>
      <c r="V77" s="53" t="s">
        <v>536</v>
      </c>
      <c r="W77" s="53" t="s">
        <v>537</v>
      </c>
      <c r="X77" s="53" t="s">
        <v>527</v>
      </c>
      <c r="Y77" s="53"/>
      <c r="Z77" s="53"/>
      <c r="AA77" s="53"/>
      <c r="AB77" s="53" t="s">
        <v>274</v>
      </c>
      <c r="AC77" s="53" t="s">
        <v>274</v>
      </c>
      <c r="AD77" s="53" t="s">
        <v>274</v>
      </c>
      <c r="AE77" s="53" t="s">
        <v>274</v>
      </c>
      <c r="AF77" s="53" t="s">
        <v>275</v>
      </c>
      <c r="AG77" s="53" t="s">
        <v>275</v>
      </c>
      <c r="AH77" s="53" t="s">
        <v>274</v>
      </c>
      <c r="AI77" s="53">
        <v>0.05</v>
      </c>
      <c r="AJ77" s="56" t="s">
        <v>275</v>
      </c>
    </row>
    <row r="78" spans="1:36" x14ac:dyDescent="0.45">
      <c r="A78" s="52">
        <v>100</v>
      </c>
      <c r="B78" s="43">
        <v>828</v>
      </c>
      <c r="C78" s="53" t="s">
        <v>263</v>
      </c>
      <c r="D78" s="53" t="s">
        <v>84</v>
      </c>
      <c r="E78" s="54"/>
      <c r="F78" s="53" t="s">
        <v>568</v>
      </c>
      <c r="G78" s="53" t="s">
        <v>265</v>
      </c>
      <c r="H78" s="53" t="s">
        <v>287</v>
      </c>
      <c r="I78" s="53" t="s">
        <v>580</v>
      </c>
      <c r="J78" s="53" t="s">
        <v>571</v>
      </c>
      <c r="K78" s="53" t="s">
        <v>269</v>
      </c>
      <c r="L78" s="53" t="s">
        <v>289</v>
      </c>
      <c r="M78" s="53" t="s">
        <v>571</v>
      </c>
      <c r="N78" s="53" t="s">
        <v>574</v>
      </c>
      <c r="O78" s="53" t="s">
        <v>270</v>
      </c>
      <c r="P78" s="53" t="s">
        <v>290</v>
      </c>
      <c r="Q78" s="53" t="s">
        <v>574</v>
      </c>
      <c r="R78" s="55">
        <v>1</v>
      </c>
      <c r="S78" s="53">
        <v>1</v>
      </c>
      <c r="T78" s="53" t="s">
        <v>137</v>
      </c>
      <c r="U78" s="53" t="s">
        <v>169</v>
      </c>
      <c r="V78" s="53" t="s">
        <v>536</v>
      </c>
      <c r="W78" s="53" t="s">
        <v>537</v>
      </c>
      <c r="X78" s="53" t="s">
        <v>527</v>
      </c>
      <c r="Y78" s="53"/>
      <c r="Z78" s="53"/>
      <c r="AA78" s="53"/>
      <c r="AB78" s="53" t="s">
        <v>274</v>
      </c>
      <c r="AC78" s="53" t="s">
        <v>274</v>
      </c>
      <c r="AD78" s="53" t="s">
        <v>274</v>
      </c>
      <c r="AE78" s="53" t="s">
        <v>274</v>
      </c>
      <c r="AF78" s="53" t="s">
        <v>275</v>
      </c>
      <c r="AG78" s="53" t="s">
        <v>275</v>
      </c>
      <c r="AH78" s="53" t="s">
        <v>274</v>
      </c>
      <c r="AI78" s="53">
        <v>0.05</v>
      </c>
      <c r="AJ78" s="56" t="s">
        <v>275</v>
      </c>
    </row>
    <row r="79" spans="1:36" x14ac:dyDescent="0.45">
      <c r="A79" s="52">
        <v>73</v>
      </c>
      <c r="B79" s="53">
        <v>829</v>
      </c>
      <c r="C79" s="53" t="s">
        <v>581</v>
      </c>
      <c r="D79" s="53" t="s">
        <v>84</v>
      </c>
      <c r="E79" s="54"/>
      <c r="F79" s="53" t="s">
        <v>582</v>
      </c>
      <c r="G79" s="53" t="s">
        <v>265</v>
      </c>
      <c r="H79" s="53" t="s">
        <v>287</v>
      </c>
      <c r="I79" s="53" t="s">
        <v>582</v>
      </c>
      <c r="J79" s="53" t="s">
        <v>583</v>
      </c>
      <c r="K79" s="53" t="s">
        <v>269</v>
      </c>
      <c r="L79" s="53" t="s">
        <v>289</v>
      </c>
      <c r="M79" s="53" t="s">
        <v>583</v>
      </c>
      <c r="N79" s="53" t="s">
        <v>584</v>
      </c>
      <c r="O79" s="53" t="s">
        <v>270</v>
      </c>
      <c r="P79" s="53" t="s">
        <v>290</v>
      </c>
      <c r="Q79" s="53" t="s">
        <v>584</v>
      </c>
      <c r="R79" s="55">
        <v>1</v>
      </c>
      <c r="S79" s="53">
        <v>100</v>
      </c>
      <c r="T79" s="53" t="s">
        <v>130</v>
      </c>
      <c r="U79" s="53" t="s">
        <v>169</v>
      </c>
      <c r="V79" s="53" t="s">
        <v>536</v>
      </c>
      <c r="W79" s="53" t="s">
        <v>585</v>
      </c>
      <c r="X79" s="53" t="s">
        <v>586</v>
      </c>
      <c r="Y79" s="53"/>
      <c r="Z79" s="53"/>
      <c r="AA79" s="53"/>
      <c r="AB79" s="53" t="s">
        <v>274</v>
      </c>
      <c r="AC79" s="53" t="s">
        <v>274</v>
      </c>
      <c r="AD79" s="53" t="s">
        <v>274</v>
      </c>
      <c r="AE79" s="53" t="s">
        <v>274</v>
      </c>
      <c r="AF79" s="53" t="s">
        <v>275</v>
      </c>
      <c r="AG79" s="53" t="s">
        <v>275</v>
      </c>
      <c r="AH79" s="53" t="s">
        <v>274</v>
      </c>
      <c r="AI79" s="53">
        <v>0.05</v>
      </c>
      <c r="AJ79" s="56" t="s">
        <v>275</v>
      </c>
    </row>
    <row r="80" spans="1:36" x14ac:dyDescent="0.45">
      <c r="A80" s="52">
        <v>98</v>
      </c>
      <c r="B80" s="53">
        <v>830</v>
      </c>
      <c r="C80" s="53" t="s">
        <v>581</v>
      </c>
      <c r="D80" s="53" t="s">
        <v>84</v>
      </c>
      <c r="E80" s="54"/>
      <c r="F80" s="53" t="s">
        <v>587</v>
      </c>
      <c r="G80" s="53" t="s">
        <v>265</v>
      </c>
      <c r="H80" s="53" t="s">
        <v>287</v>
      </c>
      <c r="I80" s="53" t="s">
        <v>587</v>
      </c>
      <c r="J80" s="53" t="s">
        <v>588</v>
      </c>
      <c r="K80" s="53" t="s">
        <v>269</v>
      </c>
      <c r="L80" s="53" t="s">
        <v>289</v>
      </c>
      <c r="M80" s="53" t="s">
        <v>588</v>
      </c>
      <c r="N80" s="53" t="s">
        <v>589</v>
      </c>
      <c r="O80" s="53" t="s">
        <v>270</v>
      </c>
      <c r="P80" s="53" t="s">
        <v>290</v>
      </c>
      <c r="Q80" s="53" t="s">
        <v>589</v>
      </c>
      <c r="R80" s="55">
        <v>1</v>
      </c>
      <c r="S80" s="53">
        <v>100</v>
      </c>
      <c r="T80" s="53" t="s">
        <v>130</v>
      </c>
      <c r="U80" s="53" t="s">
        <v>169</v>
      </c>
      <c r="V80" s="53" t="s">
        <v>536</v>
      </c>
      <c r="W80" s="53" t="s">
        <v>585</v>
      </c>
      <c r="X80" s="53" t="s">
        <v>590</v>
      </c>
      <c r="Y80" s="53"/>
      <c r="Z80" s="53"/>
      <c r="AA80" s="53"/>
      <c r="AB80" s="53" t="s">
        <v>274</v>
      </c>
      <c r="AC80" s="53" t="s">
        <v>274</v>
      </c>
      <c r="AD80" s="53" t="s">
        <v>274</v>
      </c>
      <c r="AE80" s="53" t="s">
        <v>274</v>
      </c>
      <c r="AF80" s="53" t="s">
        <v>275</v>
      </c>
      <c r="AG80" s="53" t="s">
        <v>275</v>
      </c>
      <c r="AH80" s="53" t="s">
        <v>274</v>
      </c>
      <c r="AI80" s="53">
        <v>0.05</v>
      </c>
      <c r="AJ80" s="56" t="s">
        <v>275</v>
      </c>
    </row>
    <row r="81" spans="1:36" x14ac:dyDescent="0.45">
      <c r="A81" s="52">
        <v>99</v>
      </c>
      <c r="B81" s="43">
        <v>831</v>
      </c>
      <c r="C81" s="53" t="s">
        <v>263</v>
      </c>
      <c r="D81" s="53" t="s">
        <v>84</v>
      </c>
      <c r="E81" s="54"/>
      <c r="F81" s="53" t="s">
        <v>591</v>
      </c>
      <c r="G81" s="53" t="s">
        <v>265</v>
      </c>
      <c r="H81" s="53" t="s">
        <v>287</v>
      </c>
      <c r="I81" s="53" t="s">
        <v>591</v>
      </c>
      <c r="J81" s="53" t="s">
        <v>592</v>
      </c>
      <c r="K81" s="53" t="s">
        <v>269</v>
      </c>
      <c r="L81" s="53" t="s">
        <v>289</v>
      </c>
      <c r="M81" s="53" t="s">
        <v>592</v>
      </c>
      <c r="N81" s="53" t="s">
        <v>593</v>
      </c>
      <c r="O81" s="53" t="s">
        <v>270</v>
      </c>
      <c r="P81" s="53" t="s">
        <v>290</v>
      </c>
      <c r="Q81" s="53" t="s">
        <v>593</v>
      </c>
      <c r="R81" s="55">
        <v>1</v>
      </c>
      <c r="S81" s="53">
        <v>1</v>
      </c>
      <c r="T81" s="53" t="s">
        <v>137</v>
      </c>
      <c r="U81" s="53" t="s">
        <v>169</v>
      </c>
      <c r="V81" s="53" t="s">
        <v>536</v>
      </c>
      <c r="W81" s="53" t="s">
        <v>594</v>
      </c>
      <c r="X81" s="53" t="s">
        <v>595</v>
      </c>
      <c r="Y81" s="53"/>
      <c r="Z81" s="53"/>
      <c r="AA81" s="53"/>
      <c r="AB81" s="53" t="s">
        <v>274</v>
      </c>
      <c r="AC81" s="53" t="s">
        <v>274</v>
      </c>
      <c r="AD81" s="53" t="s">
        <v>274</v>
      </c>
      <c r="AE81" s="53" t="s">
        <v>274</v>
      </c>
      <c r="AF81" s="53" t="s">
        <v>275</v>
      </c>
      <c r="AG81" s="53" t="s">
        <v>275</v>
      </c>
      <c r="AH81" s="53" t="s">
        <v>274</v>
      </c>
      <c r="AI81" s="53">
        <v>0</v>
      </c>
      <c r="AJ81" s="56" t="s">
        <v>275</v>
      </c>
    </row>
    <row r="82" spans="1:36" x14ac:dyDescent="0.45">
      <c r="A82" s="52">
        <v>101</v>
      </c>
      <c r="B82" s="43">
        <v>832</v>
      </c>
      <c r="C82" s="53" t="s">
        <v>263</v>
      </c>
      <c r="D82" s="53" t="s">
        <v>84</v>
      </c>
      <c r="E82" s="54"/>
      <c r="F82" s="53" t="s">
        <v>596</v>
      </c>
      <c r="G82" s="53" t="s">
        <v>265</v>
      </c>
      <c r="H82" s="53" t="s">
        <v>287</v>
      </c>
      <c r="I82" s="53" t="s">
        <v>596</v>
      </c>
      <c r="J82" s="53" t="s">
        <v>597</v>
      </c>
      <c r="K82" s="53" t="s">
        <v>269</v>
      </c>
      <c r="L82" s="53" t="s">
        <v>289</v>
      </c>
      <c r="M82" s="53" t="s">
        <v>597</v>
      </c>
      <c r="N82" s="53" t="s">
        <v>598</v>
      </c>
      <c r="O82" s="53" t="s">
        <v>270</v>
      </c>
      <c r="P82" s="53" t="s">
        <v>290</v>
      </c>
      <c r="Q82" s="53" t="s">
        <v>598</v>
      </c>
      <c r="R82" s="55">
        <v>1</v>
      </c>
      <c r="S82" s="53">
        <v>1</v>
      </c>
      <c r="T82" s="53" t="s">
        <v>137</v>
      </c>
      <c r="U82" s="53" t="s">
        <v>169</v>
      </c>
      <c r="V82" s="53" t="s">
        <v>536</v>
      </c>
      <c r="W82" s="53" t="s">
        <v>594</v>
      </c>
      <c r="X82" s="53" t="s">
        <v>595</v>
      </c>
      <c r="Y82" s="53"/>
      <c r="Z82" s="53"/>
      <c r="AA82" s="53"/>
      <c r="AB82" s="53" t="s">
        <v>274</v>
      </c>
      <c r="AC82" s="53" t="s">
        <v>274</v>
      </c>
      <c r="AD82" s="53" t="s">
        <v>274</v>
      </c>
      <c r="AE82" s="53" t="s">
        <v>274</v>
      </c>
      <c r="AF82" s="53" t="s">
        <v>275</v>
      </c>
      <c r="AG82" s="53" t="s">
        <v>275</v>
      </c>
      <c r="AH82" s="53" t="s">
        <v>274</v>
      </c>
      <c r="AI82" s="53">
        <v>0</v>
      </c>
      <c r="AJ82" s="56" t="s">
        <v>275</v>
      </c>
    </row>
    <row r="83" spans="1:36" x14ac:dyDescent="0.45">
      <c r="A83" s="52">
        <v>66</v>
      </c>
      <c r="B83" s="43">
        <v>833</v>
      </c>
      <c r="C83" s="53" t="s">
        <v>263</v>
      </c>
      <c r="D83" s="53" t="s">
        <v>84</v>
      </c>
      <c r="E83" s="54"/>
      <c r="F83" s="53" t="s">
        <v>599</v>
      </c>
      <c r="G83" s="53" t="s">
        <v>265</v>
      </c>
      <c r="H83" s="53" t="s">
        <v>600</v>
      </c>
      <c r="I83" s="53" t="s">
        <v>601</v>
      </c>
      <c r="J83" s="53" t="s">
        <v>602</v>
      </c>
      <c r="K83" s="53" t="s">
        <v>269</v>
      </c>
      <c r="L83" s="53" t="s">
        <v>603</v>
      </c>
      <c r="M83" s="53" t="s">
        <v>599</v>
      </c>
      <c r="N83" s="53" t="s">
        <v>599</v>
      </c>
      <c r="O83" s="53" t="s">
        <v>270</v>
      </c>
      <c r="P83" s="53" t="s">
        <v>604</v>
      </c>
      <c r="Q83" s="53" t="s">
        <v>605</v>
      </c>
      <c r="R83" s="57">
        <v>2</v>
      </c>
      <c r="S83" s="53">
        <v>1</v>
      </c>
      <c r="T83" s="53" t="s">
        <v>137</v>
      </c>
      <c r="U83" s="53" t="s">
        <v>169</v>
      </c>
      <c r="V83" s="53" t="s">
        <v>536</v>
      </c>
      <c r="W83" s="53" t="s">
        <v>606</v>
      </c>
      <c r="X83" s="53" t="s">
        <v>606</v>
      </c>
      <c r="Y83" s="53"/>
      <c r="Z83" s="53"/>
      <c r="AA83" s="53"/>
      <c r="AB83" s="53" t="s">
        <v>274</v>
      </c>
      <c r="AC83" s="53" t="s">
        <v>274</v>
      </c>
      <c r="AD83" s="53" t="s">
        <v>274</v>
      </c>
      <c r="AE83" s="53" t="s">
        <v>274</v>
      </c>
      <c r="AF83" s="53" t="s">
        <v>275</v>
      </c>
      <c r="AG83" s="53" t="s">
        <v>275</v>
      </c>
      <c r="AH83" s="53" t="s">
        <v>274</v>
      </c>
      <c r="AI83" s="53">
        <v>0.05</v>
      </c>
      <c r="AJ83" s="56" t="s">
        <v>275</v>
      </c>
    </row>
    <row r="84" spans="1:36" x14ac:dyDescent="0.45">
      <c r="A84" s="52">
        <v>79</v>
      </c>
      <c r="B84" s="43">
        <v>834</v>
      </c>
      <c r="C84" s="53" t="s">
        <v>263</v>
      </c>
      <c r="D84" s="53" t="s">
        <v>84</v>
      </c>
      <c r="E84" s="54"/>
      <c r="F84" s="53" t="s">
        <v>607</v>
      </c>
      <c r="G84" s="53" t="s">
        <v>265</v>
      </c>
      <c r="H84" s="53" t="s">
        <v>410</v>
      </c>
      <c r="I84" s="53" t="s">
        <v>608</v>
      </c>
      <c r="J84" s="53" t="s">
        <v>607</v>
      </c>
      <c r="K84" s="53" t="s">
        <v>269</v>
      </c>
      <c r="L84" s="53" t="s">
        <v>410</v>
      </c>
      <c r="M84" s="53" t="s">
        <v>608</v>
      </c>
      <c r="N84" s="53" t="s">
        <v>607</v>
      </c>
      <c r="O84" s="53" t="s">
        <v>270</v>
      </c>
      <c r="P84" s="53" t="s">
        <v>410</v>
      </c>
      <c r="Q84" s="53" t="s">
        <v>608</v>
      </c>
      <c r="R84" s="57">
        <v>0.4</v>
      </c>
      <c r="S84" s="53">
        <v>100</v>
      </c>
      <c r="T84" s="53" t="s">
        <v>130</v>
      </c>
      <c r="U84" s="53" t="s">
        <v>169</v>
      </c>
      <c r="V84" s="53" t="s">
        <v>536</v>
      </c>
      <c r="W84" s="53" t="s">
        <v>606</v>
      </c>
      <c r="X84" s="53" t="s">
        <v>606</v>
      </c>
      <c r="Y84" s="53"/>
      <c r="Z84" s="53"/>
      <c r="AA84" s="53"/>
      <c r="AB84" s="53" t="s">
        <v>274</v>
      </c>
      <c r="AC84" s="53" t="s">
        <v>274</v>
      </c>
      <c r="AD84" s="53" t="s">
        <v>274</v>
      </c>
      <c r="AE84" s="53" t="s">
        <v>274</v>
      </c>
      <c r="AF84" s="53" t="s">
        <v>275</v>
      </c>
      <c r="AG84" s="53" t="s">
        <v>275</v>
      </c>
      <c r="AH84" s="53" t="s">
        <v>274</v>
      </c>
      <c r="AI84" s="53">
        <v>0.05</v>
      </c>
      <c r="AJ84" s="56" t="s">
        <v>275</v>
      </c>
    </row>
    <row r="85" spans="1:36" x14ac:dyDescent="0.45">
      <c r="A85" s="52">
        <v>80</v>
      </c>
      <c r="B85" s="43">
        <v>835</v>
      </c>
      <c r="C85" s="53" t="s">
        <v>263</v>
      </c>
      <c r="D85" s="53" t="s">
        <v>84</v>
      </c>
      <c r="E85" s="54"/>
      <c r="F85" s="53" t="s">
        <v>607</v>
      </c>
      <c r="G85" s="53" t="s">
        <v>265</v>
      </c>
      <c r="H85" s="53" t="s">
        <v>609</v>
      </c>
      <c r="I85" s="53" t="s">
        <v>610</v>
      </c>
      <c r="J85" s="53" t="s">
        <v>607</v>
      </c>
      <c r="K85" s="53" t="s">
        <v>269</v>
      </c>
      <c r="L85" s="53" t="s">
        <v>609</v>
      </c>
      <c r="M85" s="53" t="s">
        <v>610</v>
      </c>
      <c r="N85" s="53" t="s">
        <v>607</v>
      </c>
      <c r="O85" s="53" t="s">
        <v>270</v>
      </c>
      <c r="P85" s="53" t="s">
        <v>609</v>
      </c>
      <c r="Q85" s="53" t="s">
        <v>610</v>
      </c>
      <c r="R85" s="57">
        <v>0.6</v>
      </c>
      <c r="S85" s="53">
        <v>100</v>
      </c>
      <c r="T85" s="53" t="s">
        <v>130</v>
      </c>
      <c r="U85" s="53" t="s">
        <v>169</v>
      </c>
      <c r="V85" s="53" t="s">
        <v>536</v>
      </c>
      <c r="W85" s="53" t="s">
        <v>606</v>
      </c>
      <c r="X85" s="53" t="s">
        <v>606</v>
      </c>
      <c r="Y85" s="53"/>
      <c r="Z85" s="53"/>
      <c r="AA85" s="53"/>
      <c r="AB85" s="53" t="s">
        <v>274</v>
      </c>
      <c r="AC85" s="53" t="s">
        <v>274</v>
      </c>
      <c r="AD85" s="53" t="s">
        <v>274</v>
      </c>
      <c r="AE85" s="53" t="s">
        <v>274</v>
      </c>
      <c r="AF85" s="53" t="s">
        <v>275</v>
      </c>
      <c r="AG85" s="53" t="s">
        <v>275</v>
      </c>
      <c r="AH85" s="53" t="s">
        <v>274</v>
      </c>
      <c r="AI85" s="53">
        <v>0.05</v>
      </c>
      <c r="AJ85" s="56" t="s">
        <v>275</v>
      </c>
    </row>
    <row r="86" spans="1:36" x14ac:dyDescent="0.45">
      <c r="A86" s="52">
        <v>81</v>
      </c>
      <c r="B86" s="43">
        <v>836</v>
      </c>
      <c r="C86" s="53" t="s">
        <v>263</v>
      </c>
      <c r="D86" s="53" t="s">
        <v>84</v>
      </c>
      <c r="E86" s="54"/>
      <c r="F86" s="53" t="s">
        <v>607</v>
      </c>
      <c r="G86" s="53" t="s">
        <v>265</v>
      </c>
      <c r="H86" s="53" t="s">
        <v>611</v>
      </c>
      <c r="I86" s="53" t="s">
        <v>612</v>
      </c>
      <c r="J86" s="53" t="s">
        <v>607</v>
      </c>
      <c r="K86" s="53" t="s">
        <v>269</v>
      </c>
      <c r="L86" s="53" t="s">
        <v>611</v>
      </c>
      <c r="M86" s="53" t="s">
        <v>612</v>
      </c>
      <c r="N86" s="53" t="s">
        <v>607</v>
      </c>
      <c r="O86" s="53" t="s">
        <v>270</v>
      </c>
      <c r="P86" s="53" t="s">
        <v>611</v>
      </c>
      <c r="Q86" s="53" t="s">
        <v>612</v>
      </c>
      <c r="R86" s="57">
        <v>0.8</v>
      </c>
      <c r="S86" s="53">
        <v>100</v>
      </c>
      <c r="T86" s="53" t="s">
        <v>130</v>
      </c>
      <c r="U86" s="53" t="s">
        <v>169</v>
      </c>
      <c r="V86" s="53" t="s">
        <v>536</v>
      </c>
      <c r="W86" s="53" t="s">
        <v>606</v>
      </c>
      <c r="X86" s="53" t="s">
        <v>606</v>
      </c>
      <c r="Y86" s="53"/>
      <c r="Z86" s="53"/>
      <c r="AA86" s="53"/>
      <c r="AB86" s="53" t="s">
        <v>274</v>
      </c>
      <c r="AC86" s="53" t="s">
        <v>274</v>
      </c>
      <c r="AD86" s="53" t="s">
        <v>274</v>
      </c>
      <c r="AE86" s="53" t="s">
        <v>274</v>
      </c>
      <c r="AF86" s="53" t="s">
        <v>275</v>
      </c>
      <c r="AG86" s="53" t="s">
        <v>275</v>
      </c>
      <c r="AH86" s="53" t="s">
        <v>274</v>
      </c>
      <c r="AI86" s="53">
        <v>0.05</v>
      </c>
      <c r="AJ86" s="56" t="s">
        <v>275</v>
      </c>
    </row>
    <row r="87" spans="1:36" x14ac:dyDescent="0.45">
      <c r="A87" s="52">
        <v>82</v>
      </c>
      <c r="B87" s="53">
        <v>837</v>
      </c>
      <c r="C87" s="53" t="s">
        <v>581</v>
      </c>
      <c r="D87" s="53" t="s">
        <v>84</v>
      </c>
      <c r="E87" s="54"/>
      <c r="F87" s="53" t="s">
        <v>613</v>
      </c>
      <c r="G87" s="53" t="s">
        <v>265</v>
      </c>
      <c r="H87" s="53" t="s">
        <v>600</v>
      </c>
      <c r="I87" s="53" t="s">
        <v>614</v>
      </c>
      <c r="J87" s="53" t="s">
        <v>615</v>
      </c>
      <c r="K87" s="53" t="s">
        <v>269</v>
      </c>
      <c r="L87" s="53" t="s">
        <v>603</v>
      </c>
      <c r="M87" s="53" t="s">
        <v>616</v>
      </c>
      <c r="N87" s="53" t="s">
        <v>617</v>
      </c>
      <c r="O87" s="53" t="s">
        <v>270</v>
      </c>
      <c r="P87" s="53" t="s">
        <v>604</v>
      </c>
      <c r="Q87" s="53" t="s">
        <v>618</v>
      </c>
      <c r="R87" s="57">
        <v>2</v>
      </c>
      <c r="S87" s="53">
        <v>100</v>
      </c>
      <c r="T87" s="53" t="s">
        <v>130</v>
      </c>
      <c r="U87" s="53" t="s">
        <v>169</v>
      </c>
      <c r="V87" s="53" t="s">
        <v>536</v>
      </c>
      <c r="W87" s="53" t="s">
        <v>606</v>
      </c>
      <c r="X87" s="53" t="s">
        <v>606</v>
      </c>
      <c r="Y87" s="53"/>
      <c r="Z87" s="53"/>
      <c r="AA87" s="53"/>
      <c r="AB87" s="53" t="s">
        <v>274</v>
      </c>
      <c r="AC87" s="53" t="s">
        <v>274</v>
      </c>
      <c r="AD87" s="53" t="s">
        <v>274</v>
      </c>
      <c r="AE87" s="53" t="s">
        <v>274</v>
      </c>
      <c r="AF87" s="53" t="s">
        <v>275</v>
      </c>
      <c r="AG87" s="53" t="s">
        <v>275</v>
      </c>
      <c r="AH87" s="53" t="s">
        <v>274</v>
      </c>
      <c r="AI87" s="53">
        <v>0.05</v>
      </c>
      <c r="AJ87" s="56" t="s">
        <v>275</v>
      </c>
    </row>
    <row r="88" spans="1:36" x14ac:dyDescent="0.45">
      <c r="A88" s="52">
        <v>83</v>
      </c>
      <c r="B88" s="53">
        <v>838</v>
      </c>
      <c r="C88" s="53" t="s">
        <v>581</v>
      </c>
      <c r="D88" s="53" t="s">
        <v>84</v>
      </c>
      <c r="E88" s="54"/>
      <c r="F88" s="53" t="s">
        <v>619</v>
      </c>
      <c r="G88" s="53" t="s">
        <v>265</v>
      </c>
      <c r="H88" s="53" t="s">
        <v>287</v>
      </c>
      <c r="I88" s="53" t="s">
        <v>619</v>
      </c>
      <c r="J88" s="53" t="s">
        <v>620</v>
      </c>
      <c r="K88" s="53" t="s">
        <v>269</v>
      </c>
      <c r="L88" s="53" t="s">
        <v>289</v>
      </c>
      <c r="M88" s="53" t="s">
        <v>620</v>
      </c>
      <c r="N88" s="53" t="s">
        <v>620</v>
      </c>
      <c r="O88" s="53" t="s">
        <v>270</v>
      </c>
      <c r="P88" s="53" t="s">
        <v>290</v>
      </c>
      <c r="Q88" s="53" t="s">
        <v>620</v>
      </c>
      <c r="R88" s="57">
        <v>1</v>
      </c>
      <c r="S88" s="53">
        <v>100</v>
      </c>
      <c r="T88" s="53" t="s">
        <v>130</v>
      </c>
      <c r="U88" s="53" t="s">
        <v>169</v>
      </c>
      <c r="V88" s="53" t="s">
        <v>536</v>
      </c>
      <c r="W88" s="53" t="s">
        <v>606</v>
      </c>
      <c r="X88" s="53" t="s">
        <v>606</v>
      </c>
      <c r="Y88" s="53"/>
      <c r="Z88" s="53"/>
      <c r="AA88" s="53"/>
      <c r="AB88" s="53" t="s">
        <v>274</v>
      </c>
      <c r="AC88" s="53" t="s">
        <v>274</v>
      </c>
      <c r="AD88" s="53" t="s">
        <v>274</v>
      </c>
      <c r="AE88" s="53" t="s">
        <v>274</v>
      </c>
      <c r="AF88" s="53" t="s">
        <v>275</v>
      </c>
      <c r="AG88" s="53" t="s">
        <v>275</v>
      </c>
      <c r="AH88" s="53" t="s">
        <v>274</v>
      </c>
      <c r="AI88" s="53">
        <v>0.05</v>
      </c>
      <c r="AJ88" s="56" t="s">
        <v>275</v>
      </c>
    </row>
    <row r="89" spans="1:36" x14ac:dyDescent="0.45">
      <c r="A89" s="52">
        <v>87</v>
      </c>
      <c r="B89" s="43">
        <v>839</v>
      </c>
      <c r="C89" s="53" t="s">
        <v>263</v>
      </c>
      <c r="D89" s="53" t="s">
        <v>84</v>
      </c>
      <c r="E89" s="54"/>
      <c r="F89" s="53" t="s">
        <v>621</v>
      </c>
      <c r="G89" s="53" t="s">
        <v>265</v>
      </c>
      <c r="H89" s="53" t="s">
        <v>287</v>
      </c>
      <c r="I89" s="53" t="s">
        <v>621</v>
      </c>
      <c r="J89" s="53" t="s">
        <v>622</v>
      </c>
      <c r="K89" s="53" t="s">
        <v>269</v>
      </c>
      <c r="L89" s="53" t="s">
        <v>289</v>
      </c>
      <c r="M89" s="53" t="s">
        <v>622</v>
      </c>
      <c r="N89" s="53" t="s">
        <v>623</v>
      </c>
      <c r="O89" s="53" t="s">
        <v>270</v>
      </c>
      <c r="P89" s="53" t="s">
        <v>290</v>
      </c>
      <c r="Q89" s="53" t="s">
        <v>623</v>
      </c>
      <c r="R89" s="57">
        <v>1</v>
      </c>
      <c r="S89" s="53">
        <v>1</v>
      </c>
      <c r="T89" s="53" t="s">
        <v>137</v>
      </c>
      <c r="U89" s="53" t="s">
        <v>169</v>
      </c>
      <c r="V89" s="53" t="s">
        <v>536</v>
      </c>
      <c r="W89" s="53" t="s">
        <v>606</v>
      </c>
      <c r="X89" s="53" t="s">
        <v>606</v>
      </c>
      <c r="Y89" s="53"/>
      <c r="Z89" s="53"/>
      <c r="AA89" s="53"/>
      <c r="AB89" s="53" t="s">
        <v>274</v>
      </c>
      <c r="AC89" s="53" t="s">
        <v>274</v>
      </c>
      <c r="AD89" s="53" t="s">
        <v>274</v>
      </c>
      <c r="AE89" s="53" t="s">
        <v>274</v>
      </c>
      <c r="AF89" s="53" t="s">
        <v>275</v>
      </c>
      <c r="AG89" s="53" t="s">
        <v>275</v>
      </c>
      <c r="AH89" s="53" t="s">
        <v>274</v>
      </c>
      <c r="AI89" s="53">
        <v>0</v>
      </c>
      <c r="AJ89" s="56" t="s">
        <v>275</v>
      </c>
    </row>
    <row r="90" spans="1:36" x14ac:dyDescent="0.45">
      <c r="A90" s="52">
        <v>88</v>
      </c>
      <c r="B90" s="43">
        <v>840</v>
      </c>
      <c r="C90" s="53" t="s">
        <v>263</v>
      </c>
      <c r="D90" s="53" t="s">
        <v>84</v>
      </c>
      <c r="E90" s="54"/>
      <c r="F90" s="53" t="s">
        <v>624</v>
      </c>
      <c r="G90" s="53" t="s">
        <v>265</v>
      </c>
      <c r="H90" s="53" t="s">
        <v>287</v>
      </c>
      <c r="I90" s="53" t="s">
        <v>624</v>
      </c>
      <c r="J90" s="53" t="s">
        <v>625</v>
      </c>
      <c r="K90" s="53" t="s">
        <v>269</v>
      </c>
      <c r="L90" s="53" t="s">
        <v>289</v>
      </c>
      <c r="M90" s="53" t="s">
        <v>625</v>
      </c>
      <c r="N90" s="53" t="s">
        <v>626</v>
      </c>
      <c r="O90" s="53" t="s">
        <v>270</v>
      </c>
      <c r="P90" s="53" t="s">
        <v>290</v>
      </c>
      <c r="Q90" s="53" t="s">
        <v>626</v>
      </c>
      <c r="R90" s="57">
        <v>1</v>
      </c>
      <c r="S90" s="53">
        <v>1</v>
      </c>
      <c r="T90" s="53" t="s">
        <v>137</v>
      </c>
      <c r="U90" s="53" t="s">
        <v>169</v>
      </c>
      <c r="V90" s="53" t="s">
        <v>536</v>
      </c>
      <c r="W90" s="53" t="s">
        <v>606</v>
      </c>
      <c r="X90" s="53" t="s">
        <v>606</v>
      </c>
      <c r="Y90" s="53"/>
      <c r="Z90" s="53"/>
      <c r="AA90" s="53"/>
      <c r="AB90" s="53" t="s">
        <v>274</v>
      </c>
      <c r="AC90" s="53" t="s">
        <v>274</v>
      </c>
      <c r="AD90" s="53" t="s">
        <v>274</v>
      </c>
      <c r="AE90" s="53" t="s">
        <v>274</v>
      </c>
      <c r="AF90" s="53" t="s">
        <v>275</v>
      </c>
      <c r="AG90" s="53" t="s">
        <v>275</v>
      </c>
      <c r="AH90" s="53" t="s">
        <v>274</v>
      </c>
      <c r="AI90" s="53">
        <v>0</v>
      </c>
      <c r="AJ90" s="56" t="s">
        <v>275</v>
      </c>
    </row>
    <row r="91" spans="1:36" x14ac:dyDescent="0.45">
      <c r="A91" s="52">
        <v>93</v>
      </c>
      <c r="B91" s="53">
        <v>841</v>
      </c>
      <c r="C91" s="53" t="s">
        <v>581</v>
      </c>
      <c r="D91" s="53" t="s">
        <v>84</v>
      </c>
      <c r="E91" s="54"/>
      <c r="F91" s="53" t="s">
        <v>627</v>
      </c>
      <c r="G91" s="53" t="s">
        <v>265</v>
      </c>
      <c r="H91" s="53" t="s">
        <v>287</v>
      </c>
      <c r="I91" s="53" t="s">
        <v>627</v>
      </c>
      <c r="J91" s="53" t="s">
        <v>628</v>
      </c>
      <c r="K91" s="53" t="s">
        <v>269</v>
      </c>
      <c r="L91" s="53" t="s">
        <v>289</v>
      </c>
      <c r="M91" s="53" t="s">
        <v>628</v>
      </c>
      <c r="N91" s="53" t="s">
        <v>629</v>
      </c>
      <c r="O91" s="53" t="s">
        <v>270</v>
      </c>
      <c r="P91" s="53" t="s">
        <v>290</v>
      </c>
      <c r="Q91" s="53" t="s">
        <v>629</v>
      </c>
      <c r="R91" s="55">
        <v>1</v>
      </c>
      <c r="S91" s="53">
        <v>100</v>
      </c>
      <c r="T91" s="53" t="s">
        <v>130</v>
      </c>
      <c r="U91" s="53" t="s">
        <v>169</v>
      </c>
      <c r="V91" s="53" t="s">
        <v>536</v>
      </c>
      <c r="W91" s="53" t="s">
        <v>606</v>
      </c>
      <c r="X91" s="53" t="s">
        <v>606</v>
      </c>
      <c r="Y91" s="53"/>
      <c r="Z91" s="53"/>
      <c r="AA91" s="53"/>
      <c r="AB91" s="53" t="s">
        <v>274</v>
      </c>
      <c r="AC91" s="53" t="s">
        <v>274</v>
      </c>
      <c r="AD91" s="53" t="s">
        <v>274</v>
      </c>
      <c r="AE91" s="53" t="s">
        <v>274</v>
      </c>
      <c r="AF91" s="53" t="s">
        <v>275</v>
      </c>
      <c r="AG91" s="53" t="s">
        <v>275</v>
      </c>
      <c r="AH91" s="53" t="s">
        <v>274</v>
      </c>
      <c r="AI91" s="53">
        <v>0.05</v>
      </c>
      <c r="AJ91" s="56" t="s">
        <v>275</v>
      </c>
    </row>
    <row r="92" spans="1:36" x14ac:dyDescent="0.45">
      <c r="A92" s="52">
        <v>96</v>
      </c>
      <c r="B92" s="53">
        <v>842</v>
      </c>
      <c r="C92" s="53" t="s">
        <v>581</v>
      </c>
      <c r="D92" s="53" t="s">
        <v>84</v>
      </c>
      <c r="E92" s="54"/>
      <c r="F92" s="53" t="s">
        <v>630</v>
      </c>
      <c r="G92" s="53" t="s">
        <v>265</v>
      </c>
      <c r="H92" s="53" t="s">
        <v>287</v>
      </c>
      <c r="I92" s="53" t="s">
        <v>630</v>
      </c>
      <c r="J92" s="53" t="s">
        <v>631</v>
      </c>
      <c r="K92" s="53" t="s">
        <v>269</v>
      </c>
      <c r="L92" s="53" t="s">
        <v>289</v>
      </c>
      <c r="M92" s="53" t="s">
        <v>631</v>
      </c>
      <c r="N92" s="53" t="s">
        <v>630</v>
      </c>
      <c r="O92" s="53" t="s">
        <v>270</v>
      </c>
      <c r="P92" s="53" t="s">
        <v>290</v>
      </c>
      <c r="Q92" s="53" t="s">
        <v>630</v>
      </c>
      <c r="R92" s="55">
        <v>1</v>
      </c>
      <c r="S92" s="53">
        <v>100</v>
      </c>
      <c r="T92" s="53" t="s">
        <v>130</v>
      </c>
      <c r="U92" s="53" t="s">
        <v>169</v>
      </c>
      <c r="V92" s="53" t="s">
        <v>536</v>
      </c>
      <c r="W92" s="53" t="s">
        <v>606</v>
      </c>
      <c r="X92" s="53" t="s">
        <v>606</v>
      </c>
      <c r="Y92" s="53"/>
      <c r="Z92" s="53"/>
      <c r="AA92" s="53"/>
      <c r="AB92" s="53" t="s">
        <v>274</v>
      </c>
      <c r="AC92" s="53" t="s">
        <v>274</v>
      </c>
      <c r="AD92" s="53" t="s">
        <v>274</v>
      </c>
      <c r="AE92" s="53" t="s">
        <v>274</v>
      </c>
      <c r="AF92" s="53" t="s">
        <v>275</v>
      </c>
      <c r="AG92" s="53" t="s">
        <v>275</v>
      </c>
      <c r="AH92" s="53" t="s">
        <v>274</v>
      </c>
      <c r="AI92" s="53">
        <v>0.05</v>
      </c>
      <c r="AJ92" s="56" t="s">
        <v>275</v>
      </c>
    </row>
    <row r="93" spans="1:36" x14ac:dyDescent="0.45">
      <c r="A93" s="52">
        <v>102</v>
      </c>
      <c r="B93" s="43">
        <v>843</v>
      </c>
      <c r="C93" s="53" t="s">
        <v>263</v>
      </c>
      <c r="D93" s="53" t="s">
        <v>84</v>
      </c>
      <c r="E93" s="54"/>
      <c r="F93" s="53" t="s">
        <v>632</v>
      </c>
      <c r="G93" s="53" t="s">
        <v>265</v>
      </c>
      <c r="H93" s="53" t="s">
        <v>287</v>
      </c>
      <c r="I93" s="53" t="s">
        <v>632</v>
      </c>
      <c r="J93" s="53" t="s">
        <v>632</v>
      </c>
      <c r="K93" s="53" t="s">
        <v>269</v>
      </c>
      <c r="L93" s="53" t="s">
        <v>289</v>
      </c>
      <c r="M93" s="53" t="s">
        <v>632</v>
      </c>
      <c r="N93" s="53" t="s">
        <v>632</v>
      </c>
      <c r="O93" s="53" t="s">
        <v>270</v>
      </c>
      <c r="P93" s="53" t="s">
        <v>290</v>
      </c>
      <c r="Q93" s="53" t="s">
        <v>632</v>
      </c>
      <c r="R93" s="55">
        <v>1</v>
      </c>
      <c r="S93" s="53">
        <v>1</v>
      </c>
      <c r="T93" s="53" t="s">
        <v>137</v>
      </c>
      <c r="U93" s="53" t="s">
        <v>169</v>
      </c>
      <c r="V93" s="53" t="s">
        <v>536</v>
      </c>
      <c r="W93" s="53" t="s">
        <v>606</v>
      </c>
      <c r="X93" s="53" t="s">
        <v>606</v>
      </c>
      <c r="Y93" s="53"/>
      <c r="Z93" s="53"/>
      <c r="AA93" s="53"/>
      <c r="AB93" s="53" t="s">
        <v>274</v>
      </c>
      <c r="AC93" s="53" t="s">
        <v>274</v>
      </c>
      <c r="AD93" s="53" t="s">
        <v>274</v>
      </c>
      <c r="AE93" s="53" t="s">
        <v>274</v>
      </c>
      <c r="AF93" s="53" t="s">
        <v>275</v>
      </c>
      <c r="AG93" s="53" t="s">
        <v>275</v>
      </c>
      <c r="AH93" s="53" t="s">
        <v>274</v>
      </c>
      <c r="AI93" s="53">
        <v>0.05</v>
      </c>
      <c r="AJ93" s="56" t="s">
        <v>275</v>
      </c>
    </row>
    <row r="94" spans="1:36" x14ac:dyDescent="0.45">
      <c r="A94" s="52">
        <v>67</v>
      </c>
      <c r="B94" s="43">
        <v>844</v>
      </c>
      <c r="C94" s="53" t="s">
        <v>263</v>
      </c>
      <c r="D94" s="53" t="s">
        <v>84</v>
      </c>
      <c r="E94" s="54"/>
      <c r="F94" s="53" t="s">
        <v>633</v>
      </c>
      <c r="G94" s="53" t="s">
        <v>265</v>
      </c>
      <c r="H94" s="53" t="s">
        <v>483</v>
      </c>
      <c r="I94" s="53" t="s">
        <v>634</v>
      </c>
      <c r="J94" s="53" t="s">
        <v>635</v>
      </c>
      <c r="K94" s="53" t="s">
        <v>269</v>
      </c>
      <c r="L94" s="53" t="s">
        <v>483</v>
      </c>
      <c r="M94" s="53" t="s">
        <v>636</v>
      </c>
      <c r="N94" s="53" t="s">
        <v>637</v>
      </c>
      <c r="O94" s="53" t="s">
        <v>270</v>
      </c>
      <c r="P94" s="53" t="s">
        <v>483</v>
      </c>
      <c r="Q94" s="53" t="s">
        <v>638</v>
      </c>
      <c r="R94" s="55">
        <v>0.1</v>
      </c>
      <c r="S94" s="53">
        <v>100</v>
      </c>
      <c r="T94" s="53" t="s">
        <v>130</v>
      </c>
      <c r="U94" s="53" t="s">
        <v>169</v>
      </c>
      <c r="V94" s="53" t="s">
        <v>536</v>
      </c>
      <c r="W94" s="53" t="s">
        <v>537</v>
      </c>
      <c r="X94" s="53" t="s">
        <v>639</v>
      </c>
      <c r="Y94" s="53"/>
      <c r="Z94" s="53"/>
      <c r="AA94" s="53"/>
      <c r="AB94" s="53" t="s">
        <v>274</v>
      </c>
      <c r="AC94" s="53" t="s">
        <v>274</v>
      </c>
      <c r="AD94" s="53" t="s">
        <v>274</v>
      </c>
      <c r="AE94" s="53" t="s">
        <v>274</v>
      </c>
      <c r="AF94" s="53" t="s">
        <v>275</v>
      </c>
      <c r="AG94" s="53" t="s">
        <v>275</v>
      </c>
      <c r="AH94" s="53" t="s">
        <v>274</v>
      </c>
      <c r="AI94" s="53">
        <v>0.05</v>
      </c>
      <c r="AJ94" s="56" t="s">
        <v>275</v>
      </c>
    </row>
    <row r="95" spans="1:36" x14ac:dyDescent="0.45">
      <c r="A95" s="52">
        <v>68</v>
      </c>
      <c r="B95" s="43">
        <v>845</v>
      </c>
      <c r="C95" s="53" t="s">
        <v>263</v>
      </c>
      <c r="D95" s="53" t="s">
        <v>84</v>
      </c>
      <c r="E95" s="54"/>
      <c r="F95" s="53" t="s">
        <v>633</v>
      </c>
      <c r="G95" s="53" t="s">
        <v>265</v>
      </c>
      <c r="H95" s="53" t="s">
        <v>640</v>
      </c>
      <c r="I95" s="53" t="s">
        <v>641</v>
      </c>
      <c r="J95" s="53" t="s">
        <v>642</v>
      </c>
      <c r="K95" s="53" t="s">
        <v>269</v>
      </c>
      <c r="L95" s="53" t="s">
        <v>640</v>
      </c>
      <c r="M95" s="53" t="s">
        <v>643</v>
      </c>
      <c r="N95" s="53" t="s">
        <v>637</v>
      </c>
      <c r="O95" s="53" t="s">
        <v>270</v>
      </c>
      <c r="P95" s="53" t="s">
        <v>640</v>
      </c>
      <c r="Q95" s="53" t="s">
        <v>644</v>
      </c>
      <c r="R95" s="55">
        <v>0.2</v>
      </c>
      <c r="S95" s="53">
        <v>100</v>
      </c>
      <c r="T95" s="53" t="s">
        <v>130</v>
      </c>
      <c r="U95" s="53" t="s">
        <v>169</v>
      </c>
      <c r="V95" s="53" t="s">
        <v>536</v>
      </c>
      <c r="W95" s="53" t="s">
        <v>537</v>
      </c>
      <c r="X95" s="53" t="s">
        <v>639</v>
      </c>
      <c r="Y95" s="53"/>
      <c r="Z95" s="53"/>
      <c r="AA95" s="53"/>
      <c r="AB95" s="53" t="s">
        <v>274</v>
      </c>
      <c r="AC95" s="53" t="s">
        <v>274</v>
      </c>
      <c r="AD95" s="53" t="s">
        <v>274</v>
      </c>
      <c r="AE95" s="53" t="s">
        <v>274</v>
      </c>
      <c r="AF95" s="53" t="s">
        <v>275</v>
      </c>
      <c r="AG95" s="53" t="s">
        <v>275</v>
      </c>
      <c r="AH95" s="53" t="s">
        <v>274</v>
      </c>
      <c r="AI95" s="53">
        <v>0.05</v>
      </c>
      <c r="AJ95" s="56" t="s">
        <v>275</v>
      </c>
    </row>
    <row r="96" spans="1:36" x14ac:dyDescent="0.45">
      <c r="A96" s="52">
        <v>69</v>
      </c>
      <c r="B96" s="43">
        <v>846</v>
      </c>
      <c r="C96" s="53" t="s">
        <v>263</v>
      </c>
      <c r="D96" s="53" t="s">
        <v>84</v>
      </c>
      <c r="E96" s="54"/>
      <c r="F96" s="53" t="s">
        <v>633</v>
      </c>
      <c r="G96" s="53" t="s">
        <v>265</v>
      </c>
      <c r="H96" s="53" t="s">
        <v>266</v>
      </c>
      <c r="I96" s="53" t="s">
        <v>645</v>
      </c>
      <c r="J96" s="53" t="s">
        <v>642</v>
      </c>
      <c r="K96" s="53" t="s">
        <v>269</v>
      </c>
      <c r="L96" s="53" t="s">
        <v>266</v>
      </c>
      <c r="M96" s="53" t="s">
        <v>646</v>
      </c>
      <c r="N96" s="53" t="s">
        <v>637</v>
      </c>
      <c r="O96" s="53" t="s">
        <v>270</v>
      </c>
      <c r="P96" s="53" t="s">
        <v>266</v>
      </c>
      <c r="Q96" s="53" t="s">
        <v>647</v>
      </c>
      <c r="R96" s="55">
        <v>0.25</v>
      </c>
      <c r="S96" s="53">
        <v>100</v>
      </c>
      <c r="T96" s="53" t="s">
        <v>130</v>
      </c>
      <c r="U96" s="53" t="s">
        <v>169</v>
      </c>
      <c r="V96" s="53" t="s">
        <v>536</v>
      </c>
      <c r="W96" s="53" t="s">
        <v>537</v>
      </c>
      <c r="X96" s="53" t="s">
        <v>639</v>
      </c>
      <c r="Y96" s="53"/>
      <c r="Z96" s="53"/>
      <c r="AA96" s="53"/>
      <c r="AB96" s="53" t="s">
        <v>274</v>
      </c>
      <c r="AC96" s="53" t="s">
        <v>274</v>
      </c>
      <c r="AD96" s="53" t="s">
        <v>274</v>
      </c>
      <c r="AE96" s="53" t="s">
        <v>274</v>
      </c>
      <c r="AF96" s="53" t="s">
        <v>275</v>
      </c>
      <c r="AG96" s="53" t="s">
        <v>275</v>
      </c>
      <c r="AH96" s="53" t="s">
        <v>274</v>
      </c>
      <c r="AI96" s="53">
        <v>0.05</v>
      </c>
      <c r="AJ96" s="56" t="s">
        <v>275</v>
      </c>
    </row>
    <row r="97" spans="1:36" x14ac:dyDescent="0.45">
      <c r="A97" s="52">
        <v>71</v>
      </c>
      <c r="B97" s="43">
        <v>847</v>
      </c>
      <c r="C97" s="53" t="s">
        <v>263</v>
      </c>
      <c r="D97" s="53" t="s">
        <v>84</v>
      </c>
      <c r="E97" s="54"/>
      <c r="F97" s="53" t="s">
        <v>648</v>
      </c>
      <c r="G97" s="53" t="s">
        <v>265</v>
      </c>
      <c r="H97" s="53" t="s">
        <v>649</v>
      </c>
      <c r="I97" s="53" t="s">
        <v>650</v>
      </c>
      <c r="J97" s="53" t="s">
        <v>651</v>
      </c>
      <c r="K97" s="53" t="s">
        <v>269</v>
      </c>
      <c r="L97" s="53" t="s">
        <v>649</v>
      </c>
      <c r="M97" s="53" t="s">
        <v>652</v>
      </c>
      <c r="N97" s="53" t="s">
        <v>653</v>
      </c>
      <c r="O97" s="53" t="s">
        <v>270</v>
      </c>
      <c r="P97" s="53" t="s">
        <v>649</v>
      </c>
      <c r="Q97" s="53" t="s">
        <v>654</v>
      </c>
      <c r="R97" s="55">
        <v>0.2</v>
      </c>
      <c r="S97" s="53">
        <v>100</v>
      </c>
      <c r="T97" s="53" t="s">
        <v>134</v>
      </c>
      <c r="U97" s="53" t="s">
        <v>169</v>
      </c>
      <c r="V97" s="53" t="s">
        <v>536</v>
      </c>
      <c r="W97" s="53" t="s">
        <v>537</v>
      </c>
      <c r="X97" s="53" t="s">
        <v>639</v>
      </c>
      <c r="Y97" s="53"/>
      <c r="Z97" s="53"/>
      <c r="AA97" s="53"/>
      <c r="AB97" s="53" t="s">
        <v>274</v>
      </c>
      <c r="AC97" s="53" t="s">
        <v>274</v>
      </c>
      <c r="AD97" s="53" t="s">
        <v>274</v>
      </c>
      <c r="AE97" s="53" t="s">
        <v>274</v>
      </c>
      <c r="AF97" s="53" t="s">
        <v>275</v>
      </c>
      <c r="AG97" s="53" t="s">
        <v>275</v>
      </c>
      <c r="AH97" s="53" t="s">
        <v>274</v>
      </c>
      <c r="AI97" s="53">
        <v>0.05</v>
      </c>
      <c r="AJ97" s="56" t="s">
        <v>275</v>
      </c>
    </row>
    <row r="98" spans="1:36" x14ac:dyDescent="0.45">
      <c r="A98" s="52">
        <v>72</v>
      </c>
      <c r="B98" s="43">
        <v>848</v>
      </c>
      <c r="C98" s="53" t="s">
        <v>263</v>
      </c>
      <c r="D98" s="53" t="s">
        <v>84</v>
      </c>
      <c r="E98" s="54"/>
      <c r="F98" s="53" t="s">
        <v>648</v>
      </c>
      <c r="G98" s="53" t="s">
        <v>265</v>
      </c>
      <c r="H98" s="53" t="s">
        <v>655</v>
      </c>
      <c r="I98" s="53" t="s">
        <v>656</v>
      </c>
      <c r="J98" s="53" t="s">
        <v>651</v>
      </c>
      <c r="K98" s="53" t="s">
        <v>269</v>
      </c>
      <c r="L98" s="53" t="s">
        <v>655</v>
      </c>
      <c r="M98" s="53" t="s">
        <v>657</v>
      </c>
      <c r="N98" s="53" t="s">
        <v>653</v>
      </c>
      <c r="O98" s="53" t="s">
        <v>270</v>
      </c>
      <c r="P98" s="53" t="s">
        <v>655</v>
      </c>
      <c r="Q98" s="53" t="s">
        <v>658</v>
      </c>
      <c r="R98" s="55">
        <v>0.25</v>
      </c>
      <c r="S98" s="53">
        <v>100</v>
      </c>
      <c r="T98" s="53" t="s">
        <v>134</v>
      </c>
      <c r="U98" s="53" t="s">
        <v>169</v>
      </c>
      <c r="V98" s="53" t="s">
        <v>536</v>
      </c>
      <c r="W98" s="53" t="s">
        <v>537</v>
      </c>
      <c r="X98" s="53" t="s">
        <v>639</v>
      </c>
      <c r="Y98" s="53"/>
      <c r="Z98" s="53"/>
      <c r="AA98" s="53"/>
      <c r="AB98" s="53" t="s">
        <v>274</v>
      </c>
      <c r="AC98" s="53" t="s">
        <v>274</v>
      </c>
      <c r="AD98" s="53" t="s">
        <v>274</v>
      </c>
      <c r="AE98" s="53" t="s">
        <v>274</v>
      </c>
      <c r="AF98" s="53" t="s">
        <v>275</v>
      </c>
      <c r="AG98" s="53" t="s">
        <v>275</v>
      </c>
      <c r="AH98" s="53" t="s">
        <v>274</v>
      </c>
      <c r="AI98" s="53">
        <v>0.05</v>
      </c>
      <c r="AJ98" s="56" t="s">
        <v>275</v>
      </c>
    </row>
    <row r="99" spans="1:36" x14ac:dyDescent="0.45">
      <c r="A99" s="52">
        <v>85</v>
      </c>
      <c r="B99" s="43">
        <v>849</v>
      </c>
      <c r="C99" s="53" t="s">
        <v>263</v>
      </c>
      <c r="D99" s="53" t="s">
        <v>84</v>
      </c>
      <c r="E99" s="54"/>
      <c r="F99" s="53" t="s">
        <v>659</v>
      </c>
      <c r="G99" s="53" t="s">
        <v>265</v>
      </c>
      <c r="H99" s="53" t="s">
        <v>660</v>
      </c>
      <c r="I99" s="53" t="s">
        <v>661</v>
      </c>
      <c r="J99" s="53" t="s">
        <v>662</v>
      </c>
      <c r="K99" s="53" t="s">
        <v>269</v>
      </c>
      <c r="L99" s="53" t="s">
        <v>660</v>
      </c>
      <c r="M99" s="53" t="s">
        <v>663</v>
      </c>
      <c r="N99" s="53" t="s">
        <v>662</v>
      </c>
      <c r="O99" s="53" t="s">
        <v>270</v>
      </c>
      <c r="P99" s="53" t="s">
        <v>660</v>
      </c>
      <c r="Q99" s="53" t="s">
        <v>663</v>
      </c>
      <c r="R99" s="55">
        <v>0.13</v>
      </c>
      <c r="S99" s="53">
        <v>100</v>
      </c>
      <c r="T99" s="53" t="s">
        <v>130</v>
      </c>
      <c r="U99" s="53" t="s">
        <v>169</v>
      </c>
      <c r="V99" s="53" t="s">
        <v>536</v>
      </c>
      <c r="W99" s="53" t="s">
        <v>537</v>
      </c>
      <c r="X99" s="53" t="s">
        <v>639</v>
      </c>
      <c r="Y99" s="53"/>
      <c r="Z99" s="53"/>
      <c r="AA99" s="53"/>
      <c r="AB99" s="53" t="s">
        <v>274</v>
      </c>
      <c r="AC99" s="53" t="s">
        <v>274</v>
      </c>
      <c r="AD99" s="53" t="s">
        <v>274</v>
      </c>
      <c r="AE99" s="53" t="s">
        <v>274</v>
      </c>
      <c r="AF99" s="53" t="s">
        <v>275</v>
      </c>
      <c r="AG99" s="53" t="s">
        <v>275</v>
      </c>
      <c r="AH99" s="53" t="s">
        <v>274</v>
      </c>
      <c r="AI99" s="53">
        <v>0</v>
      </c>
      <c r="AJ99" s="56" t="s">
        <v>275</v>
      </c>
    </row>
    <row r="100" spans="1:36" x14ac:dyDescent="0.45">
      <c r="A100" s="52">
        <v>85</v>
      </c>
      <c r="B100" s="43">
        <v>850</v>
      </c>
      <c r="C100" s="53" t="s">
        <v>263</v>
      </c>
      <c r="D100" s="53" t="s">
        <v>84</v>
      </c>
      <c r="E100" s="54"/>
      <c r="F100" s="53" t="s">
        <v>659</v>
      </c>
      <c r="G100" s="53" t="s">
        <v>265</v>
      </c>
      <c r="H100" s="53" t="s">
        <v>506</v>
      </c>
      <c r="I100" s="53" t="s">
        <v>664</v>
      </c>
      <c r="J100" s="53" t="s">
        <v>662</v>
      </c>
      <c r="K100" s="53" t="s">
        <v>269</v>
      </c>
      <c r="L100" s="53" t="s">
        <v>506</v>
      </c>
      <c r="M100" s="53" t="s">
        <v>665</v>
      </c>
      <c r="N100" s="53" t="s">
        <v>662</v>
      </c>
      <c r="O100" s="53" t="s">
        <v>270</v>
      </c>
      <c r="P100" s="53" t="s">
        <v>506</v>
      </c>
      <c r="Q100" s="53" t="s">
        <v>665</v>
      </c>
      <c r="R100" s="55">
        <v>0.15</v>
      </c>
      <c r="S100" s="53">
        <v>100</v>
      </c>
      <c r="T100" s="53" t="s">
        <v>130</v>
      </c>
      <c r="U100" s="53" t="s">
        <v>169</v>
      </c>
      <c r="V100" s="53" t="s">
        <v>536</v>
      </c>
      <c r="W100" s="53" t="s">
        <v>537</v>
      </c>
      <c r="X100" s="53" t="s">
        <v>639</v>
      </c>
      <c r="Y100" s="53"/>
      <c r="Z100" s="53"/>
      <c r="AA100" s="53"/>
      <c r="AB100" s="53" t="s">
        <v>274</v>
      </c>
      <c r="AC100" s="53" t="s">
        <v>274</v>
      </c>
      <c r="AD100" s="53" t="s">
        <v>274</v>
      </c>
      <c r="AE100" s="53" t="s">
        <v>274</v>
      </c>
      <c r="AF100" s="53" t="s">
        <v>275</v>
      </c>
      <c r="AG100" s="53" t="s">
        <v>275</v>
      </c>
      <c r="AH100" s="53" t="s">
        <v>274</v>
      </c>
      <c r="AI100" s="53">
        <v>0</v>
      </c>
      <c r="AJ100" s="56" t="s">
        <v>275</v>
      </c>
    </row>
    <row r="101" spans="1:36" x14ac:dyDescent="0.45">
      <c r="A101" s="52">
        <v>85</v>
      </c>
      <c r="B101" s="43">
        <v>851</v>
      </c>
      <c r="C101" s="53" t="s">
        <v>263</v>
      </c>
      <c r="D101" s="53" t="s">
        <v>84</v>
      </c>
      <c r="E101" s="54"/>
      <c r="F101" s="53" t="s">
        <v>659</v>
      </c>
      <c r="G101" s="53" t="s">
        <v>265</v>
      </c>
      <c r="H101" s="53" t="s">
        <v>666</v>
      </c>
      <c r="I101" s="53" t="s">
        <v>667</v>
      </c>
      <c r="J101" s="53" t="s">
        <v>662</v>
      </c>
      <c r="K101" s="53" t="s">
        <v>269</v>
      </c>
      <c r="L101" s="53" t="s">
        <v>666</v>
      </c>
      <c r="M101" s="53" t="s">
        <v>668</v>
      </c>
      <c r="N101" s="53" t="s">
        <v>662</v>
      </c>
      <c r="O101" s="53" t="s">
        <v>270</v>
      </c>
      <c r="P101" s="53" t="s">
        <v>666</v>
      </c>
      <c r="Q101" s="53" t="s">
        <v>668</v>
      </c>
      <c r="R101" s="55">
        <v>0.18</v>
      </c>
      <c r="S101" s="53">
        <v>100</v>
      </c>
      <c r="T101" s="53" t="s">
        <v>130</v>
      </c>
      <c r="U101" s="53" t="s">
        <v>169</v>
      </c>
      <c r="V101" s="53" t="s">
        <v>536</v>
      </c>
      <c r="W101" s="53" t="s">
        <v>537</v>
      </c>
      <c r="X101" s="53" t="s">
        <v>639</v>
      </c>
      <c r="Y101" s="53"/>
      <c r="Z101" s="53"/>
      <c r="AA101" s="53"/>
      <c r="AB101" s="53" t="s">
        <v>274</v>
      </c>
      <c r="AC101" s="53" t="s">
        <v>274</v>
      </c>
      <c r="AD101" s="53" t="s">
        <v>274</v>
      </c>
      <c r="AE101" s="53" t="s">
        <v>274</v>
      </c>
      <c r="AF101" s="53" t="s">
        <v>275</v>
      </c>
      <c r="AG101" s="53" t="s">
        <v>275</v>
      </c>
      <c r="AH101" s="53" t="s">
        <v>274</v>
      </c>
      <c r="AI101" s="53">
        <v>0</v>
      </c>
      <c r="AJ101" s="56" t="s">
        <v>275</v>
      </c>
    </row>
    <row r="102" spans="1:36" x14ac:dyDescent="0.45">
      <c r="A102" s="52">
        <v>85</v>
      </c>
      <c r="B102" s="43">
        <v>852</v>
      </c>
      <c r="C102" s="53" t="s">
        <v>263</v>
      </c>
      <c r="D102" s="53" t="s">
        <v>84</v>
      </c>
      <c r="E102" s="54"/>
      <c r="F102" s="53" t="s">
        <v>659</v>
      </c>
      <c r="G102" s="53" t="s">
        <v>265</v>
      </c>
      <c r="H102" s="53" t="s">
        <v>640</v>
      </c>
      <c r="I102" s="53" t="s">
        <v>669</v>
      </c>
      <c r="J102" s="53" t="s">
        <v>662</v>
      </c>
      <c r="K102" s="53" t="s">
        <v>269</v>
      </c>
      <c r="L102" s="53" t="s">
        <v>640</v>
      </c>
      <c r="M102" s="53" t="s">
        <v>670</v>
      </c>
      <c r="N102" s="53" t="s">
        <v>662</v>
      </c>
      <c r="O102" s="53" t="s">
        <v>270</v>
      </c>
      <c r="P102" s="53" t="s">
        <v>640</v>
      </c>
      <c r="Q102" s="53" t="s">
        <v>670</v>
      </c>
      <c r="R102" s="55">
        <v>0.2</v>
      </c>
      <c r="S102" s="53">
        <v>100</v>
      </c>
      <c r="T102" s="53" t="s">
        <v>130</v>
      </c>
      <c r="U102" s="53" t="s">
        <v>169</v>
      </c>
      <c r="V102" s="53" t="s">
        <v>536</v>
      </c>
      <c r="W102" s="53" t="s">
        <v>537</v>
      </c>
      <c r="X102" s="53" t="s">
        <v>639</v>
      </c>
      <c r="Y102" s="53"/>
      <c r="Z102" s="53"/>
      <c r="AA102" s="53"/>
      <c r="AB102" s="53" t="s">
        <v>274</v>
      </c>
      <c r="AC102" s="53" t="s">
        <v>274</v>
      </c>
      <c r="AD102" s="53" t="s">
        <v>274</v>
      </c>
      <c r="AE102" s="53" t="s">
        <v>274</v>
      </c>
      <c r="AF102" s="53" t="s">
        <v>275</v>
      </c>
      <c r="AG102" s="53" t="s">
        <v>275</v>
      </c>
      <c r="AH102" s="53" t="s">
        <v>274</v>
      </c>
      <c r="AI102" s="53">
        <v>0</v>
      </c>
      <c r="AJ102" s="56" t="s">
        <v>275</v>
      </c>
    </row>
    <row r="103" spans="1:36" x14ac:dyDescent="0.45">
      <c r="A103" s="52">
        <v>85</v>
      </c>
      <c r="B103" s="43">
        <v>853</v>
      </c>
      <c r="C103" s="53" t="s">
        <v>263</v>
      </c>
      <c r="D103" s="53" t="s">
        <v>84</v>
      </c>
      <c r="E103" s="54"/>
      <c r="F103" s="53" t="s">
        <v>659</v>
      </c>
      <c r="G103" s="53" t="s">
        <v>265</v>
      </c>
      <c r="H103" s="53" t="s">
        <v>266</v>
      </c>
      <c r="I103" s="53" t="s">
        <v>671</v>
      </c>
      <c r="J103" s="53" t="s">
        <v>662</v>
      </c>
      <c r="K103" s="53" t="s">
        <v>269</v>
      </c>
      <c r="L103" s="53" t="s">
        <v>266</v>
      </c>
      <c r="M103" s="53" t="s">
        <v>672</v>
      </c>
      <c r="N103" s="53" t="s">
        <v>662</v>
      </c>
      <c r="O103" s="53" t="s">
        <v>270</v>
      </c>
      <c r="P103" s="53" t="s">
        <v>266</v>
      </c>
      <c r="Q103" s="53" t="s">
        <v>672</v>
      </c>
      <c r="R103" s="55">
        <v>0.25</v>
      </c>
      <c r="S103" s="53">
        <v>100</v>
      </c>
      <c r="T103" s="53" t="s">
        <v>130</v>
      </c>
      <c r="U103" s="53" t="s">
        <v>169</v>
      </c>
      <c r="V103" s="53" t="s">
        <v>536</v>
      </c>
      <c r="W103" s="53" t="s">
        <v>537</v>
      </c>
      <c r="X103" s="53" t="s">
        <v>639</v>
      </c>
      <c r="Y103" s="53"/>
      <c r="Z103" s="53"/>
      <c r="AA103" s="53"/>
      <c r="AB103" s="53" t="s">
        <v>274</v>
      </c>
      <c r="AC103" s="53" t="s">
        <v>274</v>
      </c>
      <c r="AD103" s="53" t="s">
        <v>274</v>
      </c>
      <c r="AE103" s="53" t="s">
        <v>274</v>
      </c>
      <c r="AF103" s="53" t="s">
        <v>275</v>
      </c>
      <c r="AG103" s="53" t="s">
        <v>275</v>
      </c>
      <c r="AH103" s="53" t="s">
        <v>274</v>
      </c>
      <c r="AI103" s="53">
        <v>0</v>
      </c>
      <c r="AJ103" s="56" t="s">
        <v>275</v>
      </c>
    </row>
    <row r="104" spans="1:36" x14ac:dyDescent="0.45">
      <c r="A104" s="52">
        <v>86</v>
      </c>
      <c r="B104" s="43">
        <v>854</v>
      </c>
      <c r="C104" s="53" t="s">
        <v>263</v>
      </c>
      <c r="D104" s="53" t="s">
        <v>84</v>
      </c>
      <c r="E104" s="54"/>
      <c r="F104" s="53" t="s">
        <v>659</v>
      </c>
      <c r="G104" s="53" t="s">
        <v>265</v>
      </c>
      <c r="H104" s="53" t="s">
        <v>410</v>
      </c>
      <c r="I104" s="53" t="s">
        <v>673</v>
      </c>
      <c r="J104" s="53" t="s">
        <v>662</v>
      </c>
      <c r="K104" s="53" t="s">
        <v>269</v>
      </c>
      <c r="L104" s="53" t="s">
        <v>410</v>
      </c>
      <c r="M104" s="53" t="s">
        <v>674</v>
      </c>
      <c r="N104" s="53" t="s">
        <v>662</v>
      </c>
      <c r="O104" s="53" t="s">
        <v>270</v>
      </c>
      <c r="P104" s="53" t="s">
        <v>410</v>
      </c>
      <c r="Q104" s="53" t="s">
        <v>674</v>
      </c>
      <c r="R104" s="55">
        <v>0.4</v>
      </c>
      <c r="S104" s="53">
        <v>100</v>
      </c>
      <c r="T104" s="53" t="s">
        <v>130</v>
      </c>
      <c r="U104" s="53" t="s">
        <v>169</v>
      </c>
      <c r="V104" s="53" t="s">
        <v>536</v>
      </c>
      <c r="W104" s="53" t="s">
        <v>537</v>
      </c>
      <c r="X104" s="53" t="s">
        <v>639</v>
      </c>
      <c r="Y104" s="53"/>
      <c r="Z104" s="53"/>
      <c r="AA104" s="53"/>
      <c r="AB104" s="53" t="s">
        <v>274</v>
      </c>
      <c r="AC104" s="53" t="s">
        <v>274</v>
      </c>
      <c r="AD104" s="53" t="s">
        <v>274</v>
      </c>
      <c r="AE104" s="53" t="s">
        <v>274</v>
      </c>
      <c r="AF104" s="53" t="s">
        <v>275</v>
      </c>
      <c r="AG104" s="53" t="s">
        <v>275</v>
      </c>
      <c r="AH104" s="53" t="s">
        <v>274</v>
      </c>
      <c r="AI104" s="53">
        <v>0</v>
      </c>
      <c r="AJ104" s="56" t="s">
        <v>275</v>
      </c>
    </row>
    <row r="105" spans="1:36" x14ac:dyDescent="0.45">
      <c r="A105" s="52">
        <v>86</v>
      </c>
      <c r="B105" s="43">
        <v>855</v>
      </c>
      <c r="C105" s="53" t="s">
        <v>263</v>
      </c>
      <c r="D105" s="53" t="s">
        <v>84</v>
      </c>
      <c r="E105" s="54"/>
      <c r="F105" s="53" t="s">
        <v>659</v>
      </c>
      <c r="G105" s="53" t="s">
        <v>265</v>
      </c>
      <c r="H105" s="53" t="s">
        <v>282</v>
      </c>
      <c r="I105" s="53" t="s">
        <v>675</v>
      </c>
      <c r="J105" s="53" t="s">
        <v>662</v>
      </c>
      <c r="K105" s="53" t="s">
        <v>269</v>
      </c>
      <c r="L105" s="53" t="s">
        <v>282</v>
      </c>
      <c r="M105" s="53" t="s">
        <v>676</v>
      </c>
      <c r="N105" s="53" t="s">
        <v>662</v>
      </c>
      <c r="O105" s="53" t="s">
        <v>270</v>
      </c>
      <c r="P105" s="53" t="s">
        <v>282</v>
      </c>
      <c r="Q105" s="53" t="s">
        <v>676</v>
      </c>
      <c r="R105" s="55">
        <v>0.5</v>
      </c>
      <c r="S105" s="53">
        <v>100</v>
      </c>
      <c r="T105" s="53" t="s">
        <v>130</v>
      </c>
      <c r="U105" s="53" t="s">
        <v>169</v>
      </c>
      <c r="V105" s="53" t="s">
        <v>536</v>
      </c>
      <c r="W105" s="53" t="s">
        <v>537</v>
      </c>
      <c r="X105" s="53" t="s">
        <v>639</v>
      </c>
      <c r="Y105" s="53"/>
      <c r="Z105" s="53"/>
      <c r="AA105" s="53"/>
      <c r="AB105" s="53" t="s">
        <v>274</v>
      </c>
      <c r="AC105" s="53" t="s">
        <v>274</v>
      </c>
      <c r="AD105" s="53" t="s">
        <v>274</v>
      </c>
      <c r="AE105" s="53" t="s">
        <v>274</v>
      </c>
      <c r="AF105" s="53" t="s">
        <v>275</v>
      </c>
      <c r="AG105" s="53" t="s">
        <v>275</v>
      </c>
      <c r="AH105" s="53" t="s">
        <v>274</v>
      </c>
      <c r="AI105" s="53">
        <v>0</v>
      </c>
      <c r="AJ105" s="56" t="s">
        <v>275</v>
      </c>
    </row>
    <row r="106" spans="1:36" x14ac:dyDescent="0.45">
      <c r="A106" s="52">
        <v>89</v>
      </c>
      <c r="B106" s="43">
        <v>856</v>
      </c>
      <c r="C106" s="53" t="s">
        <v>263</v>
      </c>
      <c r="D106" s="53" t="s">
        <v>84</v>
      </c>
      <c r="E106" s="54"/>
      <c r="F106" s="53" t="s">
        <v>677</v>
      </c>
      <c r="G106" s="53" t="s">
        <v>265</v>
      </c>
      <c r="H106" s="53" t="s">
        <v>678</v>
      </c>
      <c r="I106" s="53" t="s">
        <v>679</v>
      </c>
      <c r="J106" s="53" t="s">
        <v>680</v>
      </c>
      <c r="K106" s="53" t="s">
        <v>269</v>
      </c>
      <c r="L106" s="53" t="s">
        <v>678</v>
      </c>
      <c r="M106" s="53" t="s">
        <v>681</v>
      </c>
      <c r="N106" s="53" t="s">
        <v>682</v>
      </c>
      <c r="O106" s="53" t="s">
        <v>270</v>
      </c>
      <c r="P106" s="53" t="s">
        <v>678</v>
      </c>
      <c r="Q106" s="53" t="s">
        <v>683</v>
      </c>
      <c r="R106" s="55">
        <v>0.04</v>
      </c>
      <c r="S106" s="53">
        <v>100</v>
      </c>
      <c r="T106" s="53" t="s">
        <v>130</v>
      </c>
      <c r="U106" s="53" t="s">
        <v>169</v>
      </c>
      <c r="V106" s="53" t="s">
        <v>536</v>
      </c>
      <c r="W106" s="53" t="s">
        <v>537</v>
      </c>
      <c r="X106" s="53" t="s">
        <v>639</v>
      </c>
      <c r="Y106" s="53"/>
      <c r="Z106" s="53"/>
      <c r="AA106" s="53"/>
      <c r="AB106" s="53" t="s">
        <v>274</v>
      </c>
      <c r="AC106" s="53" t="s">
        <v>274</v>
      </c>
      <c r="AD106" s="53" t="s">
        <v>274</v>
      </c>
      <c r="AE106" s="53" t="s">
        <v>274</v>
      </c>
      <c r="AF106" s="53" t="s">
        <v>275</v>
      </c>
      <c r="AG106" s="53" t="s">
        <v>275</v>
      </c>
      <c r="AH106" s="53" t="s">
        <v>274</v>
      </c>
      <c r="AI106" s="53">
        <v>0.05</v>
      </c>
      <c r="AJ106" s="56" t="s">
        <v>275</v>
      </c>
    </row>
    <row r="107" spans="1:36" x14ac:dyDescent="0.45">
      <c r="A107" s="52">
        <v>89</v>
      </c>
      <c r="B107" s="43">
        <v>857</v>
      </c>
      <c r="C107" s="53" t="s">
        <v>263</v>
      </c>
      <c r="D107" s="53" t="s">
        <v>84</v>
      </c>
      <c r="E107" s="54"/>
      <c r="F107" s="53" t="s">
        <v>677</v>
      </c>
      <c r="G107" s="53" t="s">
        <v>265</v>
      </c>
      <c r="H107" s="53" t="s">
        <v>684</v>
      </c>
      <c r="I107" s="53" t="s">
        <v>685</v>
      </c>
      <c r="J107" s="53" t="s">
        <v>680</v>
      </c>
      <c r="K107" s="53" t="s">
        <v>269</v>
      </c>
      <c r="L107" s="53" t="s">
        <v>684</v>
      </c>
      <c r="M107" s="53" t="s">
        <v>686</v>
      </c>
      <c r="N107" s="53" t="s">
        <v>682</v>
      </c>
      <c r="O107" s="53" t="s">
        <v>270</v>
      </c>
      <c r="P107" s="53" t="s">
        <v>684</v>
      </c>
      <c r="Q107" s="53" t="s">
        <v>687</v>
      </c>
      <c r="R107" s="55">
        <v>0.06</v>
      </c>
      <c r="S107" s="53">
        <v>100</v>
      </c>
      <c r="T107" s="53" t="s">
        <v>130</v>
      </c>
      <c r="U107" s="53" t="s">
        <v>169</v>
      </c>
      <c r="V107" s="53" t="s">
        <v>536</v>
      </c>
      <c r="W107" s="53" t="s">
        <v>537</v>
      </c>
      <c r="X107" s="53" t="s">
        <v>639</v>
      </c>
      <c r="Y107" s="53"/>
      <c r="Z107" s="53"/>
      <c r="AA107" s="53"/>
      <c r="AB107" s="53" t="s">
        <v>274</v>
      </c>
      <c r="AC107" s="53" t="s">
        <v>274</v>
      </c>
      <c r="AD107" s="53" t="s">
        <v>274</v>
      </c>
      <c r="AE107" s="53" t="s">
        <v>274</v>
      </c>
      <c r="AF107" s="53" t="s">
        <v>275</v>
      </c>
      <c r="AG107" s="53" t="s">
        <v>275</v>
      </c>
      <c r="AH107" s="53" t="s">
        <v>274</v>
      </c>
      <c r="AI107" s="53">
        <v>0.05</v>
      </c>
      <c r="AJ107" s="56" t="s">
        <v>275</v>
      </c>
    </row>
    <row r="108" spans="1:36" x14ac:dyDescent="0.45">
      <c r="A108" s="52">
        <v>89</v>
      </c>
      <c r="B108" s="43">
        <v>858</v>
      </c>
      <c r="C108" s="53" t="s">
        <v>263</v>
      </c>
      <c r="D108" s="53" t="s">
        <v>84</v>
      </c>
      <c r="E108" s="54"/>
      <c r="F108" s="53" t="s">
        <v>677</v>
      </c>
      <c r="G108" s="53" t="s">
        <v>265</v>
      </c>
      <c r="H108" s="53" t="s">
        <v>483</v>
      </c>
      <c r="I108" s="53" t="s">
        <v>688</v>
      </c>
      <c r="J108" s="53" t="s">
        <v>680</v>
      </c>
      <c r="K108" s="53" t="s">
        <v>269</v>
      </c>
      <c r="L108" s="53" t="s">
        <v>483</v>
      </c>
      <c r="M108" s="53" t="s">
        <v>689</v>
      </c>
      <c r="N108" s="53" t="s">
        <v>682</v>
      </c>
      <c r="O108" s="53" t="s">
        <v>270</v>
      </c>
      <c r="P108" s="53" t="s">
        <v>483</v>
      </c>
      <c r="Q108" s="53" t="s">
        <v>690</v>
      </c>
      <c r="R108" s="55">
        <v>0.1</v>
      </c>
      <c r="S108" s="53">
        <v>100</v>
      </c>
      <c r="T108" s="53" t="s">
        <v>130</v>
      </c>
      <c r="U108" s="53" t="s">
        <v>169</v>
      </c>
      <c r="V108" s="53" t="s">
        <v>536</v>
      </c>
      <c r="W108" s="53" t="s">
        <v>537</v>
      </c>
      <c r="X108" s="53" t="s">
        <v>639</v>
      </c>
      <c r="Y108" s="53"/>
      <c r="Z108" s="53"/>
      <c r="AA108" s="53"/>
      <c r="AB108" s="53" t="s">
        <v>274</v>
      </c>
      <c r="AC108" s="53" t="s">
        <v>274</v>
      </c>
      <c r="AD108" s="53" t="s">
        <v>274</v>
      </c>
      <c r="AE108" s="53" t="s">
        <v>274</v>
      </c>
      <c r="AF108" s="53" t="s">
        <v>275</v>
      </c>
      <c r="AG108" s="53" t="s">
        <v>275</v>
      </c>
      <c r="AH108" s="53" t="s">
        <v>274</v>
      </c>
      <c r="AI108" s="53">
        <v>0.05</v>
      </c>
      <c r="AJ108" s="56" t="s">
        <v>275</v>
      </c>
    </row>
    <row r="109" spans="1:36" x14ac:dyDescent="0.45">
      <c r="A109" s="52">
        <v>92</v>
      </c>
      <c r="B109" s="43">
        <v>859</v>
      </c>
      <c r="C109" s="53" t="s">
        <v>263</v>
      </c>
      <c r="D109" s="53" t="s">
        <v>84</v>
      </c>
      <c r="E109" s="54"/>
      <c r="F109" s="53" t="s">
        <v>691</v>
      </c>
      <c r="G109" s="53" t="s">
        <v>265</v>
      </c>
      <c r="H109" s="53" t="s">
        <v>287</v>
      </c>
      <c r="I109" s="53" t="s">
        <v>691</v>
      </c>
      <c r="J109" s="53" t="s">
        <v>692</v>
      </c>
      <c r="K109" s="53" t="s">
        <v>269</v>
      </c>
      <c r="L109" s="53" t="s">
        <v>289</v>
      </c>
      <c r="M109" s="53" t="s">
        <v>692</v>
      </c>
      <c r="N109" s="53" t="s">
        <v>693</v>
      </c>
      <c r="O109" s="53" t="s">
        <v>270</v>
      </c>
      <c r="P109" s="53" t="s">
        <v>290</v>
      </c>
      <c r="Q109" s="53" t="s">
        <v>693</v>
      </c>
      <c r="R109" s="55">
        <v>1</v>
      </c>
      <c r="S109" s="53">
        <v>1</v>
      </c>
      <c r="T109" s="53" t="s">
        <v>137</v>
      </c>
      <c r="U109" s="53" t="s">
        <v>169</v>
      </c>
      <c r="V109" s="53" t="s">
        <v>536</v>
      </c>
      <c r="W109" s="53" t="s">
        <v>537</v>
      </c>
      <c r="X109" s="53" t="s">
        <v>639</v>
      </c>
      <c r="Y109" s="53"/>
      <c r="Z109" s="53"/>
      <c r="AA109" s="53"/>
      <c r="AB109" s="53" t="s">
        <v>274</v>
      </c>
      <c r="AC109" s="53" t="s">
        <v>274</v>
      </c>
      <c r="AD109" s="53" t="s">
        <v>274</v>
      </c>
      <c r="AE109" s="53" t="s">
        <v>274</v>
      </c>
      <c r="AF109" s="53" t="s">
        <v>275</v>
      </c>
      <c r="AG109" s="53" t="s">
        <v>275</v>
      </c>
      <c r="AH109" s="53" t="s">
        <v>274</v>
      </c>
      <c r="AI109" s="53">
        <v>0</v>
      </c>
      <c r="AJ109" s="56" t="s">
        <v>275</v>
      </c>
    </row>
    <row r="110" spans="1:36" x14ac:dyDescent="0.45">
      <c r="A110" s="52">
        <v>78</v>
      </c>
      <c r="B110" s="43">
        <v>860</v>
      </c>
      <c r="C110" s="53" t="s">
        <v>263</v>
      </c>
      <c r="D110" s="53" t="s">
        <v>84</v>
      </c>
      <c r="E110" s="54"/>
      <c r="F110" s="53" t="s">
        <v>694</v>
      </c>
      <c r="G110" s="53" t="s">
        <v>265</v>
      </c>
      <c r="H110" s="53" t="s">
        <v>287</v>
      </c>
      <c r="I110" s="53" t="s">
        <v>694</v>
      </c>
      <c r="J110" s="53" t="s">
        <v>695</v>
      </c>
      <c r="K110" s="53" t="s">
        <v>269</v>
      </c>
      <c r="L110" s="53" t="s">
        <v>289</v>
      </c>
      <c r="M110" s="53" t="s">
        <v>695</v>
      </c>
      <c r="N110" s="53" t="s">
        <v>696</v>
      </c>
      <c r="O110" s="53" t="s">
        <v>270</v>
      </c>
      <c r="P110" s="53" t="s">
        <v>290</v>
      </c>
      <c r="Q110" s="53" t="s">
        <v>696</v>
      </c>
      <c r="R110" s="55">
        <v>1</v>
      </c>
      <c r="S110" s="53">
        <v>1</v>
      </c>
      <c r="T110" s="53" t="s">
        <v>137</v>
      </c>
      <c r="U110" s="53" t="s">
        <v>169</v>
      </c>
      <c r="V110" s="53" t="s">
        <v>536</v>
      </c>
      <c r="W110" s="53" t="s">
        <v>585</v>
      </c>
      <c r="X110" s="53" t="s">
        <v>697</v>
      </c>
      <c r="Y110" s="53"/>
      <c r="Z110" s="53"/>
      <c r="AA110" s="53"/>
      <c r="AB110" s="53" t="s">
        <v>274</v>
      </c>
      <c r="AC110" s="53" t="s">
        <v>274</v>
      </c>
      <c r="AD110" s="53" t="s">
        <v>274</v>
      </c>
      <c r="AE110" s="53" t="s">
        <v>274</v>
      </c>
      <c r="AF110" s="53" t="s">
        <v>275</v>
      </c>
      <c r="AG110" s="53" t="s">
        <v>275</v>
      </c>
      <c r="AH110" s="53" t="s">
        <v>274</v>
      </c>
      <c r="AI110" s="53">
        <v>0</v>
      </c>
      <c r="AJ110" s="56" t="s">
        <v>275</v>
      </c>
    </row>
    <row r="111" spans="1:36" x14ac:dyDescent="0.45">
      <c r="A111" s="52">
        <v>65</v>
      </c>
      <c r="B111" s="53">
        <v>861</v>
      </c>
      <c r="C111" s="53" t="s">
        <v>581</v>
      </c>
      <c r="D111" s="53" t="s">
        <v>84</v>
      </c>
      <c r="E111" s="54"/>
      <c r="F111" s="53" t="s">
        <v>698</v>
      </c>
      <c r="G111" s="53" t="s">
        <v>265</v>
      </c>
      <c r="H111" s="53" t="s">
        <v>600</v>
      </c>
      <c r="I111" s="53" t="s">
        <v>699</v>
      </c>
      <c r="J111" s="53" t="s">
        <v>700</v>
      </c>
      <c r="K111" s="53" t="s">
        <v>269</v>
      </c>
      <c r="L111" s="53" t="s">
        <v>603</v>
      </c>
      <c r="M111" s="53" t="s">
        <v>701</v>
      </c>
      <c r="N111" s="53" t="s">
        <v>702</v>
      </c>
      <c r="O111" s="53" t="s">
        <v>270</v>
      </c>
      <c r="P111" s="53" t="s">
        <v>604</v>
      </c>
      <c r="Q111" s="53" t="s">
        <v>703</v>
      </c>
      <c r="R111" s="55">
        <v>2</v>
      </c>
      <c r="S111" s="53">
        <v>100</v>
      </c>
      <c r="T111" s="53" t="s">
        <v>130</v>
      </c>
      <c r="U111" s="53" t="s">
        <v>169</v>
      </c>
      <c r="V111" s="53" t="s">
        <v>536</v>
      </c>
      <c r="W111" s="53" t="s">
        <v>594</v>
      </c>
      <c r="X111" s="53" t="s">
        <v>704</v>
      </c>
      <c r="Y111" s="53"/>
      <c r="Z111" s="53"/>
      <c r="AA111" s="53"/>
      <c r="AB111" s="53" t="s">
        <v>274</v>
      </c>
      <c r="AC111" s="53" t="s">
        <v>274</v>
      </c>
      <c r="AD111" s="53" t="s">
        <v>274</v>
      </c>
      <c r="AE111" s="53" t="s">
        <v>274</v>
      </c>
      <c r="AF111" s="53" t="s">
        <v>275</v>
      </c>
      <c r="AG111" s="53" t="s">
        <v>275</v>
      </c>
      <c r="AH111" s="53" t="s">
        <v>274</v>
      </c>
      <c r="AI111" s="53">
        <v>0.05</v>
      </c>
      <c r="AJ111" s="56" t="s">
        <v>275</v>
      </c>
    </row>
    <row r="112" spans="1:36" x14ac:dyDescent="0.45">
      <c r="A112" s="52">
        <v>70</v>
      </c>
      <c r="B112" s="53">
        <v>862</v>
      </c>
      <c r="C112" s="53" t="s">
        <v>581</v>
      </c>
      <c r="D112" s="53" t="s">
        <v>84</v>
      </c>
      <c r="E112" s="54"/>
      <c r="F112" s="53" t="s">
        <v>705</v>
      </c>
      <c r="G112" s="53" t="s">
        <v>265</v>
      </c>
      <c r="H112" s="53" t="s">
        <v>600</v>
      </c>
      <c r="I112" s="53" t="s">
        <v>706</v>
      </c>
      <c r="J112" s="53" t="s">
        <v>707</v>
      </c>
      <c r="K112" s="53" t="s">
        <v>269</v>
      </c>
      <c r="L112" s="53" t="s">
        <v>603</v>
      </c>
      <c r="M112" s="53" t="s">
        <v>708</v>
      </c>
      <c r="N112" s="53" t="s">
        <v>705</v>
      </c>
      <c r="O112" s="53" t="s">
        <v>270</v>
      </c>
      <c r="P112" s="53" t="s">
        <v>604</v>
      </c>
      <c r="Q112" s="53" t="s">
        <v>709</v>
      </c>
      <c r="R112" s="55">
        <v>2</v>
      </c>
      <c r="S112" s="53">
        <v>100</v>
      </c>
      <c r="T112" s="53" t="s">
        <v>130</v>
      </c>
      <c r="U112" s="53" t="s">
        <v>169</v>
      </c>
      <c r="V112" s="53" t="s">
        <v>536</v>
      </c>
      <c r="W112" s="53" t="s">
        <v>594</v>
      </c>
      <c r="X112" s="53" t="s">
        <v>704</v>
      </c>
      <c r="Y112" s="53"/>
      <c r="Z112" s="53"/>
      <c r="AA112" s="53"/>
      <c r="AB112" s="53" t="s">
        <v>274</v>
      </c>
      <c r="AC112" s="53" t="s">
        <v>274</v>
      </c>
      <c r="AD112" s="53" t="s">
        <v>274</v>
      </c>
      <c r="AE112" s="53" t="s">
        <v>274</v>
      </c>
      <c r="AF112" s="53" t="s">
        <v>275</v>
      </c>
      <c r="AG112" s="53" t="s">
        <v>275</v>
      </c>
      <c r="AH112" s="53" t="s">
        <v>274</v>
      </c>
      <c r="AI112" s="53">
        <v>0.05</v>
      </c>
      <c r="AJ112" s="56" t="s">
        <v>275</v>
      </c>
    </row>
    <row r="113" spans="1:36" x14ac:dyDescent="0.45">
      <c r="A113" s="52">
        <v>84</v>
      </c>
      <c r="B113" s="53">
        <v>863</v>
      </c>
      <c r="C113" s="53" t="s">
        <v>581</v>
      </c>
      <c r="D113" s="53" t="s">
        <v>84</v>
      </c>
      <c r="E113" s="54"/>
      <c r="F113" s="53" t="s">
        <v>710</v>
      </c>
      <c r="G113" s="53" t="s">
        <v>265</v>
      </c>
      <c r="H113" s="53" t="s">
        <v>600</v>
      </c>
      <c r="I113" s="53" t="s">
        <v>711</v>
      </c>
      <c r="J113" s="53" t="s">
        <v>712</v>
      </c>
      <c r="K113" s="53" t="s">
        <v>269</v>
      </c>
      <c r="L113" s="53" t="s">
        <v>603</v>
      </c>
      <c r="M113" s="53" t="s">
        <v>713</v>
      </c>
      <c r="N113" s="53" t="s">
        <v>714</v>
      </c>
      <c r="O113" s="53" t="s">
        <v>270</v>
      </c>
      <c r="P113" s="53" t="s">
        <v>604</v>
      </c>
      <c r="Q113" s="53" t="s">
        <v>715</v>
      </c>
      <c r="R113" s="55">
        <v>2</v>
      </c>
      <c r="S113" s="53">
        <v>100</v>
      </c>
      <c r="T113" s="53" t="s">
        <v>130</v>
      </c>
      <c r="U113" s="53" t="s">
        <v>169</v>
      </c>
      <c r="V113" s="53" t="s">
        <v>536</v>
      </c>
      <c r="W113" s="53" t="s">
        <v>594</v>
      </c>
      <c r="X113" s="53" t="s">
        <v>704</v>
      </c>
      <c r="Y113" s="53"/>
      <c r="Z113" s="53"/>
      <c r="AA113" s="53"/>
      <c r="AB113" s="53" t="s">
        <v>274</v>
      </c>
      <c r="AC113" s="53" t="s">
        <v>274</v>
      </c>
      <c r="AD113" s="53" t="s">
        <v>274</v>
      </c>
      <c r="AE113" s="53" t="s">
        <v>274</v>
      </c>
      <c r="AF113" s="53" t="s">
        <v>275</v>
      </c>
      <c r="AG113" s="53" t="s">
        <v>275</v>
      </c>
      <c r="AH113" s="53" t="s">
        <v>274</v>
      </c>
      <c r="AI113" s="53">
        <v>0</v>
      </c>
      <c r="AJ113" s="56" t="s">
        <v>275</v>
      </c>
    </row>
    <row r="114" spans="1:36" x14ac:dyDescent="0.45">
      <c r="A114" s="52">
        <v>90</v>
      </c>
      <c r="B114" s="53">
        <v>864</v>
      </c>
      <c r="C114" s="53" t="s">
        <v>581</v>
      </c>
      <c r="D114" s="53" t="s">
        <v>84</v>
      </c>
      <c r="E114" s="54"/>
      <c r="F114" s="53" t="s">
        <v>716</v>
      </c>
      <c r="G114" s="53" t="s">
        <v>265</v>
      </c>
      <c r="H114" s="53" t="s">
        <v>600</v>
      </c>
      <c r="I114" s="53" t="s">
        <v>717</v>
      </c>
      <c r="J114" s="53" t="s">
        <v>718</v>
      </c>
      <c r="K114" s="53" t="s">
        <v>269</v>
      </c>
      <c r="L114" s="53" t="s">
        <v>603</v>
      </c>
      <c r="M114" s="53" t="s">
        <v>719</v>
      </c>
      <c r="N114" s="53" t="s">
        <v>720</v>
      </c>
      <c r="O114" s="53" t="s">
        <v>270</v>
      </c>
      <c r="P114" s="53" t="s">
        <v>604</v>
      </c>
      <c r="Q114" s="53" t="s">
        <v>721</v>
      </c>
      <c r="R114" s="55">
        <v>2</v>
      </c>
      <c r="S114" s="53">
        <v>100</v>
      </c>
      <c r="T114" s="53" t="s">
        <v>130</v>
      </c>
      <c r="U114" s="53" t="s">
        <v>169</v>
      </c>
      <c r="V114" s="53" t="s">
        <v>536</v>
      </c>
      <c r="W114" s="53" t="s">
        <v>594</v>
      </c>
      <c r="X114" s="53" t="s">
        <v>704</v>
      </c>
      <c r="Y114" s="53"/>
      <c r="Z114" s="53"/>
      <c r="AA114" s="53"/>
      <c r="AB114" s="53" t="s">
        <v>274</v>
      </c>
      <c r="AC114" s="53" t="s">
        <v>274</v>
      </c>
      <c r="AD114" s="53" t="s">
        <v>274</v>
      </c>
      <c r="AE114" s="53" t="s">
        <v>274</v>
      </c>
      <c r="AF114" s="53" t="s">
        <v>275</v>
      </c>
      <c r="AG114" s="53" t="s">
        <v>275</v>
      </c>
      <c r="AH114" s="53" t="s">
        <v>274</v>
      </c>
      <c r="AI114" s="53">
        <v>0.05</v>
      </c>
      <c r="AJ114" s="56" t="s">
        <v>275</v>
      </c>
    </row>
    <row r="115" spans="1:36" x14ac:dyDescent="0.45">
      <c r="A115" s="52">
        <v>91</v>
      </c>
      <c r="B115" s="53">
        <v>865</v>
      </c>
      <c r="C115" s="53" t="s">
        <v>581</v>
      </c>
      <c r="D115" s="53" t="s">
        <v>84</v>
      </c>
      <c r="E115" s="54"/>
      <c r="F115" s="53" t="s">
        <v>722</v>
      </c>
      <c r="G115" s="53" t="s">
        <v>265</v>
      </c>
      <c r="H115" s="53" t="s">
        <v>600</v>
      </c>
      <c r="I115" s="53" t="s">
        <v>723</v>
      </c>
      <c r="J115" s="53" t="s">
        <v>724</v>
      </c>
      <c r="K115" s="53" t="s">
        <v>269</v>
      </c>
      <c r="L115" s="53" t="s">
        <v>603</v>
      </c>
      <c r="M115" s="53" t="s">
        <v>725</v>
      </c>
      <c r="N115" s="53" t="s">
        <v>726</v>
      </c>
      <c r="O115" s="53" t="s">
        <v>270</v>
      </c>
      <c r="P115" s="53" t="s">
        <v>604</v>
      </c>
      <c r="Q115" s="53" t="s">
        <v>727</v>
      </c>
      <c r="R115" s="55">
        <v>2</v>
      </c>
      <c r="S115" s="53">
        <v>100</v>
      </c>
      <c r="T115" s="53" t="s">
        <v>130</v>
      </c>
      <c r="U115" s="53" t="s">
        <v>169</v>
      </c>
      <c r="V115" s="53" t="s">
        <v>536</v>
      </c>
      <c r="W115" s="53" t="s">
        <v>594</v>
      </c>
      <c r="X115" s="53" t="s">
        <v>704</v>
      </c>
      <c r="Y115" s="53"/>
      <c r="Z115" s="53"/>
      <c r="AA115" s="53"/>
      <c r="AB115" s="53" t="s">
        <v>274</v>
      </c>
      <c r="AC115" s="53" t="s">
        <v>274</v>
      </c>
      <c r="AD115" s="53" t="s">
        <v>274</v>
      </c>
      <c r="AE115" s="53" t="s">
        <v>274</v>
      </c>
      <c r="AF115" s="53" t="s">
        <v>275</v>
      </c>
      <c r="AG115" s="53" t="s">
        <v>275</v>
      </c>
      <c r="AH115" s="53" t="s">
        <v>274</v>
      </c>
      <c r="AI115" s="53">
        <v>0.05</v>
      </c>
      <c r="AJ115" s="56" t="s">
        <v>275</v>
      </c>
    </row>
    <row r="116" spans="1:36" x14ac:dyDescent="0.45">
      <c r="A116" s="52">
        <v>97</v>
      </c>
      <c r="B116" s="53">
        <v>866</v>
      </c>
      <c r="C116" s="53" t="s">
        <v>581</v>
      </c>
      <c r="D116" s="53" t="s">
        <v>84</v>
      </c>
      <c r="E116" s="54"/>
      <c r="F116" s="53" t="s">
        <v>728</v>
      </c>
      <c r="G116" s="53" t="s">
        <v>265</v>
      </c>
      <c r="H116" s="53" t="s">
        <v>600</v>
      </c>
      <c r="I116" s="53" t="s">
        <v>729</v>
      </c>
      <c r="J116" s="53" t="s">
        <v>730</v>
      </c>
      <c r="K116" s="53" t="s">
        <v>269</v>
      </c>
      <c r="L116" s="53" t="s">
        <v>603</v>
      </c>
      <c r="M116" s="53" t="s">
        <v>731</v>
      </c>
      <c r="N116" s="53" t="s">
        <v>732</v>
      </c>
      <c r="O116" s="53" t="s">
        <v>270</v>
      </c>
      <c r="P116" s="53" t="s">
        <v>604</v>
      </c>
      <c r="Q116" s="53" t="s">
        <v>733</v>
      </c>
      <c r="R116" s="55">
        <v>2</v>
      </c>
      <c r="S116" s="53">
        <v>100</v>
      </c>
      <c r="T116" s="53" t="s">
        <v>130</v>
      </c>
      <c r="U116" s="53" t="s">
        <v>169</v>
      </c>
      <c r="V116" s="53" t="s">
        <v>536</v>
      </c>
      <c r="W116" s="53" t="s">
        <v>594</v>
      </c>
      <c r="X116" s="53" t="s">
        <v>704</v>
      </c>
      <c r="Y116" s="53"/>
      <c r="Z116" s="53"/>
      <c r="AA116" s="53"/>
      <c r="AB116" s="53" t="s">
        <v>274</v>
      </c>
      <c r="AC116" s="53" t="s">
        <v>274</v>
      </c>
      <c r="AD116" s="53" t="s">
        <v>274</v>
      </c>
      <c r="AE116" s="53" t="s">
        <v>274</v>
      </c>
      <c r="AF116" s="53" t="s">
        <v>275</v>
      </c>
      <c r="AG116" s="53" t="s">
        <v>275</v>
      </c>
      <c r="AH116" s="53" t="s">
        <v>274</v>
      </c>
      <c r="AI116" s="53">
        <v>0.05</v>
      </c>
      <c r="AJ116" s="56" t="s">
        <v>275</v>
      </c>
    </row>
    <row r="117" spans="1:36" x14ac:dyDescent="0.45">
      <c r="A117" s="52">
        <v>109</v>
      </c>
      <c r="B117" s="43">
        <v>867</v>
      </c>
      <c r="C117" s="53" t="s">
        <v>263</v>
      </c>
      <c r="D117" s="53" t="s">
        <v>84</v>
      </c>
      <c r="E117" s="54"/>
      <c r="F117" s="53" t="s">
        <v>191</v>
      </c>
      <c r="G117" s="53" t="s">
        <v>265</v>
      </c>
      <c r="H117" s="53" t="s">
        <v>734</v>
      </c>
      <c r="I117" s="53" t="s">
        <v>735</v>
      </c>
      <c r="J117" s="53" t="s">
        <v>199</v>
      </c>
      <c r="K117" s="53" t="s">
        <v>269</v>
      </c>
      <c r="L117" s="53" t="s">
        <v>734</v>
      </c>
      <c r="M117" s="53" t="s">
        <v>736</v>
      </c>
      <c r="N117" s="53" t="s">
        <v>205</v>
      </c>
      <c r="O117" s="53" t="s">
        <v>270</v>
      </c>
      <c r="P117" s="53" t="s">
        <v>734</v>
      </c>
      <c r="Q117" s="53" t="s">
        <v>737</v>
      </c>
      <c r="R117" s="58">
        <v>0.25</v>
      </c>
      <c r="S117" s="53">
        <v>10</v>
      </c>
      <c r="T117" s="53" t="s">
        <v>128</v>
      </c>
      <c r="U117" s="53" t="s">
        <v>169</v>
      </c>
      <c r="V117" s="53" t="s">
        <v>738</v>
      </c>
      <c r="W117" s="53" t="s">
        <v>191</v>
      </c>
      <c r="X117" s="53" t="s">
        <v>191</v>
      </c>
      <c r="Y117" s="53"/>
      <c r="Z117" s="53"/>
      <c r="AA117" s="53"/>
      <c r="AB117" s="53" t="s">
        <v>274</v>
      </c>
      <c r="AC117" s="53" t="s">
        <v>274</v>
      </c>
      <c r="AD117" s="53" t="s">
        <v>274</v>
      </c>
      <c r="AE117" s="53" t="s">
        <v>274</v>
      </c>
      <c r="AF117" s="53" t="s">
        <v>275</v>
      </c>
      <c r="AG117" s="53" t="s">
        <v>275</v>
      </c>
      <c r="AH117" s="53" t="s">
        <v>274</v>
      </c>
      <c r="AI117" s="53">
        <v>0</v>
      </c>
      <c r="AJ117" s="56" t="s">
        <v>275</v>
      </c>
    </row>
    <row r="118" spans="1:36" x14ac:dyDescent="0.45">
      <c r="A118" s="52">
        <v>109</v>
      </c>
      <c r="B118" s="43">
        <v>868</v>
      </c>
      <c r="C118" s="53" t="s">
        <v>263</v>
      </c>
      <c r="D118" s="53" t="s">
        <v>84</v>
      </c>
      <c r="E118" s="54"/>
      <c r="F118" s="53" t="s">
        <v>191</v>
      </c>
      <c r="G118" s="53" t="s">
        <v>265</v>
      </c>
      <c r="H118" s="53" t="s">
        <v>739</v>
      </c>
      <c r="I118" s="53" t="s">
        <v>740</v>
      </c>
      <c r="J118" s="53" t="s">
        <v>199</v>
      </c>
      <c r="K118" s="53" t="s">
        <v>269</v>
      </c>
      <c r="L118" s="53" t="s">
        <v>739</v>
      </c>
      <c r="M118" s="53" t="s">
        <v>741</v>
      </c>
      <c r="N118" s="53" t="s">
        <v>205</v>
      </c>
      <c r="O118" s="53" t="s">
        <v>270</v>
      </c>
      <c r="P118" s="53" t="s">
        <v>739</v>
      </c>
      <c r="Q118" s="53" t="s">
        <v>742</v>
      </c>
      <c r="R118" s="58">
        <v>0.25</v>
      </c>
      <c r="S118" s="53">
        <v>10</v>
      </c>
      <c r="T118" s="53" t="s">
        <v>128</v>
      </c>
      <c r="U118" s="53" t="s">
        <v>169</v>
      </c>
      <c r="V118" s="53" t="s">
        <v>738</v>
      </c>
      <c r="W118" s="53" t="s">
        <v>191</v>
      </c>
      <c r="X118" s="53" t="s">
        <v>191</v>
      </c>
      <c r="Y118" s="53"/>
      <c r="Z118" s="53"/>
      <c r="AA118" s="53"/>
      <c r="AB118" s="53" t="s">
        <v>274</v>
      </c>
      <c r="AC118" s="53" t="s">
        <v>274</v>
      </c>
      <c r="AD118" s="53" t="s">
        <v>274</v>
      </c>
      <c r="AE118" s="53" t="s">
        <v>274</v>
      </c>
      <c r="AF118" s="53" t="s">
        <v>275</v>
      </c>
      <c r="AG118" s="53" t="s">
        <v>275</v>
      </c>
      <c r="AH118" s="53" t="s">
        <v>274</v>
      </c>
      <c r="AI118" s="53">
        <v>0</v>
      </c>
      <c r="AJ118" s="56" t="s">
        <v>275</v>
      </c>
    </row>
    <row r="119" spans="1:36" x14ac:dyDescent="0.45">
      <c r="A119" s="52">
        <v>109</v>
      </c>
      <c r="B119" s="43">
        <v>869</v>
      </c>
      <c r="C119" s="53" t="s">
        <v>263</v>
      </c>
      <c r="D119" s="53" t="s">
        <v>84</v>
      </c>
      <c r="E119" s="54"/>
      <c r="F119" s="53" t="s">
        <v>191</v>
      </c>
      <c r="G119" s="53" t="s">
        <v>265</v>
      </c>
      <c r="H119" s="53" t="s">
        <v>743</v>
      </c>
      <c r="I119" s="53" t="s">
        <v>744</v>
      </c>
      <c r="J119" s="53" t="s">
        <v>199</v>
      </c>
      <c r="K119" s="53" t="s">
        <v>269</v>
      </c>
      <c r="L119" s="53" t="s">
        <v>743</v>
      </c>
      <c r="M119" s="53" t="s">
        <v>745</v>
      </c>
      <c r="N119" s="53" t="s">
        <v>205</v>
      </c>
      <c r="O119" s="53" t="s">
        <v>270</v>
      </c>
      <c r="P119" s="53" t="s">
        <v>743</v>
      </c>
      <c r="Q119" s="53" t="s">
        <v>746</v>
      </c>
      <c r="R119" s="55">
        <v>0.25</v>
      </c>
      <c r="S119" s="53">
        <v>10</v>
      </c>
      <c r="T119" s="53" t="s">
        <v>128</v>
      </c>
      <c r="U119" s="53" t="s">
        <v>169</v>
      </c>
      <c r="V119" s="53" t="s">
        <v>738</v>
      </c>
      <c r="W119" s="53" t="s">
        <v>191</v>
      </c>
      <c r="X119" s="53" t="s">
        <v>191</v>
      </c>
      <c r="Y119" s="53"/>
      <c r="Z119" s="53"/>
      <c r="AA119" s="53"/>
      <c r="AB119" s="53" t="s">
        <v>274</v>
      </c>
      <c r="AC119" s="53" t="s">
        <v>274</v>
      </c>
      <c r="AD119" s="53" t="s">
        <v>274</v>
      </c>
      <c r="AE119" s="53" t="s">
        <v>274</v>
      </c>
      <c r="AF119" s="53" t="s">
        <v>275</v>
      </c>
      <c r="AG119" s="53" t="s">
        <v>275</v>
      </c>
      <c r="AH119" s="53" t="s">
        <v>274</v>
      </c>
      <c r="AI119" s="53">
        <v>0</v>
      </c>
      <c r="AJ119" s="56" t="s">
        <v>275</v>
      </c>
    </row>
    <row r="120" spans="1:36" x14ac:dyDescent="0.45">
      <c r="A120" s="52">
        <v>108</v>
      </c>
      <c r="B120" s="43">
        <v>870</v>
      </c>
      <c r="C120" s="53" t="s">
        <v>263</v>
      </c>
      <c r="D120" s="53" t="s">
        <v>84</v>
      </c>
      <c r="E120" s="54"/>
      <c r="F120" s="53" t="s">
        <v>191</v>
      </c>
      <c r="G120" s="53" t="s">
        <v>265</v>
      </c>
      <c r="H120" s="53" t="s">
        <v>747</v>
      </c>
      <c r="I120" s="53" t="s">
        <v>748</v>
      </c>
      <c r="J120" s="53" t="s">
        <v>199</v>
      </c>
      <c r="K120" s="53" t="s">
        <v>269</v>
      </c>
      <c r="L120" s="53" t="s">
        <v>747</v>
      </c>
      <c r="M120" s="53" t="s">
        <v>749</v>
      </c>
      <c r="N120" s="53" t="s">
        <v>205</v>
      </c>
      <c r="O120" s="53" t="s">
        <v>270</v>
      </c>
      <c r="P120" s="53" t="s">
        <v>747</v>
      </c>
      <c r="Q120" s="53" t="s">
        <v>750</v>
      </c>
      <c r="R120" s="58">
        <v>0.33</v>
      </c>
      <c r="S120" s="53">
        <v>10</v>
      </c>
      <c r="T120" s="53" t="s">
        <v>128</v>
      </c>
      <c r="U120" s="53" t="s">
        <v>169</v>
      </c>
      <c r="V120" s="53" t="s">
        <v>738</v>
      </c>
      <c r="W120" s="53" t="s">
        <v>191</v>
      </c>
      <c r="X120" s="53" t="s">
        <v>191</v>
      </c>
      <c r="Y120" s="53"/>
      <c r="Z120" s="53"/>
      <c r="AA120" s="53"/>
      <c r="AB120" s="53" t="s">
        <v>274</v>
      </c>
      <c r="AC120" s="53" t="s">
        <v>274</v>
      </c>
      <c r="AD120" s="53" t="s">
        <v>274</v>
      </c>
      <c r="AE120" s="53" t="s">
        <v>274</v>
      </c>
      <c r="AF120" s="53" t="s">
        <v>275</v>
      </c>
      <c r="AG120" s="53" t="s">
        <v>275</v>
      </c>
      <c r="AH120" s="53" t="s">
        <v>274</v>
      </c>
      <c r="AI120" s="53">
        <v>0</v>
      </c>
      <c r="AJ120" s="56" t="s">
        <v>275</v>
      </c>
    </row>
    <row r="121" spans="1:36" x14ac:dyDescent="0.45">
      <c r="A121" s="52">
        <v>108</v>
      </c>
      <c r="B121" s="43">
        <v>871</v>
      </c>
      <c r="C121" s="53" t="s">
        <v>263</v>
      </c>
      <c r="D121" s="53" t="s">
        <v>84</v>
      </c>
      <c r="E121" s="54"/>
      <c r="F121" s="53" t="s">
        <v>191</v>
      </c>
      <c r="G121" s="53" t="s">
        <v>265</v>
      </c>
      <c r="H121" s="53" t="s">
        <v>751</v>
      </c>
      <c r="I121" s="53" t="s">
        <v>752</v>
      </c>
      <c r="J121" s="53" t="s">
        <v>199</v>
      </c>
      <c r="K121" s="53" t="s">
        <v>269</v>
      </c>
      <c r="L121" s="53" t="s">
        <v>751</v>
      </c>
      <c r="M121" s="53" t="s">
        <v>753</v>
      </c>
      <c r="N121" s="53" t="s">
        <v>205</v>
      </c>
      <c r="O121" s="53" t="s">
        <v>270</v>
      </c>
      <c r="P121" s="53" t="s">
        <v>751</v>
      </c>
      <c r="Q121" s="53" t="s">
        <v>754</v>
      </c>
      <c r="R121" s="58">
        <v>0.33</v>
      </c>
      <c r="S121" s="53">
        <v>10</v>
      </c>
      <c r="T121" s="53" t="s">
        <v>128</v>
      </c>
      <c r="U121" s="53" t="s">
        <v>169</v>
      </c>
      <c r="V121" s="53" t="s">
        <v>738</v>
      </c>
      <c r="W121" s="53" t="s">
        <v>191</v>
      </c>
      <c r="X121" s="53" t="s">
        <v>191</v>
      </c>
      <c r="Y121" s="53"/>
      <c r="Z121" s="53"/>
      <c r="AA121" s="53"/>
      <c r="AB121" s="53" t="s">
        <v>274</v>
      </c>
      <c r="AC121" s="53" t="s">
        <v>274</v>
      </c>
      <c r="AD121" s="53" t="s">
        <v>274</v>
      </c>
      <c r="AE121" s="53" t="s">
        <v>274</v>
      </c>
      <c r="AF121" s="53" t="s">
        <v>275</v>
      </c>
      <c r="AG121" s="53" t="s">
        <v>275</v>
      </c>
      <c r="AH121" s="53" t="s">
        <v>274</v>
      </c>
      <c r="AI121" s="53">
        <v>0</v>
      </c>
      <c r="AJ121" s="56" t="s">
        <v>275</v>
      </c>
    </row>
    <row r="122" spans="1:36" x14ac:dyDescent="0.45">
      <c r="A122" s="52">
        <v>108</v>
      </c>
      <c r="B122" s="43">
        <v>872</v>
      </c>
      <c r="C122" s="53" t="s">
        <v>263</v>
      </c>
      <c r="D122" s="53" t="s">
        <v>84</v>
      </c>
      <c r="E122" s="54"/>
      <c r="F122" s="53" t="s">
        <v>191</v>
      </c>
      <c r="G122" s="53" t="s">
        <v>265</v>
      </c>
      <c r="H122" s="53" t="s">
        <v>755</v>
      </c>
      <c r="I122" s="53" t="s">
        <v>756</v>
      </c>
      <c r="J122" s="53" t="s">
        <v>199</v>
      </c>
      <c r="K122" s="53" t="s">
        <v>269</v>
      </c>
      <c r="L122" s="53" t="s">
        <v>755</v>
      </c>
      <c r="M122" s="53" t="s">
        <v>757</v>
      </c>
      <c r="N122" s="53" t="s">
        <v>205</v>
      </c>
      <c r="O122" s="53" t="s">
        <v>270</v>
      </c>
      <c r="P122" s="53" t="s">
        <v>755</v>
      </c>
      <c r="Q122" s="53" t="s">
        <v>758</v>
      </c>
      <c r="R122" s="58">
        <v>0.33</v>
      </c>
      <c r="S122" s="53">
        <v>10</v>
      </c>
      <c r="T122" s="53" t="s">
        <v>128</v>
      </c>
      <c r="U122" s="53" t="s">
        <v>169</v>
      </c>
      <c r="V122" s="53" t="s">
        <v>738</v>
      </c>
      <c r="W122" s="53" t="s">
        <v>191</v>
      </c>
      <c r="X122" s="53" t="s">
        <v>191</v>
      </c>
      <c r="Y122" s="53"/>
      <c r="Z122" s="53"/>
      <c r="AA122" s="53"/>
      <c r="AB122" s="53" t="s">
        <v>274</v>
      </c>
      <c r="AC122" s="53" t="s">
        <v>274</v>
      </c>
      <c r="AD122" s="53" t="s">
        <v>274</v>
      </c>
      <c r="AE122" s="53" t="s">
        <v>274</v>
      </c>
      <c r="AF122" s="53" t="s">
        <v>275</v>
      </c>
      <c r="AG122" s="53" t="s">
        <v>275</v>
      </c>
      <c r="AH122" s="53" t="s">
        <v>274</v>
      </c>
      <c r="AI122" s="53">
        <v>0</v>
      </c>
      <c r="AJ122" s="56" t="s">
        <v>275</v>
      </c>
    </row>
    <row r="123" spans="1:36" x14ac:dyDescent="0.45">
      <c r="A123" s="52">
        <v>108</v>
      </c>
      <c r="B123" s="43">
        <v>873</v>
      </c>
      <c r="C123" s="53" t="s">
        <v>263</v>
      </c>
      <c r="D123" s="53" t="s">
        <v>84</v>
      </c>
      <c r="E123" s="54"/>
      <c r="F123" s="53" t="s">
        <v>191</v>
      </c>
      <c r="G123" s="53" t="s">
        <v>265</v>
      </c>
      <c r="H123" s="53" t="s">
        <v>759</v>
      </c>
      <c r="I123" s="53" t="s">
        <v>760</v>
      </c>
      <c r="J123" s="53" t="s">
        <v>199</v>
      </c>
      <c r="K123" s="53" t="s">
        <v>269</v>
      </c>
      <c r="L123" s="53" t="s">
        <v>759</v>
      </c>
      <c r="M123" s="53" t="s">
        <v>761</v>
      </c>
      <c r="N123" s="53" t="s">
        <v>205</v>
      </c>
      <c r="O123" s="53" t="s">
        <v>270</v>
      </c>
      <c r="P123" s="53" t="s">
        <v>759</v>
      </c>
      <c r="Q123" s="53" t="s">
        <v>762</v>
      </c>
      <c r="R123" s="58">
        <v>0.33</v>
      </c>
      <c r="S123" s="53">
        <v>10</v>
      </c>
      <c r="T123" s="53" t="s">
        <v>128</v>
      </c>
      <c r="U123" s="53" t="s">
        <v>169</v>
      </c>
      <c r="V123" s="53" t="s">
        <v>738</v>
      </c>
      <c r="W123" s="53" t="s">
        <v>191</v>
      </c>
      <c r="X123" s="53" t="s">
        <v>191</v>
      </c>
      <c r="Y123" s="53"/>
      <c r="Z123" s="53"/>
      <c r="AA123" s="53"/>
      <c r="AB123" s="53" t="s">
        <v>274</v>
      </c>
      <c r="AC123" s="53" t="s">
        <v>274</v>
      </c>
      <c r="AD123" s="53" t="s">
        <v>274</v>
      </c>
      <c r="AE123" s="53" t="s">
        <v>274</v>
      </c>
      <c r="AF123" s="53" t="s">
        <v>275</v>
      </c>
      <c r="AG123" s="53" t="s">
        <v>275</v>
      </c>
      <c r="AH123" s="53" t="s">
        <v>274</v>
      </c>
      <c r="AI123" s="53">
        <v>0</v>
      </c>
      <c r="AJ123" s="56" t="s">
        <v>275</v>
      </c>
    </row>
    <row r="124" spans="1:36" x14ac:dyDescent="0.45">
      <c r="A124" s="52">
        <v>108</v>
      </c>
      <c r="B124" s="43">
        <v>874</v>
      </c>
      <c r="C124" s="53" t="s">
        <v>263</v>
      </c>
      <c r="D124" s="53" t="s">
        <v>84</v>
      </c>
      <c r="E124" s="54"/>
      <c r="F124" s="53" t="s">
        <v>191</v>
      </c>
      <c r="G124" s="53" t="s">
        <v>265</v>
      </c>
      <c r="H124" s="53" t="s">
        <v>763</v>
      </c>
      <c r="I124" s="53" t="s">
        <v>764</v>
      </c>
      <c r="J124" s="53" t="s">
        <v>199</v>
      </c>
      <c r="K124" s="53" t="s">
        <v>269</v>
      </c>
      <c r="L124" s="53" t="s">
        <v>763</v>
      </c>
      <c r="M124" s="53" t="s">
        <v>765</v>
      </c>
      <c r="N124" s="53" t="s">
        <v>205</v>
      </c>
      <c r="O124" s="53" t="s">
        <v>270</v>
      </c>
      <c r="P124" s="53" t="s">
        <v>763</v>
      </c>
      <c r="Q124" s="53" t="s">
        <v>766</v>
      </c>
      <c r="R124" s="55">
        <v>0.33</v>
      </c>
      <c r="S124" s="53">
        <v>10</v>
      </c>
      <c r="T124" s="53" t="s">
        <v>128</v>
      </c>
      <c r="U124" s="53" t="s">
        <v>169</v>
      </c>
      <c r="V124" s="53" t="s">
        <v>738</v>
      </c>
      <c r="W124" s="53" t="s">
        <v>191</v>
      </c>
      <c r="X124" s="53" t="s">
        <v>191</v>
      </c>
      <c r="Y124" s="53"/>
      <c r="Z124" s="53"/>
      <c r="AA124" s="53"/>
      <c r="AB124" s="53" t="s">
        <v>274</v>
      </c>
      <c r="AC124" s="53" t="s">
        <v>274</v>
      </c>
      <c r="AD124" s="53" t="s">
        <v>274</v>
      </c>
      <c r="AE124" s="53" t="s">
        <v>274</v>
      </c>
      <c r="AF124" s="53" t="s">
        <v>275</v>
      </c>
      <c r="AG124" s="53" t="s">
        <v>275</v>
      </c>
      <c r="AH124" s="53" t="s">
        <v>274</v>
      </c>
      <c r="AI124" s="53">
        <v>0</v>
      </c>
      <c r="AJ124" s="56" t="s">
        <v>275</v>
      </c>
    </row>
    <row r="125" spans="1:36" x14ac:dyDescent="0.45">
      <c r="A125" s="52">
        <v>109</v>
      </c>
      <c r="B125" s="43">
        <v>875</v>
      </c>
      <c r="C125" s="53" t="s">
        <v>263</v>
      </c>
      <c r="D125" s="53" t="s">
        <v>84</v>
      </c>
      <c r="E125" s="54"/>
      <c r="F125" s="53" t="s">
        <v>191</v>
      </c>
      <c r="G125" s="53" t="s">
        <v>265</v>
      </c>
      <c r="H125" s="53" t="s">
        <v>767</v>
      </c>
      <c r="I125" s="53" t="s">
        <v>768</v>
      </c>
      <c r="J125" s="53" t="s">
        <v>199</v>
      </c>
      <c r="K125" s="53" t="s">
        <v>269</v>
      </c>
      <c r="L125" s="53" t="s">
        <v>767</v>
      </c>
      <c r="M125" s="53" t="s">
        <v>769</v>
      </c>
      <c r="N125" s="53" t="s">
        <v>205</v>
      </c>
      <c r="O125" s="53" t="s">
        <v>270</v>
      </c>
      <c r="P125" s="53" t="s">
        <v>767</v>
      </c>
      <c r="Q125" s="53" t="s">
        <v>770</v>
      </c>
      <c r="R125" s="58">
        <v>0.5</v>
      </c>
      <c r="S125" s="53">
        <v>10</v>
      </c>
      <c r="T125" s="53" t="s">
        <v>128</v>
      </c>
      <c r="U125" s="53" t="s">
        <v>169</v>
      </c>
      <c r="V125" s="53" t="s">
        <v>738</v>
      </c>
      <c r="W125" s="53" t="s">
        <v>191</v>
      </c>
      <c r="X125" s="53" t="s">
        <v>191</v>
      </c>
      <c r="Y125" s="53"/>
      <c r="Z125" s="53"/>
      <c r="AA125" s="53"/>
      <c r="AB125" s="53" t="s">
        <v>274</v>
      </c>
      <c r="AC125" s="53" t="s">
        <v>274</v>
      </c>
      <c r="AD125" s="53" t="s">
        <v>274</v>
      </c>
      <c r="AE125" s="53" t="s">
        <v>274</v>
      </c>
      <c r="AF125" s="53" t="s">
        <v>275</v>
      </c>
      <c r="AG125" s="53" t="s">
        <v>275</v>
      </c>
      <c r="AH125" s="53" t="s">
        <v>274</v>
      </c>
      <c r="AI125" s="53">
        <v>0</v>
      </c>
      <c r="AJ125" s="56" t="s">
        <v>275</v>
      </c>
    </row>
    <row r="126" spans="1:36" x14ac:dyDescent="0.45">
      <c r="A126" s="52">
        <v>109</v>
      </c>
      <c r="B126" s="43">
        <v>876</v>
      </c>
      <c r="C126" s="53" t="s">
        <v>263</v>
      </c>
      <c r="D126" s="53" t="s">
        <v>84</v>
      </c>
      <c r="E126" s="54"/>
      <c r="F126" s="53" t="s">
        <v>191</v>
      </c>
      <c r="G126" s="53" t="s">
        <v>265</v>
      </c>
      <c r="H126" s="53" t="s">
        <v>771</v>
      </c>
      <c r="I126" s="53" t="s">
        <v>772</v>
      </c>
      <c r="J126" s="53" t="s">
        <v>199</v>
      </c>
      <c r="K126" s="53" t="s">
        <v>269</v>
      </c>
      <c r="L126" s="53" t="s">
        <v>771</v>
      </c>
      <c r="M126" s="53" t="s">
        <v>773</v>
      </c>
      <c r="N126" s="53" t="s">
        <v>205</v>
      </c>
      <c r="O126" s="53" t="s">
        <v>270</v>
      </c>
      <c r="P126" s="53" t="s">
        <v>771</v>
      </c>
      <c r="Q126" s="53" t="s">
        <v>774</v>
      </c>
      <c r="R126" s="58">
        <v>0.5</v>
      </c>
      <c r="S126" s="53">
        <v>10</v>
      </c>
      <c r="T126" s="53" t="s">
        <v>128</v>
      </c>
      <c r="U126" s="53" t="s">
        <v>169</v>
      </c>
      <c r="V126" s="53" t="s">
        <v>738</v>
      </c>
      <c r="W126" s="53" t="s">
        <v>191</v>
      </c>
      <c r="X126" s="53" t="s">
        <v>191</v>
      </c>
      <c r="Y126" s="53"/>
      <c r="Z126" s="53"/>
      <c r="AA126" s="53"/>
      <c r="AB126" s="53" t="s">
        <v>274</v>
      </c>
      <c r="AC126" s="53" t="s">
        <v>274</v>
      </c>
      <c r="AD126" s="53" t="s">
        <v>274</v>
      </c>
      <c r="AE126" s="53" t="s">
        <v>274</v>
      </c>
      <c r="AF126" s="53" t="s">
        <v>275</v>
      </c>
      <c r="AG126" s="53" t="s">
        <v>275</v>
      </c>
      <c r="AH126" s="53" t="s">
        <v>274</v>
      </c>
      <c r="AI126" s="53">
        <v>0</v>
      </c>
      <c r="AJ126" s="56" t="s">
        <v>275</v>
      </c>
    </row>
    <row r="127" spans="1:36" x14ac:dyDescent="0.45">
      <c r="A127" s="52">
        <v>109</v>
      </c>
      <c r="B127" s="43">
        <v>877</v>
      </c>
      <c r="C127" s="53" t="s">
        <v>263</v>
      </c>
      <c r="D127" s="53" t="s">
        <v>84</v>
      </c>
      <c r="E127" s="54"/>
      <c r="F127" s="53" t="s">
        <v>191</v>
      </c>
      <c r="G127" s="53" t="s">
        <v>265</v>
      </c>
      <c r="H127" s="53" t="s">
        <v>775</v>
      </c>
      <c r="I127" s="53" t="s">
        <v>776</v>
      </c>
      <c r="J127" s="53" t="s">
        <v>199</v>
      </c>
      <c r="K127" s="53" t="s">
        <v>269</v>
      </c>
      <c r="L127" s="53" t="s">
        <v>775</v>
      </c>
      <c r="M127" s="53" t="s">
        <v>777</v>
      </c>
      <c r="N127" s="53" t="s">
        <v>205</v>
      </c>
      <c r="O127" s="53" t="s">
        <v>270</v>
      </c>
      <c r="P127" s="53" t="s">
        <v>775</v>
      </c>
      <c r="Q127" s="53" t="s">
        <v>778</v>
      </c>
      <c r="R127" s="55">
        <v>0.5</v>
      </c>
      <c r="S127" s="53">
        <v>10</v>
      </c>
      <c r="T127" s="53" t="s">
        <v>128</v>
      </c>
      <c r="U127" s="53" t="s">
        <v>169</v>
      </c>
      <c r="V127" s="53" t="s">
        <v>738</v>
      </c>
      <c r="W127" s="53" t="s">
        <v>191</v>
      </c>
      <c r="X127" s="53" t="s">
        <v>191</v>
      </c>
      <c r="Y127" s="53"/>
      <c r="Z127" s="53"/>
      <c r="AA127" s="53"/>
      <c r="AB127" s="53" t="s">
        <v>274</v>
      </c>
      <c r="AC127" s="53" t="s">
        <v>274</v>
      </c>
      <c r="AD127" s="53" t="s">
        <v>274</v>
      </c>
      <c r="AE127" s="53" t="s">
        <v>274</v>
      </c>
      <c r="AF127" s="53" t="s">
        <v>275</v>
      </c>
      <c r="AG127" s="53" t="s">
        <v>275</v>
      </c>
      <c r="AH127" s="53" t="s">
        <v>274</v>
      </c>
      <c r="AI127" s="53">
        <v>0</v>
      </c>
      <c r="AJ127" s="56" t="s">
        <v>275</v>
      </c>
    </row>
    <row r="128" spans="1:36" x14ac:dyDescent="0.45">
      <c r="A128" s="52">
        <v>109</v>
      </c>
      <c r="B128" s="43">
        <v>878</v>
      </c>
      <c r="C128" s="53" t="s">
        <v>263</v>
      </c>
      <c r="D128" s="53" t="s">
        <v>84</v>
      </c>
      <c r="E128" s="54"/>
      <c r="F128" s="53" t="s">
        <v>191</v>
      </c>
      <c r="G128" s="53" t="s">
        <v>265</v>
      </c>
      <c r="H128" s="53" t="s">
        <v>779</v>
      </c>
      <c r="I128" s="53" t="s">
        <v>780</v>
      </c>
      <c r="J128" s="53" t="s">
        <v>199</v>
      </c>
      <c r="K128" s="53" t="s">
        <v>269</v>
      </c>
      <c r="L128" s="53" t="s">
        <v>779</v>
      </c>
      <c r="M128" s="53" t="s">
        <v>781</v>
      </c>
      <c r="N128" s="53" t="s">
        <v>205</v>
      </c>
      <c r="O128" s="53" t="s">
        <v>270</v>
      </c>
      <c r="P128" s="53" t="s">
        <v>779</v>
      </c>
      <c r="Q128" s="53" t="s">
        <v>782</v>
      </c>
      <c r="R128" s="55">
        <v>0.75</v>
      </c>
      <c r="S128" s="53">
        <v>10</v>
      </c>
      <c r="T128" s="53" t="s">
        <v>128</v>
      </c>
      <c r="U128" s="53" t="s">
        <v>169</v>
      </c>
      <c r="V128" s="53" t="s">
        <v>738</v>
      </c>
      <c r="W128" s="53" t="s">
        <v>191</v>
      </c>
      <c r="X128" s="53" t="s">
        <v>191</v>
      </c>
      <c r="Y128" s="53"/>
      <c r="Z128" s="53"/>
      <c r="AA128" s="53"/>
      <c r="AB128" s="53" t="s">
        <v>274</v>
      </c>
      <c r="AC128" s="53" t="s">
        <v>274</v>
      </c>
      <c r="AD128" s="53" t="s">
        <v>274</v>
      </c>
      <c r="AE128" s="53" t="s">
        <v>274</v>
      </c>
      <c r="AF128" s="53" t="s">
        <v>275</v>
      </c>
      <c r="AG128" s="53" t="s">
        <v>275</v>
      </c>
      <c r="AH128" s="53" t="s">
        <v>274</v>
      </c>
      <c r="AI128" s="53">
        <v>0</v>
      </c>
      <c r="AJ128" s="56" t="s">
        <v>275</v>
      </c>
    </row>
    <row r="129" spans="1:36" x14ac:dyDescent="0.45">
      <c r="A129" s="52">
        <v>114</v>
      </c>
      <c r="B129" s="43">
        <v>879</v>
      </c>
      <c r="C129" s="53" t="s">
        <v>263</v>
      </c>
      <c r="D129" s="53" t="s">
        <v>84</v>
      </c>
      <c r="E129" s="54"/>
      <c r="F129" s="53" t="s">
        <v>783</v>
      </c>
      <c r="G129" s="53" t="s">
        <v>265</v>
      </c>
      <c r="H129" s="53" t="s">
        <v>287</v>
      </c>
      <c r="I129" s="53" t="s">
        <v>783</v>
      </c>
      <c r="J129" s="53" t="s">
        <v>784</v>
      </c>
      <c r="K129" s="53" t="s">
        <v>269</v>
      </c>
      <c r="L129" s="53" t="s">
        <v>289</v>
      </c>
      <c r="M129" s="53" t="s">
        <v>784</v>
      </c>
      <c r="N129" s="53" t="s">
        <v>785</v>
      </c>
      <c r="O129" s="53" t="s">
        <v>270</v>
      </c>
      <c r="P129" s="53" t="s">
        <v>290</v>
      </c>
      <c r="Q129" s="53" t="s">
        <v>785</v>
      </c>
      <c r="R129" s="55">
        <v>1</v>
      </c>
      <c r="S129" s="53">
        <v>10</v>
      </c>
      <c r="T129" s="53" t="s">
        <v>128</v>
      </c>
      <c r="U129" s="53" t="s">
        <v>169</v>
      </c>
      <c r="V129" s="53" t="s">
        <v>738</v>
      </c>
      <c r="W129" s="53" t="s">
        <v>786</v>
      </c>
      <c r="X129" s="53" t="s">
        <v>787</v>
      </c>
      <c r="Y129" s="53"/>
      <c r="Z129" s="53"/>
      <c r="AA129" s="53"/>
      <c r="AB129" s="53" t="s">
        <v>274</v>
      </c>
      <c r="AC129" s="53" t="s">
        <v>274</v>
      </c>
      <c r="AD129" s="53" t="s">
        <v>274</v>
      </c>
      <c r="AE129" s="53" t="s">
        <v>274</v>
      </c>
      <c r="AF129" s="53" t="s">
        <v>275</v>
      </c>
      <c r="AG129" s="53" t="s">
        <v>275</v>
      </c>
      <c r="AH129" s="53" t="s">
        <v>274</v>
      </c>
      <c r="AI129" s="53">
        <v>0</v>
      </c>
      <c r="AJ129" s="56" t="s">
        <v>275</v>
      </c>
    </row>
    <row r="130" spans="1:36" x14ac:dyDescent="0.45">
      <c r="A130" s="52">
        <v>115</v>
      </c>
      <c r="B130" s="43">
        <v>880</v>
      </c>
      <c r="C130" s="53" t="s">
        <v>263</v>
      </c>
      <c r="D130" s="53" t="s">
        <v>84</v>
      </c>
      <c r="E130" s="54"/>
      <c r="F130" s="53" t="s">
        <v>788</v>
      </c>
      <c r="G130" s="53" t="s">
        <v>265</v>
      </c>
      <c r="H130" s="53" t="s">
        <v>287</v>
      </c>
      <c r="I130" s="53" t="s">
        <v>788</v>
      </c>
      <c r="J130" s="53" t="s">
        <v>789</v>
      </c>
      <c r="K130" s="53" t="s">
        <v>269</v>
      </c>
      <c r="L130" s="53" t="s">
        <v>289</v>
      </c>
      <c r="M130" s="53" t="s">
        <v>789</v>
      </c>
      <c r="N130" s="53" t="s">
        <v>790</v>
      </c>
      <c r="O130" s="53" t="s">
        <v>270</v>
      </c>
      <c r="P130" s="53" t="s">
        <v>290</v>
      </c>
      <c r="Q130" s="53" t="s">
        <v>790</v>
      </c>
      <c r="R130" s="55">
        <v>1</v>
      </c>
      <c r="S130" s="53">
        <v>10</v>
      </c>
      <c r="T130" s="53" t="s">
        <v>128</v>
      </c>
      <c r="U130" s="53" t="s">
        <v>169</v>
      </c>
      <c r="V130" s="53" t="s">
        <v>738</v>
      </c>
      <c r="W130" s="53" t="s">
        <v>786</v>
      </c>
      <c r="X130" s="53" t="s">
        <v>787</v>
      </c>
      <c r="Y130" s="53"/>
      <c r="Z130" s="53"/>
      <c r="AA130" s="53"/>
      <c r="AB130" s="53" t="s">
        <v>274</v>
      </c>
      <c r="AC130" s="53" t="s">
        <v>274</v>
      </c>
      <c r="AD130" s="53" t="s">
        <v>274</v>
      </c>
      <c r="AE130" s="53" t="s">
        <v>274</v>
      </c>
      <c r="AF130" s="53" t="s">
        <v>275</v>
      </c>
      <c r="AG130" s="53" t="s">
        <v>275</v>
      </c>
      <c r="AH130" s="53" t="s">
        <v>274</v>
      </c>
      <c r="AI130" s="53">
        <v>0</v>
      </c>
      <c r="AJ130" s="56" t="s">
        <v>275</v>
      </c>
    </row>
    <row r="131" spans="1:36" x14ac:dyDescent="0.45">
      <c r="A131" s="52">
        <v>103</v>
      </c>
      <c r="B131" s="43">
        <v>881</v>
      </c>
      <c r="C131" s="53" t="s">
        <v>263</v>
      </c>
      <c r="D131" s="53" t="s">
        <v>84</v>
      </c>
      <c r="E131" s="54"/>
      <c r="F131" s="53" t="s">
        <v>791</v>
      </c>
      <c r="G131" s="53" t="s">
        <v>265</v>
      </c>
      <c r="H131" s="53" t="s">
        <v>450</v>
      </c>
      <c r="I131" s="53" t="s">
        <v>792</v>
      </c>
      <c r="J131" s="53" t="s">
        <v>793</v>
      </c>
      <c r="K131" s="53" t="s">
        <v>269</v>
      </c>
      <c r="L131" s="53" t="s">
        <v>450</v>
      </c>
      <c r="M131" s="53" t="s">
        <v>794</v>
      </c>
      <c r="N131" s="53" t="s">
        <v>795</v>
      </c>
      <c r="O131" s="53" t="s">
        <v>270</v>
      </c>
      <c r="P131" s="53" t="s">
        <v>450</v>
      </c>
      <c r="Q131" s="53" t="s">
        <v>796</v>
      </c>
      <c r="R131" s="55">
        <v>1</v>
      </c>
      <c r="S131" s="53">
        <v>10</v>
      </c>
      <c r="T131" s="53" t="s">
        <v>128</v>
      </c>
      <c r="U131" s="53" t="s">
        <v>169</v>
      </c>
      <c r="V131" s="53" t="s">
        <v>738</v>
      </c>
      <c r="W131" s="53" t="s">
        <v>194</v>
      </c>
      <c r="X131" s="53" t="s">
        <v>194</v>
      </c>
      <c r="Y131" s="53"/>
      <c r="Z131" s="53"/>
      <c r="AA131" s="53"/>
      <c r="AB131" s="53" t="s">
        <v>274</v>
      </c>
      <c r="AC131" s="53" t="s">
        <v>274</v>
      </c>
      <c r="AD131" s="53" t="s">
        <v>274</v>
      </c>
      <c r="AE131" s="53" t="s">
        <v>274</v>
      </c>
      <c r="AF131" s="53" t="s">
        <v>275</v>
      </c>
      <c r="AG131" s="53" t="s">
        <v>275</v>
      </c>
      <c r="AH131" s="53" t="s">
        <v>274</v>
      </c>
      <c r="AI131" s="53">
        <v>0.05</v>
      </c>
      <c r="AJ131" s="56" t="s">
        <v>275</v>
      </c>
    </row>
    <row r="132" spans="1:36" x14ac:dyDescent="0.45">
      <c r="A132" s="52">
        <v>104</v>
      </c>
      <c r="B132" s="43">
        <v>882</v>
      </c>
      <c r="C132" s="53" t="s">
        <v>263</v>
      </c>
      <c r="D132" s="53" t="s">
        <v>84</v>
      </c>
      <c r="E132" s="54"/>
      <c r="F132" s="53" t="s">
        <v>791</v>
      </c>
      <c r="G132" s="53" t="s">
        <v>265</v>
      </c>
      <c r="H132" s="53" t="s">
        <v>775</v>
      </c>
      <c r="I132" s="53" t="s">
        <v>797</v>
      </c>
      <c r="J132" s="53" t="s">
        <v>793</v>
      </c>
      <c r="K132" s="53" t="s">
        <v>269</v>
      </c>
      <c r="L132" s="53" t="s">
        <v>775</v>
      </c>
      <c r="M132" s="53" t="s">
        <v>798</v>
      </c>
      <c r="N132" s="53" t="s">
        <v>795</v>
      </c>
      <c r="O132" s="53" t="s">
        <v>270</v>
      </c>
      <c r="P132" s="53" t="s">
        <v>775</v>
      </c>
      <c r="Q132" s="53" t="s">
        <v>799</v>
      </c>
      <c r="R132" s="55">
        <v>0.5</v>
      </c>
      <c r="S132" s="53">
        <v>10</v>
      </c>
      <c r="T132" s="53" t="s">
        <v>128</v>
      </c>
      <c r="U132" s="53" t="s">
        <v>169</v>
      </c>
      <c r="V132" s="53" t="s">
        <v>738</v>
      </c>
      <c r="W132" s="53" t="s">
        <v>194</v>
      </c>
      <c r="X132" s="53" t="s">
        <v>194</v>
      </c>
      <c r="Y132" s="53"/>
      <c r="Z132" s="53"/>
      <c r="AA132" s="53"/>
      <c r="AB132" s="53" t="s">
        <v>274</v>
      </c>
      <c r="AC132" s="53" t="s">
        <v>274</v>
      </c>
      <c r="AD132" s="53" t="s">
        <v>274</v>
      </c>
      <c r="AE132" s="53" t="s">
        <v>274</v>
      </c>
      <c r="AF132" s="53" t="s">
        <v>275</v>
      </c>
      <c r="AG132" s="53" t="s">
        <v>275</v>
      </c>
      <c r="AH132" s="53" t="s">
        <v>274</v>
      </c>
      <c r="AI132" s="53">
        <v>0.05</v>
      </c>
      <c r="AJ132" s="56" t="s">
        <v>275</v>
      </c>
    </row>
    <row r="133" spans="1:36" x14ac:dyDescent="0.45">
      <c r="A133" s="52">
        <v>111</v>
      </c>
      <c r="B133" s="43">
        <v>883</v>
      </c>
      <c r="C133" s="59" t="s">
        <v>263</v>
      </c>
      <c r="D133" s="59" t="s">
        <v>84</v>
      </c>
      <c r="E133" s="59"/>
      <c r="F133" s="59" t="s">
        <v>800</v>
      </c>
      <c r="G133" s="59" t="s">
        <v>265</v>
      </c>
      <c r="H133" s="59" t="s">
        <v>450</v>
      </c>
      <c r="I133" s="53" t="s">
        <v>801</v>
      </c>
      <c r="J133" s="59" t="s">
        <v>800</v>
      </c>
      <c r="K133" s="59" t="s">
        <v>269</v>
      </c>
      <c r="L133" s="59" t="s">
        <v>450</v>
      </c>
      <c r="M133" s="59" t="s">
        <v>801</v>
      </c>
      <c r="N133" s="59" t="s">
        <v>800</v>
      </c>
      <c r="O133" s="59" t="s">
        <v>270</v>
      </c>
      <c r="P133" s="59" t="s">
        <v>450</v>
      </c>
      <c r="Q133" s="59" t="s">
        <v>801</v>
      </c>
      <c r="R133" s="55">
        <v>1</v>
      </c>
      <c r="S133" s="53">
        <v>10</v>
      </c>
      <c r="T133" s="53" t="s">
        <v>128</v>
      </c>
      <c r="U133" s="59" t="s">
        <v>169</v>
      </c>
      <c r="V133" s="59" t="s">
        <v>738</v>
      </c>
      <c r="W133" s="59" t="s">
        <v>194</v>
      </c>
      <c r="X133" s="59" t="s">
        <v>194</v>
      </c>
      <c r="Y133" s="59"/>
      <c r="Z133" s="59"/>
      <c r="AA133" s="59"/>
      <c r="AB133" s="59" t="s">
        <v>274</v>
      </c>
      <c r="AC133" s="59" t="s">
        <v>274</v>
      </c>
      <c r="AD133" s="59" t="s">
        <v>274</v>
      </c>
      <c r="AE133" s="59" t="s">
        <v>274</v>
      </c>
      <c r="AF133" s="59" t="s">
        <v>275</v>
      </c>
      <c r="AG133" s="59" t="s">
        <v>275</v>
      </c>
      <c r="AH133" s="59" t="s">
        <v>274</v>
      </c>
      <c r="AI133" s="53">
        <v>0.05</v>
      </c>
      <c r="AJ133" s="60" t="s">
        <v>275</v>
      </c>
    </row>
    <row r="134" spans="1:36" s="44" customFormat="1" x14ac:dyDescent="0.45">
      <c r="A134" s="52">
        <v>112</v>
      </c>
      <c r="B134" s="43">
        <v>884</v>
      </c>
      <c r="C134" s="59" t="s">
        <v>263</v>
      </c>
      <c r="D134" s="59" t="s">
        <v>84</v>
      </c>
      <c r="E134" s="59"/>
      <c r="F134" s="59" t="s">
        <v>800</v>
      </c>
      <c r="G134" s="59" t="s">
        <v>265</v>
      </c>
      <c r="H134" s="59" t="s">
        <v>775</v>
      </c>
      <c r="I134" s="53" t="s">
        <v>802</v>
      </c>
      <c r="J134" s="59" t="s">
        <v>800</v>
      </c>
      <c r="K134" s="59" t="s">
        <v>269</v>
      </c>
      <c r="L134" s="59" t="s">
        <v>775</v>
      </c>
      <c r="M134" s="59" t="s">
        <v>802</v>
      </c>
      <c r="N134" s="59" t="s">
        <v>800</v>
      </c>
      <c r="O134" s="59" t="s">
        <v>270</v>
      </c>
      <c r="P134" s="59" t="s">
        <v>775</v>
      </c>
      <c r="Q134" s="59" t="s">
        <v>802</v>
      </c>
      <c r="R134" s="55">
        <v>0.5</v>
      </c>
      <c r="S134" s="53">
        <v>10</v>
      </c>
      <c r="T134" s="53" t="s">
        <v>128</v>
      </c>
      <c r="U134" s="59" t="s">
        <v>169</v>
      </c>
      <c r="V134" s="59" t="s">
        <v>738</v>
      </c>
      <c r="W134" s="59" t="s">
        <v>194</v>
      </c>
      <c r="X134" s="59" t="s">
        <v>194</v>
      </c>
      <c r="Y134" s="59"/>
      <c r="Z134" s="59"/>
      <c r="AA134" s="59"/>
      <c r="AB134" s="59" t="s">
        <v>274</v>
      </c>
      <c r="AC134" s="59" t="s">
        <v>274</v>
      </c>
      <c r="AD134" s="59" t="s">
        <v>274</v>
      </c>
      <c r="AE134" s="59" t="s">
        <v>274</v>
      </c>
      <c r="AF134" s="59" t="s">
        <v>275</v>
      </c>
      <c r="AG134" s="59" t="s">
        <v>275</v>
      </c>
      <c r="AH134" s="59" t="s">
        <v>274</v>
      </c>
      <c r="AI134" s="53">
        <v>0.05</v>
      </c>
      <c r="AJ134" s="60" t="s">
        <v>275</v>
      </c>
    </row>
    <row r="135" spans="1:36" s="44" customFormat="1" x14ac:dyDescent="0.45">
      <c r="A135" s="52">
        <v>113</v>
      </c>
      <c r="B135" s="43">
        <v>885</v>
      </c>
      <c r="C135" s="59" t="s">
        <v>263</v>
      </c>
      <c r="D135" s="59" t="s">
        <v>84</v>
      </c>
      <c r="E135" s="59"/>
      <c r="F135" s="59" t="s">
        <v>800</v>
      </c>
      <c r="G135" s="59" t="s">
        <v>265</v>
      </c>
      <c r="H135" s="59" t="s">
        <v>803</v>
      </c>
      <c r="I135" s="53" t="s">
        <v>804</v>
      </c>
      <c r="J135" s="59" t="s">
        <v>800</v>
      </c>
      <c r="K135" s="59" t="s">
        <v>269</v>
      </c>
      <c r="L135" s="59" t="s">
        <v>803</v>
      </c>
      <c r="M135" s="59" t="s">
        <v>804</v>
      </c>
      <c r="N135" s="59" t="s">
        <v>800</v>
      </c>
      <c r="O135" s="59" t="s">
        <v>270</v>
      </c>
      <c r="P135" s="59" t="s">
        <v>803</v>
      </c>
      <c r="Q135" s="59" t="s">
        <v>804</v>
      </c>
      <c r="R135" s="55">
        <v>0.7</v>
      </c>
      <c r="S135" s="53">
        <v>10</v>
      </c>
      <c r="T135" s="53" t="s">
        <v>128</v>
      </c>
      <c r="U135" s="59" t="s">
        <v>169</v>
      </c>
      <c r="V135" s="59" t="s">
        <v>738</v>
      </c>
      <c r="W135" s="59" t="s">
        <v>194</v>
      </c>
      <c r="X135" s="59" t="s">
        <v>194</v>
      </c>
      <c r="Y135" s="59"/>
      <c r="Z135" s="59"/>
      <c r="AA135" s="59"/>
      <c r="AB135" s="59" t="s">
        <v>274</v>
      </c>
      <c r="AC135" s="59" t="s">
        <v>274</v>
      </c>
      <c r="AD135" s="59" t="s">
        <v>274</v>
      </c>
      <c r="AE135" s="59" t="s">
        <v>274</v>
      </c>
      <c r="AF135" s="59" t="s">
        <v>275</v>
      </c>
      <c r="AG135" s="59" t="s">
        <v>275</v>
      </c>
      <c r="AH135" s="59" t="s">
        <v>274</v>
      </c>
      <c r="AI135" s="53">
        <v>0.05</v>
      </c>
      <c r="AJ135" s="60" t="s">
        <v>275</v>
      </c>
    </row>
    <row r="136" spans="1:36" x14ac:dyDescent="0.45">
      <c r="A136" s="52">
        <v>116</v>
      </c>
      <c r="B136" s="43">
        <v>886</v>
      </c>
      <c r="C136" s="53" t="s">
        <v>263</v>
      </c>
      <c r="D136" s="53" t="s">
        <v>84</v>
      </c>
      <c r="E136" s="54"/>
      <c r="F136" s="53" t="s">
        <v>805</v>
      </c>
      <c r="G136" s="53" t="s">
        <v>265</v>
      </c>
      <c r="H136" s="53" t="s">
        <v>287</v>
      </c>
      <c r="I136" s="53" t="s">
        <v>805</v>
      </c>
      <c r="J136" s="53" t="s">
        <v>806</v>
      </c>
      <c r="K136" s="53" t="s">
        <v>269</v>
      </c>
      <c r="L136" s="53" t="s">
        <v>289</v>
      </c>
      <c r="M136" s="53" t="s">
        <v>806</v>
      </c>
      <c r="N136" s="53" t="s">
        <v>807</v>
      </c>
      <c r="O136" s="53" t="s">
        <v>270</v>
      </c>
      <c r="P136" s="53" t="s">
        <v>290</v>
      </c>
      <c r="Q136" s="53" t="s">
        <v>807</v>
      </c>
      <c r="R136" s="55">
        <v>1</v>
      </c>
      <c r="S136" s="53">
        <v>1</v>
      </c>
      <c r="T136" s="53" t="s">
        <v>137</v>
      </c>
      <c r="U136" s="53" t="s">
        <v>169</v>
      </c>
      <c r="V136" s="53" t="s">
        <v>738</v>
      </c>
      <c r="W136" s="53" t="s">
        <v>194</v>
      </c>
      <c r="X136" s="53" t="s">
        <v>194</v>
      </c>
      <c r="Y136" s="53"/>
      <c r="Z136" s="53"/>
      <c r="AA136" s="53"/>
      <c r="AB136" s="53" t="s">
        <v>274</v>
      </c>
      <c r="AC136" s="53" t="s">
        <v>274</v>
      </c>
      <c r="AD136" s="53" t="s">
        <v>274</v>
      </c>
      <c r="AE136" s="53" t="s">
        <v>274</v>
      </c>
      <c r="AF136" s="53" t="s">
        <v>275</v>
      </c>
      <c r="AG136" s="53" t="s">
        <v>275</v>
      </c>
      <c r="AH136" s="53" t="s">
        <v>274</v>
      </c>
      <c r="AI136" s="53">
        <v>0</v>
      </c>
      <c r="AJ136" s="56" t="s">
        <v>275</v>
      </c>
    </row>
    <row r="137" spans="1:36" x14ac:dyDescent="0.45">
      <c r="A137" s="52">
        <v>117</v>
      </c>
      <c r="B137" s="43">
        <v>887</v>
      </c>
      <c r="C137" s="53" t="s">
        <v>263</v>
      </c>
      <c r="D137" s="53" t="s">
        <v>84</v>
      </c>
      <c r="E137" s="54"/>
      <c r="F137" s="53" t="s">
        <v>808</v>
      </c>
      <c r="G137" s="53" t="s">
        <v>265</v>
      </c>
      <c r="H137" s="53" t="s">
        <v>450</v>
      </c>
      <c r="I137" s="53" t="s">
        <v>809</v>
      </c>
      <c r="J137" s="53" t="s">
        <v>808</v>
      </c>
      <c r="K137" s="53" t="s">
        <v>269</v>
      </c>
      <c r="L137" s="53" t="s">
        <v>450</v>
      </c>
      <c r="M137" s="53" t="s">
        <v>809</v>
      </c>
      <c r="N137" s="53" t="s">
        <v>808</v>
      </c>
      <c r="O137" s="53" t="s">
        <v>270</v>
      </c>
      <c r="P137" s="53" t="s">
        <v>450</v>
      </c>
      <c r="Q137" s="53" t="s">
        <v>809</v>
      </c>
      <c r="R137" s="55">
        <v>1</v>
      </c>
      <c r="S137" s="53">
        <v>10</v>
      </c>
      <c r="T137" s="53" t="s">
        <v>128</v>
      </c>
      <c r="U137" s="53" t="s">
        <v>169</v>
      </c>
      <c r="V137" s="53" t="s">
        <v>738</v>
      </c>
      <c r="W137" s="53" t="s">
        <v>194</v>
      </c>
      <c r="X137" s="53" t="s">
        <v>194</v>
      </c>
      <c r="Y137" s="53"/>
      <c r="Z137" s="53"/>
      <c r="AA137" s="53"/>
      <c r="AB137" s="53" t="s">
        <v>274</v>
      </c>
      <c r="AC137" s="53" t="s">
        <v>274</v>
      </c>
      <c r="AD137" s="53" t="s">
        <v>274</v>
      </c>
      <c r="AE137" s="53" t="s">
        <v>274</v>
      </c>
      <c r="AF137" s="53" t="s">
        <v>275</v>
      </c>
      <c r="AG137" s="53" t="s">
        <v>275</v>
      </c>
      <c r="AH137" s="53" t="s">
        <v>274</v>
      </c>
      <c r="AI137" s="53">
        <v>0.05</v>
      </c>
      <c r="AJ137" s="56" t="s">
        <v>275</v>
      </c>
    </row>
    <row r="138" spans="1:36" x14ac:dyDescent="0.45">
      <c r="A138" s="52">
        <v>118</v>
      </c>
      <c r="B138" s="43">
        <v>888</v>
      </c>
      <c r="C138" s="53" t="s">
        <v>263</v>
      </c>
      <c r="D138" s="53" t="s">
        <v>84</v>
      </c>
      <c r="E138" s="54"/>
      <c r="F138" s="53" t="s">
        <v>810</v>
      </c>
      <c r="G138" s="53" t="s">
        <v>265</v>
      </c>
      <c r="H138" s="59" t="s">
        <v>450</v>
      </c>
      <c r="I138" s="53" t="s">
        <v>811</v>
      </c>
      <c r="J138" s="53" t="s">
        <v>810</v>
      </c>
      <c r="K138" s="53" t="s">
        <v>269</v>
      </c>
      <c r="L138" s="59" t="s">
        <v>450</v>
      </c>
      <c r="M138" s="53" t="s">
        <v>811</v>
      </c>
      <c r="N138" s="53" t="s">
        <v>810</v>
      </c>
      <c r="O138" s="53" t="s">
        <v>270</v>
      </c>
      <c r="P138" s="59" t="s">
        <v>450</v>
      </c>
      <c r="Q138" s="53" t="s">
        <v>811</v>
      </c>
      <c r="R138" s="55">
        <v>1</v>
      </c>
      <c r="S138" s="53">
        <v>10</v>
      </c>
      <c r="T138" s="53" t="s">
        <v>128</v>
      </c>
      <c r="U138" s="53" t="s">
        <v>169</v>
      </c>
      <c r="V138" s="53" t="s">
        <v>738</v>
      </c>
      <c r="W138" s="53" t="s">
        <v>194</v>
      </c>
      <c r="X138" s="53" t="s">
        <v>194</v>
      </c>
      <c r="Y138" s="53"/>
      <c r="Z138" s="53"/>
      <c r="AA138" s="53"/>
      <c r="AB138" s="53" t="s">
        <v>274</v>
      </c>
      <c r="AC138" s="53" t="s">
        <v>274</v>
      </c>
      <c r="AD138" s="53" t="s">
        <v>274</v>
      </c>
      <c r="AE138" s="53" t="s">
        <v>274</v>
      </c>
      <c r="AF138" s="53" t="s">
        <v>275</v>
      </c>
      <c r="AG138" s="53" t="s">
        <v>275</v>
      </c>
      <c r="AH138" s="53" t="s">
        <v>274</v>
      </c>
      <c r="AI138" s="53">
        <v>0.05</v>
      </c>
      <c r="AJ138" s="56" t="s">
        <v>275</v>
      </c>
    </row>
    <row r="139" spans="1:36" x14ac:dyDescent="0.45">
      <c r="A139" s="52">
        <v>119</v>
      </c>
      <c r="B139" s="43">
        <v>889</v>
      </c>
      <c r="C139" s="53" t="s">
        <v>263</v>
      </c>
      <c r="D139" s="53" t="s">
        <v>84</v>
      </c>
      <c r="E139" s="54"/>
      <c r="F139" s="53" t="s">
        <v>810</v>
      </c>
      <c r="G139" s="53" t="s">
        <v>265</v>
      </c>
      <c r="H139" s="59" t="s">
        <v>775</v>
      </c>
      <c r="I139" s="53" t="s">
        <v>812</v>
      </c>
      <c r="J139" s="53" t="s">
        <v>810</v>
      </c>
      <c r="K139" s="53" t="s">
        <v>269</v>
      </c>
      <c r="L139" s="59" t="s">
        <v>775</v>
      </c>
      <c r="M139" s="53" t="s">
        <v>812</v>
      </c>
      <c r="N139" s="53" t="s">
        <v>810</v>
      </c>
      <c r="O139" s="53" t="s">
        <v>270</v>
      </c>
      <c r="P139" s="59" t="s">
        <v>775</v>
      </c>
      <c r="Q139" s="53" t="s">
        <v>812</v>
      </c>
      <c r="R139" s="55">
        <v>0.5</v>
      </c>
      <c r="S139" s="53">
        <v>10</v>
      </c>
      <c r="T139" s="53" t="s">
        <v>128</v>
      </c>
      <c r="U139" s="53" t="s">
        <v>169</v>
      </c>
      <c r="V139" s="53" t="s">
        <v>738</v>
      </c>
      <c r="W139" s="53" t="s">
        <v>194</v>
      </c>
      <c r="X139" s="53" t="s">
        <v>194</v>
      </c>
      <c r="Y139" s="53"/>
      <c r="Z139" s="53"/>
      <c r="AA139" s="53"/>
      <c r="AB139" s="53" t="s">
        <v>274</v>
      </c>
      <c r="AC139" s="53" t="s">
        <v>274</v>
      </c>
      <c r="AD139" s="53" t="s">
        <v>274</v>
      </c>
      <c r="AE139" s="53" t="s">
        <v>274</v>
      </c>
      <c r="AF139" s="53" t="s">
        <v>275</v>
      </c>
      <c r="AG139" s="53" t="s">
        <v>275</v>
      </c>
      <c r="AH139" s="53" t="s">
        <v>274</v>
      </c>
      <c r="AI139" s="53">
        <v>0.05</v>
      </c>
      <c r="AJ139" s="56" t="s">
        <v>275</v>
      </c>
    </row>
    <row r="140" spans="1:36" x14ac:dyDescent="0.45">
      <c r="A140" s="52">
        <v>120</v>
      </c>
      <c r="B140" s="43">
        <v>890</v>
      </c>
      <c r="C140" s="53" t="s">
        <v>263</v>
      </c>
      <c r="D140" s="53" t="s">
        <v>84</v>
      </c>
      <c r="E140" s="54"/>
      <c r="F140" s="53" t="s">
        <v>810</v>
      </c>
      <c r="G140" s="53" t="s">
        <v>265</v>
      </c>
      <c r="H140" s="59" t="s">
        <v>803</v>
      </c>
      <c r="I140" s="53" t="s">
        <v>813</v>
      </c>
      <c r="J140" s="53" t="s">
        <v>810</v>
      </c>
      <c r="K140" s="53" t="s">
        <v>269</v>
      </c>
      <c r="L140" s="59" t="s">
        <v>803</v>
      </c>
      <c r="M140" s="53" t="s">
        <v>813</v>
      </c>
      <c r="N140" s="53" t="s">
        <v>810</v>
      </c>
      <c r="O140" s="53" t="s">
        <v>270</v>
      </c>
      <c r="P140" s="59" t="s">
        <v>803</v>
      </c>
      <c r="Q140" s="53" t="s">
        <v>813</v>
      </c>
      <c r="R140" s="55">
        <v>0.7</v>
      </c>
      <c r="S140" s="53">
        <v>10</v>
      </c>
      <c r="T140" s="53" t="s">
        <v>128</v>
      </c>
      <c r="U140" s="53" t="s">
        <v>169</v>
      </c>
      <c r="V140" s="53" t="s">
        <v>738</v>
      </c>
      <c r="W140" s="53" t="s">
        <v>194</v>
      </c>
      <c r="X140" s="53" t="s">
        <v>194</v>
      </c>
      <c r="Y140" s="53"/>
      <c r="Z140" s="53"/>
      <c r="AA140" s="53"/>
      <c r="AB140" s="53" t="s">
        <v>274</v>
      </c>
      <c r="AC140" s="53" t="s">
        <v>274</v>
      </c>
      <c r="AD140" s="53" t="s">
        <v>274</v>
      </c>
      <c r="AE140" s="53" t="s">
        <v>274</v>
      </c>
      <c r="AF140" s="53" t="s">
        <v>275</v>
      </c>
      <c r="AG140" s="53" t="s">
        <v>275</v>
      </c>
      <c r="AH140" s="53" t="s">
        <v>274</v>
      </c>
      <c r="AI140" s="53">
        <v>0.05</v>
      </c>
      <c r="AJ140" s="56" t="s">
        <v>275</v>
      </c>
    </row>
    <row r="141" spans="1:36" x14ac:dyDescent="0.45">
      <c r="A141" s="52">
        <v>105</v>
      </c>
      <c r="B141" s="43">
        <v>891</v>
      </c>
      <c r="C141" s="53" t="s">
        <v>263</v>
      </c>
      <c r="D141" s="53" t="s">
        <v>84</v>
      </c>
      <c r="E141" s="54"/>
      <c r="F141" s="53" t="s">
        <v>814</v>
      </c>
      <c r="G141" s="53" t="s">
        <v>265</v>
      </c>
      <c r="H141" s="53" t="s">
        <v>763</v>
      </c>
      <c r="I141" s="53" t="s">
        <v>815</v>
      </c>
      <c r="J141" s="53" t="s">
        <v>816</v>
      </c>
      <c r="K141" s="53" t="s">
        <v>269</v>
      </c>
      <c r="L141" s="53" t="s">
        <v>763</v>
      </c>
      <c r="M141" s="53" t="s">
        <v>817</v>
      </c>
      <c r="N141" s="53" t="s">
        <v>818</v>
      </c>
      <c r="O141" s="53" t="s">
        <v>270</v>
      </c>
      <c r="P141" s="53" t="s">
        <v>763</v>
      </c>
      <c r="Q141" s="53" t="s">
        <v>819</v>
      </c>
      <c r="R141" s="55">
        <v>0.33</v>
      </c>
      <c r="S141" s="53">
        <v>1</v>
      </c>
      <c r="T141" s="53" t="s">
        <v>133</v>
      </c>
      <c r="U141" s="53" t="s">
        <v>169</v>
      </c>
      <c r="V141" s="53" t="s">
        <v>738</v>
      </c>
      <c r="W141" s="53" t="s">
        <v>820</v>
      </c>
      <c r="X141" s="53" t="s">
        <v>820</v>
      </c>
      <c r="Y141" s="53"/>
      <c r="Z141" s="53"/>
      <c r="AA141" s="53"/>
      <c r="AB141" s="53" t="s">
        <v>274</v>
      </c>
      <c r="AC141" s="53" t="s">
        <v>274</v>
      </c>
      <c r="AD141" s="53" t="s">
        <v>274</v>
      </c>
      <c r="AE141" s="53" t="s">
        <v>274</v>
      </c>
      <c r="AF141" s="53" t="s">
        <v>275</v>
      </c>
      <c r="AG141" s="53" t="s">
        <v>275</v>
      </c>
      <c r="AH141" s="53" t="s">
        <v>274</v>
      </c>
      <c r="AI141" s="53">
        <v>0.05</v>
      </c>
      <c r="AJ141" s="56" t="s">
        <v>275</v>
      </c>
    </row>
    <row r="142" spans="1:36" x14ac:dyDescent="0.45">
      <c r="A142" s="52">
        <v>105</v>
      </c>
      <c r="B142" s="43">
        <v>892</v>
      </c>
      <c r="C142" s="53" t="s">
        <v>263</v>
      </c>
      <c r="D142" s="53" t="s">
        <v>84</v>
      </c>
      <c r="E142" s="54"/>
      <c r="F142" s="53" t="s">
        <v>814</v>
      </c>
      <c r="G142" s="53" t="s">
        <v>265</v>
      </c>
      <c r="H142" s="53" t="s">
        <v>775</v>
      </c>
      <c r="I142" s="53" t="s">
        <v>821</v>
      </c>
      <c r="J142" s="53" t="s">
        <v>816</v>
      </c>
      <c r="K142" s="53" t="s">
        <v>269</v>
      </c>
      <c r="L142" s="53" t="s">
        <v>775</v>
      </c>
      <c r="M142" s="53" t="s">
        <v>822</v>
      </c>
      <c r="N142" s="53" t="s">
        <v>818</v>
      </c>
      <c r="O142" s="53" t="s">
        <v>270</v>
      </c>
      <c r="P142" s="53" t="s">
        <v>775</v>
      </c>
      <c r="Q142" s="53" t="s">
        <v>823</v>
      </c>
      <c r="R142" s="55">
        <v>0.5</v>
      </c>
      <c r="S142" s="53">
        <v>1</v>
      </c>
      <c r="T142" s="53" t="s">
        <v>133</v>
      </c>
      <c r="U142" s="53" t="s">
        <v>169</v>
      </c>
      <c r="V142" s="53" t="s">
        <v>738</v>
      </c>
      <c r="W142" s="53" t="s">
        <v>820</v>
      </c>
      <c r="X142" s="53" t="s">
        <v>820</v>
      </c>
      <c r="Y142" s="53"/>
      <c r="Z142" s="53"/>
      <c r="AA142" s="53"/>
      <c r="AB142" s="53" t="s">
        <v>274</v>
      </c>
      <c r="AC142" s="53" t="s">
        <v>274</v>
      </c>
      <c r="AD142" s="53" t="s">
        <v>274</v>
      </c>
      <c r="AE142" s="53" t="s">
        <v>274</v>
      </c>
      <c r="AF142" s="53" t="s">
        <v>275</v>
      </c>
      <c r="AG142" s="53" t="s">
        <v>275</v>
      </c>
      <c r="AH142" s="53" t="s">
        <v>274</v>
      </c>
      <c r="AI142" s="53">
        <v>0.05</v>
      </c>
      <c r="AJ142" s="56" t="s">
        <v>275</v>
      </c>
    </row>
    <row r="143" spans="1:36" x14ac:dyDescent="0.45">
      <c r="A143" s="52">
        <v>105</v>
      </c>
      <c r="B143" s="43">
        <v>893</v>
      </c>
      <c r="C143" s="53" t="s">
        <v>263</v>
      </c>
      <c r="D143" s="53" t="s">
        <v>84</v>
      </c>
      <c r="E143" s="54"/>
      <c r="F143" s="53" t="s">
        <v>814</v>
      </c>
      <c r="G143" s="53" t="s">
        <v>265</v>
      </c>
      <c r="H143" s="53" t="s">
        <v>450</v>
      </c>
      <c r="I143" s="53" t="s">
        <v>824</v>
      </c>
      <c r="J143" s="53" t="s">
        <v>816</v>
      </c>
      <c r="K143" s="53" t="s">
        <v>269</v>
      </c>
      <c r="L143" s="53" t="s">
        <v>450</v>
      </c>
      <c r="M143" s="53" t="s">
        <v>825</v>
      </c>
      <c r="N143" s="53" t="s">
        <v>818</v>
      </c>
      <c r="O143" s="53" t="s">
        <v>270</v>
      </c>
      <c r="P143" s="53" t="s">
        <v>450</v>
      </c>
      <c r="Q143" s="53" t="s">
        <v>826</v>
      </c>
      <c r="R143" s="55">
        <v>1</v>
      </c>
      <c r="S143" s="53">
        <v>1</v>
      </c>
      <c r="T143" s="53" t="s">
        <v>133</v>
      </c>
      <c r="U143" s="53" t="s">
        <v>169</v>
      </c>
      <c r="V143" s="53" t="s">
        <v>738</v>
      </c>
      <c r="W143" s="53" t="s">
        <v>820</v>
      </c>
      <c r="X143" s="53" t="s">
        <v>820</v>
      </c>
      <c r="Y143" s="53"/>
      <c r="Z143" s="53"/>
      <c r="AA143" s="53"/>
      <c r="AB143" s="53" t="s">
        <v>274</v>
      </c>
      <c r="AC143" s="53" t="s">
        <v>274</v>
      </c>
      <c r="AD143" s="53" t="s">
        <v>274</v>
      </c>
      <c r="AE143" s="53" t="s">
        <v>274</v>
      </c>
      <c r="AF143" s="53" t="s">
        <v>275</v>
      </c>
      <c r="AG143" s="53" t="s">
        <v>275</v>
      </c>
      <c r="AH143" s="53" t="s">
        <v>274</v>
      </c>
      <c r="AI143" s="53">
        <v>0.05</v>
      </c>
      <c r="AJ143" s="56" t="s">
        <v>275</v>
      </c>
    </row>
    <row r="144" spans="1:36" x14ac:dyDescent="0.45">
      <c r="A144" s="52">
        <v>105</v>
      </c>
      <c r="B144" s="43">
        <v>894</v>
      </c>
      <c r="C144" s="53" t="s">
        <v>263</v>
      </c>
      <c r="D144" s="53" t="s">
        <v>84</v>
      </c>
      <c r="E144" s="54"/>
      <c r="F144" s="53" t="s">
        <v>814</v>
      </c>
      <c r="G144" s="53" t="s">
        <v>265</v>
      </c>
      <c r="H144" s="53" t="s">
        <v>827</v>
      </c>
      <c r="I144" s="53" t="s">
        <v>828</v>
      </c>
      <c r="J144" s="53" t="s">
        <v>816</v>
      </c>
      <c r="K144" s="53" t="s">
        <v>269</v>
      </c>
      <c r="L144" s="53" t="s">
        <v>827</v>
      </c>
      <c r="M144" s="53" t="s">
        <v>829</v>
      </c>
      <c r="N144" s="53" t="s">
        <v>818</v>
      </c>
      <c r="O144" s="53" t="s">
        <v>270</v>
      </c>
      <c r="P144" s="53" t="s">
        <v>827</v>
      </c>
      <c r="Q144" s="53" t="s">
        <v>830</v>
      </c>
      <c r="R144" s="55">
        <v>1.5</v>
      </c>
      <c r="S144" s="53">
        <v>1</v>
      </c>
      <c r="T144" s="53" t="s">
        <v>133</v>
      </c>
      <c r="U144" s="53" t="s">
        <v>169</v>
      </c>
      <c r="V144" s="53" t="s">
        <v>738</v>
      </c>
      <c r="W144" s="53" t="s">
        <v>820</v>
      </c>
      <c r="X144" s="53" t="s">
        <v>820</v>
      </c>
      <c r="Y144" s="53"/>
      <c r="Z144" s="53"/>
      <c r="AA144" s="53"/>
      <c r="AB144" s="53" t="s">
        <v>274</v>
      </c>
      <c r="AC144" s="53" t="s">
        <v>274</v>
      </c>
      <c r="AD144" s="53" t="s">
        <v>274</v>
      </c>
      <c r="AE144" s="53" t="s">
        <v>274</v>
      </c>
      <c r="AF144" s="53" t="s">
        <v>275</v>
      </c>
      <c r="AG144" s="53" t="s">
        <v>275</v>
      </c>
      <c r="AH144" s="53" t="s">
        <v>274</v>
      </c>
      <c r="AI144" s="53">
        <v>0.05</v>
      </c>
      <c r="AJ144" s="56" t="s">
        <v>275</v>
      </c>
    </row>
    <row r="145" spans="1:36" x14ac:dyDescent="0.45">
      <c r="A145" s="52">
        <v>106</v>
      </c>
      <c r="B145" s="43">
        <v>895</v>
      </c>
      <c r="C145" s="53" t="s">
        <v>263</v>
      </c>
      <c r="D145" s="53" t="s">
        <v>84</v>
      </c>
      <c r="E145" s="54"/>
      <c r="F145" s="53" t="s">
        <v>814</v>
      </c>
      <c r="G145" s="53" t="s">
        <v>265</v>
      </c>
      <c r="H145" s="53" t="s">
        <v>831</v>
      </c>
      <c r="I145" s="53" t="s">
        <v>832</v>
      </c>
      <c r="J145" s="53" t="s">
        <v>816</v>
      </c>
      <c r="K145" s="53" t="s">
        <v>269</v>
      </c>
      <c r="L145" s="53" t="s">
        <v>831</v>
      </c>
      <c r="M145" s="53" t="s">
        <v>833</v>
      </c>
      <c r="N145" s="53" t="s">
        <v>818</v>
      </c>
      <c r="O145" s="53" t="s">
        <v>270</v>
      </c>
      <c r="P145" s="53" t="s">
        <v>831</v>
      </c>
      <c r="Q145" s="53" t="s">
        <v>834</v>
      </c>
      <c r="R145" s="55">
        <v>10</v>
      </c>
      <c r="S145" s="53">
        <v>1</v>
      </c>
      <c r="T145" s="53" t="s">
        <v>133</v>
      </c>
      <c r="U145" s="53" t="s">
        <v>169</v>
      </c>
      <c r="V145" s="53" t="s">
        <v>738</v>
      </c>
      <c r="W145" s="53" t="s">
        <v>820</v>
      </c>
      <c r="X145" s="53" t="s">
        <v>820</v>
      </c>
      <c r="Y145" s="53"/>
      <c r="Z145" s="53"/>
      <c r="AA145" s="53"/>
      <c r="AB145" s="53" t="s">
        <v>274</v>
      </c>
      <c r="AC145" s="53" t="s">
        <v>274</v>
      </c>
      <c r="AD145" s="53" t="s">
        <v>274</v>
      </c>
      <c r="AE145" s="53" t="s">
        <v>274</v>
      </c>
      <c r="AF145" s="53" t="s">
        <v>275</v>
      </c>
      <c r="AG145" s="53" t="s">
        <v>275</v>
      </c>
      <c r="AH145" s="53" t="s">
        <v>274</v>
      </c>
      <c r="AI145" s="53">
        <v>0.05</v>
      </c>
      <c r="AJ145" s="56" t="s">
        <v>275</v>
      </c>
    </row>
    <row r="146" spans="1:36" x14ac:dyDescent="0.45">
      <c r="A146" s="52">
        <v>107</v>
      </c>
      <c r="B146" s="43">
        <v>896</v>
      </c>
      <c r="C146" s="53" t="s">
        <v>263</v>
      </c>
      <c r="D146" s="53" t="s">
        <v>84</v>
      </c>
      <c r="E146" s="54"/>
      <c r="F146" s="53" t="s">
        <v>814</v>
      </c>
      <c r="G146" s="53" t="s">
        <v>265</v>
      </c>
      <c r="H146" s="53" t="s">
        <v>835</v>
      </c>
      <c r="I146" s="53" t="s">
        <v>836</v>
      </c>
      <c r="J146" s="53" t="s">
        <v>816</v>
      </c>
      <c r="K146" s="53" t="s">
        <v>269</v>
      </c>
      <c r="L146" s="53" t="s">
        <v>835</v>
      </c>
      <c r="M146" s="53" t="s">
        <v>837</v>
      </c>
      <c r="N146" s="53" t="s">
        <v>818</v>
      </c>
      <c r="O146" s="53" t="s">
        <v>270</v>
      </c>
      <c r="P146" s="53" t="s">
        <v>835</v>
      </c>
      <c r="Q146" s="53" t="s">
        <v>838</v>
      </c>
      <c r="R146" s="55">
        <v>5</v>
      </c>
      <c r="S146" s="53">
        <v>1</v>
      </c>
      <c r="T146" s="53" t="s">
        <v>133</v>
      </c>
      <c r="U146" s="53" t="s">
        <v>169</v>
      </c>
      <c r="V146" s="53" t="s">
        <v>738</v>
      </c>
      <c r="W146" s="53" t="s">
        <v>820</v>
      </c>
      <c r="X146" s="53" t="s">
        <v>820</v>
      </c>
      <c r="Y146" s="53"/>
      <c r="Z146" s="53"/>
      <c r="AA146" s="53"/>
      <c r="AB146" s="53" t="s">
        <v>274</v>
      </c>
      <c r="AC146" s="53" t="s">
        <v>274</v>
      </c>
      <c r="AD146" s="53" t="s">
        <v>274</v>
      </c>
      <c r="AE146" s="53" t="s">
        <v>274</v>
      </c>
      <c r="AF146" s="53" t="s">
        <v>275</v>
      </c>
      <c r="AG146" s="53" t="s">
        <v>275</v>
      </c>
      <c r="AH146" s="53" t="s">
        <v>274</v>
      </c>
      <c r="AI146" s="53">
        <v>0.05</v>
      </c>
      <c r="AJ146" s="56" t="s">
        <v>275</v>
      </c>
    </row>
    <row r="147" spans="1:36" x14ac:dyDescent="0.45">
      <c r="A147" s="52">
        <v>107</v>
      </c>
      <c r="B147" s="43">
        <v>897</v>
      </c>
      <c r="C147" s="53" t="s">
        <v>263</v>
      </c>
      <c r="D147" s="53" t="s">
        <v>84</v>
      </c>
      <c r="E147" s="54"/>
      <c r="F147" s="53" t="s">
        <v>814</v>
      </c>
      <c r="G147" s="53" t="s">
        <v>265</v>
      </c>
      <c r="H147" s="53" t="s">
        <v>839</v>
      </c>
      <c r="I147" s="53" t="s">
        <v>840</v>
      </c>
      <c r="J147" s="53" t="s">
        <v>816</v>
      </c>
      <c r="K147" s="53" t="s">
        <v>269</v>
      </c>
      <c r="L147" s="53" t="s">
        <v>839</v>
      </c>
      <c r="M147" s="53" t="s">
        <v>841</v>
      </c>
      <c r="N147" s="53" t="s">
        <v>818</v>
      </c>
      <c r="O147" s="53" t="s">
        <v>270</v>
      </c>
      <c r="P147" s="53" t="s">
        <v>839</v>
      </c>
      <c r="Q147" s="53" t="s">
        <v>842</v>
      </c>
      <c r="R147" s="55">
        <v>3</v>
      </c>
      <c r="S147" s="53">
        <v>1</v>
      </c>
      <c r="T147" s="53" t="s">
        <v>133</v>
      </c>
      <c r="U147" s="53" t="s">
        <v>169</v>
      </c>
      <c r="V147" s="53" t="s">
        <v>738</v>
      </c>
      <c r="W147" s="53" t="s">
        <v>820</v>
      </c>
      <c r="X147" s="53" t="s">
        <v>820</v>
      </c>
      <c r="Y147" s="53"/>
      <c r="Z147" s="53"/>
      <c r="AA147" s="53"/>
      <c r="AB147" s="53" t="s">
        <v>274</v>
      </c>
      <c r="AC147" s="53" t="s">
        <v>274</v>
      </c>
      <c r="AD147" s="53" t="s">
        <v>274</v>
      </c>
      <c r="AE147" s="53" t="s">
        <v>274</v>
      </c>
      <c r="AF147" s="53" t="s">
        <v>275</v>
      </c>
      <c r="AG147" s="53" t="s">
        <v>275</v>
      </c>
      <c r="AH147" s="53" t="s">
        <v>274</v>
      </c>
      <c r="AI147" s="53">
        <v>0.05</v>
      </c>
      <c r="AJ147" s="56" t="s">
        <v>275</v>
      </c>
    </row>
    <row r="148" spans="1:36" x14ac:dyDescent="0.45">
      <c r="A148" s="52">
        <v>122</v>
      </c>
      <c r="B148" s="43">
        <v>898</v>
      </c>
      <c r="C148" s="53" t="s">
        <v>263</v>
      </c>
      <c r="D148" s="53" t="s">
        <v>84</v>
      </c>
      <c r="E148" s="54"/>
      <c r="F148" s="53" t="s">
        <v>843</v>
      </c>
      <c r="G148" s="53" t="s">
        <v>265</v>
      </c>
      <c r="H148" s="53" t="s">
        <v>763</v>
      </c>
      <c r="I148" s="53" t="s">
        <v>843</v>
      </c>
      <c r="J148" s="53" t="s">
        <v>844</v>
      </c>
      <c r="K148" s="53" t="s">
        <v>269</v>
      </c>
      <c r="L148" s="53" t="s">
        <v>763</v>
      </c>
      <c r="M148" s="53" t="s">
        <v>845</v>
      </c>
      <c r="N148" s="53" t="s">
        <v>846</v>
      </c>
      <c r="O148" s="53" t="s">
        <v>270</v>
      </c>
      <c r="P148" s="53" t="s">
        <v>763</v>
      </c>
      <c r="Q148" s="53" t="s">
        <v>847</v>
      </c>
      <c r="R148" s="55">
        <v>0.33</v>
      </c>
      <c r="S148" s="53">
        <v>1</v>
      </c>
      <c r="T148" s="53" t="s">
        <v>133</v>
      </c>
      <c r="U148" s="53" t="s">
        <v>169</v>
      </c>
      <c r="V148" s="53" t="s">
        <v>738</v>
      </c>
      <c r="W148" s="53" t="s">
        <v>820</v>
      </c>
      <c r="X148" s="53" t="s">
        <v>820</v>
      </c>
      <c r="Y148" s="53"/>
      <c r="Z148" s="53"/>
      <c r="AA148" s="53"/>
      <c r="AB148" s="53" t="s">
        <v>274</v>
      </c>
      <c r="AC148" s="53" t="s">
        <v>274</v>
      </c>
      <c r="AD148" s="53" t="s">
        <v>274</v>
      </c>
      <c r="AE148" s="53" t="s">
        <v>274</v>
      </c>
      <c r="AF148" s="53" t="s">
        <v>275</v>
      </c>
      <c r="AG148" s="53" t="s">
        <v>275</v>
      </c>
      <c r="AH148" s="53" t="s">
        <v>274</v>
      </c>
      <c r="AI148" s="53">
        <v>0.05</v>
      </c>
      <c r="AJ148" s="56" t="s">
        <v>275</v>
      </c>
    </row>
    <row r="149" spans="1:36" x14ac:dyDescent="0.45">
      <c r="A149" s="52">
        <v>122</v>
      </c>
      <c r="B149" s="43">
        <v>899</v>
      </c>
      <c r="C149" s="53" t="s">
        <v>263</v>
      </c>
      <c r="D149" s="53" t="s">
        <v>84</v>
      </c>
      <c r="E149" s="54"/>
      <c r="F149" s="53" t="s">
        <v>843</v>
      </c>
      <c r="G149" s="53" t="s">
        <v>265</v>
      </c>
      <c r="H149" s="53" t="s">
        <v>775</v>
      </c>
      <c r="I149" s="53" t="s">
        <v>843</v>
      </c>
      <c r="J149" s="53" t="s">
        <v>844</v>
      </c>
      <c r="K149" s="53" t="s">
        <v>269</v>
      </c>
      <c r="L149" s="53" t="s">
        <v>775</v>
      </c>
      <c r="M149" s="53" t="s">
        <v>848</v>
      </c>
      <c r="N149" s="53" t="s">
        <v>846</v>
      </c>
      <c r="O149" s="53" t="s">
        <v>270</v>
      </c>
      <c r="P149" s="53" t="s">
        <v>775</v>
      </c>
      <c r="Q149" s="53" t="s">
        <v>849</v>
      </c>
      <c r="R149" s="55">
        <v>0.5</v>
      </c>
      <c r="S149" s="53">
        <v>1</v>
      </c>
      <c r="T149" s="53" t="s">
        <v>133</v>
      </c>
      <c r="U149" s="53" t="s">
        <v>169</v>
      </c>
      <c r="V149" s="53" t="s">
        <v>738</v>
      </c>
      <c r="W149" s="53" t="s">
        <v>820</v>
      </c>
      <c r="X149" s="53" t="s">
        <v>820</v>
      </c>
      <c r="Y149" s="53"/>
      <c r="Z149" s="53"/>
      <c r="AA149" s="53"/>
      <c r="AB149" s="53" t="s">
        <v>274</v>
      </c>
      <c r="AC149" s="53" t="s">
        <v>274</v>
      </c>
      <c r="AD149" s="53" t="s">
        <v>274</v>
      </c>
      <c r="AE149" s="53" t="s">
        <v>274</v>
      </c>
      <c r="AF149" s="53" t="s">
        <v>275</v>
      </c>
      <c r="AG149" s="53" t="s">
        <v>275</v>
      </c>
      <c r="AH149" s="53" t="s">
        <v>274</v>
      </c>
      <c r="AI149" s="53">
        <v>0.05</v>
      </c>
      <c r="AJ149" s="56" t="s">
        <v>275</v>
      </c>
    </row>
    <row r="150" spans="1:36" x14ac:dyDescent="0.45">
      <c r="A150" s="52">
        <v>122</v>
      </c>
      <c r="B150" s="43">
        <v>900</v>
      </c>
      <c r="C150" s="53" t="s">
        <v>263</v>
      </c>
      <c r="D150" s="53" t="s">
        <v>84</v>
      </c>
      <c r="E150" s="54"/>
      <c r="F150" s="53" t="s">
        <v>843</v>
      </c>
      <c r="G150" s="53" t="s">
        <v>265</v>
      </c>
      <c r="H150" s="53" t="s">
        <v>450</v>
      </c>
      <c r="I150" s="53" t="s">
        <v>843</v>
      </c>
      <c r="J150" s="53" t="s">
        <v>844</v>
      </c>
      <c r="K150" s="53" t="s">
        <v>269</v>
      </c>
      <c r="L150" s="53" t="s">
        <v>450</v>
      </c>
      <c r="M150" s="53" t="s">
        <v>850</v>
      </c>
      <c r="N150" s="53" t="s">
        <v>846</v>
      </c>
      <c r="O150" s="53" t="s">
        <v>270</v>
      </c>
      <c r="P150" s="53" t="s">
        <v>450</v>
      </c>
      <c r="Q150" s="53" t="s">
        <v>851</v>
      </c>
      <c r="R150" s="55">
        <v>1</v>
      </c>
      <c r="S150" s="53">
        <v>1</v>
      </c>
      <c r="T150" s="53" t="s">
        <v>133</v>
      </c>
      <c r="U150" s="53" t="s">
        <v>169</v>
      </c>
      <c r="V150" s="53" t="s">
        <v>738</v>
      </c>
      <c r="W150" s="53" t="s">
        <v>820</v>
      </c>
      <c r="X150" s="53" t="s">
        <v>820</v>
      </c>
      <c r="Y150" s="53"/>
      <c r="Z150" s="53"/>
      <c r="AA150" s="53"/>
      <c r="AB150" s="53" t="s">
        <v>274</v>
      </c>
      <c r="AC150" s="53" t="s">
        <v>274</v>
      </c>
      <c r="AD150" s="53" t="s">
        <v>274</v>
      </c>
      <c r="AE150" s="53" t="s">
        <v>274</v>
      </c>
      <c r="AF150" s="53" t="s">
        <v>275</v>
      </c>
      <c r="AG150" s="53" t="s">
        <v>275</v>
      </c>
      <c r="AH150" s="53" t="s">
        <v>274</v>
      </c>
      <c r="AI150" s="53">
        <v>0.05</v>
      </c>
      <c r="AJ150" s="56" t="s">
        <v>275</v>
      </c>
    </row>
    <row r="151" spans="1:36" x14ac:dyDescent="0.45">
      <c r="A151" s="52">
        <v>122</v>
      </c>
      <c r="B151" s="43">
        <v>901</v>
      </c>
      <c r="C151" s="53" t="s">
        <v>263</v>
      </c>
      <c r="D151" s="53" t="s">
        <v>84</v>
      </c>
      <c r="E151" s="54"/>
      <c r="F151" s="53" t="s">
        <v>843</v>
      </c>
      <c r="G151" s="53" t="s">
        <v>265</v>
      </c>
      <c r="H151" s="53" t="s">
        <v>827</v>
      </c>
      <c r="I151" s="53" t="s">
        <v>843</v>
      </c>
      <c r="J151" s="53" t="s">
        <v>844</v>
      </c>
      <c r="K151" s="53" t="s">
        <v>269</v>
      </c>
      <c r="L151" s="53" t="s">
        <v>827</v>
      </c>
      <c r="M151" s="53" t="s">
        <v>852</v>
      </c>
      <c r="N151" s="53" t="s">
        <v>846</v>
      </c>
      <c r="O151" s="53" t="s">
        <v>270</v>
      </c>
      <c r="P151" s="53" t="s">
        <v>827</v>
      </c>
      <c r="Q151" s="53" t="s">
        <v>853</v>
      </c>
      <c r="R151" s="55">
        <v>1.5</v>
      </c>
      <c r="S151" s="53">
        <v>1</v>
      </c>
      <c r="T151" s="53" t="s">
        <v>133</v>
      </c>
      <c r="U151" s="53" t="s">
        <v>169</v>
      </c>
      <c r="V151" s="53" t="s">
        <v>738</v>
      </c>
      <c r="W151" s="53" t="s">
        <v>820</v>
      </c>
      <c r="X151" s="53" t="s">
        <v>820</v>
      </c>
      <c r="Y151" s="53"/>
      <c r="Z151" s="53"/>
      <c r="AA151" s="53"/>
      <c r="AB151" s="53" t="s">
        <v>274</v>
      </c>
      <c r="AC151" s="53" t="s">
        <v>274</v>
      </c>
      <c r="AD151" s="53" t="s">
        <v>274</v>
      </c>
      <c r="AE151" s="53" t="s">
        <v>274</v>
      </c>
      <c r="AF151" s="53" t="s">
        <v>275</v>
      </c>
      <c r="AG151" s="53" t="s">
        <v>275</v>
      </c>
      <c r="AH151" s="53" t="s">
        <v>274</v>
      </c>
      <c r="AI151" s="53">
        <v>0.05</v>
      </c>
      <c r="AJ151" s="56" t="s">
        <v>275</v>
      </c>
    </row>
    <row r="152" spans="1:36" x14ac:dyDescent="0.45">
      <c r="A152" s="52">
        <v>105</v>
      </c>
      <c r="B152" s="43">
        <v>902</v>
      </c>
      <c r="C152" s="53" t="s">
        <v>263</v>
      </c>
      <c r="D152" s="53" t="s">
        <v>84</v>
      </c>
      <c r="E152" s="54"/>
      <c r="F152" s="53" t="s">
        <v>854</v>
      </c>
      <c r="G152" s="53" t="s">
        <v>265</v>
      </c>
      <c r="H152" s="53" t="s">
        <v>763</v>
      </c>
      <c r="I152" s="53" t="s">
        <v>855</v>
      </c>
      <c r="J152" s="53" t="s">
        <v>856</v>
      </c>
      <c r="K152" s="53" t="s">
        <v>269</v>
      </c>
      <c r="L152" s="53" t="s">
        <v>763</v>
      </c>
      <c r="M152" s="53" t="s">
        <v>857</v>
      </c>
      <c r="N152" s="53" t="s">
        <v>858</v>
      </c>
      <c r="O152" s="53" t="s">
        <v>270</v>
      </c>
      <c r="P152" s="53" t="s">
        <v>763</v>
      </c>
      <c r="Q152" s="53" t="s">
        <v>859</v>
      </c>
      <c r="R152" s="55">
        <v>0.33</v>
      </c>
      <c r="S152" s="53">
        <v>1</v>
      </c>
      <c r="T152" s="53" t="s">
        <v>133</v>
      </c>
      <c r="U152" s="53" t="s">
        <v>169</v>
      </c>
      <c r="V152" s="53" t="s">
        <v>738</v>
      </c>
      <c r="W152" s="53" t="s">
        <v>820</v>
      </c>
      <c r="X152" s="53" t="s">
        <v>820</v>
      </c>
      <c r="Y152" s="53"/>
      <c r="Z152" s="53"/>
      <c r="AA152" s="53"/>
      <c r="AB152" s="53" t="s">
        <v>274</v>
      </c>
      <c r="AC152" s="53" t="s">
        <v>274</v>
      </c>
      <c r="AD152" s="53" t="s">
        <v>274</v>
      </c>
      <c r="AE152" s="53" t="s">
        <v>274</v>
      </c>
      <c r="AF152" s="53" t="s">
        <v>275</v>
      </c>
      <c r="AG152" s="53" t="s">
        <v>275</v>
      </c>
      <c r="AH152" s="53" t="s">
        <v>274</v>
      </c>
      <c r="AI152" s="53">
        <v>0.05</v>
      </c>
      <c r="AJ152" s="56" t="s">
        <v>275</v>
      </c>
    </row>
    <row r="153" spans="1:36" x14ac:dyDescent="0.45">
      <c r="A153" s="52">
        <v>105</v>
      </c>
      <c r="B153" s="43">
        <v>903</v>
      </c>
      <c r="C153" s="53" t="s">
        <v>263</v>
      </c>
      <c r="D153" s="53" t="s">
        <v>84</v>
      </c>
      <c r="E153" s="54"/>
      <c r="F153" s="53" t="s">
        <v>854</v>
      </c>
      <c r="G153" s="53" t="s">
        <v>265</v>
      </c>
      <c r="H153" s="53" t="s">
        <v>775</v>
      </c>
      <c r="I153" s="53" t="s">
        <v>860</v>
      </c>
      <c r="J153" s="53" t="s">
        <v>856</v>
      </c>
      <c r="K153" s="53" t="s">
        <v>269</v>
      </c>
      <c r="L153" s="53" t="s">
        <v>775</v>
      </c>
      <c r="M153" s="53" t="s">
        <v>861</v>
      </c>
      <c r="N153" s="53" t="s">
        <v>858</v>
      </c>
      <c r="O153" s="53" t="s">
        <v>270</v>
      </c>
      <c r="P153" s="53" t="s">
        <v>775</v>
      </c>
      <c r="Q153" s="53" t="s">
        <v>862</v>
      </c>
      <c r="R153" s="55">
        <v>0.5</v>
      </c>
      <c r="S153" s="53">
        <v>1</v>
      </c>
      <c r="T153" s="53" t="s">
        <v>133</v>
      </c>
      <c r="U153" s="53" t="s">
        <v>169</v>
      </c>
      <c r="V153" s="53" t="s">
        <v>738</v>
      </c>
      <c r="W153" s="53" t="s">
        <v>820</v>
      </c>
      <c r="X153" s="53" t="s">
        <v>820</v>
      </c>
      <c r="Y153" s="53"/>
      <c r="Z153" s="53"/>
      <c r="AA153" s="53"/>
      <c r="AB153" s="53" t="s">
        <v>274</v>
      </c>
      <c r="AC153" s="53" t="s">
        <v>274</v>
      </c>
      <c r="AD153" s="53" t="s">
        <v>274</v>
      </c>
      <c r="AE153" s="53" t="s">
        <v>274</v>
      </c>
      <c r="AF153" s="53" t="s">
        <v>275</v>
      </c>
      <c r="AG153" s="53" t="s">
        <v>275</v>
      </c>
      <c r="AH153" s="53" t="s">
        <v>274</v>
      </c>
      <c r="AI153" s="53">
        <v>0.05</v>
      </c>
      <c r="AJ153" s="56" t="s">
        <v>275</v>
      </c>
    </row>
    <row r="154" spans="1:36" x14ac:dyDescent="0.45">
      <c r="A154" s="52">
        <v>105</v>
      </c>
      <c r="B154" s="43">
        <v>904</v>
      </c>
      <c r="C154" s="53" t="s">
        <v>263</v>
      </c>
      <c r="D154" s="53" t="s">
        <v>84</v>
      </c>
      <c r="E154" s="54"/>
      <c r="F154" s="53" t="s">
        <v>854</v>
      </c>
      <c r="G154" s="53" t="s">
        <v>265</v>
      </c>
      <c r="H154" s="53" t="s">
        <v>779</v>
      </c>
      <c r="I154" s="53" t="s">
        <v>863</v>
      </c>
      <c r="J154" s="53" t="s">
        <v>856</v>
      </c>
      <c r="K154" s="53" t="s">
        <v>269</v>
      </c>
      <c r="L154" s="53" t="s">
        <v>779</v>
      </c>
      <c r="M154" s="53" t="s">
        <v>864</v>
      </c>
      <c r="N154" s="53" t="s">
        <v>858</v>
      </c>
      <c r="O154" s="53" t="s">
        <v>270</v>
      </c>
      <c r="P154" s="53" t="s">
        <v>779</v>
      </c>
      <c r="Q154" s="53" t="s">
        <v>865</v>
      </c>
      <c r="R154" s="55">
        <v>0.75</v>
      </c>
      <c r="S154" s="53">
        <v>1</v>
      </c>
      <c r="T154" s="53" t="s">
        <v>133</v>
      </c>
      <c r="U154" s="53" t="s">
        <v>169</v>
      </c>
      <c r="V154" s="53" t="s">
        <v>738</v>
      </c>
      <c r="W154" s="53" t="s">
        <v>820</v>
      </c>
      <c r="X154" s="53" t="s">
        <v>820</v>
      </c>
      <c r="Y154" s="53"/>
      <c r="Z154" s="53"/>
      <c r="AA154" s="53"/>
      <c r="AB154" s="53" t="s">
        <v>274</v>
      </c>
      <c r="AC154" s="53" t="s">
        <v>274</v>
      </c>
      <c r="AD154" s="53" t="s">
        <v>274</v>
      </c>
      <c r="AE154" s="53" t="s">
        <v>274</v>
      </c>
      <c r="AF154" s="53" t="s">
        <v>275</v>
      </c>
      <c r="AG154" s="53" t="s">
        <v>275</v>
      </c>
      <c r="AH154" s="53" t="s">
        <v>274</v>
      </c>
      <c r="AI154" s="53">
        <v>0.05</v>
      </c>
      <c r="AJ154" s="56" t="s">
        <v>275</v>
      </c>
    </row>
    <row r="155" spans="1:36" x14ac:dyDescent="0.45">
      <c r="A155" s="52">
        <v>105</v>
      </c>
      <c r="B155" s="43">
        <v>905</v>
      </c>
      <c r="C155" s="53" t="s">
        <v>263</v>
      </c>
      <c r="D155" s="53" t="s">
        <v>84</v>
      </c>
      <c r="E155" s="54"/>
      <c r="F155" s="53" t="s">
        <v>854</v>
      </c>
      <c r="G155" s="53" t="s">
        <v>265</v>
      </c>
      <c r="H155" s="53" t="s">
        <v>450</v>
      </c>
      <c r="I155" s="53" t="s">
        <v>866</v>
      </c>
      <c r="J155" s="53" t="s">
        <v>856</v>
      </c>
      <c r="K155" s="53" t="s">
        <v>269</v>
      </c>
      <c r="L155" s="53" t="s">
        <v>450</v>
      </c>
      <c r="M155" s="53" t="s">
        <v>867</v>
      </c>
      <c r="N155" s="53" t="s">
        <v>858</v>
      </c>
      <c r="O155" s="53" t="s">
        <v>270</v>
      </c>
      <c r="P155" s="53" t="s">
        <v>450</v>
      </c>
      <c r="Q155" s="53" t="s">
        <v>868</v>
      </c>
      <c r="R155" s="55">
        <v>1</v>
      </c>
      <c r="S155" s="53">
        <v>1</v>
      </c>
      <c r="T155" s="53" t="s">
        <v>133</v>
      </c>
      <c r="U155" s="53" t="s">
        <v>169</v>
      </c>
      <c r="V155" s="53" t="s">
        <v>738</v>
      </c>
      <c r="W155" s="53" t="s">
        <v>820</v>
      </c>
      <c r="X155" s="53" t="s">
        <v>820</v>
      </c>
      <c r="Y155" s="53"/>
      <c r="Z155" s="53"/>
      <c r="AA155" s="53"/>
      <c r="AB155" s="53" t="s">
        <v>274</v>
      </c>
      <c r="AC155" s="53" t="s">
        <v>274</v>
      </c>
      <c r="AD155" s="53" t="s">
        <v>274</v>
      </c>
      <c r="AE155" s="53" t="s">
        <v>274</v>
      </c>
      <c r="AF155" s="53" t="s">
        <v>275</v>
      </c>
      <c r="AG155" s="53" t="s">
        <v>275</v>
      </c>
      <c r="AH155" s="53" t="s">
        <v>274</v>
      </c>
      <c r="AI155" s="53">
        <v>0.05</v>
      </c>
      <c r="AJ155" s="56" t="s">
        <v>275</v>
      </c>
    </row>
    <row r="156" spans="1:36" x14ac:dyDescent="0.45">
      <c r="A156" s="52">
        <v>105</v>
      </c>
      <c r="B156" s="43">
        <v>906</v>
      </c>
      <c r="C156" s="53" t="s">
        <v>263</v>
      </c>
      <c r="D156" s="53" t="s">
        <v>84</v>
      </c>
      <c r="E156" s="54"/>
      <c r="F156" s="53" t="s">
        <v>854</v>
      </c>
      <c r="G156" s="53" t="s">
        <v>265</v>
      </c>
      <c r="H156" s="53" t="s">
        <v>827</v>
      </c>
      <c r="I156" s="53" t="s">
        <v>869</v>
      </c>
      <c r="J156" s="53" t="s">
        <v>856</v>
      </c>
      <c r="K156" s="53" t="s">
        <v>269</v>
      </c>
      <c r="L156" s="53" t="s">
        <v>827</v>
      </c>
      <c r="M156" s="53" t="s">
        <v>870</v>
      </c>
      <c r="N156" s="53" t="s">
        <v>858</v>
      </c>
      <c r="O156" s="53" t="s">
        <v>270</v>
      </c>
      <c r="P156" s="53" t="s">
        <v>827</v>
      </c>
      <c r="Q156" s="53" t="s">
        <v>871</v>
      </c>
      <c r="R156" s="55">
        <v>1.5</v>
      </c>
      <c r="S156" s="53">
        <v>1</v>
      </c>
      <c r="T156" s="53" t="s">
        <v>133</v>
      </c>
      <c r="U156" s="53" t="s">
        <v>169</v>
      </c>
      <c r="V156" s="53" t="s">
        <v>738</v>
      </c>
      <c r="W156" s="53" t="s">
        <v>820</v>
      </c>
      <c r="X156" s="53" t="s">
        <v>820</v>
      </c>
      <c r="Y156" s="53"/>
      <c r="Z156" s="53"/>
      <c r="AA156" s="53"/>
      <c r="AB156" s="53" t="s">
        <v>274</v>
      </c>
      <c r="AC156" s="53" t="s">
        <v>274</v>
      </c>
      <c r="AD156" s="53" t="s">
        <v>274</v>
      </c>
      <c r="AE156" s="53" t="s">
        <v>274</v>
      </c>
      <c r="AF156" s="53" t="s">
        <v>275</v>
      </c>
      <c r="AG156" s="53" t="s">
        <v>275</v>
      </c>
      <c r="AH156" s="53" t="s">
        <v>274</v>
      </c>
      <c r="AI156" s="53">
        <v>0.05</v>
      </c>
      <c r="AJ156" s="56" t="s">
        <v>275</v>
      </c>
    </row>
    <row r="157" spans="1:36" x14ac:dyDescent="0.45">
      <c r="A157" s="52">
        <v>121</v>
      </c>
      <c r="B157" s="43">
        <v>907</v>
      </c>
      <c r="C157" s="53" t="s">
        <v>263</v>
      </c>
      <c r="D157" s="53" t="s">
        <v>84</v>
      </c>
      <c r="E157" s="54"/>
      <c r="F157" s="53" t="s">
        <v>872</v>
      </c>
      <c r="G157" s="53" t="s">
        <v>265</v>
      </c>
      <c r="H157" s="53" t="s">
        <v>763</v>
      </c>
      <c r="I157" s="53" t="s">
        <v>873</v>
      </c>
      <c r="J157" s="53" t="s">
        <v>874</v>
      </c>
      <c r="K157" s="53" t="s">
        <v>269</v>
      </c>
      <c r="L157" s="53" t="s">
        <v>763</v>
      </c>
      <c r="M157" s="53" t="s">
        <v>875</v>
      </c>
      <c r="N157" s="53" t="s">
        <v>876</v>
      </c>
      <c r="O157" s="53" t="s">
        <v>270</v>
      </c>
      <c r="P157" s="53" t="s">
        <v>763</v>
      </c>
      <c r="Q157" s="53" t="s">
        <v>877</v>
      </c>
      <c r="R157" s="55">
        <v>0.33</v>
      </c>
      <c r="S157" s="53">
        <v>1</v>
      </c>
      <c r="T157" s="53" t="s">
        <v>133</v>
      </c>
      <c r="U157" s="53" t="s">
        <v>169</v>
      </c>
      <c r="V157" s="53" t="s">
        <v>738</v>
      </c>
      <c r="W157" s="53" t="s">
        <v>820</v>
      </c>
      <c r="X157" s="53" t="s">
        <v>820</v>
      </c>
      <c r="Y157" s="53"/>
      <c r="Z157" s="53"/>
      <c r="AA157" s="53"/>
      <c r="AB157" s="53" t="s">
        <v>274</v>
      </c>
      <c r="AC157" s="53" t="s">
        <v>274</v>
      </c>
      <c r="AD157" s="53" t="s">
        <v>274</v>
      </c>
      <c r="AE157" s="53" t="s">
        <v>274</v>
      </c>
      <c r="AF157" s="53" t="s">
        <v>275</v>
      </c>
      <c r="AG157" s="53" t="s">
        <v>275</v>
      </c>
      <c r="AH157" s="53" t="s">
        <v>274</v>
      </c>
      <c r="AI157" s="53">
        <v>0</v>
      </c>
      <c r="AJ157" s="56" t="s">
        <v>275</v>
      </c>
    </row>
    <row r="158" spans="1:36" x14ac:dyDescent="0.45">
      <c r="A158" s="52">
        <v>121</v>
      </c>
      <c r="B158" s="43">
        <v>908</v>
      </c>
      <c r="C158" s="53" t="s">
        <v>263</v>
      </c>
      <c r="D158" s="53" t="s">
        <v>84</v>
      </c>
      <c r="E158" s="54"/>
      <c r="F158" s="53" t="s">
        <v>872</v>
      </c>
      <c r="G158" s="53" t="s">
        <v>265</v>
      </c>
      <c r="H158" s="53" t="s">
        <v>775</v>
      </c>
      <c r="I158" s="53" t="s">
        <v>878</v>
      </c>
      <c r="J158" s="53" t="s">
        <v>874</v>
      </c>
      <c r="K158" s="53" t="s">
        <v>269</v>
      </c>
      <c r="L158" s="53" t="s">
        <v>775</v>
      </c>
      <c r="M158" s="53" t="s">
        <v>879</v>
      </c>
      <c r="N158" s="53" t="s">
        <v>876</v>
      </c>
      <c r="O158" s="53" t="s">
        <v>270</v>
      </c>
      <c r="P158" s="53" t="s">
        <v>775</v>
      </c>
      <c r="Q158" s="53" t="s">
        <v>880</v>
      </c>
      <c r="R158" s="55">
        <v>0.5</v>
      </c>
      <c r="S158" s="53">
        <v>1</v>
      </c>
      <c r="T158" s="53" t="s">
        <v>133</v>
      </c>
      <c r="U158" s="53" t="s">
        <v>169</v>
      </c>
      <c r="V158" s="53" t="s">
        <v>738</v>
      </c>
      <c r="W158" s="53" t="s">
        <v>820</v>
      </c>
      <c r="X158" s="53" t="s">
        <v>820</v>
      </c>
      <c r="Y158" s="53"/>
      <c r="Z158" s="53"/>
      <c r="AA158" s="53"/>
      <c r="AB158" s="53" t="s">
        <v>274</v>
      </c>
      <c r="AC158" s="53" t="s">
        <v>274</v>
      </c>
      <c r="AD158" s="53" t="s">
        <v>274</v>
      </c>
      <c r="AE158" s="53" t="s">
        <v>274</v>
      </c>
      <c r="AF158" s="53" t="s">
        <v>275</v>
      </c>
      <c r="AG158" s="53" t="s">
        <v>275</v>
      </c>
      <c r="AH158" s="53" t="s">
        <v>274</v>
      </c>
      <c r="AI158" s="53">
        <v>0</v>
      </c>
      <c r="AJ158" s="56" t="s">
        <v>275</v>
      </c>
    </row>
    <row r="159" spans="1:36" x14ac:dyDescent="0.45">
      <c r="A159" s="52">
        <v>121</v>
      </c>
      <c r="B159" s="43">
        <v>909</v>
      </c>
      <c r="C159" s="53" t="s">
        <v>263</v>
      </c>
      <c r="D159" s="53" t="s">
        <v>84</v>
      </c>
      <c r="E159" s="54"/>
      <c r="F159" s="53" t="s">
        <v>872</v>
      </c>
      <c r="G159" s="53" t="s">
        <v>265</v>
      </c>
      <c r="H159" s="53" t="s">
        <v>779</v>
      </c>
      <c r="I159" s="53" t="s">
        <v>881</v>
      </c>
      <c r="J159" s="53" t="s">
        <v>874</v>
      </c>
      <c r="K159" s="53" t="s">
        <v>269</v>
      </c>
      <c r="L159" s="53" t="s">
        <v>779</v>
      </c>
      <c r="M159" s="53" t="s">
        <v>882</v>
      </c>
      <c r="N159" s="53" t="s">
        <v>876</v>
      </c>
      <c r="O159" s="53" t="s">
        <v>270</v>
      </c>
      <c r="P159" s="53" t="s">
        <v>779</v>
      </c>
      <c r="Q159" s="53" t="s">
        <v>883</v>
      </c>
      <c r="R159" s="55">
        <v>0.75</v>
      </c>
      <c r="S159" s="53">
        <v>1</v>
      </c>
      <c r="T159" s="53" t="s">
        <v>133</v>
      </c>
      <c r="U159" s="53" t="s">
        <v>169</v>
      </c>
      <c r="V159" s="53" t="s">
        <v>738</v>
      </c>
      <c r="W159" s="53" t="s">
        <v>820</v>
      </c>
      <c r="X159" s="53" t="s">
        <v>820</v>
      </c>
      <c r="Y159" s="53"/>
      <c r="Z159" s="53"/>
      <c r="AA159" s="53"/>
      <c r="AB159" s="53" t="s">
        <v>274</v>
      </c>
      <c r="AC159" s="53" t="s">
        <v>274</v>
      </c>
      <c r="AD159" s="53" t="s">
        <v>274</v>
      </c>
      <c r="AE159" s="53" t="s">
        <v>274</v>
      </c>
      <c r="AF159" s="53" t="s">
        <v>275</v>
      </c>
      <c r="AG159" s="53" t="s">
        <v>275</v>
      </c>
      <c r="AH159" s="53" t="s">
        <v>274</v>
      </c>
      <c r="AI159" s="53">
        <v>0</v>
      </c>
      <c r="AJ159" s="56" t="s">
        <v>275</v>
      </c>
    </row>
    <row r="160" spans="1:36" x14ac:dyDescent="0.45">
      <c r="A160" s="52">
        <v>121</v>
      </c>
      <c r="B160" s="43">
        <v>910</v>
      </c>
      <c r="C160" s="53" t="s">
        <v>263</v>
      </c>
      <c r="D160" s="53" t="s">
        <v>84</v>
      </c>
      <c r="E160" s="54"/>
      <c r="F160" s="53" t="s">
        <v>872</v>
      </c>
      <c r="G160" s="53" t="s">
        <v>265</v>
      </c>
      <c r="H160" s="53" t="s">
        <v>450</v>
      </c>
      <c r="I160" s="53" t="s">
        <v>884</v>
      </c>
      <c r="J160" s="53" t="s">
        <v>874</v>
      </c>
      <c r="K160" s="53" t="s">
        <v>269</v>
      </c>
      <c r="L160" s="53" t="s">
        <v>450</v>
      </c>
      <c r="M160" s="53" t="s">
        <v>885</v>
      </c>
      <c r="N160" s="53" t="s">
        <v>876</v>
      </c>
      <c r="O160" s="53" t="s">
        <v>270</v>
      </c>
      <c r="P160" s="53" t="s">
        <v>450</v>
      </c>
      <c r="Q160" s="53" t="s">
        <v>886</v>
      </c>
      <c r="R160" s="55">
        <v>1</v>
      </c>
      <c r="S160" s="53">
        <v>1</v>
      </c>
      <c r="T160" s="53" t="s">
        <v>133</v>
      </c>
      <c r="U160" s="53" t="s">
        <v>169</v>
      </c>
      <c r="V160" s="53" t="s">
        <v>738</v>
      </c>
      <c r="W160" s="53" t="s">
        <v>820</v>
      </c>
      <c r="X160" s="53" t="s">
        <v>820</v>
      </c>
      <c r="Y160" s="53"/>
      <c r="Z160" s="53"/>
      <c r="AA160" s="53"/>
      <c r="AB160" s="53" t="s">
        <v>274</v>
      </c>
      <c r="AC160" s="53" t="s">
        <v>274</v>
      </c>
      <c r="AD160" s="53" t="s">
        <v>274</v>
      </c>
      <c r="AE160" s="53" t="s">
        <v>274</v>
      </c>
      <c r="AF160" s="53" t="s">
        <v>275</v>
      </c>
      <c r="AG160" s="53" t="s">
        <v>275</v>
      </c>
      <c r="AH160" s="53" t="s">
        <v>274</v>
      </c>
      <c r="AI160" s="53">
        <v>0</v>
      </c>
      <c r="AJ160" s="56" t="s">
        <v>275</v>
      </c>
    </row>
    <row r="161" spans="1:36" x14ac:dyDescent="0.45">
      <c r="A161" s="52">
        <v>121</v>
      </c>
      <c r="B161" s="43">
        <v>911</v>
      </c>
      <c r="C161" s="53" t="s">
        <v>263</v>
      </c>
      <c r="D161" s="53" t="s">
        <v>84</v>
      </c>
      <c r="E161" s="54"/>
      <c r="F161" s="53" t="s">
        <v>887</v>
      </c>
      <c r="G161" s="53" t="s">
        <v>265</v>
      </c>
      <c r="H161" s="53" t="s">
        <v>888</v>
      </c>
      <c r="I161" s="53" t="s">
        <v>889</v>
      </c>
      <c r="J161" s="53" t="s">
        <v>890</v>
      </c>
      <c r="K161" s="53" t="s">
        <v>269</v>
      </c>
      <c r="L161" s="53" t="s">
        <v>888</v>
      </c>
      <c r="M161" s="53" t="s">
        <v>891</v>
      </c>
      <c r="N161" s="53" t="s">
        <v>892</v>
      </c>
      <c r="O161" s="53" t="s">
        <v>270</v>
      </c>
      <c r="P161" s="53" t="s">
        <v>888</v>
      </c>
      <c r="Q161" s="53" t="s">
        <v>893</v>
      </c>
      <c r="R161" s="55">
        <v>0.35</v>
      </c>
      <c r="S161" s="53">
        <v>1</v>
      </c>
      <c r="T161" s="53" t="s">
        <v>133</v>
      </c>
      <c r="U161" s="53" t="s">
        <v>169</v>
      </c>
      <c r="V161" s="53" t="s">
        <v>738</v>
      </c>
      <c r="W161" s="53" t="s">
        <v>820</v>
      </c>
      <c r="X161" s="53" t="s">
        <v>820</v>
      </c>
      <c r="Y161" s="53"/>
      <c r="Z161" s="53"/>
      <c r="AA161" s="53"/>
      <c r="AB161" s="53" t="s">
        <v>274</v>
      </c>
      <c r="AC161" s="53" t="s">
        <v>274</v>
      </c>
      <c r="AD161" s="53" t="s">
        <v>274</v>
      </c>
      <c r="AE161" s="53" t="s">
        <v>274</v>
      </c>
      <c r="AF161" s="53" t="s">
        <v>275</v>
      </c>
      <c r="AG161" s="53" t="s">
        <v>275</v>
      </c>
      <c r="AH161" s="53" t="s">
        <v>274</v>
      </c>
      <c r="AI161" s="53">
        <v>0</v>
      </c>
      <c r="AJ161" s="56" t="s">
        <v>275</v>
      </c>
    </row>
    <row r="162" spans="1:36" x14ac:dyDescent="0.45">
      <c r="A162" s="52">
        <v>121</v>
      </c>
      <c r="B162" s="43">
        <v>912</v>
      </c>
      <c r="C162" s="53" t="s">
        <v>263</v>
      </c>
      <c r="D162" s="53" t="s">
        <v>84</v>
      </c>
      <c r="E162" s="54"/>
      <c r="F162" s="53" t="s">
        <v>887</v>
      </c>
      <c r="G162" s="53" t="s">
        <v>265</v>
      </c>
      <c r="H162" s="53" t="s">
        <v>775</v>
      </c>
      <c r="I162" s="53" t="s">
        <v>894</v>
      </c>
      <c r="J162" s="53" t="s">
        <v>890</v>
      </c>
      <c r="K162" s="53" t="s">
        <v>269</v>
      </c>
      <c r="L162" s="53" t="s">
        <v>775</v>
      </c>
      <c r="M162" s="53" t="s">
        <v>895</v>
      </c>
      <c r="N162" s="53" t="s">
        <v>892</v>
      </c>
      <c r="O162" s="53" t="s">
        <v>270</v>
      </c>
      <c r="P162" s="53" t="s">
        <v>775</v>
      </c>
      <c r="Q162" s="53" t="s">
        <v>896</v>
      </c>
      <c r="R162" s="55">
        <v>0.5</v>
      </c>
      <c r="S162" s="53">
        <v>1</v>
      </c>
      <c r="T162" s="53" t="s">
        <v>133</v>
      </c>
      <c r="U162" s="53" t="s">
        <v>169</v>
      </c>
      <c r="V162" s="53" t="s">
        <v>738</v>
      </c>
      <c r="W162" s="53" t="s">
        <v>820</v>
      </c>
      <c r="X162" s="53" t="s">
        <v>820</v>
      </c>
      <c r="Y162" s="53"/>
      <c r="Z162" s="53"/>
      <c r="AA162" s="53"/>
      <c r="AB162" s="53" t="s">
        <v>274</v>
      </c>
      <c r="AC162" s="53" t="s">
        <v>274</v>
      </c>
      <c r="AD162" s="53" t="s">
        <v>274</v>
      </c>
      <c r="AE162" s="53" t="s">
        <v>274</v>
      </c>
      <c r="AF162" s="53" t="s">
        <v>275</v>
      </c>
      <c r="AG162" s="53" t="s">
        <v>275</v>
      </c>
      <c r="AH162" s="53" t="s">
        <v>274</v>
      </c>
      <c r="AI162" s="53">
        <v>0</v>
      </c>
      <c r="AJ162" s="56" t="s">
        <v>275</v>
      </c>
    </row>
    <row r="163" spans="1:36" x14ac:dyDescent="0.45">
      <c r="A163" s="52">
        <v>121</v>
      </c>
      <c r="B163" s="43">
        <v>913</v>
      </c>
      <c r="C163" s="53" t="s">
        <v>263</v>
      </c>
      <c r="D163" s="53" t="s">
        <v>84</v>
      </c>
      <c r="E163" s="54"/>
      <c r="F163" s="53" t="s">
        <v>887</v>
      </c>
      <c r="G163" s="53" t="s">
        <v>265</v>
      </c>
      <c r="H163" s="53" t="s">
        <v>779</v>
      </c>
      <c r="I163" s="53" t="s">
        <v>897</v>
      </c>
      <c r="J163" s="53" t="s">
        <v>890</v>
      </c>
      <c r="K163" s="53" t="s">
        <v>269</v>
      </c>
      <c r="L163" s="53" t="s">
        <v>779</v>
      </c>
      <c r="M163" s="53" t="s">
        <v>898</v>
      </c>
      <c r="N163" s="53" t="s">
        <v>892</v>
      </c>
      <c r="O163" s="53" t="s">
        <v>270</v>
      </c>
      <c r="P163" s="53" t="s">
        <v>779</v>
      </c>
      <c r="Q163" s="53" t="s">
        <v>899</v>
      </c>
      <c r="R163" s="55">
        <v>0.75</v>
      </c>
      <c r="S163" s="53">
        <v>1</v>
      </c>
      <c r="T163" s="53" t="s">
        <v>133</v>
      </c>
      <c r="U163" s="53" t="s">
        <v>169</v>
      </c>
      <c r="V163" s="53" t="s">
        <v>738</v>
      </c>
      <c r="W163" s="53" t="s">
        <v>820</v>
      </c>
      <c r="X163" s="53" t="s">
        <v>820</v>
      </c>
      <c r="Y163" s="53"/>
      <c r="Z163" s="53"/>
      <c r="AA163" s="53"/>
      <c r="AB163" s="53" t="s">
        <v>274</v>
      </c>
      <c r="AC163" s="53" t="s">
        <v>274</v>
      </c>
      <c r="AD163" s="53" t="s">
        <v>274</v>
      </c>
      <c r="AE163" s="53" t="s">
        <v>274</v>
      </c>
      <c r="AF163" s="53" t="s">
        <v>275</v>
      </c>
      <c r="AG163" s="53" t="s">
        <v>275</v>
      </c>
      <c r="AH163" s="53" t="s">
        <v>274</v>
      </c>
      <c r="AI163" s="53">
        <v>0</v>
      </c>
      <c r="AJ163" s="56" t="s">
        <v>275</v>
      </c>
    </row>
    <row r="164" spans="1:36" x14ac:dyDescent="0.45">
      <c r="A164" s="52">
        <v>121</v>
      </c>
      <c r="B164" s="43">
        <v>914</v>
      </c>
      <c r="C164" s="53" t="s">
        <v>263</v>
      </c>
      <c r="D164" s="53" t="s">
        <v>84</v>
      </c>
      <c r="E164" s="54"/>
      <c r="F164" s="53" t="s">
        <v>887</v>
      </c>
      <c r="G164" s="53" t="s">
        <v>265</v>
      </c>
      <c r="H164" s="53" t="s">
        <v>450</v>
      </c>
      <c r="I164" s="53" t="s">
        <v>900</v>
      </c>
      <c r="J164" s="53" t="s">
        <v>890</v>
      </c>
      <c r="K164" s="53" t="s">
        <v>269</v>
      </c>
      <c r="L164" s="53" t="s">
        <v>450</v>
      </c>
      <c r="M164" s="53" t="s">
        <v>901</v>
      </c>
      <c r="N164" s="53" t="s">
        <v>892</v>
      </c>
      <c r="O164" s="53" t="s">
        <v>270</v>
      </c>
      <c r="P164" s="53" t="s">
        <v>450</v>
      </c>
      <c r="Q164" s="53" t="s">
        <v>902</v>
      </c>
      <c r="R164" s="55">
        <v>1</v>
      </c>
      <c r="S164" s="53">
        <v>1</v>
      </c>
      <c r="T164" s="53" t="s">
        <v>133</v>
      </c>
      <c r="U164" s="53" t="s">
        <v>169</v>
      </c>
      <c r="V164" s="53" t="s">
        <v>738</v>
      </c>
      <c r="W164" s="53" t="s">
        <v>820</v>
      </c>
      <c r="X164" s="53" t="s">
        <v>820</v>
      </c>
      <c r="Y164" s="53"/>
      <c r="Z164" s="53"/>
      <c r="AA164" s="53"/>
      <c r="AB164" s="53" t="s">
        <v>274</v>
      </c>
      <c r="AC164" s="53" t="s">
        <v>274</v>
      </c>
      <c r="AD164" s="53" t="s">
        <v>274</v>
      </c>
      <c r="AE164" s="53" t="s">
        <v>274</v>
      </c>
      <c r="AF164" s="53" t="s">
        <v>275</v>
      </c>
      <c r="AG164" s="53" t="s">
        <v>275</v>
      </c>
      <c r="AH164" s="53" t="s">
        <v>274</v>
      </c>
      <c r="AI164" s="53">
        <v>0</v>
      </c>
      <c r="AJ164" s="56" t="s">
        <v>275</v>
      </c>
    </row>
    <row r="165" spans="1:36" x14ac:dyDescent="0.45">
      <c r="A165" s="52">
        <v>123</v>
      </c>
      <c r="B165" s="43">
        <v>915</v>
      </c>
      <c r="C165" s="53" t="s">
        <v>263</v>
      </c>
      <c r="D165" s="53" t="s">
        <v>84</v>
      </c>
      <c r="E165" s="54"/>
      <c r="F165" s="53" t="s">
        <v>903</v>
      </c>
      <c r="G165" s="53" t="s">
        <v>265</v>
      </c>
      <c r="H165" s="53" t="s">
        <v>287</v>
      </c>
      <c r="I165" s="53" t="s">
        <v>903</v>
      </c>
      <c r="J165" s="53" t="s">
        <v>904</v>
      </c>
      <c r="K165" s="53" t="s">
        <v>269</v>
      </c>
      <c r="L165" s="53" t="s">
        <v>289</v>
      </c>
      <c r="M165" s="53" t="s">
        <v>904</v>
      </c>
      <c r="N165" s="53" t="s">
        <v>905</v>
      </c>
      <c r="O165" s="53" t="s">
        <v>270</v>
      </c>
      <c r="P165" s="53" t="s">
        <v>290</v>
      </c>
      <c r="Q165" s="53" t="s">
        <v>905</v>
      </c>
      <c r="R165" s="55">
        <v>1</v>
      </c>
      <c r="S165" s="53">
        <v>1</v>
      </c>
      <c r="T165" s="53" t="s">
        <v>137</v>
      </c>
      <c r="U165" s="53" t="s">
        <v>169</v>
      </c>
      <c r="V165" s="53" t="s">
        <v>738</v>
      </c>
      <c r="W165" s="53" t="s">
        <v>786</v>
      </c>
      <c r="X165" s="53" t="s">
        <v>906</v>
      </c>
      <c r="Y165" s="53"/>
      <c r="Z165" s="53"/>
      <c r="AA165" s="53"/>
      <c r="AB165" s="53" t="s">
        <v>274</v>
      </c>
      <c r="AC165" s="53" t="s">
        <v>274</v>
      </c>
      <c r="AD165" s="53" t="s">
        <v>274</v>
      </c>
      <c r="AE165" s="53" t="s">
        <v>274</v>
      </c>
      <c r="AF165" s="53" t="s">
        <v>275</v>
      </c>
      <c r="AG165" s="53" t="s">
        <v>275</v>
      </c>
      <c r="AH165" s="53" t="s">
        <v>274</v>
      </c>
      <c r="AI165" s="53">
        <v>0</v>
      </c>
      <c r="AJ165" s="56" t="s">
        <v>275</v>
      </c>
    </row>
    <row r="166" spans="1:36" x14ac:dyDescent="0.45">
      <c r="A166" s="52">
        <v>129</v>
      </c>
      <c r="B166" s="43">
        <v>950</v>
      </c>
      <c r="C166" s="53" t="s">
        <v>263</v>
      </c>
      <c r="D166" s="53" t="s">
        <v>84</v>
      </c>
      <c r="E166" s="54"/>
      <c r="F166" s="53" t="s">
        <v>907</v>
      </c>
      <c r="G166" s="53"/>
      <c r="H166" s="53" t="s">
        <v>908</v>
      </c>
      <c r="I166" s="53" t="s">
        <v>909</v>
      </c>
      <c r="J166" s="53" t="s">
        <v>910</v>
      </c>
      <c r="K166" s="53"/>
      <c r="L166" s="53" t="s">
        <v>908</v>
      </c>
      <c r="M166" s="53" t="s">
        <v>911</v>
      </c>
      <c r="N166" s="53" t="s">
        <v>912</v>
      </c>
      <c r="O166" s="53"/>
      <c r="P166" s="53" t="s">
        <v>908</v>
      </c>
      <c r="Q166" s="53" t="s">
        <v>913</v>
      </c>
      <c r="R166" s="55">
        <v>10.5</v>
      </c>
      <c r="S166" s="53">
        <v>1</v>
      </c>
      <c r="T166" s="53" t="s">
        <v>131</v>
      </c>
      <c r="U166" s="53" t="s">
        <v>169</v>
      </c>
      <c r="V166" s="53" t="s">
        <v>914</v>
      </c>
      <c r="W166" s="53" t="s">
        <v>915</v>
      </c>
      <c r="X166" s="53" t="s">
        <v>915</v>
      </c>
      <c r="Y166" s="53"/>
      <c r="Z166" s="53"/>
      <c r="AA166" s="53"/>
      <c r="AB166" s="53" t="s">
        <v>274</v>
      </c>
      <c r="AC166" s="53" t="s">
        <v>274</v>
      </c>
      <c r="AD166" s="53" t="s">
        <v>274</v>
      </c>
      <c r="AE166" s="53" t="s">
        <v>274</v>
      </c>
      <c r="AF166" s="53" t="s">
        <v>275</v>
      </c>
      <c r="AG166" s="53" t="s">
        <v>274</v>
      </c>
      <c r="AH166" s="53" t="s">
        <v>274</v>
      </c>
      <c r="AI166" s="53">
        <v>0.05</v>
      </c>
      <c r="AJ166" s="56" t="s">
        <v>275</v>
      </c>
    </row>
    <row r="167" spans="1:36" x14ac:dyDescent="0.45">
      <c r="A167" s="52">
        <v>130</v>
      </c>
      <c r="B167" s="43">
        <v>951</v>
      </c>
      <c r="C167" s="53" t="s">
        <v>263</v>
      </c>
      <c r="D167" s="53" t="s">
        <v>84</v>
      </c>
      <c r="E167" s="54"/>
      <c r="F167" s="53" t="s">
        <v>907</v>
      </c>
      <c r="G167" s="53"/>
      <c r="H167" s="53" t="s">
        <v>916</v>
      </c>
      <c r="I167" s="53" t="s">
        <v>917</v>
      </c>
      <c r="J167" s="53" t="s">
        <v>910</v>
      </c>
      <c r="K167" s="53"/>
      <c r="L167" s="53" t="s">
        <v>916</v>
      </c>
      <c r="M167" s="53" t="s">
        <v>918</v>
      </c>
      <c r="N167" s="53" t="s">
        <v>912</v>
      </c>
      <c r="O167" s="53"/>
      <c r="P167" s="53" t="s">
        <v>916</v>
      </c>
      <c r="Q167" s="53" t="s">
        <v>919</v>
      </c>
      <c r="R167" s="55">
        <v>5</v>
      </c>
      <c r="S167" s="53">
        <v>1</v>
      </c>
      <c r="T167" s="53" t="s">
        <v>131</v>
      </c>
      <c r="U167" s="53" t="s">
        <v>169</v>
      </c>
      <c r="V167" s="53" t="s">
        <v>914</v>
      </c>
      <c r="W167" s="53" t="s">
        <v>915</v>
      </c>
      <c r="X167" s="53" t="s">
        <v>915</v>
      </c>
      <c r="Y167" s="53"/>
      <c r="Z167" s="53"/>
      <c r="AA167" s="53"/>
      <c r="AB167" s="53" t="s">
        <v>274</v>
      </c>
      <c r="AC167" s="53" t="s">
        <v>274</v>
      </c>
      <c r="AD167" s="53" t="s">
        <v>274</v>
      </c>
      <c r="AE167" s="53" t="s">
        <v>274</v>
      </c>
      <c r="AF167" s="53" t="s">
        <v>275</v>
      </c>
      <c r="AG167" s="53" t="s">
        <v>274</v>
      </c>
      <c r="AH167" s="53" t="s">
        <v>274</v>
      </c>
      <c r="AI167" s="53">
        <v>0.05</v>
      </c>
      <c r="AJ167" s="56" t="s">
        <v>275</v>
      </c>
    </row>
    <row r="168" spans="1:36" x14ac:dyDescent="0.45">
      <c r="A168" s="52">
        <v>131</v>
      </c>
      <c r="B168" s="43">
        <v>952</v>
      </c>
      <c r="C168" s="53" t="s">
        <v>263</v>
      </c>
      <c r="D168" s="53" t="s">
        <v>84</v>
      </c>
      <c r="E168" s="54"/>
      <c r="F168" s="53" t="s">
        <v>920</v>
      </c>
      <c r="G168" s="53"/>
      <c r="H168" s="53" t="s">
        <v>921</v>
      </c>
      <c r="I168" s="53" t="s">
        <v>922</v>
      </c>
      <c r="J168" s="53" t="s">
        <v>910</v>
      </c>
      <c r="K168" s="53"/>
      <c r="L168" s="53" t="s">
        <v>921</v>
      </c>
      <c r="M168" s="53" t="s">
        <v>923</v>
      </c>
      <c r="N168" s="53" t="s">
        <v>912</v>
      </c>
      <c r="O168" s="53"/>
      <c r="P168" s="53" t="s">
        <v>921</v>
      </c>
      <c r="Q168" s="53" t="s">
        <v>924</v>
      </c>
      <c r="R168" s="55">
        <v>33</v>
      </c>
      <c r="S168" s="53">
        <v>1</v>
      </c>
      <c r="T168" s="53" t="s">
        <v>131</v>
      </c>
      <c r="U168" s="53" t="s">
        <v>169</v>
      </c>
      <c r="V168" s="53" t="s">
        <v>914</v>
      </c>
      <c r="W168" s="53" t="s">
        <v>915</v>
      </c>
      <c r="X168" s="53" t="s">
        <v>915</v>
      </c>
      <c r="Y168" s="53"/>
      <c r="Z168" s="53"/>
      <c r="AA168" s="53"/>
      <c r="AB168" s="53" t="s">
        <v>274</v>
      </c>
      <c r="AC168" s="53" t="s">
        <v>274</v>
      </c>
      <c r="AD168" s="53" t="s">
        <v>274</v>
      </c>
      <c r="AE168" s="53" t="s">
        <v>274</v>
      </c>
      <c r="AF168" s="53" t="s">
        <v>275</v>
      </c>
      <c r="AG168" s="53" t="s">
        <v>274</v>
      </c>
      <c r="AH168" s="53" t="s">
        <v>274</v>
      </c>
      <c r="AI168" s="53">
        <v>0.05</v>
      </c>
      <c r="AJ168" s="56" t="s">
        <v>275</v>
      </c>
    </row>
    <row r="169" spans="1:36" x14ac:dyDescent="0.45">
      <c r="A169" s="52">
        <v>132</v>
      </c>
      <c r="B169" s="43">
        <v>953</v>
      </c>
      <c r="C169" s="53" t="s">
        <v>263</v>
      </c>
      <c r="D169" s="53" t="s">
        <v>84</v>
      </c>
      <c r="E169" s="54"/>
      <c r="F169" s="53" t="s">
        <v>920</v>
      </c>
      <c r="G169" s="53"/>
      <c r="H169" s="53" t="s">
        <v>925</v>
      </c>
      <c r="I169" s="53" t="s">
        <v>926</v>
      </c>
      <c r="J169" s="53" t="s">
        <v>910</v>
      </c>
      <c r="K169" s="53"/>
      <c r="L169" s="53" t="s">
        <v>925</v>
      </c>
      <c r="M169" s="53" t="s">
        <v>927</v>
      </c>
      <c r="N169" s="53" t="s">
        <v>912</v>
      </c>
      <c r="O169" s="53"/>
      <c r="P169" s="53" t="s">
        <v>925</v>
      </c>
      <c r="Q169" s="53" t="s">
        <v>928</v>
      </c>
      <c r="R169" s="55">
        <v>35</v>
      </c>
      <c r="S169" s="53">
        <v>1</v>
      </c>
      <c r="T169" s="53" t="s">
        <v>131</v>
      </c>
      <c r="U169" s="53" t="s">
        <v>169</v>
      </c>
      <c r="V169" s="53" t="s">
        <v>914</v>
      </c>
      <c r="W169" s="53" t="s">
        <v>915</v>
      </c>
      <c r="X169" s="53" t="s">
        <v>915</v>
      </c>
      <c r="Y169" s="53"/>
      <c r="Z169" s="53"/>
      <c r="AA169" s="53"/>
      <c r="AB169" s="53" t="s">
        <v>274</v>
      </c>
      <c r="AC169" s="53" t="s">
        <v>274</v>
      </c>
      <c r="AD169" s="53" t="s">
        <v>274</v>
      </c>
      <c r="AE169" s="53" t="s">
        <v>274</v>
      </c>
      <c r="AF169" s="53" t="s">
        <v>275</v>
      </c>
      <c r="AG169" s="53" t="s">
        <v>274</v>
      </c>
      <c r="AH169" s="53" t="s">
        <v>274</v>
      </c>
      <c r="AI169" s="53">
        <v>0.05</v>
      </c>
      <c r="AJ169" s="56" t="s">
        <v>275</v>
      </c>
    </row>
    <row r="170" spans="1:36" x14ac:dyDescent="0.45">
      <c r="A170" s="52">
        <v>133</v>
      </c>
      <c r="B170" s="43">
        <v>954</v>
      </c>
      <c r="C170" s="53" t="s">
        <v>263</v>
      </c>
      <c r="D170" s="53" t="s">
        <v>84</v>
      </c>
      <c r="E170" s="54"/>
      <c r="F170" s="53" t="s">
        <v>920</v>
      </c>
      <c r="G170" s="53"/>
      <c r="H170" s="53" t="s">
        <v>929</v>
      </c>
      <c r="I170" s="53" t="s">
        <v>930</v>
      </c>
      <c r="J170" s="53" t="s">
        <v>910</v>
      </c>
      <c r="K170" s="53"/>
      <c r="L170" s="53" t="s">
        <v>929</v>
      </c>
      <c r="M170" s="53" t="s">
        <v>931</v>
      </c>
      <c r="N170" s="53" t="s">
        <v>912</v>
      </c>
      <c r="O170" s="53"/>
      <c r="P170" s="53" t="s">
        <v>929</v>
      </c>
      <c r="Q170" s="53" t="s">
        <v>932</v>
      </c>
      <c r="R170" s="55">
        <v>7.5</v>
      </c>
      <c r="S170" s="53">
        <v>1</v>
      </c>
      <c r="T170" s="53" t="s">
        <v>131</v>
      </c>
      <c r="U170" s="53" t="s">
        <v>169</v>
      </c>
      <c r="V170" s="53" t="s">
        <v>914</v>
      </c>
      <c r="W170" s="53" t="s">
        <v>915</v>
      </c>
      <c r="X170" s="53" t="s">
        <v>915</v>
      </c>
      <c r="Y170" s="53"/>
      <c r="Z170" s="53"/>
      <c r="AA170" s="53"/>
      <c r="AB170" s="53" t="s">
        <v>274</v>
      </c>
      <c r="AC170" s="53" t="s">
        <v>274</v>
      </c>
      <c r="AD170" s="53" t="s">
        <v>274</v>
      </c>
      <c r="AE170" s="53" t="s">
        <v>274</v>
      </c>
      <c r="AF170" s="53" t="s">
        <v>275</v>
      </c>
      <c r="AG170" s="53" t="s">
        <v>274</v>
      </c>
      <c r="AH170" s="53" t="s">
        <v>274</v>
      </c>
      <c r="AI170" s="53">
        <v>0.05</v>
      </c>
      <c r="AJ170" s="56" t="s">
        <v>275</v>
      </c>
    </row>
    <row r="171" spans="1:36" x14ac:dyDescent="0.45">
      <c r="A171" s="52">
        <v>139</v>
      </c>
      <c r="B171" s="43">
        <v>955</v>
      </c>
      <c r="C171" s="53" t="s">
        <v>263</v>
      </c>
      <c r="D171" s="53" t="s">
        <v>84</v>
      </c>
      <c r="E171" s="54"/>
      <c r="F171" s="53" t="s">
        <v>933</v>
      </c>
      <c r="G171" s="53"/>
      <c r="H171" s="53" t="s">
        <v>287</v>
      </c>
      <c r="I171" s="53" t="s">
        <v>933</v>
      </c>
      <c r="J171" s="53" t="s">
        <v>934</v>
      </c>
      <c r="K171" s="53"/>
      <c r="L171" s="53" t="s">
        <v>289</v>
      </c>
      <c r="M171" s="53" t="s">
        <v>934</v>
      </c>
      <c r="N171" s="53" t="s">
        <v>935</v>
      </c>
      <c r="O171" s="53"/>
      <c r="P171" s="53" t="s">
        <v>290</v>
      </c>
      <c r="Q171" s="53" t="s">
        <v>935</v>
      </c>
      <c r="R171" s="55">
        <v>1</v>
      </c>
      <c r="S171" s="53">
        <v>1</v>
      </c>
      <c r="T171" s="53" t="s">
        <v>137</v>
      </c>
      <c r="U171" s="53" t="s">
        <v>169</v>
      </c>
      <c r="V171" s="53" t="s">
        <v>914</v>
      </c>
      <c r="W171" s="53" t="s">
        <v>915</v>
      </c>
      <c r="X171" s="53" t="s">
        <v>915</v>
      </c>
      <c r="Y171" s="53"/>
      <c r="Z171" s="53"/>
      <c r="AA171" s="53"/>
      <c r="AB171" s="53" t="s">
        <v>274</v>
      </c>
      <c r="AC171" s="53" t="s">
        <v>274</v>
      </c>
      <c r="AD171" s="53" t="s">
        <v>274</v>
      </c>
      <c r="AE171" s="53" t="s">
        <v>274</v>
      </c>
      <c r="AF171" s="53" t="s">
        <v>275</v>
      </c>
      <c r="AG171" s="53" t="s">
        <v>274</v>
      </c>
      <c r="AH171" s="53" t="s">
        <v>274</v>
      </c>
      <c r="AI171" s="53">
        <v>0.05</v>
      </c>
      <c r="AJ171" s="56" t="s">
        <v>275</v>
      </c>
    </row>
    <row r="172" spans="1:36" x14ac:dyDescent="0.45">
      <c r="A172" s="52">
        <v>140</v>
      </c>
      <c r="B172" s="43">
        <v>956</v>
      </c>
      <c r="C172" s="53" t="s">
        <v>263</v>
      </c>
      <c r="D172" s="53" t="s">
        <v>84</v>
      </c>
      <c r="E172" s="54"/>
      <c r="F172" s="53" t="s">
        <v>936</v>
      </c>
      <c r="G172" s="53"/>
      <c r="H172" s="53" t="s">
        <v>287</v>
      </c>
      <c r="I172" s="53" t="s">
        <v>936</v>
      </c>
      <c r="J172" s="53" t="s">
        <v>937</v>
      </c>
      <c r="K172" s="53"/>
      <c r="L172" s="53" t="s">
        <v>289</v>
      </c>
      <c r="M172" s="53" t="s">
        <v>937</v>
      </c>
      <c r="N172" s="53" t="s">
        <v>938</v>
      </c>
      <c r="O172" s="53"/>
      <c r="P172" s="53" t="s">
        <v>290</v>
      </c>
      <c r="Q172" s="53" t="s">
        <v>938</v>
      </c>
      <c r="R172" s="55">
        <v>1</v>
      </c>
      <c r="S172" s="53">
        <v>1</v>
      </c>
      <c r="T172" s="53" t="s">
        <v>137</v>
      </c>
      <c r="U172" s="53" t="s">
        <v>169</v>
      </c>
      <c r="V172" s="53" t="s">
        <v>914</v>
      </c>
      <c r="W172" s="53" t="s">
        <v>915</v>
      </c>
      <c r="X172" s="53" t="s">
        <v>915</v>
      </c>
      <c r="Y172" s="53"/>
      <c r="Z172" s="53"/>
      <c r="AA172" s="53"/>
      <c r="AB172" s="53" t="s">
        <v>274</v>
      </c>
      <c r="AC172" s="53" t="s">
        <v>274</v>
      </c>
      <c r="AD172" s="53" t="s">
        <v>274</v>
      </c>
      <c r="AE172" s="53" t="s">
        <v>274</v>
      </c>
      <c r="AF172" s="53" t="s">
        <v>275</v>
      </c>
      <c r="AG172" s="53" t="s">
        <v>274</v>
      </c>
      <c r="AH172" s="53" t="s">
        <v>274</v>
      </c>
      <c r="AI172" s="53">
        <v>0.05</v>
      </c>
      <c r="AJ172" s="56" t="s">
        <v>275</v>
      </c>
    </row>
    <row r="173" spans="1:36" x14ac:dyDescent="0.45">
      <c r="A173" s="52">
        <v>141</v>
      </c>
      <c r="B173" s="43">
        <v>957</v>
      </c>
      <c r="C173" s="53" t="s">
        <v>263</v>
      </c>
      <c r="D173" s="53" t="s">
        <v>84</v>
      </c>
      <c r="E173" s="54"/>
      <c r="F173" s="53" t="s">
        <v>939</v>
      </c>
      <c r="G173" s="53"/>
      <c r="H173" s="53" t="s">
        <v>287</v>
      </c>
      <c r="I173" s="53" t="s">
        <v>939</v>
      </c>
      <c r="J173" s="53" t="s">
        <v>940</v>
      </c>
      <c r="K173" s="53"/>
      <c r="L173" s="53" t="s">
        <v>289</v>
      </c>
      <c r="M173" s="53" t="s">
        <v>940</v>
      </c>
      <c r="N173" s="53" t="s">
        <v>941</v>
      </c>
      <c r="O173" s="53"/>
      <c r="P173" s="53" t="s">
        <v>290</v>
      </c>
      <c r="Q173" s="53" t="s">
        <v>941</v>
      </c>
      <c r="R173" s="55">
        <v>1</v>
      </c>
      <c r="S173" s="53">
        <v>1</v>
      </c>
      <c r="T173" s="53" t="s">
        <v>137</v>
      </c>
      <c r="U173" s="53" t="s">
        <v>169</v>
      </c>
      <c r="V173" s="53" t="s">
        <v>914</v>
      </c>
      <c r="W173" s="53" t="s">
        <v>915</v>
      </c>
      <c r="X173" s="53" t="s">
        <v>915</v>
      </c>
      <c r="Y173" s="53"/>
      <c r="Z173" s="53"/>
      <c r="AA173" s="53"/>
      <c r="AB173" s="53" t="s">
        <v>274</v>
      </c>
      <c r="AC173" s="53" t="s">
        <v>274</v>
      </c>
      <c r="AD173" s="53" t="s">
        <v>274</v>
      </c>
      <c r="AE173" s="53" t="s">
        <v>274</v>
      </c>
      <c r="AF173" s="53" t="s">
        <v>275</v>
      </c>
      <c r="AG173" s="53" t="s">
        <v>274</v>
      </c>
      <c r="AH173" s="53" t="s">
        <v>274</v>
      </c>
      <c r="AI173" s="53">
        <v>0.05</v>
      </c>
      <c r="AJ173" s="56" t="s">
        <v>275</v>
      </c>
    </row>
    <row r="174" spans="1:36" x14ac:dyDescent="0.45">
      <c r="A174" s="52">
        <v>142</v>
      </c>
      <c r="B174" s="43">
        <v>958</v>
      </c>
      <c r="C174" s="53" t="s">
        <v>263</v>
      </c>
      <c r="D174" s="53" t="s">
        <v>84</v>
      </c>
      <c r="E174" s="54"/>
      <c r="F174" s="53" t="s">
        <v>942</v>
      </c>
      <c r="G174" s="53"/>
      <c r="H174" s="53" t="s">
        <v>287</v>
      </c>
      <c r="I174" s="53" t="s">
        <v>942</v>
      </c>
      <c r="J174" s="53" t="s">
        <v>942</v>
      </c>
      <c r="K174" s="53"/>
      <c r="L174" s="53" t="s">
        <v>289</v>
      </c>
      <c r="M174" s="53" t="s">
        <v>942</v>
      </c>
      <c r="N174" s="53" t="s">
        <v>943</v>
      </c>
      <c r="O174" s="53"/>
      <c r="P174" s="53" t="s">
        <v>290</v>
      </c>
      <c r="Q174" s="53" t="s">
        <v>943</v>
      </c>
      <c r="R174" s="55">
        <v>1</v>
      </c>
      <c r="S174" s="53">
        <v>1</v>
      </c>
      <c r="T174" s="53" t="s">
        <v>137</v>
      </c>
      <c r="U174" s="53" t="s">
        <v>169</v>
      </c>
      <c r="V174" s="53" t="s">
        <v>914</v>
      </c>
      <c r="W174" s="53" t="s">
        <v>915</v>
      </c>
      <c r="X174" s="53" t="s">
        <v>915</v>
      </c>
      <c r="Y174" s="53"/>
      <c r="Z174" s="53"/>
      <c r="AA174" s="53"/>
      <c r="AB174" s="53" t="s">
        <v>274</v>
      </c>
      <c r="AC174" s="53" t="s">
        <v>274</v>
      </c>
      <c r="AD174" s="53" t="s">
        <v>274</v>
      </c>
      <c r="AE174" s="53" t="s">
        <v>274</v>
      </c>
      <c r="AF174" s="53" t="s">
        <v>275</v>
      </c>
      <c r="AG174" s="53" t="s">
        <v>274</v>
      </c>
      <c r="AH174" s="53" t="s">
        <v>274</v>
      </c>
      <c r="AI174" s="53">
        <v>0.05</v>
      </c>
      <c r="AJ174" s="56" t="s">
        <v>275</v>
      </c>
    </row>
    <row r="175" spans="1:36" x14ac:dyDescent="0.45">
      <c r="A175" s="52">
        <v>144</v>
      </c>
      <c r="B175" s="43">
        <v>959</v>
      </c>
      <c r="C175" s="53" t="s">
        <v>263</v>
      </c>
      <c r="D175" s="53" t="s">
        <v>84</v>
      </c>
      <c r="E175" s="54"/>
      <c r="F175" s="53" t="s">
        <v>944</v>
      </c>
      <c r="G175" s="53"/>
      <c r="H175" s="53" t="s">
        <v>287</v>
      </c>
      <c r="I175" s="53" t="s">
        <v>944</v>
      </c>
      <c r="J175" s="53" t="s">
        <v>945</v>
      </c>
      <c r="K175" s="53"/>
      <c r="L175" s="53" t="s">
        <v>289</v>
      </c>
      <c r="M175" s="53" t="s">
        <v>945</v>
      </c>
      <c r="N175" s="53" t="s">
        <v>946</v>
      </c>
      <c r="O175" s="53"/>
      <c r="P175" s="53" t="s">
        <v>290</v>
      </c>
      <c r="Q175" s="53" t="s">
        <v>946</v>
      </c>
      <c r="R175" s="55">
        <v>1</v>
      </c>
      <c r="S175" s="53">
        <v>1</v>
      </c>
      <c r="T175" s="53" t="s">
        <v>137</v>
      </c>
      <c r="U175" s="53" t="s">
        <v>169</v>
      </c>
      <c r="V175" s="53" t="s">
        <v>914</v>
      </c>
      <c r="W175" s="53" t="s">
        <v>915</v>
      </c>
      <c r="X175" s="53" t="s">
        <v>915</v>
      </c>
      <c r="Y175" s="53"/>
      <c r="Z175" s="53"/>
      <c r="AA175" s="53"/>
      <c r="AB175" s="53" t="s">
        <v>274</v>
      </c>
      <c r="AC175" s="53" t="s">
        <v>274</v>
      </c>
      <c r="AD175" s="53" t="s">
        <v>274</v>
      </c>
      <c r="AE175" s="53" t="s">
        <v>274</v>
      </c>
      <c r="AF175" s="53" t="s">
        <v>275</v>
      </c>
      <c r="AG175" s="53" t="s">
        <v>274</v>
      </c>
      <c r="AH175" s="53" t="s">
        <v>274</v>
      </c>
      <c r="AI175" s="53">
        <v>0</v>
      </c>
      <c r="AJ175" s="56" t="s">
        <v>275</v>
      </c>
    </row>
    <row r="176" spans="1:36" x14ac:dyDescent="0.45">
      <c r="A176" s="52">
        <v>124</v>
      </c>
      <c r="B176" s="43">
        <v>960</v>
      </c>
      <c r="C176" s="53" t="s">
        <v>263</v>
      </c>
      <c r="D176" s="53" t="s">
        <v>84</v>
      </c>
      <c r="E176" s="54"/>
      <c r="F176" s="53" t="s">
        <v>947</v>
      </c>
      <c r="G176" s="53"/>
      <c r="H176" s="53" t="s">
        <v>287</v>
      </c>
      <c r="I176" s="53" t="s">
        <v>947</v>
      </c>
      <c r="J176" s="53" t="s">
        <v>948</v>
      </c>
      <c r="K176" s="53"/>
      <c r="L176" s="53" t="s">
        <v>289</v>
      </c>
      <c r="M176" s="53" t="s">
        <v>948</v>
      </c>
      <c r="N176" s="53" t="s">
        <v>949</v>
      </c>
      <c r="O176" s="53"/>
      <c r="P176" s="53" t="s">
        <v>290</v>
      </c>
      <c r="Q176" s="53" t="s">
        <v>949</v>
      </c>
      <c r="R176" s="55">
        <v>1</v>
      </c>
      <c r="S176" s="53">
        <v>1</v>
      </c>
      <c r="T176" s="53" t="s">
        <v>137</v>
      </c>
      <c r="U176" s="53" t="s">
        <v>169</v>
      </c>
      <c r="V176" s="53" t="s">
        <v>914</v>
      </c>
      <c r="W176" s="53" t="s">
        <v>915</v>
      </c>
      <c r="X176" s="53" t="s">
        <v>950</v>
      </c>
      <c r="Y176" s="53"/>
      <c r="Z176" s="53"/>
      <c r="AA176" s="53"/>
      <c r="AB176" s="53" t="s">
        <v>274</v>
      </c>
      <c r="AC176" s="53" t="s">
        <v>274</v>
      </c>
      <c r="AD176" s="53" t="s">
        <v>274</v>
      </c>
      <c r="AE176" s="53" t="s">
        <v>274</v>
      </c>
      <c r="AF176" s="53" t="s">
        <v>275</v>
      </c>
      <c r="AG176" s="53" t="s">
        <v>275</v>
      </c>
      <c r="AH176" s="53" t="s">
        <v>274</v>
      </c>
      <c r="AI176" s="53">
        <v>0.05</v>
      </c>
      <c r="AJ176" s="56" t="s">
        <v>275</v>
      </c>
    </row>
    <row r="177" spans="1:36" x14ac:dyDescent="0.45">
      <c r="A177" s="52">
        <v>125</v>
      </c>
      <c r="B177" s="43">
        <v>961</v>
      </c>
      <c r="C177" s="53" t="s">
        <v>263</v>
      </c>
      <c r="D177" s="53" t="s">
        <v>84</v>
      </c>
      <c r="E177" s="54"/>
      <c r="F177" s="53" t="s">
        <v>951</v>
      </c>
      <c r="G177" s="53"/>
      <c r="H177" s="53" t="s">
        <v>287</v>
      </c>
      <c r="I177" s="53" t="s">
        <v>952</v>
      </c>
      <c r="J177" s="53" t="s">
        <v>953</v>
      </c>
      <c r="K177" s="53"/>
      <c r="L177" s="53" t="s">
        <v>289</v>
      </c>
      <c r="M177" s="53" t="s">
        <v>954</v>
      </c>
      <c r="N177" s="53" t="s">
        <v>955</v>
      </c>
      <c r="O177" s="53"/>
      <c r="P177" s="53" t="s">
        <v>290</v>
      </c>
      <c r="Q177" s="53" t="s">
        <v>956</v>
      </c>
      <c r="R177" s="55">
        <v>1</v>
      </c>
      <c r="S177" s="53">
        <v>1</v>
      </c>
      <c r="T177" s="53" t="s">
        <v>137</v>
      </c>
      <c r="U177" s="53" t="s">
        <v>169</v>
      </c>
      <c r="V177" s="53" t="s">
        <v>914</v>
      </c>
      <c r="W177" s="53" t="s">
        <v>915</v>
      </c>
      <c r="X177" s="53" t="s">
        <v>950</v>
      </c>
      <c r="Y177" s="53"/>
      <c r="Z177" s="53"/>
      <c r="AA177" s="53"/>
      <c r="AB177" s="53" t="s">
        <v>274</v>
      </c>
      <c r="AC177" s="53" t="s">
        <v>274</v>
      </c>
      <c r="AD177" s="53" t="s">
        <v>274</v>
      </c>
      <c r="AE177" s="53" t="s">
        <v>274</v>
      </c>
      <c r="AF177" s="53" t="s">
        <v>275</v>
      </c>
      <c r="AG177" s="53" t="s">
        <v>275</v>
      </c>
      <c r="AH177" s="53" t="s">
        <v>274</v>
      </c>
      <c r="AI177" s="53">
        <v>0.05</v>
      </c>
      <c r="AJ177" s="56" t="s">
        <v>275</v>
      </c>
    </row>
    <row r="178" spans="1:36" x14ac:dyDescent="0.45">
      <c r="A178" s="52">
        <v>126</v>
      </c>
      <c r="B178" s="43">
        <v>962</v>
      </c>
      <c r="C178" s="53" t="s">
        <v>263</v>
      </c>
      <c r="D178" s="53" t="s">
        <v>84</v>
      </c>
      <c r="E178" s="54"/>
      <c r="F178" s="53" t="s">
        <v>951</v>
      </c>
      <c r="G178" s="53"/>
      <c r="H178" s="53" t="s">
        <v>957</v>
      </c>
      <c r="I178" s="53" t="s">
        <v>958</v>
      </c>
      <c r="J178" s="53" t="s">
        <v>953</v>
      </c>
      <c r="K178" s="53"/>
      <c r="L178" s="53" t="s">
        <v>959</v>
      </c>
      <c r="M178" s="53" t="s">
        <v>960</v>
      </c>
      <c r="N178" s="53" t="s">
        <v>955</v>
      </c>
      <c r="O178" s="53"/>
      <c r="P178" s="53" t="s">
        <v>959</v>
      </c>
      <c r="Q178" s="53" t="s">
        <v>961</v>
      </c>
      <c r="R178" s="55">
        <v>1</v>
      </c>
      <c r="S178" s="53">
        <v>1</v>
      </c>
      <c r="T178" s="53" t="s">
        <v>137</v>
      </c>
      <c r="U178" s="53" t="s">
        <v>169</v>
      </c>
      <c r="V178" s="53" t="s">
        <v>914</v>
      </c>
      <c r="W178" s="53" t="s">
        <v>915</v>
      </c>
      <c r="X178" s="53" t="s">
        <v>950</v>
      </c>
      <c r="Y178" s="53"/>
      <c r="Z178" s="53"/>
      <c r="AA178" s="53"/>
      <c r="AB178" s="53" t="s">
        <v>274</v>
      </c>
      <c r="AC178" s="53" t="s">
        <v>274</v>
      </c>
      <c r="AD178" s="53" t="s">
        <v>274</v>
      </c>
      <c r="AE178" s="53" t="s">
        <v>274</v>
      </c>
      <c r="AF178" s="53" t="s">
        <v>275</v>
      </c>
      <c r="AG178" s="53" t="s">
        <v>275</v>
      </c>
      <c r="AH178" s="53" t="s">
        <v>274</v>
      </c>
      <c r="AI178" s="53">
        <v>0.05</v>
      </c>
      <c r="AJ178" s="56" t="s">
        <v>275</v>
      </c>
    </row>
    <row r="179" spans="1:36" x14ac:dyDescent="0.45">
      <c r="A179" s="52">
        <v>127</v>
      </c>
      <c r="B179" s="43">
        <v>963</v>
      </c>
      <c r="C179" s="53" t="s">
        <v>263</v>
      </c>
      <c r="D179" s="53" t="s">
        <v>84</v>
      </c>
      <c r="E179" s="54"/>
      <c r="F179" s="53" t="s">
        <v>951</v>
      </c>
      <c r="G179" s="53"/>
      <c r="H179" s="53" t="s">
        <v>962</v>
      </c>
      <c r="I179" s="53" t="s">
        <v>963</v>
      </c>
      <c r="J179" s="53" t="s">
        <v>953</v>
      </c>
      <c r="K179" s="53"/>
      <c r="L179" s="53" t="s">
        <v>964</v>
      </c>
      <c r="M179" s="53" t="s">
        <v>965</v>
      </c>
      <c r="N179" s="53" t="s">
        <v>955</v>
      </c>
      <c r="O179" s="53"/>
      <c r="P179" s="53" t="s">
        <v>964</v>
      </c>
      <c r="Q179" s="53" t="s">
        <v>966</v>
      </c>
      <c r="R179" s="55">
        <v>1</v>
      </c>
      <c r="S179" s="53">
        <v>1</v>
      </c>
      <c r="T179" s="53" t="s">
        <v>137</v>
      </c>
      <c r="U179" s="53" t="s">
        <v>169</v>
      </c>
      <c r="V179" s="53" t="s">
        <v>914</v>
      </c>
      <c r="W179" s="53" t="s">
        <v>915</v>
      </c>
      <c r="X179" s="53" t="s">
        <v>950</v>
      </c>
      <c r="Y179" s="53"/>
      <c r="Z179" s="53"/>
      <c r="AA179" s="53"/>
      <c r="AB179" s="53" t="s">
        <v>274</v>
      </c>
      <c r="AC179" s="53" t="s">
        <v>274</v>
      </c>
      <c r="AD179" s="53" t="s">
        <v>274</v>
      </c>
      <c r="AE179" s="53" t="s">
        <v>274</v>
      </c>
      <c r="AF179" s="53" t="s">
        <v>275</v>
      </c>
      <c r="AG179" s="53" t="s">
        <v>275</v>
      </c>
      <c r="AH179" s="53" t="s">
        <v>274</v>
      </c>
      <c r="AI179" s="53">
        <v>0.05</v>
      </c>
      <c r="AJ179" s="56" t="s">
        <v>275</v>
      </c>
    </row>
    <row r="180" spans="1:36" x14ac:dyDescent="0.45">
      <c r="A180" s="52">
        <v>128</v>
      </c>
      <c r="B180" s="43">
        <v>964</v>
      </c>
      <c r="C180" s="53" t="s">
        <v>263</v>
      </c>
      <c r="D180" s="53" t="s">
        <v>84</v>
      </c>
      <c r="E180" s="54"/>
      <c r="F180" s="53" t="s">
        <v>967</v>
      </c>
      <c r="G180" s="53"/>
      <c r="H180" s="53" t="s">
        <v>968</v>
      </c>
      <c r="I180" s="53" t="s">
        <v>969</v>
      </c>
      <c r="J180" s="53" t="s">
        <v>953</v>
      </c>
      <c r="K180" s="53"/>
      <c r="L180" s="53" t="s">
        <v>970</v>
      </c>
      <c r="M180" s="53" t="s">
        <v>971</v>
      </c>
      <c r="N180" s="53" t="s">
        <v>955</v>
      </c>
      <c r="O180" s="53"/>
      <c r="P180" s="53" t="s">
        <v>970</v>
      </c>
      <c r="Q180" s="53" t="s">
        <v>972</v>
      </c>
      <c r="R180" s="55">
        <v>1</v>
      </c>
      <c r="S180" s="53">
        <v>1</v>
      </c>
      <c r="T180" s="53" t="s">
        <v>137</v>
      </c>
      <c r="U180" s="53" t="s">
        <v>169</v>
      </c>
      <c r="V180" s="53" t="s">
        <v>914</v>
      </c>
      <c r="W180" s="53" t="s">
        <v>915</v>
      </c>
      <c r="X180" s="53" t="s">
        <v>950</v>
      </c>
      <c r="Y180" s="53"/>
      <c r="Z180" s="53"/>
      <c r="AA180" s="53"/>
      <c r="AB180" s="53" t="s">
        <v>274</v>
      </c>
      <c r="AC180" s="53" t="s">
        <v>274</v>
      </c>
      <c r="AD180" s="53" t="s">
        <v>274</v>
      </c>
      <c r="AE180" s="53" t="s">
        <v>274</v>
      </c>
      <c r="AF180" s="53" t="s">
        <v>275</v>
      </c>
      <c r="AG180" s="53" t="s">
        <v>275</v>
      </c>
      <c r="AH180" s="53" t="s">
        <v>274</v>
      </c>
      <c r="AI180" s="53">
        <v>0.05</v>
      </c>
      <c r="AJ180" s="56" t="s">
        <v>275</v>
      </c>
    </row>
    <row r="181" spans="1:36" x14ac:dyDescent="0.45">
      <c r="A181" s="52">
        <v>134</v>
      </c>
      <c r="B181" s="43">
        <v>965</v>
      </c>
      <c r="C181" s="53" t="s">
        <v>263</v>
      </c>
      <c r="D181" s="53" t="s">
        <v>84</v>
      </c>
      <c r="E181" s="54"/>
      <c r="F181" s="53" t="s">
        <v>973</v>
      </c>
      <c r="G181" s="53"/>
      <c r="H181" s="53" t="s">
        <v>287</v>
      </c>
      <c r="I181" s="53" t="s">
        <v>973</v>
      </c>
      <c r="J181" s="53" t="s">
        <v>974</v>
      </c>
      <c r="K181" s="53"/>
      <c r="L181" s="53" t="s">
        <v>289</v>
      </c>
      <c r="M181" s="53" t="s">
        <v>974</v>
      </c>
      <c r="N181" s="53" t="s">
        <v>975</v>
      </c>
      <c r="O181" s="53"/>
      <c r="P181" s="53" t="s">
        <v>290</v>
      </c>
      <c r="Q181" s="53" t="s">
        <v>975</v>
      </c>
      <c r="R181" s="55">
        <v>1</v>
      </c>
      <c r="S181" s="53">
        <v>1</v>
      </c>
      <c r="T181" s="53" t="s">
        <v>137</v>
      </c>
      <c r="U181" s="53" t="s">
        <v>169</v>
      </c>
      <c r="V181" s="53" t="s">
        <v>914</v>
      </c>
      <c r="W181" s="53" t="s">
        <v>915</v>
      </c>
      <c r="X181" s="53" t="s">
        <v>950</v>
      </c>
      <c r="Y181" s="53"/>
      <c r="Z181" s="53"/>
      <c r="AA181" s="53"/>
      <c r="AB181" s="53" t="s">
        <v>274</v>
      </c>
      <c r="AC181" s="53" t="s">
        <v>274</v>
      </c>
      <c r="AD181" s="53" t="s">
        <v>274</v>
      </c>
      <c r="AE181" s="53" t="s">
        <v>274</v>
      </c>
      <c r="AF181" s="53" t="s">
        <v>275</v>
      </c>
      <c r="AG181" s="53" t="s">
        <v>275</v>
      </c>
      <c r="AH181" s="53" t="s">
        <v>274</v>
      </c>
      <c r="AI181" s="53">
        <v>0.05</v>
      </c>
      <c r="AJ181" s="56" t="s">
        <v>275</v>
      </c>
    </row>
    <row r="182" spans="1:36" x14ac:dyDescent="0.45">
      <c r="A182" s="52">
        <v>135</v>
      </c>
      <c r="B182" s="43">
        <v>966</v>
      </c>
      <c r="C182" s="53" t="s">
        <v>263</v>
      </c>
      <c r="D182" s="53" t="s">
        <v>84</v>
      </c>
      <c r="E182" s="54"/>
      <c r="F182" s="53" t="s">
        <v>976</v>
      </c>
      <c r="G182" s="53"/>
      <c r="H182" s="53" t="s">
        <v>977</v>
      </c>
      <c r="I182" s="53" t="s">
        <v>978</v>
      </c>
      <c r="J182" s="53" t="s">
        <v>979</v>
      </c>
      <c r="K182" s="53"/>
      <c r="L182" s="53" t="s">
        <v>980</v>
      </c>
      <c r="M182" s="53" t="s">
        <v>981</v>
      </c>
      <c r="N182" s="53" t="s">
        <v>982</v>
      </c>
      <c r="O182" s="53"/>
      <c r="P182" s="53" t="s">
        <v>980</v>
      </c>
      <c r="Q182" s="53" t="s">
        <v>983</v>
      </c>
      <c r="R182" s="55">
        <v>1</v>
      </c>
      <c r="S182" s="53">
        <v>1</v>
      </c>
      <c r="T182" s="53" t="s">
        <v>137</v>
      </c>
      <c r="U182" s="53" t="s">
        <v>169</v>
      </c>
      <c r="V182" s="53" t="s">
        <v>914</v>
      </c>
      <c r="W182" s="53" t="s">
        <v>915</v>
      </c>
      <c r="X182" s="53" t="s">
        <v>950</v>
      </c>
      <c r="Y182" s="53"/>
      <c r="Z182" s="53"/>
      <c r="AA182" s="53"/>
      <c r="AB182" s="53" t="s">
        <v>274</v>
      </c>
      <c r="AC182" s="53" t="s">
        <v>274</v>
      </c>
      <c r="AD182" s="53" t="s">
        <v>274</v>
      </c>
      <c r="AE182" s="53" t="s">
        <v>274</v>
      </c>
      <c r="AF182" s="53" t="s">
        <v>275</v>
      </c>
      <c r="AG182" s="53" t="s">
        <v>275</v>
      </c>
      <c r="AH182" s="53" t="s">
        <v>274</v>
      </c>
      <c r="AI182" s="53">
        <v>0.05</v>
      </c>
      <c r="AJ182" s="56" t="s">
        <v>275</v>
      </c>
    </row>
    <row r="183" spans="1:36" x14ac:dyDescent="0.45">
      <c r="A183" s="52">
        <v>136</v>
      </c>
      <c r="B183" s="43">
        <v>967</v>
      </c>
      <c r="C183" s="53" t="s">
        <v>263</v>
      </c>
      <c r="D183" s="53" t="s">
        <v>84</v>
      </c>
      <c r="E183" s="54"/>
      <c r="F183" s="53" t="s">
        <v>976</v>
      </c>
      <c r="G183" s="53"/>
      <c r="H183" s="53" t="s">
        <v>984</v>
      </c>
      <c r="I183" s="53" t="s">
        <v>985</v>
      </c>
      <c r="J183" s="53" t="s">
        <v>979</v>
      </c>
      <c r="K183" s="53"/>
      <c r="L183" s="53" t="s">
        <v>986</v>
      </c>
      <c r="M183" s="53" t="s">
        <v>987</v>
      </c>
      <c r="N183" s="53" t="s">
        <v>982</v>
      </c>
      <c r="O183" s="53"/>
      <c r="P183" s="53" t="s">
        <v>986</v>
      </c>
      <c r="Q183" s="53" t="s">
        <v>988</v>
      </c>
      <c r="R183" s="55">
        <v>1</v>
      </c>
      <c r="S183" s="53">
        <v>1</v>
      </c>
      <c r="T183" s="53" t="s">
        <v>137</v>
      </c>
      <c r="U183" s="53" t="s">
        <v>169</v>
      </c>
      <c r="V183" s="53" t="s">
        <v>914</v>
      </c>
      <c r="W183" s="53" t="s">
        <v>915</v>
      </c>
      <c r="X183" s="53" t="s">
        <v>950</v>
      </c>
      <c r="Y183" s="53"/>
      <c r="Z183" s="53"/>
      <c r="AA183" s="53"/>
      <c r="AB183" s="53" t="s">
        <v>274</v>
      </c>
      <c r="AC183" s="53" t="s">
        <v>274</v>
      </c>
      <c r="AD183" s="53" t="s">
        <v>274</v>
      </c>
      <c r="AE183" s="53" t="s">
        <v>274</v>
      </c>
      <c r="AF183" s="53" t="s">
        <v>275</v>
      </c>
      <c r="AG183" s="53" t="s">
        <v>275</v>
      </c>
      <c r="AH183" s="53" t="s">
        <v>274</v>
      </c>
      <c r="AI183" s="53">
        <v>0.05</v>
      </c>
      <c r="AJ183" s="56" t="s">
        <v>275</v>
      </c>
    </row>
    <row r="184" spans="1:36" x14ac:dyDescent="0.45">
      <c r="A184" s="52">
        <v>137</v>
      </c>
      <c r="B184" s="43">
        <v>968</v>
      </c>
      <c r="C184" s="53" t="s">
        <v>263</v>
      </c>
      <c r="D184" s="53" t="s">
        <v>84</v>
      </c>
      <c r="E184" s="54"/>
      <c r="F184" s="53" t="s">
        <v>976</v>
      </c>
      <c r="G184" s="53"/>
      <c r="H184" s="53" t="s">
        <v>989</v>
      </c>
      <c r="I184" s="53" t="s">
        <v>990</v>
      </c>
      <c r="J184" s="53" t="s">
        <v>979</v>
      </c>
      <c r="K184" s="53"/>
      <c r="L184" s="53" t="s">
        <v>991</v>
      </c>
      <c r="M184" s="53" t="s">
        <v>992</v>
      </c>
      <c r="N184" s="53" t="s">
        <v>982</v>
      </c>
      <c r="O184" s="53"/>
      <c r="P184" s="53" t="s">
        <v>991</v>
      </c>
      <c r="Q184" s="53" t="s">
        <v>993</v>
      </c>
      <c r="R184" s="55">
        <v>1</v>
      </c>
      <c r="S184" s="53">
        <v>1</v>
      </c>
      <c r="T184" s="53" t="s">
        <v>137</v>
      </c>
      <c r="U184" s="53" t="s">
        <v>169</v>
      </c>
      <c r="V184" s="53" t="s">
        <v>914</v>
      </c>
      <c r="W184" s="53" t="s">
        <v>915</v>
      </c>
      <c r="X184" s="53" t="s">
        <v>950</v>
      </c>
      <c r="Y184" s="53"/>
      <c r="Z184" s="53"/>
      <c r="AA184" s="53"/>
      <c r="AB184" s="53" t="s">
        <v>274</v>
      </c>
      <c r="AC184" s="53" t="s">
        <v>274</v>
      </c>
      <c r="AD184" s="53" t="s">
        <v>274</v>
      </c>
      <c r="AE184" s="53" t="s">
        <v>274</v>
      </c>
      <c r="AF184" s="53" t="s">
        <v>275</v>
      </c>
      <c r="AG184" s="53" t="s">
        <v>275</v>
      </c>
      <c r="AH184" s="53" t="s">
        <v>274</v>
      </c>
      <c r="AI184" s="53">
        <v>0.05</v>
      </c>
      <c r="AJ184" s="56" t="s">
        <v>275</v>
      </c>
    </row>
    <row r="185" spans="1:36" x14ac:dyDescent="0.45">
      <c r="A185" s="52">
        <v>138</v>
      </c>
      <c r="B185" s="43">
        <v>969</v>
      </c>
      <c r="C185" s="53" t="s">
        <v>263</v>
      </c>
      <c r="D185" s="53" t="s">
        <v>84</v>
      </c>
      <c r="E185" s="54"/>
      <c r="F185" s="53" t="s">
        <v>976</v>
      </c>
      <c r="G185" s="53"/>
      <c r="H185" s="53" t="s">
        <v>994</v>
      </c>
      <c r="I185" s="53" t="s">
        <v>995</v>
      </c>
      <c r="J185" s="53" t="s">
        <v>979</v>
      </c>
      <c r="K185" s="53"/>
      <c r="L185" s="53" t="s">
        <v>996</v>
      </c>
      <c r="M185" s="53" t="s">
        <v>997</v>
      </c>
      <c r="N185" s="53" t="s">
        <v>982</v>
      </c>
      <c r="O185" s="53"/>
      <c r="P185" s="53" t="s">
        <v>996</v>
      </c>
      <c r="Q185" s="53" t="s">
        <v>998</v>
      </c>
      <c r="R185" s="55">
        <v>1</v>
      </c>
      <c r="S185" s="53">
        <v>1</v>
      </c>
      <c r="T185" s="53" t="s">
        <v>137</v>
      </c>
      <c r="U185" s="53" t="s">
        <v>169</v>
      </c>
      <c r="V185" s="53" t="s">
        <v>914</v>
      </c>
      <c r="W185" s="53" t="s">
        <v>915</v>
      </c>
      <c r="X185" s="53" t="s">
        <v>950</v>
      </c>
      <c r="Y185" s="53"/>
      <c r="Z185" s="53"/>
      <c r="AA185" s="53"/>
      <c r="AB185" s="53" t="s">
        <v>274</v>
      </c>
      <c r="AC185" s="53" t="s">
        <v>274</v>
      </c>
      <c r="AD185" s="53" t="s">
        <v>274</v>
      </c>
      <c r="AE185" s="53" t="s">
        <v>274</v>
      </c>
      <c r="AF185" s="53" t="s">
        <v>275</v>
      </c>
      <c r="AG185" s="53" t="s">
        <v>275</v>
      </c>
      <c r="AH185" s="53" t="s">
        <v>274</v>
      </c>
      <c r="AI185" s="53">
        <v>0.05</v>
      </c>
      <c r="AJ185" s="56" t="s">
        <v>275</v>
      </c>
    </row>
    <row r="186" spans="1:36" x14ac:dyDescent="0.45">
      <c r="A186" s="52">
        <v>143</v>
      </c>
      <c r="B186" s="43">
        <v>970</v>
      </c>
      <c r="C186" s="53" t="s">
        <v>263</v>
      </c>
      <c r="D186" s="53" t="s">
        <v>84</v>
      </c>
      <c r="E186" s="54"/>
      <c r="F186" s="53" t="s">
        <v>999</v>
      </c>
      <c r="G186" s="53"/>
      <c r="H186" s="53" t="s">
        <v>287</v>
      </c>
      <c r="I186" s="53" t="s">
        <v>999</v>
      </c>
      <c r="J186" s="53" t="s">
        <v>1000</v>
      </c>
      <c r="K186" s="53"/>
      <c r="L186" s="53" t="s">
        <v>289</v>
      </c>
      <c r="M186" s="53" t="s">
        <v>1000</v>
      </c>
      <c r="N186" s="53" t="s">
        <v>1001</v>
      </c>
      <c r="O186" s="53"/>
      <c r="P186" s="53" t="s">
        <v>290</v>
      </c>
      <c r="Q186" s="53" t="s">
        <v>1001</v>
      </c>
      <c r="R186" s="55">
        <v>1</v>
      </c>
      <c r="S186" s="53">
        <v>1</v>
      </c>
      <c r="T186" s="53" t="s">
        <v>137</v>
      </c>
      <c r="U186" s="53" t="s">
        <v>169</v>
      </c>
      <c r="V186" s="53" t="s">
        <v>914</v>
      </c>
      <c r="W186" s="53" t="s">
        <v>915</v>
      </c>
      <c r="X186" s="53" t="s">
        <v>950</v>
      </c>
      <c r="Y186" s="53"/>
      <c r="Z186" s="53"/>
      <c r="AA186" s="53"/>
      <c r="AB186" s="53" t="s">
        <v>274</v>
      </c>
      <c r="AC186" s="53" t="s">
        <v>274</v>
      </c>
      <c r="AD186" s="53" t="s">
        <v>274</v>
      </c>
      <c r="AE186" s="53" t="s">
        <v>274</v>
      </c>
      <c r="AF186" s="53" t="s">
        <v>275</v>
      </c>
      <c r="AG186" s="53" t="s">
        <v>275</v>
      </c>
      <c r="AH186" s="53" t="s">
        <v>274</v>
      </c>
      <c r="AI186" s="53">
        <v>0.05</v>
      </c>
      <c r="AJ186" s="56" t="s">
        <v>275</v>
      </c>
    </row>
    <row r="187" spans="1:36" x14ac:dyDescent="0.45">
      <c r="A187" s="52">
        <v>146</v>
      </c>
      <c r="B187" s="43">
        <v>971</v>
      </c>
      <c r="C187" s="53" t="s">
        <v>263</v>
      </c>
      <c r="D187" s="53" t="s">
        <v>84</v>
      </c>
      <c r="E187" s="54"/>
      <c r="F187" s="53" t="s">
        <v>1002</v>
      </c>
      <c r="G187" s="53"/>
      <c r="H187" s="53" t="s">
        <v>287</v>
      </c>
      <c r="I187" s="53" t="s">
        <v>1002</v>
      </c>
      <c r="J187" s="53" t="s">
        <v>1003</v>
      </c>
      <c r="K187" s="53"/>
      <c r="L187" s="53" t="s">
        <v>289</v>
      </c>
      <c r="M187" s="53" t="s">
        <v>1003</v>
      </c>
      <c r="N187" s="53" t="s">
        <v>1004</v>
      </c>
      <c r="O187" s="53"/>
      <c r="P187" s="53" t="s">
        <v>290</v>
      </c>
      <c r="Q187" s="53" t="s">
        <v>1004</v>
      </c>
      <c r="R187" s="55">
        <v>1</v>
      </c>
      <c r="S187" s="53">
        <v>1</v>
      </c>
      <c r="T187" s="53" t="s">
        <v>137</v>
      </c>
      <c r="U187" s="53" t="s">
        <v>169</v>
      </c>
      <c r="V187" s="53" t="s">
        <v>1005</v>
      </c>
      <c r="W187" s="53" t="s">
        <v>1006</v>
      </c>
      <c r="X187" s="53" t="s">
        <v>1007</v>
      </c>
      <c r="Y187" s="53"/>
      <c r="Z187" s="53"/>
      <c r="AA187" s="53"/>
      <c r="AB187" s="53" t="s">
        <v>274</v>
      </c>
      <c r="AC187" s="53" t="s">
        <v>274</v>
      </c>
      <c r="AD187" s="53" t="s">
        <v>274</v>
      </c>
      <c r="AE187" s="53" t="s">
        <v>274</v>
      </c>
      <c r="AF187" s="53" t="s">
        <v>275</v>
      </c>
      <c r="AG187" s="53" t="s">
        <v>275</v>
      </c>
      <c r="AH187" s="53" t="s">
        <v>274</v>
      </c>
      <c r="AI187" s="53">
        <v>0.05</v>
      </c>
      <c r="AJ187" s="56" t="s">
        <v>275</v>
      </c>
    </row>
    <row r="188" spans="1:36" x14ac:dyDescent="0.45">
      <c r="A188" s="52">
        <v>145</v>
      </c>
      <c r="B188" s="43">
        <v>972</v>
      </c>
      <c r="C188" s="53" t="s">
        <v>263</v>
      </c>
      <c r="D188" s="53" t="s">
        <v>84</v>
      </c>
      <c r="E188" s="54"/>
      <c r="F188" s="53" t="s">
        <v>1008</v>
      </c>
      <c r="G188" s="53"/>
      <c r="H188" s="53" t="s">
        <v>287</v>
      </c>
      <c r="I188" s="53" t="s">
        <v>1008</v>
      </c>
      <c r="J188" s="53" t="s">
        <v>1009</v>
      </c>
      <c r="K188" s="53"/>
      <c r="L188" s="53" t="s">
        <v>289</v>
      </c>
      <c r="M188" s="53" t="s">
        <v>1009</v>
      </c>
      <c r="N188" s="53" t="s">
        <v>1010</v>
      </c>
      <c r="O188" s="53"/>
      <c r="P188" s="53" t="s">
        <v>290</v>
      </c>
      <c r="Q188" s="53" t="s">
        <v>1010</v>
      </c>
      <c r="R188" s="55">
        <v>1</v>
      </c>
      <c r="S188" s="53">
        <v>1</v>
      </c>
      <c r="T188" s="53" t="s">
        <v>137</v>
      </c>
      <c r="U188" s="53" t="s">
        <v>169</v>
      </c>
      <c r="V188" s="53" t="s">
        <v>1005</v>
      </c>
      <c r="W188" s="53" t="s">
        <v>1011</v>
      </c>
      <c r="X188" s="53" t="s">
        <v>1012</v>
      </c>
      <c r="Y188" s="53"/>
      <c r="Z188" s="53"/>
      <c r="AA188" s="53"/>
      <c r="AB188" s="53" t="s">
        <v>274</v>
      </c>
      <c r="AC188" s="53" t="s">
        <v>274</v>
      </c>
      <c r="AD188" s="53" t="s">
        <v>274</v>
      </c>
      <c r="AE188" s="53" t="s">
        <v>274</v>
      </c>
      <c r="AF188" s="53" t="s">
        <v>275</v>
      </c>
      <c r="AG188" s="53" t="s">
        <v>274</v>
      </c>
      <c r="AH188" s="53" t="s">
        <v>274</v>
      </c>
      <c r="AI188" s="53">
        <v>0</v>
      </c>
      <c r="AJ188" s="56" t="s">
        <v>275</v>
      </c>
    </row>
    <row r="189" spans="1:36" x14ac:dyDescent="0.45">
      <c r="A189" s="52">
        <v>147</v>
      </c>
      <c r="B189" s="43">
        <v>916</v>
      </c>
      <c r="C189" s="53" t="s">
        <v>263</v>
      </c>
      <c r="D189" s="53" t="s">
        <v>84</v>
      </c>
      <c r="E189" s="54"/>
      <c r="F189" s="53" t="s">
        <v>1013</v>
      </c>
      <c r="G189" s="53" t="s">
        <v>265</v>
      </c>
      <c r="H189" s="53" t="s">
        <v>775</v>
      </c>
      <c r="I189" s="53" t="s">
        <v>1014</v>
      </c>
      <c r="J189" s="53" t="s">
        <v>1015</v>
      </c>
      <c r="K189" s="53" t="s">
        <v>269</v>
      </c>
      <c r="L189" s="53" t="s">
        <v>775</v>
      </c>
      <c r="M189" s="53" t="s">
        <v>1014</v>
      </c>
      <c r="N189" s="53" t="s">
        <v>1013</v>
      </c>
      <c r="O189" s="53" t="s">
        <v>270</v>
      </c>
      <c r="P189" s="53" t="s">
        <v>775</v>
      </c>
      <c r="Q189" s="53" t="s">
        <v>1014</v>
      </c>
      <c r="R189" s="55">
        <v>0.5</v>
      </c>
      <c r="S189" s="53">
        <v>1</v>
      </c>
      <c r="T189" s="53" t="s">
        <v>137</v>
      </c>
      <c r="U189" s="53" t="s">
        <v>169</v>
      </c>
      <c r="V189" s="53" t="s">
        <v>195</v>
      </c>
      <c r="W189" s="53" t="s">
        <v>1016</v>
      </c>
      <c r="X189" s="53" t="s">
        <v>1017</v>
      </c>
      <c r="Y189" s="53"/>
      <c r="Z189" s="53"/>
      <c r="AA189" s="53"/>
      <c r="AB189" s="53" t="s">
        <v>274</v>
      </c>
      <c r="AC189" s="53" t="s">
        <v>274</v>
      </c>
      <c r="AD189" s="53" t="s">
        <v>274</v>
      </c>
      <c r="AE189" s="53" t="s">
        <v>274</v>
      </c>
      <c r="AF189" s="53" t="s">
        <v>275</v>
      </c>
      <c r="AG189" s="53" t="s">
        <v>275</v>
      </c>
      <c r="AH189" s="53" t="s">
        <v>274</v>
      </c>
      <c r="AI189" s="53">
        <v>0.05</v>
      </c>
      <c r="AJ189" s="56" t="s">
        <v>275</v>
      </c>
    </row>
    <row r="190" spans="1:36" x14ac:dyDescent="0.45">
      <c r="A190" s="52">
        <v>147</v>
      </c>
      <c r="B190" s="43">
        <v>917</v>
      </c>
      <c r="C190" s="53" t="s">
        <v>263</v>
      </c>
      <c r="D190" s="53" t="s">
        <v>84</v>
      </c>
      <c r="E190" s="54"/>
      <c r="F190" s="53" t="s">
        <v>1015</v>
      </c>
      <c r="G190" s="53" t="s">
        <v>265</v>
      </c>
      <c r="H190" s="53" t="s">
        <v>779</v>
      </c>
      <c r="I190" s="53" t="s">
        <v>1018</v>
      </c>
      <c r="J190" s="53" t="s">
        <v>1015</v>
      </c>
      <c r="K190" s="53" t="s">
        <v>269</v>
      </c>
      <c r="L190" s="53" t="s">
        <v>779</v>
      </c>
      <c r="M190" s="53" t="s">
        <v>1018</v>
      </c>
      <c r="N190" s="53" t="s">
        <v>1013</v>
      </c>
      <c r="O190" s="53" t="s">
        <v>270</v>
      </c>
      <c r="P190" s="53" t="s">
        <v>779</v>
      </c>
      <c r="Q190" s="53" t="s">
        <v>1018</v>
      </c>
      <c r="R190" s="55">
        <v>0.75</v>
      </c>
      <c r="S190" s="53">
        <v>1</v>
      </c>
      <c r="T190" s="53" t="s">
        <v>137</v>
      </c>
      <c r="U190" s="53" t="s">
        <v>169</v>
      </c>
      <c r="V190" s="53" t="s">
        <v>195</v>
      </c>
      <c r="W190" s="53" t="s">
        <v>1016</v>
      </c>
      <c r="X190" s="53" t="s">
        <v>1017</v>
      </c>
      <c r="Y190" s="53"/>
      <c r="Z190" s="53"/>
      <c r="AA190" s="53"/>
      <c r="AB190" s="53" t="s">
        <v>274</v>
      </c>
      <c r="AC190" s="53" t="s">
        <v>274</v>
      </c>
      <c r="AD190" s="53" t="s">
        <v>274</v>
      </c>
      <c r="AE190" s="53" t="s">
        <v>274</v>
      </c>
      <c r="AF190" s="53" t="s">
        <v>275</v>
      </c>
      <c r="AG190" s="53" t="s">
        <v>275</v>
      </c>
      <c r="AH190" s="53" t="s">
        <v>274</v>
      </c>
      <c r="AI190" s="53">
        <v>0.05</v>
      </c>
      <c r="AJ190" s="56" t="s">
        <v>275</v>
      </c>
    </row>
    <row r="191" spans="1:36" x14ac:dyDescent="0.45">
      <c r="A191" s="52">
        <v>147</v>
      </c>
      <c r="B191" s="43">
        <v>918</v>
      </c>
      <c r="C191" s="53" t="s">
        <v>263</v>
      </c>
      <c r="D191" s="53" t="s">
        <v>84</v>
      </c>
      <c r="E191" s="54"/>
      <c r="F191" s="53" t="s">
        <v>1015</v>
      </c>
      <c r="G191" s="53" t="s">
        <v>265</v>
      </c>
      <c r="H191" s="53" t="s">
        <v>450</v>
      </c>
      <c r="I191" s="53" t="s">
        <v>1019</v>
      </c>
      <c r="J191" s="53" t="s">
        <v>1015</v>
      </c>
      <c r="K191" s="53" t="s">
        <v>269</v>
      </c>
      <c r="L191" s="53" t="s">
        <v>450</v>
      </c>
      <c r="M191" s="53" t="s">
        <v>1019</v>
      </c>
      <c r="N191" s="53" t="s">
        <v>1013</v>
      </c>
      <c r="O191" s="53" t="s">
        <v>270</v>
      </c>
      <c r="P191" s="53" t="s">
        <v>450</v>
      </c>
      <c r="Q191" s="53" t="s">
        <v>1019</v>
      </c>
      <c r="R191" s="55">
        <v>1</v>
      </c>
      <c r="S191" s="53">
        <v>1</v>
      </c>
      <c r="T191" s="53" t="s">
        <v>137</v>
      </c>
      <c r="U191" s="53" t="s">
        <v>169</v>
      </c>
      <c r="V191" s="53" t="s">
        <v>195</v>
      </c>
      <c r="W191" s="53" t="s">
        <v>1016</v>
      </c>
      <c r="X191" s="53" t="s">
        <v>1017</v>
      </c>
      <c r="Y191" s="53"/>
      <c r="Z191" s="53"/>
      <c r="AA191" s="53"/>
      <c r="AB191" s="53" t="s">
        <v>274</v>
      </c>
      <c r="AC191" s="53" t="s">
        <v>274</v>
      </c>
      <c r="AD191" s="53" t="s">
        <v>274</v>
      </c>
      <c r="AE191" s="53" t="s">
        <v>274</v>
      </c>
      <c r="AF191" s="53" t="s">
        <v>275</v>
      </c>
      <c r="AG191" s="53" t="s">
        <v>275</v>
      </c>
      <c r="AH191" s="53" t="s">
        <v>274</v>
      </c>
      <c r="AI191" s="53">
        <v>0.05</v>
      </c>
      <c r="AJ191" s="56" t="s">
        <v>275</v>
      </c>
    </row>
    <row r="192" spans="1:36" x14ac:dyDescent="0.45">
      <c r="A192" s="52">
        <v>148</v>
      </c>
      <c r="B192" s="43">
        <v>919</v>
      </c>
      <c r="C192" s="53" t="s">
        <v>263</v>
      </c>
      <c r="D192" s="53" t="s">
        <v>84</v>
      </c>
      <c r="E192" s="54"/>
      <c r="F192" s="53" t="s">
        <v>195</v>
      </c>
      <c r="G192" s="53" t="s">
        <v>265</v>
      </c>
      <c r="H192" s="53" t="s">
        <v>450</v>
      </c>
      <c r="I192" s="53" t="s">
        <v>1020</v>
      </c>
      <c r="J192" s="53" t="s">
        <v>1021</v>
      </c>
      <c r="K192" s="53" t="s">
        <v>269</v>
      </c>
      <c r="L192" s="53" t="s">
        <v>450</v>
      </c>
      <c r="M192" s="53" t="s">
        <v>1022</v>
      </c>
      <c r="N192" s="53" t="s">
        <v>209</v>
      </c>
      <c r="O192" s="53" t="s">
        <v>270</v>
      </c>
      <c r="P192" s="53" t="s">
        <v>450</v>
      </c>
      <c r="Q192" s="53" t="s">
        <v>1023</v>
      </c>
      <c r="R192" s="55">
        <v>1</v>
      </c>
      <c r="S192" s="53">
        <v>1</v>
      </c>
      <c r="T192" s="53" t="s">
        <v>137</v>
      </c>
      <c r="U192" s="53" t="s">
        <v>169</v>
      </c>
      <c r="V192" s="53" t="s">
        <v>195</v>
      </c>
      <c r="W192" s="53" t="s">
        <v>1016</v>
      </c>
      <c r="X192" s="53" t="s">
        <v>1017</v>
      </c>
      <c r="Y192" s="53"/>
      <c r="Z192" s="53"/>
      <c r="AA192" s="53"/>
      <c r="AB192" s="53" t="s">
        <v>274</v>
      </c>
      <c r="AC192" s="53" t="s">
        <v>274</v>
      </c>
      <c r="AD192" s="53" t="s">
        <v>274</v>
      </c>
      <c r="AE192" s="53" t="s">
        <v>274</v>
      </c>
      <c r="AF192" s="53" t="s">
        <v>275</v>
      </c>
      <c r="AG192" s="53" t="s">
        <v>275</v>
      </c>
      <c r="AH192" s="53" t="s">
        <v>274</v>
      </c>
      <c r="AI192" s="53">
        <v>0</v>
      </c>
      <c r="AJ192" s="56" t="s">
        <v>275</v>
      </c>
    </row>
    <row r="193" spans="1:36" x14ac:dyDescent="0.45">
      <c r="A193" s="52">
        <v>148</v>
      </c>
      <c r="B193" s="43">
        <v>920</v>
      </c>
      <c r="C193" s="53" t="s">
        <v>263</v>
      </c>
      <c r="D193" s="53" t="s">
        <v>84</v>
      </c>
      <c r="E193" s="54"/>
      <c r="F193" s="53" t="s">
        <v>1024</v>
      </c>
      <c r="G193" s="53" t="s">
        <v>265</v>
      </c>
      <c r="H193" s="53" t="s">
        <v>743</v>
      </c>
      <c r="I193" s="53" t="s">
        <v>1025</v>
      </c>
      <c r="J193" s="53" t="s">
        <v>1021</v>
      </c>
      <c r="K193" s="53" t="s">
        <v>269</v>
      </c>
      <c r="L193" s="53" t="s">
        <v>743</v>
      </c>
      <c r="M193" s="53" t="s">
        <v>1026</v>
      </c>
      <c r="N193" s="53" t="s">
        <v>209</v>
      </c>
      <c r="O193" s="53" t="s">
        <v>270</v>
      </c>
      <c r="P193" s="53" t="s">
        <v>743</v>
      </c>
      <c r="Q193" s="53" t="s">
        <v>1027</v>
      </c>
      <c r="R193" s="55">
        <v>0.25</v>
      </c>
      <c r="S193" s="53">
        <v>1</v>
      </c>
      <c r="T193" s="53" t="s">
        <v>137</v>
      </c>
      <c r="U193" s="53" t="s">
        <v>169</v>
      </c>
      <c r="V193" s="53" t="s">
        <v>195</v>
      </c>
      <c r="W193" s="53" t="s">
        <v>1016</v>
      </c>
      <c r="X193" s="53" t="s">
        <v>1017</v>
      </c>
      <c r="Y193" s="53"/>
      <c r="Z193" s="53"/>
      <c r="AA193" s="53"/>
      <c r="AB193" s="53" t="s">
        <v>274</v>
      </c>
      <c r="AC193" s="53" t="s">
        <v>274</v>
      </c>
      <c r="AD193" s="53" t="s">
        <v>274</v>
      </c>
      <c r="AE193" s="53" t="s">
        <v>274</v>
      </c>
      <c r="AF193" s="53" t="s">
        <v>275</v>
      </c>
      <c r="AG193" s="53" t="s">
        <v>275</v>
      </c>
      <c r="AH193" s="53" t="s">
        <v>274</v>
      </c>
      <c r="AI193" s="53">
        <v>0</v>
      </c>
      <c r="AJ193" s="56" t="s">
        <v>275</v>
      </c>
    </row>
    <row r="194" spans="1:36" x14ac:dyDescent="0.45">
      <c r="A194" s="52">
        <v>148</v>
      </c>
      <c r="B194" s="43">
        <v>921</v>
      </c>
      <c r="C194" s="53" t="s">
        <v>263</v>
      </c>
      <c r="D194" s="53" t="s">
        <v>84</v>
      </c>
      <c r="E194" s="54"/>
      <c r="F194" s="53" t="s">
        <v>1024</v>
      </c>
      <c r="G194" s="53" t="s">
        <v>265</v>
      </c>
      <c r="H194" s="53" t="s">
        <v>775</v>
      </c>
      <c r="I194" s="53" t="s">
        <v>1028</v>
      </c>
      <c r="J194" s="53" t="s">
        <v>1021</v>
      </c>
      <c r="K194" s="53" t="s">
        <v>269</v>
      </c>
      <c r="L194" s="53" t="s">
        <v>775</v>
      </c>
      <c r="M194" s="53" t="s">
        <v>1029</v>
      </c>
      <c r="N194" s="53" t="s">
        <v>209</v>
      </c>
      <c r="O194" s="53" t="s">
        <v>270</v>
      </c>
      <c r="P194" s="53" t="s">
        <v>775</v>
      </c>
      <c r="Q194" s="53" t="s">
        <v>1030</v>
      </c>
      <c r="R194" s="55">
        <v>0.5</v>
      </c>
      <c r="S194" s="53">
        <v>1</v>
      </c>
      <c r="T194" s="53" t="s">
        <v>137</v>
      </c>
      <c r="U194" s="53" t="s">
        <v>169</v>
      </c>
      <c r="V194" s="53" t="s">
        <v>195</v>
      </c>
      <c r="W194" s="53" t="s">
        <v>1016</v>
      </c>
      <c r="X194" s="53" t="s">
        <v>1017</v>
      </c>
      <c r="Y194" s="53"/>
      <c r="Z194" s="53"/>
      <c r="AA194" s="53"/>
      <c r="AB194" s="53" t="s">
        <v>274</v>
      </c>
      <c r="AC194" s="53" t="s">
        <v>274</v>
      </c>
      <c r="AD194" s="53" t="s">
        <v>274</v>
      </c>
      <c r="AE194" s="53" t="s">
        <v>274</v>
      </c>
      <c r="AF194" s="53" t="s">
        <v>275</v>
      </c>
      <c r="AG194" s="53" t="s">
        <v>275</v>
      </c>
      <c r="AH194" s="53" t="s">
        <v>274</v>
      </c>
      <c r="AI194" s="53">
        <v>0</v>
      </c>
      <c r="AJ194" s="56" t="s">
        <v>275</v>
      </c>
    </row>
    <row r="195" spans="1:36" x14ac:dyDescent="0.45">
      <c r="A195" s="52">
        <v>148</v>
      </c>
      <c r="B195" s="43">
        <v>922</v>
      </c>
      <c r="C195" s="53" t="s">
        <v>263</v>
      </c>
      <c r="D195" s="53" t="s">
        <v>84</v>
      </c>
      <c r="E195" s="54"/>
      <c r="F195" s="53" t="s">
        <v>1024</v>
      </c>
      <c r="G195" s="53" t="s">
        <v>265</v>
      </c>
      <c r="H195" s="53" t="s">
        <v>779</v>
      </c>
      <c r="I195" s="53" t="s">
        <v>1031</v>
      </c>
      <c r="J195" s="53" t="s">
        <v>1021</v>
      </c>
      <c r="K195" s="53" t="s">
        <v>269</v>
      </c>
      <c r="L195" s="53" t="s">
        <v>779</v>
      </c>
      <c r="M195" s="53" t="s">
        <v>1032</v>
      </c>
      <c r="N195" s="53" t="s">
        <v>209</v>
      </c>
      <c r="O195" s="53" t="s">
        <v>270</v>
      </c>
      <c r="P195" s="53" t="s">
        <v>779</v>
      </c>
      <c r="Q195" s="53" t="s">
        <v>1033</v>
      </c>
      <c r="R195" s="55">
        <v>0.75</v>
      </c>
      <c r="S195" s="53">
        <v>1</v>
      </c>
      <c r="T195" s="53" t="s">
        <v>137</v>
      </c>
      <c r="U195" s="53" t="s">
        <v>169</v>
      </c>
      <c r="V195" s="53" t="s">
        <v>195</v>
      </c>
      <c r="W195" s="53" t="s">
        <v>1016</v>
      </c>
      <c r="X195" s="53" t="s">
        <v>1017</v>
      </c>
      <c r="Y195" s="53"/>
      <c r="Z195" s="53"/>
      <c r="AA195" s="53"/>
      <c r="AB195" s="53" t="s">
        <v>274</v>
      </c>
      <c r="AC195" s="53" t="s">
        <v>274</v>
      </c>
      <c r="AD195" s="53" t="s">
        <v>274</v>
      </c>
      <c r="AE195" s="53" t="s">
        <v>274</v>
      </c>
      <c r="AF195" s="53" t="s">
        <v>275</v>
      </c>
      <c r="AG195" s="53" t="s">
        <v>275</v>
      </c>
      <c r="AH195" s="53" t="s">
        <v>274</v>
      </c>
      <c r="AI195" s="53">
        <v>0</v>
      </c>
      <c r="AJ195" s="56" t="s">
        <v>275</v>
      </c>
    </row>
    <row r="196" spans="1:36" x14ac:dyDescent="0.45">
      <c r="A196" s="52">
        <v>200</v>
      </c>
      <c r="B196" s="54">
        <v>135</v>
      </c>
      <c r="C196" s="53" t="s">
        <v>581</v>
      </c>
      <c r="D196" s="53" t="s">
        <v>84</v>
      </c>
      <c r="E196" s="54" t="s">
        <v>1409</v>
      </c>
      <c r="F196" s="53" t="s">
        <v>1034</v>
      </c>
      <c r="G196" s="53" t="s">
        <v>1035</v>
      </c>
      <c r="H196" s="53"/>
      <c r="I196" s="53" t="s">
        <v>1036</v>
      </c>
      <c r="J196" s="53" t="s">
        <v>1037</v>
      </c>
      <c r="K196" s="53" t="s">
        <v>1038</v>
      </c>
      <c r="L196" s="53"/>
      <c r="M196" s="53" t="s">
        <v>1037</v>
      </c>
      <c r="N196" s="53" t="s">
        <v>1039</v>
      </c>
      <c r="O196" s="53" t="s">
        <v>1040</v>
      </c>
      <c r="P196" s="53"/>
      <c r="Q196" s="53" t="s">
        <v>1041</v>
      </c>
      <c r="R196" s="55">
        <v>1</v>
      </c>
      <c r="S196" s="53">
        <v>1</v>
      </c>
      <c r="T196" s="53" t="s">
        <v>131</v>
      </c>
      <c r="U196" s="53" t="s">
        <v>168</v>
      </c>
      <c r="V196" s="53" t="s">
        <v>1042</v>
      </c>
      <c r="W196" s="53" t="s">
        <v>1042</v>
      </c>
      <c r="X196" s="53" t="s">
        <v>1043</v>
      </c>
      <c r="Y196" s="53"/>
      <c r="Z196" s="53"/>
      <c r="AA196" s="53"/>
      <c r="AB196" s="53" t="s">
        <v>274</v>
      </c>
      <c r="AC196" s="53" t="s">
        <v>274</v>
      </c>
      <c r="AD196" s="53" t="s">
        <v>274</v>
      </c>
      <c r="AE196" s="53" t="s">
        <v>274</v>
      </c>
      <c r="AF196" s="53" t="s">
        <v>275</v>
      </c>
      <c r="AG196" s="53" t="s">
        <v>275</v>
      </c>
      <c r="AH196" s="53" t="s">
        <v>274</v>
      </c>
      <c r="AI196" s="59">
        <v>0.05</v>
      </c>
      <c r="AJ196" s="56" t="s">
        <v>275</v>
      </c>
    </row>
    <row r="197" spans="1:36" x14ac:dyDescent="0.45">
      <c r="A197" s="52">
        <v>201</v>
      </c>
      <c r="B197" s="54">
        <v>180</v>
      </c>
      <c r="C197" s="53" t="s">
        <v>263</v>
      </c>
      <c r="D197" s="53" t="s">
        <v>84</v>
      </c>
      <c r="E197" s="54"/>
      <c r="F197" s="53" t="s">
        <v>1044</v>
      </c>
      <c r="G197" s="53" t="s">
        <v>1045</v>
      </c>
      <c r="H197" s="53" t="s">
        <v>287</v>
      </c>
      <c r="I197" s="53" t="s">
        <v>1046</v>
      </c>
      <c r="J197" s="53" t="s">
        <v>1044</v>
      </c>
      <c r="K197" s="53" t="s">
        <v>1045</v>
      </c>
      <c r="L197" s="53" t="s">
        <v>289</v>
      </c>
      <c r="M197" s="53" t="s">
        <v>1047</v>
      </c>
      <c r="N197" s="53" t="s">
        <v>1044</v>
      </c>
      <c r="O197" s="53" t="s">
        <v>1045</v>
      </c>
      <c r="P197" s="53" t="s">
        <v>290</v>
      </c>
      <c r="Q197" s="53" t="s">
        <v>1048</v>
      </c>
      <c r="R197" s="55">
        <v>1</v>
      </c>
      <c r="S197" s="53">
        <v>1</v>
      </c>
      <c r="T197" s="53" t="s">
        <v>137</v>
      </c>
      <c r="U197" s="53" t="s">
        <v>169</v>
      </c>
      <c r="V197" s="53" t="s">
        <v>1042</v>
      </c>
      <c r="W197" s="53" t="s">
        <v>1042</v>
      </c>
      <c r="X197" s="53" t="s">
        <v>1043</v>
      </c>
      <c r="Y197" s="53"/>
      <c r="Z197" s="53"/>
      <c r="AA197" s="53"/>
      <c r="AB197" s="53" t="s">
        <v>274</v>
      </c>
      <c r="AC197" s="53" t="s">
        <v>274</v>
      </c>
      <c r="AD197" s="53" t="s">
        <v>274</v>
      </c>
      <c r="AE197" s="53" t="s">
        <v>274</v>
      </c>
      <c r="AF197" s="53" t="s">
        <v>275</v>
      </c>
      <c r="AG197" s="53" t="s">
        <v>275</v>
      </c>
      <c r="AH197" s="53" t="s">
        <v>274</v>
      </c>
      <c r="AI197" s="59">
        <v>0.05</v>
      </c>
      <c r="AJ197" s="56" t="s">
        <v>275</v>
      </c>
    </row>
    <row r="198" spans="1:36" x14ac:dyDescent="0.45">
      <c r="A198" s="52">
        <v>202</v>
      </c>
      <c r="B198" s="53"/>
      <c r="C198" s="53" t="s">
        <v>263</v>
      </c>
      <c r="D198" s="53" t="s">
        <v>84</v>
      </c>
      <c r="E198" s="54">
        <v>7613399001270</v>
      </c>
      <c r="F198" s="53" t="s">
        <v>1044</v>
      </c>
      <c r="G198" s="53" t="s">
        <v>1049</v>
      </c>
      <c r="H198" s="53" t="s">
        <v>640</v>
      </c>
      <c r="I198" s="53" t="s">
        <v>1050</v>
      </c>
      <c r="J198" s="53" t="s">
        <v>1044</v>
      </c>
      <c r="K198" s="53" t="s">
        <v>1051</v>
      </c>
      <c r="L198" s="53" t="s">
        <v>640</v>
      </c>
      <c r="M198" s="53" t="s">
        <v>1052</v>
      </c>
      <c r="N198" s="53" t="s">
        <v>1044</v>
      </c>
      <c r="O198" s="53" t="s">
        <v>1053</v>
      </c>
      <c r="P198" s="53" t="s">
        <v>640</v>
      </c>
      <c r="Q198" s="53" t="s">
        <v>1054</v>
      </c>
      <c r="R198" s="55">
        <v>0.2</v>
      </c>
      <c r="S198" s="53">
        <v>100</v>
      </c>
      <c r="T198" s="53" t="s">
        <v>130</v>
      </c>
      <c r="U198" s="53" t="s">
        <v>169</v>
      </c>
      <c r="V198" s="53" t="s">
        <v>1042</v>
      </c>
      <c r="W198" s="53" t="s">
        <v>1042</v>
      </c>
      <c r="X198" s="53" t="s">
        <v>1043</v>
      </c>
      <c r="Y198" s="53"/>
      <c r="Z198" s="53"/>
      <c r="AA198" s="53"/>
      <c r="AB198" s="53" t="s">
        <v>274</v>
      </c>
      <c r="AC198" s="53" t="s">
        <v>274</v>
      </c>
      <c r="AD198" s="53" t="s">
        <v>274</v>
      </c>
      <c r="AE198" s="53" t="s">
        <v>274</v>
      </c>
      <c r="AF198" s="53" t="s">
        <v>275</v>
      </c>
      <c r="AG198" s="53" t="s">
        <v>275</v>
      </c>
      <c r="AH198" s="53" t="s">
        <v>274</v>
      </c>
      <c r="AI198" s="59">
        <v>0.05</v>
      </c>
      <c r="AJ198" s="56" t="s">
        <v>275</v>
      </c>
    </row>
    <row r="199" spans="1:36" x14ac:dyDescent="0.45">
      <c r="A199" s="52">
        <v>203</v>
      </c>
      <c r="B199" s="53"/>
      <c r="C199" s="53" t="s">
        <v>263</v>
      </c>
      <c r="D199" s="53"/>
      <c r="E199" s="56" t="s">
        <v>1411</v>
      </c>
      <c r="F199" s="53" t="s">
        <v>1055</v>
      </c>
      <c r="G199" s="53" t="s">
        <v>1056</v>
      </c>
      <c r="H199" s="53"/>
      <c r="I199" s="53" t="s">
        <v>1057</v>
      </c>
      <c r="J199" s="53" t="s">
        <v>1058</v>
      </c>
      <c r="K199" s="53" t="s">
        <v>1059</v>
      </c>
      <c r="L199" s="53"/>
      <c r="M199" s="53" t="s">
        <v>1060</v>
      </c>
      <c r="N199" s="53" t="s">
        <v>1061</v>
      </c>
      <c r="O199" s="53" t="s">
        <v>1062</v>
      </c>
      <c r="P199" s="53"/>
      <c r="Q199" s="53" t="s">
        <v>1063</v>
      </c>
      <c r="R199" s="55">
        <v>1</v>
      </c>
      <c r="S199" s="53">
        <v>1</v>
      </c>
      <c r="T199" s="53" t="s">
        <v>131</v>
      </c>
      <c r="U199" s="53" t="s">
        <v>169</v>
      </c>
      <c r="V199" s="53" t="s">
        <v>1042</v>
      </c>
      <c r="W199" s="53" t="s">
        <v>1042</v>
      </c>
      <c r="X199" s="53" t="s">
        <v>1043</v>
      </c>
      <c r="Y199" s="53"/>
      <c r="Z199" s="53"/>
      <c r="AA199" s="53"/>
      <c r="AB199" s="53" t="s">
        <v>274</v>
      </c>
      <c r="AC199" s="53" t="s">
        <v>274</v>
      </c>
      <c r="AD199" s="53" t="s">
        <v>274</v>
      </c>
      <c r="AE199" s="53" t="s">
        <v>274</v>
      </c>
      <c r="AF199" s="53" t="s">
        <v>275</v>
      </c>
      <c r="AG199" s="53" t="s">
        <v>275</v>
      </c>
      <c r="AH199" s="53" t="s">
        <v>274</v>
      </c>
      <c r="AI199" s="59">
        <v>0.05</v>
      </c>
      <c r="AJ199" s="56" t="s">
        <v>275</v>
      </c>
    </row>
    <row r="200" spans="1:36" x14ac:dyDescent="0.45">
      <c r="A200" s="52">
        <v>204</v>
      </c>
      <c r="B200" s="53"/>
      <c r="C200" s="53" t="s">
        <v>263</v>
      </c>
      <c r="D200" s="53" t="s">
        <v>84</v>
      </c>
      <c r="E200" s="54">
        <v>7613399021476</v>
      </c>
      <c r="F200" s="53" t="s">
        <v>1064</v>
      </c>
      <c r="G200" s="53"/>
      <c r="H200" s="53" t="s">
        <v>1065</v>
      </c>
      <c r="I200" s="53" t="s">
        <v>1066</v>
      </c>
      <c r="J200" s="53" t="s">
        <v>1067</v>
      </c>
      <c r="K200" s="53"/>
      <c r="L200" s="53" t="s">
        <v>1065</v>
      </c>
      <c r="M200" s="53" t="s">
        <v>1068</v>
      </c>
      <c r="N200" s="53" t="s">
        <v>1069</v>
      </c>
      <c r="O200" s="53"/>
      <c r="P200" s="53" t="s">
        <v>1065</v>
      </c>
      <c r="Q200" s="53" t="s">
        <v>1070</v>
      </c>
      <c r="R200" s="55">
        <v>2</v>
      </c>
      <c r="S200" s="53">
        <v>1</v>
      </c>
      <c r="T200" s="53" t="s">
        <v>131</v>
      </c>
      <c r="U200" s="53" t="s">
        <v>169</v>
      </c>
      <c r="V200" s="53" t="s">
        <v>1042</v>
      </c>
      <c r="W200" s="53" t="s">
        <v>1042</v>
      </c>
      <c r="X200" s="53" t="s">
        <v>1043</v>
      </c>
      <c r="Y200" s="53"/>
      <c r="Z200" s="53"/>
      <c r="AA200" s="53"/>
      <c r="AB200" s="53" t="s">
        <v>274</v>
      </c>
      <c r="AC200" s="53" t="s">
        <v>274</v>
      </c>
      <c r="AD200" s="53" t="s">
        <v>274</v>
      </c>
      <c r="AE200" s="53" t="s">
        <v>274</v>
      </c>
      <c r="AF200" s="53" t="s">
        <v>275</v>
      </c>
      <c r="AG200" s="53" t="s">
        <v>275</v>
      </c>
      <c r="AH200" s="53" t="s">
        <v>274</v>
      </c>
      <c r="AI200" s="59">
        <v>0.05</v>
      </c>
      <c r="AJ200" s="56" t="s">
        <v>275</v>
      </c>
    </row>
    <row r="201" spans="1:36" x14ac:dyDescent="0.45">
      <c r="A201" s="52">
        <v>205</v>
      </c>
      <c r="B201" s="54">
        <v>122</v>
      </c>
      <c r="C201" s="53" t="s">
        <v>581</v>
      </c>
      <c r="D201" s="53" t="s">
        <v>84</v>
      </c>
      <c r="E201" s="53" t="s">
        <v>1409</v>
      </c>
      <c r="F201" s="53" t="s">
        <v>1071</v>
      </c>
      <c r="G201" s="53" t="s">
        <v>1072</v>
      </c>
      <c r="H201" s="53"/>
      <c r="I201" s="53" t="s">
        <v>1073</v>
      </c>
      <c r="J201" s="53" t="s">
        <v>1074</v>
      </c>
      <c r="K201" s="53" t="s">
        <v>1075</v>
      </c>
      <c r="L201" s="53"/>
      <c r="M201" s="53" t="s">
        <v>1076</v>
      </c>
      <c r="N201" s="53" t="s">
        <v>1077</v>
      </c>
      <c r="O201" s="53" t="s">
        <v>1078</v>
      </c>
      <c r="P201" s="53"/>
      <c r="Q201" s="53" t="s">
        <v>1079</v>
      </c>
      <c r="R201" s="55">
        <v>1</v>
      </c>
      <c r="S201" s="53">
        <v>1</v>
      </c>
      <c r="T201" s="53" t="s">
        <v>131</v>
      </c>
      <c r="U201" s="53" t="s">
        <v>168</v>
      </c>
      <c r="V201" s="53" t="s">
        <v>1042</v>
      </c>
      <c r="W201" s="53" t="s">
        <v>1042</v>
      </c>
      <c r="X201" s="53" t="s">
        <v>1043</v>
      </c>
      <c r="Y201" s="53"/>
      <c r="Z201" s="53"/>
      <c r="AA201" s="53"/>
      <c r="AB201" s="53" t="s">
        <v>274</v>
      </c>
      <c r="AC201" s="53" t="s">
        <v>274</v>
      </c>
      <c r="AD201" s="53" t="s">
        <v>274</v>
      </c>
      <c r="AE201" s="53" t="s">
        <v>274</v>
      </c>
      <c r="AF201" s="53" t="s">
        <v>275</v>
      </c>
      <c r="AG201" s="53" t="s">
        <v>275</v>
      </c>
      <c r="AH201" s="53" t="s">
        <v>274</v>
      </c>
      <c r="AI201" s="59">
        <v>0.05</v>
      </c>
      <c r="AJ201" s="56" t="s">
        <v>275</v>
      </c>
    </row>
    <row r="202" spans="1:36" x14ac:dyDescent="0.45">
      <c r="A202" s="52">
        <v>206</v>
      </c>
      <c r="B202" s="53"/>
      <c r="C202" s="53" t="s">
        <v>581</v>
      </c>
      <c r="D202" s="53" t="s">
        <v>78</v>
      </c>
      <c r="E202" s="56" t="s">
        <v>1410</v>
      </c>
      <c r="F202" s="53" t="s">
        <v>1064</v>
      </c>
      <c r="G202" s="53"/>
      <c r="H202" s="53" t="s">
        <v>1080</v>
      </c>
      <c r="I202" s="55" t="s">
        <v>1081</v>
      </c>
      <c r="J202" s="53" t="s">
        <v>1067</v>
      </c>
      <c r="K202" s="53"/>
      <c r="L202" s="53" t="s">
        <v>1082</v>
      </c>
      <c r="M202" s="55" t="s">
        <v>1083</v>
      </c>
      <c r="N202" s="53" t="s">
        <v>1069</v>
      </c>
      <c r="O202" s="53"/>
      <c r="P202" s="55" t="s">
        <v>1080</v>
      </c>
      <c r="Q202" s="53" t="s">
        <v>1084</v>
      </c>
      <c r="R202" s="53">
        <v>0.8</v>
      </c>
      <c r="S202" s="53">
        <v>1</v>
      </c>
      <c r="T202" s="53" t="s">
        <v>131</v>
      </c>
      <c r="U202" s="53" t="s">
        <v>169</v>
      </c>
      <c r="V202" s="53" t="s">
        <v>1042</v>
      </c>
      <c r="W202" s="53" t="s">
        <v>1042</v>
      </c>
      <c r="X202" s="53" t="s">
        <v>1043</v>
      </c>
      <c r="Y202" s="53"/>
      <c r="Z202" s="53"/>
      <c r="AA202" s="53"/>
      <c r="AB202" s="53" t="s">
        <v>274</v>
      </c>
      <c r="AC202" s="53" t="s">
        <v>274</v>
      </c>
      <c r="AD202" s="53" t="s">
        <v>274</v>
      </c>
      <c r="AE202" s="53" t="s">
        <v>274</v>
      </c>
      <c r="AF202" s="53" t="s">
        <v>275</v>
      </c>
      <c r="AG202" s="53" t="s">
        <v>275</v>
      </c>
      <c r="AH202" s="53" t="s">
        <v>274</v>
      </c>
      <c r="AI202" s="59">
        <v>0.05</v>
      </c>
      <c r="AJ202" s="56" t="s">
        <v>275</v>
      </c>
    </row>
    <row r="203" spans="1:36" x14ac:dyDescent="0.45">
      <c r="A203" s="52">
        <v>207</v>
      </c>
      <c r="B203" s="54">
        <v>124</v>
      </c>
      <c r="C203" s="53" t="s">
        <v>581</v>
      </c>
      <c r="D203" s="53"/>
      <c r="E203" s="53"/>
      <c r="F203" s="53" t="s">
        <v>1085</v>
      </c>
      <c r="G203" s="53"/>
      <c r="H203" s="53"/>
      <c r="I203" s="53" t="s">
        <v>1085</v>
      </c>
      <c r="J203" s="53" t="s">
        <v>1086</v>
      </c>
      <c r="K203" s="53" t="s">
        <v>1087</v>
      </c>
      <c r="L203" s="53"/>
      <c r="M203" s="53" t="s">
        <v>1088</v>
      </c>
      <c r="N203" s="53" t="s">
        <v>1069</v>
      </c>
      <c r="O203" s="53" t="s">
        <v>1089</v>
      </c>
      <c r="P203" s="53"/>
      <c r="Q203" s="53" t="s">
        <v>1090</v>
      </c>
      <c r="R203" s="55">
        <v>1</v>
      </c>
      <c r="S203" s="53">
        <v>1</v>
      </c>
      <c r="T203" s="53" t="s">
        <v>131</v>
      </c>
      <c r="U203" s="53" t="s">
        <v>168</v>
      </c>
      <c r="V203" s="53" t="s">
        <v>1042</v>
      </c>
      <c r="W203" s="53" t="s">
        <v>1042</v>
      </c>
      <c r="X203" s="53" t="s">
        <v>1043</v>
      </c>
      <c r="Y203" s="53"/>
      <c r="Z203" s="53"/>
      <c r="AA203" s="53"/>
      <c r="AB203" s="53" t="s">
        <v>274</v>
      </c>
      <c r="AC203" s="53" t="s">
        <v>274</v>
      </c>
      <c r="AD203" s="53" t="s">
        <v>274</v>
      </c>
      <c r="AE203" s="53" t="s">
        <v>274</v>
      </c>
      <c r="AF203" s="53" t="s">
        <v>275</v>
      </c>
      <c r="AG203" s="53" t="s">
        <v>275</v>
      </c>
      <c r="AH203" s="53" t="s">
        <v>274</v>
      </c>
      <c r="AI203" s="59">
        <v>0.05</v>
      </c>
      <c r="AJ203" s="56" t="s">
        <v>275</v>
      </c>
    </row>
    <row r="204" spans="1:36" x14ac:dyDescent="0.45">
      <c r="A204" s="52">
        <v>208</v>
      </c>
      <c r="B204" s="53"/>
      <c r="C204" s="53" t="s">
        <v>581</v>
      </c>
      <c r="D204" s="53" t="s">
        <v>78</v>
      </c>
      <c r="E204" s="54">
        <v>2203231000000</v>
      </c>
      <c r="F204" s="53" t="s">
        <v>1064</v>
      </c>
      <c r="G204" s="53" t="s">
        <v>1091</v>
      </c>
      <c r="H204" s="53" t="s">
        <v>1092</v>
      </c>
      <c r="I204" s="53" t="s">
        <v>1093</v>
      </c>
      <c r="J204" s="53" t="s">
        <v>1067</v>
      </c>
      <c r="K204" s="53" t="s">
        <v>1094</v>
      </c>
      <c r="L204" s="53" t="s">
        <v>1092</v>
      </c>
      <c r="M204" s="53" t="s">
        <v>1095</v>
      </c>
      <c r="N204" s="53" t="s">
        <v>1069</v>
      </c>
      <c r="O204" s="53" t="s">
        <v>1096</v>
      </c>
      <c r="P204" s="53" t="s">
        <v>1092</v>
      </c>
      <c r="Q204" s="53" t="s">
        <v>1097</v>
      </c>
      <c r="R204" s="55">
        <v>0.65</v>
      </c>
      <c r="S204" s="53">
        <v>1</v>
      </c>
      <c r="T204" s="53" t="s">
        <v>131</v>
      </c>
      <c r="U204" s="53" t="s">
        <v>169</v>
      </c>
      <c r="V204" s="53" t="s">
        <v>1042</v>
      </c>
      <c r="W204" s="53" t="s">
        <v>1042</v>
      </c>
      <c r="X204" s="53" t="s">
        <v>1043</v>
      </c>
      <c r="Y204" s="53"/>
      <c r="Z204" s="53"/>
      <c r="AA204" s="53"/>
      <c r="AB204" s="53" t="s">
        <v>274</v>
      </c>
      <c r="AC204" s="53" t="s">
        <v>274</v>
      </c>
      <c r="AD204" s="53" t="s">
        <v>274</v>
      </c>
      <c r="AE204" s="53" t="s">
        <v>274</v>
      </c>
      <c r="AF204" s="53" t="s">
        <v>275</v>
      </c>
      <c r="AG204" s="53" t="s">
        <v>275</v>
      </c>
      <c r="AH204" s="53" t="s">
        <v>274</v>
      </c>
      <c r="AI204" s="59">
        <v>0.05</v>
      </c>
      <c r="AJ204" s="56" t="s">
        <v>275</v>
      </c>
    </row>
    <row r="205" spans="1:36" x14ac:dyDescent="0.45">
      <c r="A205" s="52">
        <v>209</v>
      </c>
      <c r="B205" s="53"/>
      <c r="C205" s="53" t="s">
        <v>263</v>
      </c>
      <c r="D205" s="53" t="s">
        <v>84</v>
      </c>
      <c r="E205" s="54">
        <v>7613399047834</v>
      </c>
      <c r="F205" s="53" t="s">
        <v>1098</v>
      </c>
      <c r="G205" s="53"/>
      <c r="H205" s="53" t="s">
        <v>640</v>
      </c>
      <c r="I205" s="53" t="s">
        <v>1099</v>
      </c>
      <c r="J205" s="53" t="s">
        <v>1100</v>
      </c>
      <c r="K205" s="53"/>
      <c r="L205" s="53" t="s">
        <v>640</v>
      </c>
      <c r="M205" s="53" t="s">
        <v>1101</v>
      </c>
      <c r="N205" s="53" t="s">
        <v>1102</v>
      </c>
      <c r="O205" s="53"/>
      <c r="P205" s="53" t="s">
        <v>640</v>
      </c>
      <c r="Q205" s="53" t="s">
        <v>1103</v>
      </c>
      <c r="R205" s="55">
        <v>0.2</v>
      </c>
      <c r="S205" s="53">
        <v>100</v>
      </c>
      <c r="T205" s="53" t="s">
        <v>130</v>
      </c>
      <c r="U205" s="53" t="s">
        <v>169</v>
      </c>
      <c r="V205" s="53" t="s">
        <v>1042</v>
      </c>
      <c r="W205" s="53" t="s">
        <v>1042</v>
      </c>
      <c r="X205" s="53" t="s">
        <v>1043</v>
      </c>
      <c r="Y205" s="53"/>
      <c r="Z205" s="53"/>
      <c r="AA205" s="53"/>
      <c r="AB205" s="53" t="s">
        <v>274</v>
      </c>
      <c r="AC205" s="53" t="s">
        <v>274</v>
      </c>
      <c r="AD205" s="53" t="s">
        <v>274</v>
      </c>
      <c r="AE205" s="53" t="s">
        <v>274</v>
      </c>
      <c r="AF205" s="53" t="s">
        <v>275</v>
      </c>
      <c r="AG205" s="53" t="s">
        <v>275</v>
      </c>
      <c r="AH205" s="53" t="s">
        <v>274</v>
      </c>
      <c r="AI205" s="59">
        <v>0.05</v>
      </c>
      <c r="AJ205" s="56" t="s">
        <v>275</v>
      </c>
    </row>
    <row r="206" spans="1:36" x14ac:dyDescent="0.45">
      <c r="A206" s="52">
        <v>210</v>
      </c>
      <c r="B206" s="54">
        <v>126</v>
      </c>
      <c r="C206" s="53" t="s">
        <v>581</v>
      </c>
      <c r="D206" s="53" t="s">
        <v>84</v>
      </c>
      <c r="E206" s="54" t="s">
        <v>1409</v>
      </c>
      <c r="F206" s="53" t="s">
        <v>1104</v>
      </c>
      <c r="G206" s="53" t="s">
        <v>1105</v>
      </c>
      <c r="H206" s="53"/>
      <c r="I206" s="53" t="s">
        <v>1106</v>
      </c>
      <c r="J206" s="53" t="s">
        <v>1107</v>
      </c>
      <c r="K206" s="53" t="s">
        <v>1108</v>
      </c>
      <c r="L206" s="53"/>
      <c r="M206" s="53" t="s">
        <v>1109</v>
      </c>
      <c r="N206" s="53" t="s">
        <v>1110</v>
      </c>
      <c r="O206" s="53" t="s">
        <v>1089</v>
      </c>
      <c r="P206" s="53"/>
      <c r="Q206" s="53" t="s">
        <v>1111</v>
      </c>
      <c r="R206" s="55">
        <v>1</v>
      </c>
      <c r="S206" s="53">
        <v>1</v>
      </c>
      <c r="T206" s="53" t="s">
        <v>131</v>
      </c>
      <c r="U206" s="53" t="s">
        <v>168</v>
      </c>
      <c r="V206" s="53" t="s">
        <v>1042</v>
      </c>
      <c r="W206" s="53" t="s">
        <v>1042</v>
      </c>
      <c r="X206" s="53" t="s">
        <v>1043</v>
      </c>
      <c r="Y206" s="53"/>
      <c r="Z206" s="53"/>
      <c r="AA206" s="53"/>
      <c r="AB206" s="53" t="s">
        <v>274</v>
      </c>
      <c r="AC206" s="53" t="s">
        <v>274</v>
      </c>
      <c r="AD206" s="53" t="s">
        <v>274</v>
      </c>
      <c r="AE206" s="53" t="s">
        <v>274</v>
      </c>
      <c r="AF206" s="53" t="s">
        <v>275</v>
      </c>
      <c r="AG206" s="53" t="s">
        <v>275</v>
      </c>
      <c r="AH206" s="53" t="s">
        <v>274</v>
      </c>
      <c r="AI206" s="59">
        <v>0.05</v>
      </c>
      <c r="AJ206" s="56" t="s">
        <v>275</v>
      </c>
    </row>
    <row r="207" spans="1:36" x14ac:dyDescent="0.45">
      <c r="A207" s="52">
        <v>211</v>
      </c>
      <c r="B207" s="53"/>
      <c r="C207" s="53" t="s">
        <v>581</v>
      </c>
      <c r="D207" s="53" t="s">
        <v>78</v>
      </c>
      <c r="E207" s="54">
        <v>2201581000000</v>
      </c>
      <c r="F207" s="53" t="s">
        <v>1112</v>
      </c>
      <c r="G207" s="53" t="s">
        <v>1056</v>
      </c>
      <c r="H207" s="53"/>
      <c r="I207" s="53" t="s">
        <v>1113</v>
      </c>
      <c r="J207" s="53" t="s">
        <v>1114</v>
      </c>
      <c r="K207" s="53" t="s">
        <v>1059</v>
      </c>
      <c r="L207" s="53"/>
      <c r="M207" s="53" t="s">
        <v>1115</v>
      </c>
      <c r="N207" s="53" t="s">
        <v>1116</v>
      </c>
      <c r="O207" s="53" t="s">
        <v>1062</v>
      </c>
      <c r="P207" s="53"/>
      <c r="Q207" s="53" t="s">
        <v>1117</v>
      </c>
      <c r="R207" s="55">
        <v>1</v>
      </c>
      <c r="S207" s="53">
        <v>1</v>
      </c>
      <c r="T207" s="53" t="s">
        <v>131</v>
      </c>
      <c r="U207" s="53" t="s">
        <v>169</v>
      </c>
      <c r="V207" s="53" t="s">
        <v>1042</v>
      </c>
      <c r="W207" s="53" t="s">
        <v>1042</v>
      </c>
      <c r="X207" s="53" t="s">
        <v>1043</v>
      </c>
      <c r="Y207" s="53"/>
      <c r="Z207" s="53"/>
      <c r="AA207" s="53"/>
      <c r="AB207" s="53" t="s">
        <v>274</v>
      </c>
      <c r="AC207" s="53" t="s">
        <v>274</v>
      </c>
      <c r="AD207" s="53" t="s">
        <v>274</v>
      </c>
      <c r="AE207" s="53" t="s">
        <v>274</v>
      </c>
      <c r="AF207" s="53" t="s">
        <v>275</v>
      </c>
      <c r="AG207" s="53" t="s">
        <v>275</v>
      </c>
      <c r="AH207" s="53" t="s">
        <v>274</v>
      </c>
      <c r="AI207" s="59">
        <v>0.05</v>
      </c>
      <c r="AJ207" s="56" t="s">
        <v>275</v>
      </c>
    </row>
    <row r="208" spans="1:36" x14ac:dyDescent="0.45">
      <c r="A208" s="52">
        <v>212</v>
      </c>
      <c r="B208" s="53"/>
      <c r="C208" s="53" t="s">
        <v>263</v>
      </c>
      <c r="D208" s="53" t="s">
        <v>84</v>
      </c>
      <c r="E208" s="54">
        <v>7610632050514</v>
      </c>
      <c r="F208" s="53" t="s">
        <v>1118</v>
      </c>
      <c r="G208" s="53" t="s">
        <v>1091</v>
      </c>
      <c r="H208" s="53" t="s">
        <v>266</v>
      </c>
      <c r="I208" s="53" t="s">
        <v>1119</v>
      </c>
      <c r="J208" s="53" t="s">
        <v>1120</v>
      </c>
      <c r="K208" s="53" t="s">
        <v>1094</v>
      </c>
      <c r="L208" s="53" t="s">
        <v>266</v>
      </c>
      <c r="M208" s="53" t="s">
        <v>1121</v>
      </c>
      <c r="N208" s="53" t="s">
        <v>1122</v>
      </c>
      <c r="O208" s="53" t="s">
        <v>1096</v>
      </c>
      <c r="P208" s="53" t="s">
        <v>266</v>
      </c>
      <c r="Q208" s="53" t="s">
        <v>1123</v>
      </c>
      <c r="R208" s="55">
        <v>0.25</v>
      </c>
      <c r="S208" s="53">
        <v>100</v>
      </c>
      <c r="T208" s="53" t="s">
        <v>130</v>
      </c>
      <c r="U208" s="53" t="s">
        <v>169</v>
      </c>
      <c r="V208" s="53" t="s">
        <v>1042</v>
      </c>
      <c r="W208" s="53" t="s">
        <v>1042</v>
      </c>
      <c r="X208" s="53" t="s">
        <v>1043</v>
      </c>
      <c r="Y208" s="53"/>
      <c r="Z208" s="53"/>
      <c r="AA208" s="53"/>
      <c r="AB208" s="53" t="s">
        <v>274</v>
      </c>
      <c r="AC208" s="53" t="s">
        <v>274</v>
      </c>
      <c r="AD208" s="53" t="s">
        <v>274</v>
      </c>
      <c r="AE208" s="53" t="s">
        <v>274</v>
      </c>
      <c r="AF208" s="53" t="s">
        <v>275</v>
      </c>
      <c r="AG208" s="53" t="s">
        <v>275</v>
      </c>
      <c r="AH208" s="53" t="s">
        <v>274</v>
      </c>
      <c r="AI208" s="59">
        <v>0.05</v>
      </c>
      <c r="AJ208" s="56" t="s">
        <v>275</v>
      </c>
    </row>
    <row r="209" spans="1:36" x14ac:dyDescent="0.45">
      <c r="A209" s="52">
        <v>213</v>
      </c>
      <c r="B209" s="54">
        <v>128</v>
      </c>
      <c r="C209" s="53" t="s">
        <v>581</v>
      </c>
      <c r="D209" s="53"/>
      <c r="E209" s="53"/>
      <c r="F209" s="53" t="s">
        <v>1124</v>
      </c>
      <c r="G209" s="53"/>
      <c r="H209" s="53"/>
      <c r="I209" s="53" t="s">
        <v>1124</v>
      </c>
      <c r="J209" s="53" t="s">
        <v>1125</v>
      </c>
      <c r="K209" s="53" t="s">
        <v>1108</v>
      </c>
      <c r="L209" s="53"/>
      <c r="M209" s="53" t="s">
        <v>1126</v>
      </c>
      <c r="N209" s="53" t="s">
        <v>1127</v>
      </c>
      <c r="O209" s="53" t="s">
        <v>1089</v>
      </c>
      <c r="P209" s="53"/>
      <c r="Q209" s="53" t="s">
        <v>1128</v>
      </c>
      <c r="R209" s="55">
        <v>1</v>
      </c>
      <c r="S209" s="53">
        <v>1</v>
      </c>
      <c r="T209" s="53" t="s">
        <v>131</v>
      </c>
      <c r="U209" s="53" t="s">
        <v>168</v>
      </c>
      <c r="V209" s="53" t="s">
        <v>1042</v>
      </c>
      <c r="W209" s="53" t="s">
        <v>1042</v>
      </c>
      <c r="X209" s="53" t="s">
        <v>1043</v>
      </c>
      <c r="Y209" s="53"/>
      <c r="Z209" s="53"/>
      <c r="AA209" s="53"/>
      <c r="AB209" s="53" t="s">
        <v>274</v>
      </c>
      <c r="AC209" s="53" t="s">
        <v>274</v>
      </c>
      <c r="AD209" s="53" t="s">
        <v>274</v>
      </c>
      <c r="AE209" s="53" t="s">
        <v>274</v>
      </c>
      <c r="AF209" s="53" t="s">
        <v>275</v>
      </c>
      <c r="AG209" s="53" t="s">
        <v>275</v>
      </c>
      <c r="AH209" s="53" t="s">
        <v>274</v>
      </c>
      <c r="AI209" s="59">
        <v>0.05</v>
      </c>
      <c r="AJ209" s="56" t="s">
        <v>275</v>
      </c>
    </row>
    <row r="210" spans="1:36" x14ac:dyDescent="0.45">
      <c r="A210" s="52">
        <v>214</v>
      </c>
      <c r="B210" s="54">
        <v>171</v>
      </c>
      <c r="C210" s="53" t="s">
        <v>581</v>
      </c>
      <c r="D210" s="53"/>
      <c r="E210" s="53"/>
      <c r="F210" s="53" t="s">
        <v>1129</v>
      </c>
      <c r="G210" s="53"/>
      <c r="H210" s="53"/>
      <c r="I210" s="53" t="s">
        <v>1129</v>
      </c>
      <c r="J210" s="53" t="s">
        <v>1130</v>
      </c>
      <c r="K210" s="53" t="s">
        <v>1131</v>
      </c>
      <c r="L210" s="53"/>
      <c r="M210" s="53" t="s">
        <v>1132</v>
      </c>
      <c r="N210" s="53" t="s">
        <v>1133</v>
      </c>
      <c r="O210" s="53"/>
      <c r="P210" s="53"/>
      <c r="Q210" s="53" t="s">
        <v>1133</v>
      </c>
      <c r="R210" s="55">
        <v>1</v>
      </c>
      <c r="S210" s="53">
        <v>1</v>
      </c>
      <c r="T210" s="53" t="s">
        <v>131</v>
      </c>
      <c r="U210" s="53" t="s">
        <v>168</v>
      </c>
      <c r="V210" s="53" t="s">
        <v>1042</v>
      </c>
      <c r="W210" s="53" t="s">
        <v>1042</v>
      </c>
      <c r="X210" s="53" t="s">
        <v>1043</v>
      </c>
      <c r="Y210" s="53"/>
      <c r="Z210" s="53"/>
      <c r="AA210" s="53"/>
      <c r="AB210" s="53" t="s">
        <v>274</v>
      </c>
      <c r="AC210" s="53" t="s">
        <v>274</v>
      </c>
      <c r="AD210" s="53" t="s">
        <v>274</v>
      </c>
      <c r="AE210" s="53" t="s">
        <v>274</v>
      </c>
      <c r="AF210" s="53" t="s">
        <v>275</v>
      </c>
      <c r="AG210" s="53" t="s">
        <v>275</v>
      </c>
      <c r="AH210" s="53" t="s">
        <v>274</v>
      </c>
      <c r="AI210" s="59">
        <v>0.05</v>
      </c>
      <c r="AJ210" s="56" t="s">
        <v>275</v>
      </c>
    </row>
    <row r="211" spans="1:36" x14ac:dyDescent="0.45">
      <c r="A211" s="52">
        <v>215</v>
      </c>
      <c r="B211" s="54">
        <v>159</v>
      </c>
      <c r="C211" s="53" t="s">
        <v>581</v>
      </c>
      <c r="D211" s="53"/>
      <c r="E211" s="53"/>
      <c r="F211" s="53" t="s">
        <v>1134</v>
      </c>
      <c r="G211" s="53"/>
      <c r="H211" s="53"/>
      <c r="I211" s="53" t="s">
        <v>1134</v>
      </c>
      <c r="J211" s="53" t="s">
        <v>1135</v>
      </c>
      <c r="K211" s="53" t="s">
        <v>1108</v>
      </c>
      <c r="L211" s="53"/>
      <c r="M211" s="53" t="s">
        <v>1136</v>
      </c>
      <c r="N211" s="53" t="s">
        <v>1137</v>
      </c>
      <c r="O211" s="53" t="s">
        <v>1089</v>
      </c>
      <c r="P211" s="53"/>
      <c r="Q211" s="53" t="s">
        <v>1138</v>
      </c>
      <c r="R211" s="55">
        <v>1</v>
      </c>
      <c r="S211" s="53">
        <v>1</v>
      </c>
      <c r="T211" s="53" t="s">
        <v>131</v>
      </c>
      <c r="U211" s="53" t="s">
        <v>168</v>
      </c>
      <c r="V211" s="53" t="s">
        <v>1042</v>
      </c>
      <c r="W211" s="53" t="s">
        <v>1042</v>
      </c>
      <c r="X211" s="53" t="s">
        <v>1043</v>
      </c>
      <c r="Y211" s="53"/>
      <c r="Z211" s="53"/>
      <c r="AA211" s="53"/>
      <c r="AB211" s="53" t="s">
        <v>274</v>
      </c>
      <c r="AC211" s="53" t="s">
        <v>274</v>
      </c>
      <c r="AD211" s="53" t="s">
        <v>274</v>
      </c>
      <c r="AE211" s="53" t="s">
        <v>274</v>
      </c>
      <c r="AF211" s="53" t="s">
        <v>275</v>
      </c>
      <c r="AG211" s="53" t="s">
        <v>275</v>
      </c>
      <c r="AH211" s="53" t="s">
        <v>274</v>
      </c>
      <c r="AI211" s="59">
        <v>0.05</v>
      </c>
      <c r="AJ211" s="56" t="s">
        <v>275</v>
      </c>
    </row>
    <row r="212" spans="1:36" x14ac:dyDescent="0.45">
      <c r="A212" s="52">
        <v>216</v>
      </c>
      <c r="B212" s="54">
        <v>137</v>
      </c>
      <c r="C212" s="53" t="s">
        <v>581</v>
      </c>
      <c r="D212" s="53"/>
      <c r="E212" s="54"/>
      <c r="F212" s="53" t="s">
        <v>1139</v>
      </c>
      <c r="G212" s="53" t="s">
        <v>1035</v>
      </c>
      <c r="H212" s="53"/>
      <c r="I212" s="53" t="s">
        <v>1140</v>
      </c>
      <c r="J212" s="53" t="s">
        <v>1141</v>
      </c>
      <c r="K212" s="53" t="s">
        <v>1038</v>
      </c>
      <c r="L212" s="53"/>
      <c r="M212" s="53" t="s">
        <v>1142</v>
      </c>
      <c r="N212" s="53" t="s">
        <v>1143</v>
      </c>
      <c r="O212" s="53" t="s">
        <v>1040</v>
      </c>
      <c r="P212" s="53"/>
      <c r="Q212" s="53" t="s">
        <v>1144</v>
      </c>
      <c r="R212" s="55">
        <v>1</v>
      </c>
      <c r="S212" s="53">
        <v>1</v>
      </c>
      <c r="T212" s="53" t="s">
        <v>131</v>
      </c>
      <c r="U212" s="53" t="s">
        <v>168</v>
      </c>
      <c r="V212" s="53" t="s">
        <v>1042</v>
      </c>
      <c r="W212" s="53" t="s">
        <v>1042</v>
      </c>
      <c r="X212" s="53" t="s">
        <v>1043</v>
      </c>
      <c r="Y212" s="53"/>
      <c r="Z212" s="53"/>
      <c r="AA212" s="53"/>
      <c r="AB212" s="53" t="s">
        <v>274</v>
      </c>
      <c r="AC212" s="53" t="s">
        <v>274</v>
      </c>
      <c r="AD212" s="53" t="s">
        <v>274</v>
      </c>
      <c r="AE212" s="53" t="s">
        <v>274</v>
      </c>
      <c r="AF212" s="53" t="s">
        <v>275</v>
      </c>
      <c r="AG212" s="53" t="s">
        <v>275</v>
      </c>
      <c r="AH212" s="53" t="s">
        <v>274</v>
      </c>
      <c r="AI212" s="59">
        <v>0.05</v>
      </c>
      <c r="AJ212" s="56" t="s">
        <v>275</v>
      </c>
    </row>
    <row r="213" spans="1:36" x14ac:dyDescent="0.45">
      <c r="A213" s="52">
        <v>217</v>
      </c>
      <c r="B213" s="54">
        <v>142</v>
      </c>
      <c r="C213" s="53" t="s">
        <v>581</v>
      </c>
      <c r="D213" s="53"/>
      <c r="E213" s="54"/>
      <c r="F213" s="53" t="s">
        <v>1145</v>
      </c>
      <c r="G213" s="53" t="s">
        <v>1035</v>
      </c>
      <c r="H213" s="53"/>
      <c r="I213" s="53" t="s">
        <v>1146</v>
      </c>
      <c r="J213" s="53" t="s">
        <v>1147</v>
      </c>
      <c r="K213" s="53" t="s">
        <v>1038</v>
      </c>
      <c r="L213" s="53"/>
      <c r="M213" s="53" t="s">
        <v>1148</v>
      </c>
      <c r="N213" s="53" t="s">
        <v>1149</v>
      </c>
      <c r="O213" s="53" t="s">
        <v>1040</v>
      </c>
      <c r="P213" s="53"/>
      <c r="Q213" s="53" t="s">
        <v>1150</v>
      </c>
      <c r="R213" s="55">
        <v>1</v>
      </c>
      <c r="S213" s="53">
        <v>1</v>
      </c>
      <c r="T213" s="53" t="s">
        <v>131</v>
      </c>
      <c r="U213" s="53" t="s">
        <v>168</v>
      </c>
      <c r="V213" s="53" t="s">
        <v>1042</v>
      </c>
      <c r="W213" s="53" t="s">
        <v>1042</v>
      </c>
      <c r="X213" s="53" t="s">
        <v>1043</v>
      </c>
      <c r="Y213" s="53"/>
      <c r="Z213" s="53"/>
      <c r="AA213" s="53"/>
      <c r="AB213" s="53" t="s">
        <v>274</v>
      </c>
      <c r="AC213" s="53" t="s">
        <v>274</v>
      </c>
      <c r="AD213" s="53" t="s">
        <v>274</v>
      </c>
      <c r="AE213" s="53" t="s">
        <v>274</v>
      </c>
      <c r="AF213" s="53" t="s">
        <v>275</v>
      </c>
      <c r="AG213" s="53" t="s">
        <v>275</v>
      </c>
      <c r="AH213" s="53" t="s">
        <v>274</v>
      </c>
      <c r="AI213" s="59">
        <v>0.05</v>
      </c>
      <c r="AJ213" s="56" t="s">
        <v>275</v>
      </c>
    </row>
    <row r="214" spans="1:36" x14ac:dyDescent="0.45">
      <c r="A214" s="52">
        <v>218</v>
      </c>
      <c r="B214" s="53"/>
      <c r="C214" s="53" t="s">
        <v>581</v>
      </c>
      <c r="D214" s="53" t="s">
        <v>78</v>
      </c>
      <c r="E214" s="54">
        <v>2203071000000</v>
      </c>
      <c r="F214" s="53" t="s">
        <v>1151</v>
      </c>
      <c r="G214" s="53" t="s">
        <v>1152</v>
      </c>
      <c r="H214" s="53"/>
      <c r="I214" s="53" t="s">
        <v>1153</v>
      </c>
      <c r="J214" s="53" t="s">
        <v>1154</v>
      </c>
      <c r="K214" s="53" t="s">
        <v>1155</v>
      </c>
      <c r="L214" s="53"/>
      <c r="M214" s="53" t="s">
        <v>1156</v>
      </c>
      <c r="N214" s="53" t="s">
        <v>1157</v>
      </c>
      <c r="O214" s="53" t="s">
        <v>1158</v>
      </c>
      <c r="P214" s="53"/>
      <c r="Q214" s="53" t="s">
        <v>1159</v>
      </c>
      <c r="R214" s="55">
        <v>1</v>
      </c>
      <c r="S214" s="53">
        <v>1</v>
      </c>
      <c r="T214" s="53" t="s">
        <v>131</v>
      </c>
      <c r="U214" s="53" t="s">
        <v>169</v>
      </c>
      <c r="V214" s="53" t="s">
        <v>1042</v>
      </c>
      <c r="W214" s="53" t="s">
        <v>1042</v>
      </c>
      <c r="X214" s="53" t="s">
        <v>1043</v>
      </c>
      <c r="Y214" s="53"/>
      <c r="Z214" s="53"/>
      <c r="AA214" s="53"/>
      <c r="AB214" s="53" t="s">
        <v>274</v>
      </c>
      <c r="AC214" s="53" t="s">
        <v>274</v>
      </c>
      <c r="AD214" s="53" t="s">
        <v>274</v>
      </c>
      <c r="AE214" s="53" t="s">
        <v>274</v>
      </c>
      <c r="AF214" s="53" t="s">
        <v>275</v>
      </c>
      <c r="AG214" s="53" t="s">
        <v>275</v>
      </c>
      <c r="AH214" s="53" t="s">
        <v>274</v>
      </c>
      <c r="AI214" s="59">
        <v>0.05</v>
      </c>
      <c r="AJ214" s="56" t="s">
        <v>275</v>
      </c>
    </row>
    <row r="215" spans="1:36" x14ac:dyDescent="0.45">
      <c r="A215" s="52">
        <v>219</v>
      </c>
      <c r="B215" s="53"/>
      <c r="C215" s="53" t="s">
        <v>581</v>
      </c>
      <c r="D215" s="53" t="s">
        <v>78</v>
      </c>
      <c r="E215" s="54">
        <v>2215861000009</v>
      </c>
      <c r="F215" s="53" t="s">
        <v>1160</v>
      </c>
      <c r="G215" s="53" t="s">
        <v>1152</v>
      </c>
      <c r="H215" s="53"/>
      <c r="I215" s="53" t="s">
        <v>1161</v>
      </c>
      <c r="J215" s="53" t="s">
        <v>1162</v>
      </c>
      <c r="K215" s="53" t="s">
        <v>1155</v>
      </c>
      <c r="L215" s="53"/>
      <c r="M215" s="53" t="s">
        <v>1163</v>
      </c>
      <c r="N215" s="53" t="s">
        <v>1164</v>
      </c>
      <c r="O215" s="53" t="s">
        <v>1158</v>
      </c>
      <c r="P215" s="53"/>
      <c r="Q215" s="53" t="s">
        <v>1165</v>
      </c>
      <c r="R215" s="55">
        <v>1</v>
      </c>
      <c r="S215" s="53">
        <v>1</v>
      </c>
      <c r="T215" s="53" t="s">
        <v>131</v>
      </c>
      <c r="U215" s="53" t="s">
        <v>169</v>
      </c>
      <c r="V215" s="53" t="s">
        <v>1042</v>
      </c>
      <c r="W215" s="53" t="s">
        <v>1042</v>
      </c>
      <c r="X215" s="53" t="s">
        <v>1043</v>
      </c>
      <c r="Y215" s="53"/>
      <c r="Z215" s="53"/>
      <c r="AA215" s="53"/>
      <c r="AB215" s="53" t="s">
        <v>274</v>
      </c>
      <c r="AC215" s="53" t="s">
        <v>274</v>
      </c>
      <c r="AD215" s="53" t="s">
        <v>274</v>
      </c>
      <c r="AE215" s="53" t="s">
        <v>274</v>
      </c>
      <c r="AF215" s="53" t="s">
        <v>275</v>
      </c>
      <c r="AG215" s="53" t="s">
        <v>275</v>
      </c>
      <c r="AH215" s="53" t="s">
        <v>274</v>
      </c>
      <c r="AI215" s="59">
        <v>0.05</v>
      </c>
      <c r="AJ215" s="56" t="s">
        <v>275</v>
      </c>
    </row>
    <row r="216" spans="1:36" x14ac:dyDescent="0.45">
      <c r="A216" s="52">
        <v>220</v>
      </c>
      <c r="B216" s="54">
        <v>134</v>
      </c>
      <c r="C216" s="53" t="s">
        <v>581</v>
      </c>
      <c r="D216" s="53" t="s">
        <v>84</v>
      </c>
      <c r="E216" s="54" t="s">
        <v>1409</v>
      </c>
      <c r="F216" s="53" t="s">
        <v>1166</v>
      </c>
      <c r="G216" s="53" t="s">
        <v>1035</v>
      </c>
      <c r="H216" s="53"/>
      <c r="I216" s="53" t="s">
        <v>1167</v>
      </c>
      <c r="J216" s="53" t="s">
        <v>1168</v>
      </c>
      <c r="K216" s="53" t="s">
        <v>1038</v>
      </c>
      <c r="L216" s="53"/>
      <c r="M216" s="53" t="s">
        <v>1169</v>
      </c>
      <c r="N216" s="53" t="s">
        <v>1170</v>
      </c>
      <c r="O216" s="53" t="s">
        <v>1040</v>
      </c>
      <c r="P216" s="53"/>
      <c r="Q216" s="53" t="s">
        <v>1171</v>
      </c>
      <c r="R216" s="55">
        <v>1</v>
      </c>
      <c r="S216" s="53">
        <v>1</v>
      </c>
      <c r="T216" s="53" t="s">
        <v>131</v>
      </c>
      <c r="U216" s="53" t="s">
        <v>168</v>
      </c>
      <c r="V216" s="53" t="s">
        <v>1042</v>
      </c>
      <c r="W216" s="53" t="s">
        <v>1042</v>
      </c>
      <c r="X216" s="53" t="s">
        <v>1043</v>
      </c>
      <c r="Y216" s="53"/>
      <c r="Z216" s="53"/>
      <c r="AA216" s="53"/>
      <c r="AB216" s="53" t="s">
        <v>274</v>
      </c>
      <c r="AC216" s="53" t="s">
        <v>274</v>
      </c>
      <c r="AD216" s="53" t="s">
        <v>274</v>
      </c>
      <c r="AE216" s="53" t="s">
        <v>274</v>
      </c>
      <c r="AF216" s="53" t="s">
        <v>275</v>
      </c>
      <c r="AG216" s="53" t="s">
        <v>275</v>
      </c>
      <c r="AH216" s="53" t="s">
        <v>274</v>
      </c>
      <c r="AI216" s="59">
        <v>0.05</v>
      </c>
      <c r="AJ216" s="56" t="s">
        <v>275</v>
      </c>
    </row>
    <row r="217" spans="1:36" x14ac:dyDescent="0.45">
      <c r="A217" s="52">
        <v>221</v>
      </c>
      <c r="B217" s="54"/>
      <c r="C217" s="53" t="s">
        <v>581</v>
      </c>
      <c r="D217" s="53" t="s">
        <v>78</v>
      </c>
      <c r="E217" s="54">
        <v>2260561000002</v>
      </c>
      <c r="F217" s="53" t="s">
        <v>1166</v>
      </c>
      <c r="G217" s="53" t="s">
        <v>1152</v>
      </c>
      <c r="H217" s="53"/>
      <c r="I217" s="53" t="s">
        <v>1172</v>
      </c>
      <c r="J217" s="53" t="s">
        <v>1168</v>
      </c>
      <c r="K217" s="53" t="s">
        <v>1155</v>
      </c>
      <c r="L217" s="53"/>
      <c r="M217" s="53" t="s">
        <v>1173</v>
      </c>
      <c r="N217" s="53" t="s">
        <v>1170</v>
      </c>
      <c r="O217" s="53" t="s">
        <v>1158</v>
      </c>
      <c r="P217" s="53"/>
      <c r="Q217" s="53" t="s">
        <v>1174</v>
      </c>
      <c r="R217" s="55">
        <v>1</v>
      </c>
      <c r="S217" s="53">
        <v>1</v>
      </c>
      <c r="T217" s="53" t="s">
        <v>131</v>
      </c>
      <c r="U217" s="53" t="s">
        <v>169</v>
      </c>
      <c r="V217" s="53" t="s">
        <v>1042</v>
      </c>
      <c r="W217" s="53" t="s">
        <v>1042</v>
      </c>
      <c r="X217" s="53" t="s">
        <v>1043</v>
      </c>
      <c r="Y217" s="53"/>
      <c r="Z217" s="53"/>
      <c r="AA217" s="53"/>
      <c r="AB217" s="53" t="s">
        <v>274</v>
      </c>
      <c r="AC217" s="53" t="s">
        <v>274</v>
      </c>
      <c r="AD217" s="53" t="s">
        <v>274</v>
      </c>
      <c r="AE217" s="53" t="s">
        <v>274</v>
      </c>
      <c r="AF217" s="53" t="s">
        <v>275</v>
      </c>
      <c r="AG217" s="53" t="s">
        <v>275</v>
      </c>
      <c r="AH217" s="53" t="s">
        <v>274</v>
      </c>
      <c r="AI217" s="59">
        <v>0.05</v>
      </c>
      <c r="AJ217" s="56" t="s">
        <v>275</v>
      </c>
    </row>
    <row r="218" spans="1:36" x14ac:dyDescent="0.45">
      <c r="A218" s="52">
        <v>222</v>
      </c>
      <c r="B218" s="54"/>
      <c r="C218" s="53" t="s">
        <v>581</v>
      </c>
      <c r="D218" s="53" t="s">
        <v>78</v>
      </c>
      <c r="E218" s="54">
        <v>2287572000000</v>
      </c>
      <c r="F218" s="53" t="s">
        <v>1175</v>
      </c>
      <c r="G218" s="53" t="s">
        <v>1152</v>
      </c>
      <c r="H218" s="53"/>
      <c r="I218" s="53" t="s">
        <v>1176</v>
      </c>
      <c r="J218" s="53" t="s">
        <v>1177</v>
      </c>
      <c r="K218" s="53" t="s">
        <v>1155</v>
      </c>
      <c r="L218" s="53"/>
      <c r="M218" s="53" t="s">
        <v>1178</v>
      </c>
      <c r="N218" s="53" t="s">
        <v>1179</v>
      </c>
      <c r="O218" s="53" t="s">
        <v>1158</v>
      </c>
      <c r="P218" s="53"/>
      <c r="Q218" s="53" t="s">
        <v>1180</v>
      </c>
      <c r="R218" s="55">
        <v>1</v>
      </c>
      <c r="S218" s="53">
        <v>1</v>
      </c>
      <c r="T218" s="53" t="s">
        <v>131</v>
      </c>
      <c r="U218" s="53" t="s">
        <v>169</v>
      </c>
      <c r="V218" s="53" t="s">
        <v>1042</v>
      </c>
      <c r="W218" s="53" t="s">
        <v>1042</v>
      </c>
      <c r="X218" s="53" t="s">
        <v>1043</v>
      </c>
      <c r="Y218" s="53"/>
      <c r="Z218" s="53"/>
      <c r="AA218" s="53"/>
      <c r="AB218" s="53" t="s">
        <v>274</v>
      </c>
      <c r="AC218" s="53" t="s">
        <v>274</v>
      </c>
      <c r="AD218" s="53" t="s">
        <v>274</v>
      </c>
      <c r="AE218" s="53" t="s">
        <v>274</v>
      </c>
      <c r="AF218" s="53" t="s">
        <v>275</v>
      </c>
      <c r="AG218" s="53" t="s">
        <v>275</v>
      </c>
      <c r="AH218" s="53" t="s">
        <v>274</v>
      </c>
      <c r="AI218" s="59">
        <v>0.05</v>
      </c>
      <c r="AJ218" s="56" t="s">
        <v>275</v>
      </c>
    </row>
    <row r="219" spans="1:36" x14ac:dyDescent="0.45">
      <c r="A219" s="52">
        <v>223</v>
      </c>
      <c r="B219" s="54">
        <v>136</v>
      </c>
      <c r="C219" s="53" t="s">
        <v>581</v>
      </c>
      <c r="D219" s="53" t="s">
        <v>84</v>
      </c>
      <c r="E219" s="54" t="s">
        <v>1409</v>
      </c>
      <c r="F219" s="53" t="s">
        <v>1181</v>
      </c>
      <c r="G219" s="53" t="s">
        <v>1035</v>
      </c>
      <c r="H219" s="53"/>
      <c r="I219" s="53" t="s">
        <v>1182</v>
      </c>
      <c r="J219" s="53" t="s">
        <v>1183</v>
      </c>
      <c r="K219" s="53" t="s">
        <v>1038</v>
      </c>
      <c r="L219" s="53"/>
      <c r="M219" s="53" t="s">
        <v>1184</v>
      </c>
      <c r="N219" s="53" t="s">
        <v>1185</v>
      </c>
      <c r="O219" s="53" t="s">
        <v>1040</v>
      </c>
      <c r="P219" s="53"/>
      <c r="Q219" s="53" t="s">
        <v>1186</v>
      </c>
      <c r="R219" s="55">
        <v>1</v>
      </c>
      <c r="S219" s="53">
        <v>1</v>
      </c>
      <c r="T219" s="53" t="s">
        <v>131</v>
      </c>
      <c r="U219" s="53" t="s">
        <v>168</v>
      </c>
      <c r="V219" s="53" t="s">
        <v>1042</v>
      </c>
      <c r="W219" s="53" t="s">
        <v>1042</v>
      </c>
      <c r="X219" s="53" t="s">
        <v>1043</v>
      </c>
      <c r="Y219" s="53"/>
      <c r="Z219" s="53"/>
      <c r="AA219" s="53"/>
      <c r="AB219" s="53" t="s">
        <v>274</v>
      </c>
      <c r="AC219" s="53" t="s">
        <v>274</v>
      </c>
      <c r="AD219" s="53" t="s">
        <v>274</v>
      </c>
      <c r="AE219" s="53" t="s">
        <v>274</v>
      </c>
      <c r="AF219" s="53" t="s">
        <v>275</v>
      </c>
      <c r="AG219" s="53" t="s">
        <v>275</v>
      </c>
      <c r="AH219" s="53" t="s">
        <v>274</v>
      </c>
      <c r="AI219" s="59">
        <v>0.05</v>
      </c>
      <c r="AJ219" s="56" t="s">
        <v>275</v>
      </c>
    </row>
    <row r="220" spans="1:36" x14ac:dyDescent="0.45">
      <c r="A220" s="52">
        <v>224</v>
      </c>
      <c r="B220" s="53"/>
      <c r="C220" s="53" t="s">
        <v>581</v>
      </c>
      <c r="D220" s="53" t="s">
        <v>78</v>
      </c>
      <c r="E220" s="54">
        <v>2216831000005</v>
      </c>
      <c r="F220" s="53" t="s">
        <v>1181</v>
      </c>
      <c r="G220" s="53" t="s">
        <v>1152</v>
      </c>
      <c r="H220" s="53"/>
      <c r="I220" s="53" t="s">
        <v>1187</v>
      </c>
      <c r="J220" s="53" t="s">
        <v>1183</v>
      </c>
      <c r="K220" s="53" t="s">
        <v>1155</v>
      </c>
      <c r="L220" s="53"/>
      <c r="M220" s="53" t="s">
        <v>1188</v>
      </c>
      <c r="N220" s="53" t="s">
        <v>1185</v>
      </c>
      <c r="O220" s="53" t="s">
        <v>1158</v>
      </c>
      <c r="P220" s="53"/>
      <c r="Q220" s="53" t="s">
        <v>1189</v>
      </c>
      <c r="R220" s="55">
        <v>1</v>
      </c>
      <c r="S220" s="53">
        <v>1</v>
      </c>
      <c r="T220" s="53" t="s">
        <v>131</v>
      </c>
      <c r="U220" s="53" t="s">
        <v>169</v>
      </c>
      <c r="V220" s="53" t="s">
        <v>1042</v>
      </c>
      <c r="W220" s="53" t="s">
        <v>1042</v>
      </c>
      <c r="X220" s="53" t="s">
        <v>1043</v>
      </c>
      <c r="Y220" s="53"/>
      <c r="Z220" s="53"/>
      <c r="AA220" s="53"/>
      <c r="AB220" s="53" t="s">
        <v>274</v>
      </c>
      <c r="AC220" s="53" t="s">
        <v>274</v>
      </c>
      <c r="AD220" s="53" t="s">
        <v>274</v>
      </c>
      <c r="AE220" s="53" t="s">
        <v>274</v>
      </c>
      <c r="AF220" s="53" t="s">
        <v>275</v>
      </c>
      <c r="AG220" s="53" t="s">
        <v>275</v>
      </c>
      <c r="AH220" s="53" t="s">
        <v>274</v>
      </c>
      <c r="AI220" s="59">
        <v>0.05</v>
      </c>
      <c r="AJ220" s="56" t="s">
        <v>275</v>
      </c>
    </row>
    <row r="221" spans="1:36" x14ac:dyDescent="0.45">
      <c r="A221" s="52">
        <v>225</v>
      </c>
      <c r="B221" s="53"/>
      <c r="C221" s="53" t="s">
        <v>581</v>
      </c>
      <c r="D221" s="53" t="s">
        <v>78</v>
      </c>
      <c r="E221" s="54">
        <v>2216799000000</v>
      </c>
      <c r="F221" s="53" t="s">
        <v>1190</v>
      </c>
      <c r="G221" s="53" t="s">
        <v>1152</v>
      </c>
      <c r="H221" s="53"/>
      <c r="I221" s="53" t="s">
        <v>1191</v>
      </c>
      <c r="J221" s="53" t="s">
        <v>1192</v>
      </c>
      <c r="K221" s="53" t="s">
        <v>1155</v>
      </c>
      <c r="L221" s="53"/>
      <c r="M221" s="53" t="s">
        <v>1193</v>
      </c>
      <c r="N221" s="53" t="s">
        <v>1194</v>
      </c>
      <c r="O221" s="53" t="s">
        <v>1158</v>
      </c>
      <c r="P221" s="53"/>
      <c r="Q221" s="53" t="s">
        <v>1195</v>
      </c>
      <c r="R221" s="55">
        <v>1</v>
      </c>
      <c r="S221" s="53">
        <v>1</v>
      </c>
      <c r="T221" s="53" t="s">
        <v>131</v>
      </c>
      <c r="U221" s="53" t="s">
        <v>169</v>
      </c>
      <c r="V221" s="53" t="s">
        <v>1042</v>
      </c>
      <c r="W221" s="53" t="s">
        <v>1042</v>
      </c>
      <c r="X221" s="53" t="s">
        <v>1043</v>
      </c>
      <c r="Y221" s="53"/>
      <c r="Z221" s="53"/>
      <c r="AA221" s="53"/>
      <c r="AB221" s="53" t="s">
        <v>274</v>
      </c>
      <c r="AC221" s="53" t="s">
        <v>274</v>
      </c>
      <c r="AD221" s="53" t="s">
        <v>274</v>
      </c>
      <c r="AE221" s="53" t="s">
        <v>274</v>
      </c>
      <c r="AF221" s="53" t="s">
        <v>275</v>
      </c>
      <c r="AG221" s="53" t="s">
        <v>275</v>
      </c>
      <c r="AH221" s="53" t="s">
        <v>274</v>
      </c>
      <c r="AI221" s="59">
        <v>0.05</v>
      </c>
      <c r="AJ221" s="56" t="s">
        <v>275</v>
      </c>
    </row>
    <row r="222" spans="1:36" x14ac:dyDescent="0.45">
      <c r="A222" s="52">
        <v>226</v>
      </c>
      <c r="B222" s="54">
        <v>138</v>
      </c>
      <c r="C222" s="53" t="s">
        <v>581</v>
      </c>
      <c r="D222" s="53" t="s">
        <v>84</v>
      </c>
      <c r="E222" s="54" t="s">
        <v>1409</v>
      </c>
      <c r="F222" s="53" t="s">
        <v>1196</v>
      </c>
      <c r="G222" s="53" t="s">
        <v>1035</v>
      </c>
      <c r="H222" s="53"/>
      <c r="I222" s="53" t="s">
        <v>1197</v>
      </c>
      <c r="J222" s="53" t="s">
        <v>1198</v>
      </c>
      <c r="K222" s="53" t="s">
        <v>1038</v>
      </c>
      <c r="L222" s="53"/>
      <c r="M222" s="53" t="s">
        <v>1199</v>
      </c>
      <c r="N222" s="53" t="s">
        <v>1200</v>
      </c>
      <c r="O222" s="53" t="s">
        <v>1040</v>
      </c>
      <c r="P222" s="53"/>
      <c r="Q222" s="53" t="s">
        <v>1201</v>
      </c>
      <c r="R222" s="55">
        <v>1</v>
      </c>
      <c r="S222" s="53">
        <v>1</v>
      </c>
      <c r="T222" s="53" t="s">
        <v>131</v>
      </c>
      <c r="U222" s="53" t="s">
        <v>168</v>
      </c>
      <c r="V222" s="53" t="s">
        <v>1042</v>
      </c>
      <c r="W222" s="53" t="s">
        <v>1042</v>
      </c>
      <c r="X222" s="53" t="s">
        <v>1043</v>
      </c>
      <c r="Y222" s="53"/>
      <c r="Z222" s="53"/>
      <c r="AA222" s="53"/>
      <c r="AB222" s="53" t="s">
        <v>274</v>
      </c>
      <c r="AC222" s="53" t="s">
        <v>274</v>
      </c>
      <c r="AD222" s="53" t="s">
        <v>274</v>
      </c>
      <c r="AE222" s="53" t="s">
        <v>274</v>
      </c>
      <c r="AF222" s="53" t="s">
        <v>275</v>
      </c>
      <c r="AG222" s="53" t="s">
        <v>275</v>
      </c>
      <c r="AH222" s="53" t="s">
        <v>274</v>
      </c>
      <c r="AI222" s="59">
        <v>0.05</v>
      </c>
      <c r="AJ222" s="56" t="s">
        <v>275</v>
      </c>
    </row>
    <row r="223" spans="1:36" x14ac:dyDescent="0.45">
      <c r="A223" s="52">
        <v>227</v>
      </c>
      <c r="B223" s="53"/>
      <c r="C223" s="53" t="s">
        <v>581</v>
      </c>
      <c r="D223" s="53" t="s">
        <v>78</v>
      </c>
      <c r="E223" s="54">
        <v>2287571000006</v>
      </c>
      <c r="F223" s="53" t="s">
        <v>1196</v>
      </c>
      <c r="G223" s="53" t="s">
        <v>1152</v>
      </c>
      <c r="H223" s="53"/>
      <c r="I223" s="53" t="s">
        <v>1202</v>
      </c>
      <c r="J223" s="53" t="s">
        <v>1198</v>
      </c>
      <c r="K223" s="53" t="s">
        <v>1155</v>
      </c>
      <c r="L223" s="53"/>
      <c r="M223" s="53" t="s">
        <v>1203</v>
      </c>
      <c r="N223" s="53" t="s">
        <v>1200</v>
      </c>
      <c r="O223" s="53" t="s">
        <v>1158</v>
      </c>
      <c r="P223" s="53"/>
      <c r="Q223" s="53" t="s">
        <v>1204</v>
      </c>
      <c r="R223" s="55">
        <v>1</v>
      </c>
      <c r="S223" s="53">
        <v>1</v>
      </c>
      <c r="T223" s="53" t="s">
        <v>131</v>
      </c>
      <c r="U223" s="53" t="s">
        <v>169</v>
      </c>
      <c r="V223" s="53" t="s">
        <v>1042</v>
      </c>
      <c r="W223" s="53" t="s">
        <v>1042</v>
      </c>
      <c r="X223" s="53" t="s">
        <v>1043</v>
      </c>
      <c r="Y223" s="53"/>
      <c r="Z223" s="53"/>
      <c r="AA223" s="53"/>
      <c r="AB223" s="53" t="s">
        <v>274</v>
      </c>
      <c r="AC223" s="53" t="s">
        <v>274</v>
      </c>
      <c r="AD223" s="53" t="s">
        <v>274</v>
      </c>
      <c r="AE223" s="53" t="s">
        <v>274</v>
      </c>
      <c r="AF223" s="53" t="s">
        <v>275</v>
      </c>
      <c r="AG223" s="53" t="s">
        <v>275</v>
      </c>
      <c r="AH223" s="53" t="s">
        <v>274</v>
      </c>
      <c r="AI223" s="59">
        <v>0.05</v>
      </c>
      <c r="AJ223" s="56" t="s">
        <v>275</v>
      </c>
    </row>
    <row r="224" spans="1:36" x14ac:dyDescent="0.45">
      <c r="A224" s="52">
        <v>228</v>
      </c>
      <c r="B224" s="54">
        <v>139</v>
      </c>
      <c r="C224" s="53" t="s">
        <v>581</v>
      </c>
      <c r="D224" s="53" t="s">
        <v>84</v>
      </c>
      <c r="E224" s="54" t="s">
        <v>1409</v>
      </c>
      <c r="F224" s="53" t="s">
        <v>1205</v>
      </c>
      <c r="G224" s="53" t="s">
        <v>1035</v>
      </c>
      <c r="H224" s="53"/>
      <c r="I224" s="53" t="s">
        <v>1206</v>
      </c>
      <c r="J224" s="53" t="s">
        <v>1207</v>
      </c>
      <c r="K224" s="53" t="s">
        <v>1038</v>
      </c>
      <c r="L224" s="53"/>
      <c r="M224" s="53" t="s">
        <v>1208</v>
      </c>
      <c r="N224" s="53" t="s">
        <v>1209</v>
      </c>
      <c r="O224" s="53" t="s">
        <v>1040</v>
      </c>
      <c r="P224" s="53"/>
      <c r="Q224" s="53" t="s">
        <v>1210</v>
      </c>
      <c r="R224" s="55">
        <v>1</v>
      </c>
      <c r="S224" s="53">
        <v>1</v>
      </c>
      <c r="T224" s="53" t="s">
        <v>131</v>
      </c>
      <c r="U224" s="53" t="s">
        <v>168</v>
      </c>
      <c r="V224" s="53" t="s">
        <v>1042</v>
      </c>
      <c r="W224" s="53" t="s">
        <v>1042</v>
      </c>
      <c r="X224" s="53" t="s">
        <v>1043</v>
      </c>
      <c r="Y224" s="53"/>
      <c r="Z224" s="53"/>
      <c r="AA224" s="53"/>
      <c r="AB224" s="53" t="s">
        <v>274</v>
      </c>
      <c r="AC224" s="53" t="s">
        <v>274</v>
      </c>
      <c r="AD224" s="53" t="s">
        <v>274</v>
      </c>
      <c r="AE224" s="53" t="s">
        <v>274</v>
      </c>
      <c r="AF224" s="53" t="s">
        <v>275</v>
      </c>
      <c r="AG224" s="53" t="s">
        <v>275</v>
      </c>
      <c r="AH224" s="53" t="s">
        <v>274</v>
      </c>
      <c r="AI224" s="59">
        <v>0.05</v>
      </c>
      <c r="AJ224" s="56" t="s">
        <v>275</v>
      </c>
    </row>
    <row r="225" spans="1:36" x14ac:dyDescent="0.45">
      <c r="A225" s="52">
        <v>229</v>
      </c>
      <c r="B225" s="53"/>
      <c r="C225" s="53" t="s">
        <v>581</v>
      </c>
      <c r="D225" s="53" t="s">
        <v>78</v>
      </c>
      <c r="E225" s="54">
        <v>2287571000006</v>
      </c>
      <c r="F225" s="53" t="s">
        <v>1205</v>
      </c>
      <c r="G225" s="53" t="s">
        <v>1152</v>
      </c>
      <c r="H225" s="53"/>
      <c r="I225" s="53" t="s">
        <v>1211</v>
      </c>
      <c r="J225" s="53" t="s">
        <v>1207</v>
      </c>
      <c r="K225" s="53" t="s">
        <v>1155</v>
      </c>
      <c r="L225" s="53"/>
      <c r="M225" s="53" t="s">
        <v>1212</v>
      </c>
      <c r="N225" s="53" t="s">
        <v>1209</v>
      </c>
      <c r="O225" s="53" t="s">
        <v>1158</v>
      </c>
      <c r="P225" s="53"/>
      <c r="Q225" s="53" t="s">
        <v>1213</v>
      </c>
      <c r="R225" s="55">
        <v>1</v>
      </c>
      <c r="S225" s="53">
        <v>1</v>
      </c>
      <c r="T225" s="53" t="s">
        <v>131</v>
      </c>
      <c r="U225" s="53" t="s">
        <v>169</v>
      </c>
      <c r="V225" s="53" t="s">
        <v>1042</v>
      </c>
      <c r="W225" s="53" t="s">
        <v>1042</v>
      </c>
      <c r="X225" s="53" t="s">
        <v>1043</v>
      </c>
      <c r="Y225" s="53"/>
      <c r="Z225" s="53"/>
      <c r="AA225" s="53"/>
      <c r="AB225" s="53" t="s">
        <v>274</v>
      </c>
      <c r="AC225" s="53" t="s">
        <v>274</v>
      </c>
      <c r="AD225" s="53" t="s">
        <v>274</v>
      </c>
      <c r="AE225" s="53" t="s">
        <v>274</v>
      </c>
      <c r="AF225" s="53" t="s">
        <v>275</v>
      </c>
      <c r="AG225" s="53" t="s">
        <v>275</v>
      </c>
      <c r="AH225" s="53" t="s">
        <v>274</v>
      </c>
      <c r="AI225" s="59">
        <v>0.05</v>
      </c>
      <c r="AJ225" s="56" t="s">
        <v>275</v>
      </c>
    </row>
    <row r="226" spans="1:36" x14ac:dyDescent="0.45">
      <c r="A226" s="52">
        <v>230</v>
      </c>
      <c r="B226" s="54">
        <v>140</v>
      </c>
      <c r="C226" s="53" t="s">
        <v>581</v>
      </c>
      <c r="D226" s="53" t="s">
        <v>84</v>
      </c>
      <c r="E226" s="54" t="s">
        <v>1409</v>
      </c>
      <c r="F226" s="53" t="s">
        <v>1214</v>
      </c>
      <c r="G226" s="53" t="s">
        <v>1035</v>
      </c>
      <c r="H226" s="53"/>
      <c r="I226" s="53" t="s">
        <v>1215</v>
      </c>
      <c r="J226" s="53" t="s">
        <v>1216</v>
      </c>
      <c r="K226" s="53" t="s">
        <v>1038</v>
      </c>
      <c r="L226" s="53"/>
      <c r="M226" s="53" t="s">
        <v>1217</v>
      </c>
      <c r="N226" s="53" t="s">
        <v>1218</v>
      </c>
      <c r="O226" s="53" t="s">
        <v>1040</v>
      </c>
      <c r="P226" s="53"/>
      <c r="Q226" s="53" t="s">
        <v>1219</v>
      </c>
      <c r="R226" s="55">
        <v>1</v>
      </c>
      <c r="S226" s="53">
        <v>1</v>
      </c>
      <c r="T226" s="53" t="s">
        <v>131</v>
      </c>
      <c r="U226" s="53" t="s">
        <v>168</v>
      </c>
      <c r="V226" s="53" t="s">
        <v>1042</v>
      </c>
      <c r="W226" s="53" t="s">
        <v>1042</v>
      </c>
      <c r="X226" s="53" t="s">
        <v>1043</v>
      </c>
      <c r="Y226" s="53"/>
      <c r="Z226" s="53"/>
      <c r="AA226" s="53"/>
      <c r="AB226" s="53" t="s">
        <v>274</v>
      </c>
      <c r="AC226" s="53" t="s">
        <v>274</v>
      </c>
      <c r="AD226" s="53" t="s">
        <v>274</v>
      </c>
      <c r="AE226" s="53" t="s">
        <v>274</v>
      </c>
      <c r="AF226" s="53" t="s">
        <v>275</v>
      </c>
      <c r="AG226" s="53" t="s">
        <v>275</v>
      </c>
      <c r="AH226" s="53" t="s">
        <v>274</v>
      </c>
      <c r="AI226" s="59">
        <v>0.05</v>
      </c>
      <c r="AJ226" s="56" t="s">
        <v>275</v>
      </c>
    </row>
    <row r="227" spans="1:36" x14ac:dyDescent="0.45">
      <c r="A227" s="52">
        <v>231</v>
      </c>
      <c r="B227" s="53"/>
      <c r="C227" s="53" t="s">
        <v>581</v>
      </c>
      <c r="D227" s="53" t="s">
        <v>78</v>
      </c>
      <c r="E227" s="54">
        <v>2216791000008</v>
      </c>
      <c r="F227" s="53" t="s">
        <v>1214</v>
      </c>
      <c r="G227" s="53" t="s">
        <v>1152</v>
      </c>
      <c r="H227" s="53"/>
      <c r="I227" s="53" t="s">
        <v>1220</v>
      </c>
      <c r="J227" s="53" t="s">
        <v>1216</v>
      </c>
      <c r="K227" s="53" t="s">
        <v>1155</v>
      </c>
      <c r="L227" s="53"/>
      <c r="M227" s="53" t="s">
        <v>1221</v>
      </c>
      <c r="N227" s="53" t="s">
        <v>1218</v>
      </c>
      <c r="O227" s="53" t="s">
        <v>1158</v>
      </c>
      <c r="P227" s="53"/>
      <c r="Q227" s="53" t="s">
        <v>1222</v>
      </c>
      <c r="R227" s="55">
        <v>1</v>
      </c>
      <c r="S227" s="53">
        <v>1</v>
      </c>
      <c r="T227" s="53" t="s">
        <v>131</v>
      </c>
      <c r="U227" s="53" t="s">
        <v>169</v>
      </c>
      <c r="V227" s="53" t="s">
        <v>1042</v>
      </c>
      <c r="W227" s="53" t="s">
        <v>1042</v>
      </c>
      <c r="X227" s="53" t="s">
        <v>1043</v>
      </c>
      <c r="Y227" s="53"/>
      <c r="Z227" s="53"/>
      <c r="AA227" s="53"/>
      <c r="AB227" s="53" t="s">
        <v>274</v>
      </c>
      <c r="AC227" s="53" t="s">
        <v>274</v>
      </c>
      <c r="AD227" s="53" t="s">
        <v>274</v>
      </c>
      <c r="AE227" s="53" t="s">
        <v>274</v>
      </c>
      <c r="AF227" s="53" t="s">
        <v>275</v>
      </c>
      <c r="AG227" s="53" t="s">
        <v>275</v>
      </c>
      <c r="AH227" s="53" t="s">
        <v>274</v>
      </c>
      <c r="AI227" s="59">
        <v>0.05</v>
      </c>
      <c r="AJ227" s="56" t="s">
        <v>275</v>
      </c>
    </row>
    <row r="228" spans="1:36" x14ac:dyDescent="0.45">
      <c r="A228" s="52">
        <v>232</v>
      </c>
      <c r="B228" s="54">
        <v>141</v>
      </c>
      <c r="C228" s="53" t="s">
        <v>581</v>
      </c>
      <c r="D228" s="53" t="s">
        <v>84</v>
      </c>
      <c r="E228" s="54" t="s">
        <v>1409</v>
      </c>
      <c r="F228" s="53" t="s">
        <v>1223</v>
      </c>
      <c r="G228" s="53" t="s">
        <v>1035</v>
      </c>
      <c r="H228" s="53"/>
      <c r="I228" s="53" t="s">
        <v>1224</v>
      </c>
      <c r="J228" s="53" t="s">
        <v>1225</v>
      </c>
      <c r="K228" s="53" t="s">
        <v>1038</v>
      </c>
      <c r="L228" s="53"/>
      <c r="M228" s="53" t="s">
        <v>1226</v>
      </c>
      <c r="N228" s="53" t="s">
        <v>1227</v>
      </c>
      <c r="O228" s="53" t="s">
        <v>1040</v>
      </c>
      <c r="P228" s="53"/>
      <c r="Q228" s="53" t="s">
        <v>1228</v>
      </c>
      <c r="R228" s="55">
        <v>1</v>
      </c>
      <c r="S228" s="53">
        <v>1</v>
      </c>
      <c r="T228" s="53" t="s">
        <v>131</v>
      </c>
      <c r="U228" s="53" t="s">
        <v>168</v>
      </c>
      <c r="V228" s="53" t="s">
        <v>1042</v>
      </c>
      <c r="W228" s="53" t="s">
        <v>1042</v>
      </c>
      <c r="X228" s="53" t="s">
        <v>1043</v>
      </c>
      <c r="Y228" s="53"/>
      <c r="Z228" s="53"/>
      <c r="AA228" s="53"/>
      <c r="AB228" s="53" t="s">
        <v>274</v>
      </c>
      <c r="AC228" s="53" t="s">
        <v>274</v>
      </c>
      <c r="AD228" s="53" t="s">
        <v>274</v>
      </c>
      <c r="AE228" s="53" t="s">
        <v>274</v>
      </c>
      <c r="AF228" s="53" t="s">
        <v>275</v>
      </c>
      <c r="AG228" s="53" t="s">
        <v>275</v>
      </c>
      <c r="AH228" s="53" t="s">
        <v>274</v>
      </c>
      <c r="AI228" s="59">
        <v>0.05</v>
      </c>
      <c r="AJ228" s="56" t="s">
        <v>275</v>
      </c>
    </row>
    <row r="229" spans="1:36" x14ac:dyDescent="0.45">
      <c r="A229" s="52">
        <v>233</v>
      </c>
      <c r="B229" s="53"/>
      <c r="C229" s="53" t="s">
        <v>581</v>
      </c>
      <c r="D229" s="53" t="s">
        <v>78</v>
      </c>
      <c r="E229" s="54">
        <v>2213811000000</v>
      </c>
      <c r="F229" s="53" t="s">
        <v>1229</v>
      </c>
      <c r="G229" s="53" t="s">
        <v>1152</v>
      </c>
      <c r="H229" s="53"/>
      <c r="I229" s="53" t="s">
        <v>1230</v>
      </c>
      <c r="J229" s="53" t="s">
        <v>1231</v>
      </c>
      <c r="K229" s="53" t="s">
        <v>1155</v>
      </c>
      <c r="L229" s="53"/>
      <c r="M229" s="53" t="s">
        <v>1232</v>
      </c>
      <c r="N229" s="53" t="s">
        <v>1233</v>
      </c>
      <c r="O229" s="53" t="s">
        <v>1158</v>
      </c>
      <c r="P229" s="53"/>
      <c r="Q229" s="53" t="s">
        <v>1234</v>
      </c>
      <c r="R229" s="55">
        <v>1</v>
      </c>
      <c r="S229" s="53">
        <v>1</v>
      </c>
      <c r="T229" s="53" t="s">
        <v>131</v>
      </c>
      <c r="U229" s="53" t="s">
        <v>169</v>
      </c>
      <c r="V229" s="53" t="s">
        <v>1042</v>
      </c>
      <c r="W229" s="53" t="s">
        <v>1042</v>
      </c>
      <c r="X229" s="53" t="s">
        <v>1043</v>
      </c>
      <c r="Y229" s="53"/>
      <c r="Z229" s="53"/>
      <c r="AA229" s="53"/>
      <c r="AB229" s="53" t="s">
        <v>274</v>
      </c>
      <c r="AC229" s="53" t="s">
        <v>274</v>
      </c>
      <c r="AD229" s="53" t="s">
        <v>274</v>
      </c>
      <c r="AE229" s="53" t="s">
        <v>274</v>
      </c>
      <c r="AF229" s="53" t="s">
        <v>275</v>
      </c>
      <c r="AG229" s="53" t="s">
        <v>275</v>
      </c>
      <c r="AH229" s="53" t="s">
        <v>274</v>
      </c>
      <c r="AI229" s="59">
        <v>0.05</v>
      </c>
      <c r="AJ229" s="56" t="s">
        <v>275</v>
      </c>
    </row>
    <row r="230" spans="1:36" x14ac:dyDescent="0.45">
      <c r="A230" s="52">
        <v>234</v>
      </c>
      <c r="B230" s="54">
        <v>147</v>
      </c>
      <c r="C230" s="53" t="s">
        <v>581</v>
      </c>
      <c r="D230" s="53"/>
      <c r="E230" s="53"/>
      <c r="F230" s="53" t="s">
        <v>1235</v>
      </c>
      <c r="G230" s="53"/>
      <c r="H230" s="53"/>
      <c r="I230" s="53" t="s">
        <v>1235</v>
      </c>
      <c r="J230" s="53" t="s">
        <v>1236</v>
      </c>
      <c r="K230" s="53" t="s">
        <v>1108</v>
      </c>
      <c r="L230" s="53"/>
      <c r="M230" s="53" t="s">
        <v>1237</v>
      </c>
      <c r="N230" s="53" t="s">
        <v>1238</v>
      </c>
      <c r="O230" s="53" t="s">
        <v>1089</v>
      </c>
      <c r="P230" s="53"/>
      <c r="Q230" s="53" t="s">
        <v>1239</v>
      </c>
      <c r="R230" s="55">
        <v>1</v>
      </c>
      <c r="S230" s="53">
        <v>1</v>
      </c>
      <c r="T230" s="53" t="s">
        <v>131</v>
      </c>
      <c r="U230" s="53" t="s">
        <v>168</v>
      </c>
      <c r="V230" s="53" t="s">
        <v>1042</v>
      </c>
      <c r="W230" s="53" t="s">
        <v>1042</v>
      </c>
      <c r="X230" s="53" t="s">
        <v>1043</v>
      </c>
      <c r="Y230" s="53"/>
      <c r="Z230" s="53"/>
      <c r="AA230" s="53"/>
      <c r="AB230" s="53" t="s">
        <v>274</v>
      </c>
      <c r="AC230" s="53" t="s">
        <v>274</v>
      </c>
      <c r="AD230" s="53" t="s">
        <v>274</v>
      </c>
      <c r="AE230" s="53" t="s">
        <v>274</v>
      </c>
      <c r="AF230" s="53" t="s">
        <v>275</v>
      </c>
      <c r="AG230" s="53" t="s">
        <v>275</v>
      </c>
      <c r="AH230" s="53" t="s">
        <v>274</v>
      </c>
      <c r="AI230" s="59">
        <v>0.05</v>
      </c>
      <c r="AJ230" s="56" t="s">
        <v>275</v>
      </c>
    </row>
    <row r="231" spans="1:36" x14ac:dyDescent="0.45">
      <c r="A231" s="52">
        <v>235</v>
      </c>
      <c r="B231" s="54">
        <v>144</v>
      </c>
      <c r="C231" s="53" t="s">
        <v>581</v>
      </c>
      <c r="D231" s="53" t="s">
        <v>84</v>
      </c>
      <c r="E231" s="54" t="s">
        <v>1409</v>
      </c>
      <c r="F231" s="53" t="s">
        <v>1240</v>
      </c>
      <c r="G231" s="53" t="s">
        <v>1035</v>
      </c>
      <c r="H231" s="53"/>
      <c r="I231" s="53" t="s">
        <v>1241</v>
      </c>
      <c r="J231" s="53" t="s">
        <v>1242</v>
      </c>
      <c r="K231" s="53" t="s">
        <v>1038</v>
      </c>
      <c r="L231" s="53"/>
      <c r="M231" s="53" t="s">
        <v>1243</v>
      </c>
      <c r="N231" s="53" t="s">
        <v>1244</v>
      </c>
      <c r="O231" s="53" t="s">
        <v>1040</v>
      </c>
      <c r="P231" s="53"/>
      <c r="Q231" s="53" t="s">
        <v>1245</v>
      </c>
      <c r="R231" s="55">
        <v>1</v>
      </c>
      <c r="S231" s="53">
        <v>1</v>
      </c>
      <c r="T231" s="53" t="s">
        <v>131</v>
      </c>
      <c r="U231" s="53" t="s">
        <v>168</v>
      </c>
      <c r="V231" s="53" t="s">
        <v>1042</v>
      </c>
      <c r="W231" s="53" t="s">
        <v>1042</v>
      </c>
      <c r="X231" s="53" t="s">
        <v>1043</v>
      </c>
      <c r="Y231" s="53"/>
      <c r="Z231" s="53"/>
      <c r="AA231" s="53"/>
      <c r="AB231" s="53" t="s">
        <v>274</v>
      </c>
      <c r="AC231" s="53" t="s">
        <v>274</v>
      </c>
      <c r="AD231" s="53" t="s">
        <v>274</v>
      </c>
      <c r="AE231" s="53" t="s">
        <v>274</v>
      </c>
      <c r="AF231" s="53" t="s">
        <v>275</v>
      </c>
      <c r="AG231" s="53" t="s">
        <v>275</v>
      </c>
      <c r="AH231" s="53" t="s">
        <v>274</v>
      </c>
      <c r="AI231" s="59">
        <v>0.05</v>
      </c>
      <c r="AJ231" s="56" t="s">
        <v>275</v>
      </c>
    </row>
    <row r="232" spans="1:36" x14ac:dyDescent="0.45">
      <c r="A232" s="52">
        <v>236</v>
      </c>
      <c r="B232" s="53"/>
      <c r="C232" s="53" t="s">
        <v>581</v>
      </c>
      <c r="D232" s="53" t="s">
        <v>78</v>
      </c>
      <c r="E232" s="54">
        <v>2216921000007</v>
      </c>
      <c r="F232" s="53" t="s">
        <v>1240</v>
      </c>
      <c r="G232" s="53" t="s">
        <v>1152</v>
      </c>
      <c r="H232" s="53"/>
      <c r="I232" s="53" t="s">
        <v>1246</v>
      </c>
      <c r="J232" s="53" t="s">
        <v>1242</v>
      </c>
      <c r="K232" s="53" t="s">
        <v>1155</v>
      </c>
      <c r="L232" s="53"/>
      <c r="M232" s="53" t="s">
        <v>1247</v>
      </c>
      <c r="N232" s="53" t="s">
        <v>1244</v>
      </c>
      <c r="O232" s="53" t="s">
        <v>1158</v>
      </c>
      <c r="P232" s="53"/>
      <c r="Q232" s="53" t="s">
        <v>1248</v>
      </c>
      <c r="R232" s="55">
        <v>1</v>
      </c>
      <c r="S232" s="53">
        <v>1</v>
      </c>
      <c r="T232" s="53" t="s">
        <v>131</v>
      </c>
      <c r="U232" s="53" t="s">
        <v>169</v>
      </c>
      <c r="V232" s="53" t="s">
        <v>1042</v>
      </c>
      <c r="W232" s="53" t="s">
        <v>1042</v>
      </c>
      <c r="X232" s="53" t="s">
        <v>1043</v>
      </c>
      <c r="Y232" s="53"/>
      <c r="Z232" s="53"/>
      <c r="AA232" s="53"/>
      <c r="AB232" s="53" t="s">
        <v>274</v>
      </c>
      <c r="AC232" s="53" t="s">
        <v>274</v>
      </c>
      <c r="AD232" s="53" t="s">
        <v>274</v>
      </c>
      <c r="AE232" s="53" t="s">
        <v>274</v>
      </c>
      <c r="AF232" s="53" t="s">
        <v>275</v>
      </c>
      <c r="AG232" s="53" t="s">
        <v>275</v>
      </c>
      <c r="AH232" s="53" t="s">
        <v>274</v>
      </c>
      <c r="AI232" s="59">
        <v>0.05</v>
      </c>
      <c r="AJ232" s="56" t="s">
        <v>275</v>
      </c>
    </row>
    <row r="233" spans="1:36" x14ac:dyDescent="0.45">
      <c r="A233" s="52">
        <v>237</v>
      </c>
      <c r="B233" s="54">
        <v>145</v>
      </c>
      <c r="C233" s="53" t="s">
        <v>581</v>
      </c>
      <c r="D233" s="53" t="s">
        <v>84</v>
      </c>
      <c r="E233" s="54" t="s">
        <v>1409</v>
      </c>
      <c r="F233" s="53" t="s">
        <v>1249</v>
      </c>
      <c r="G233" s="53" t="s">
        <v>1035</v>
      </c>
      <c r="H233" s="53"/>
      <c r="I233" s="53" t="s">
        <v>1250</v>
      </c>
      <c r="J233" s="53" t="s">
        <v>1251</v>
      </c>
      <c r="K233" s="53" t="s">
        <v>1038</v>
      </c>
      <c r="L233" s="53"/>
      <c r="M233" s="53" t="s">
        <v>1252</v>
      </c>
      <c r="N233" s="53" t="s">
        <v>1253</v>
      </c>
      <c r="O233" s="53" t="s">
        <v>1040</v>
      </c>
      <c r="P233" s="53"/>
      <c r="Q233" s="53" t="s">
        <v>1254</v>
      </c>
      <c r="R233" s="55">
        <v>1</v>
      </c>
      <c r="S233" s="53">
        <v>1</v>
      </c>
      <c r="T233" s="53" t="s">
        <v>131</v>
      </c>
      <c r="U233" s="53" t="s">
        <v>168</v>
      </c>
      <c r="V233" s="53" t="s">
        <v>1042</v>
      </c>
      <c r="W233" s="53" t="s">
        <v>1042</v>
      </c>
      <c r="X233" s="53" t="s">
        <v>1043</v>
      </c>
      <c r="Y233" s="53"/>
      <c r="Z233" s="53"/>
      <c r="AA233" s="53"/>
      <c r="AB233" s="53" t="s">
        <v>274</v>
      </c>
      <c r="AC233" s="53" t="s">
        <v>274</v>
      </c>
      <c r="AD233" s="53" t="s">
        <v>274</v>
      </c>
      <c r="AE233" s="53" t="s">
        <v>274</v>
      </c>
      <c r="AF233" s="53" t="s">
        <v>275</v>
      </c>
      <c r="AG233" s="53" t="s">
        <v>275</v>
      </c>
      <c r="AH233" s="53" t="s">
        <v>274</v>
      </c>
      <c r="AI233" s="59">
        <v>0.05</v>
      </c>
      <c r="AJ233" s="56" t="s">
        <v>275</v>
      </c>
    </row>
    <row r="234" spans="1:36" x14ac:dyDescent="0.45">
      <c r="A234" s="52">
        <v>238</v>
      </c>
      <c r="B234" s="53"/>
      <c r="C234" s="53" t="s">
        <v>581</v>
      </c>
      <c r="D234" s="53" t="s">
        <v>78</v>
      </c>
      <c r="E234" s="54">
        <v>2287571000006</v>
      </c>
      <c r="F234" s="53" t="s">
        <v>1255</v>
      </c>
      <c r="G234" s="53" t="s">
        <v>1152</v>
      </c>
      <c r="H234" s="53"/>
      <c r="I234" s="53" t="s">
        <v>1256</v>
      </c>
      <c r="J234" s="53" t="s">
        <v>1257</v>
      </c>
      <c r="K234" s="53" t="s">
        <v>1155</v>
      </c>
      <c r="L234" s="53"/>
      <c r="M234" s="53" t="s">
        <v>1258</v>
      </c>
      <c r="N234" s="53" t="s">
        <v>1259</v>
      </c>
      <c r="O234" s="53" t="s">
        <v>1158</v>
      </c>
      <c r="P234" s="53"/>
      <c r="Q234" s="53" t="s">
        <v>1260</v>
      </c>
      <c r="R234" s="55">
        <v>1</v>
      </c>
      <c r="S234" s="53">
        <v>1</v>
      </c>
      <c r="T234" s="53" t="s">
        <v>131</v>
      </c>
      <c r="U234" s="53" t="s">
        <v>169</v>
      </c>
      <c r="V234" s="53" t="s">
        <v>1042</v>
      </c>
      <c r="W234" s="53" t="s">
        <v>1042</v>
      </c>
      <c r="X234" s="53" t="s">
        <v>1043</v>
      </c>
      <c r="Y234" s="53"/>
      <c r="Z234" s="53"/>
      <c r="AA234" s="53"/>
      <c r="AB234" s="53" t="s">
        <v>274</v>
      </c>
      <c r="AC234" s="53" t="s">
        <v>274</v>
      </c>
      <c r="AD234" s="53" t="s">
        <v>274</v>
      </c>
      <c r="AE234" s="53" t="s">
        <v>274</v>
      </c>
      <c r="AF234" s="53" t="s">
        <v>275</v>
      </c>
      <c r="AG234" s="53" t="s">
        <v>275</v>
      </c>
      <c r="AH234" s="53" t="s">
        <v>274</v>
      </c>
      <c r="AI234" s="59">
        <v>0.05</v>
      </c>
      <c r="AJ234" s="56" t="s">
        <v>275</v>
      </c>
    </row>
    <row r="235" spans="1:36" x14ac:dyDescent="0.45">
      <c r="A235" s="52">
        <v>239</v>
      </c>
      <c r="B235" s="53"/>
      <c r="C235" s="53" t="s">
        <v>581</v>
      </c>
      <c r="D235" s="53" t="s">
        <v>78</v>
      </c>
      <c r="E235" s="54">
        <v>2215881000000</v>
      </c>
      <c r="F235" s="53" t="s">
        <v>1261</v>
      </c>
      <c r="G235" s="53" t="s">
        <v>1152</v>
      </c>
      <c r="H235" s="53"/>
      <c r="I235" s="53" t="s">
        <v>1262</v>
      </c>
      <c r="J235" s="53" t="s">
        <v>1263</v>
      </c>
      <c r="K235" s="53" t="s">
        <v>1155</v>
      </c>
      <c r="L235" s="53"/>
      <c r="M235" s="53" t="s">
        <v>1264</v>
      </c>
      <c r="N235" s="53" t="s">
        <v>1265</v>
      </c>
      <c r="O235" s="53" t="s">
        <v>1158</v>
      </c>
      <c r="P235" s="53"/>
      <c r="Q235" s="53" t="s">
        <v>1266</v>
      </c>
      <c r="R235" s="55">
        <v>1</v>
      </c>
      <c r="S235" s="53">
        <v>1</v>
      </c>
      <c r="T235" s="53" t="s">
        <v>131</v>
      </c>
      <c r="U235" s="53" t="s">
        <v>169</v>
      </c>
      <c r="V235" s="53" t="s">
        <v>1042</v>
      </c>
      <c r="W235" s="53" t="s">
        <v>1042</v>
      </c>
      <c r="X235" s="53" t="s">
        <v>1043</v>
      </c>
      <c r="Y235" s="53"/>
      <c r="Z235" s="53"/>
      <c r="AA235" s="53"/>
      <c r="AB235" s="53" t="s">
        <v>274</v>
      </c>
      <c r="AC235" s="53" t="s">
        <v>274</v>
      </c>
      <c r="AD235" s="53" t="s">
        <v>274</v>
      </c>
      <c r="AE235" s="53" t="s">
        <v>274</v>
      </c>
      <c r="AF235" s="53" t="s">
        <v>275</v>
      </c>
      <c r="AG235" s="53" t="s">
        <v>275</v>
      </c>
      <c r="AH235" s="53" t="s">
        <v>274</v>
      </c>
      <c r="AI235" s="59">
        <v>0.05</v>
      </c>
      <c r="AJ235" s="56" t="s">
        <v>275</v>
      </c>
    </row>
    <row r="236" spans="1:36" x14ac:dyDescent="0.45">
      <c r="A236" s="52">
        <v>240</v>
      </c>
      <c r="B236" s="54">
        <v>146</v>
      </c>
      <c r="C236" s="53" t="s">
        <v>581</v>
      </c>
      <c r="D236" s="53" t="s">
        <v>84</v>
      </c>
      <c r="E236" s="54" t="s">
        <v>1409</v>
      </c>
      <c r="F236" s="53" t="s">
        <v>1267</v>
      </c>
      <c r="G236" s="53" t="s">
        <v>1035</v>
      </c>
      <c r="H236" s="53"/>
      <c r="I236" s="53" t="s">
        <v>1268</v>
      </c>
      <c r="J236" s="53" t="s">
        <v>1269</v>
      </c>
      <c r="K236" s="53" t="s">
        <v>1038</v>
      </c>
      <c r="L236" s="53"/>
      <c r="M236" s="53" t="s">
        <v>1270</v>
      </c>
      <c r="N236" s="53" t="s">
        <v>1271</v>
      </c>
      <c r="O236" s="53" t="s">
        <v>1040</v>
      </c>
      <c r="P236" s="53"/>
      <c r="Q236" s="53" t="s">
        <v>1272</v>
      </c>
      <c r="R236" s="55">
        <v>1</v>
      </c>
      <c r="S236" s="53">
        <v>1</v>
      </c>
      <c r="T236" s="53" t="s">
        <v>131</v>
      </c>
      <c r="U236" s="53" t="s">
        <v>168</v>
      </c>
      <c r="V236" s="53" t="s">
        <v>1042</v>
      </c>
      <c r="W236" s="53" t="s">
        <v>1042</v>
      </c>
      <c r="X236" s="53" t="s">
        <v>1043</v>
      </c>
      <c r="Y236" s="53"/>
      <c r="Z236" s="53"/>
      <c r="AA236" s="53"/>
      <c r="AB236" s="53" t="s">
        <v>274</v>
      </c>
      <c r="AC236" s="53" t="s">
        <v>274</v>
      </c>
      <c r="AD236" s="53" t="s">
        <v>274</v>
      </c>
      <c r="AE236" s="53" t="s">
        <v>274</v>
      </c>
      <c r="AF236" s="53" t="s">
        <v>275</v>
      </c>
      <c r="AG236" s="53" t="s">
        <v>275</v>
      </c>
      <c r="AH236" s="53" t="s">
        <v>274</v>
      </c>
      <c r="AI236" s="59">
        <v>0.05</v>
      </c>
      <c r="AJ236" s="56" t="s">
        <v>275</v>
      </c>
    </row>
    <row r="237" spans="1:36" x14ac:dyDescent="0.45">
      <c r="A237" s="52">
        <v>241</v>
      </c>
      <c r="B237" s="53"/>
      <c r="C237" s="53" t="s">
        <v>581</v>
      </c>
      <c r="D237" s="53" t="s">
        <v>78</v>
      </c>
      <c r="E237" s="54">
        <v>2215861000009</v>
      </c>
      <c r="F237" s="53" t="s">
        <v>1267</v>
      </c>
      <c r="G237" s="53" t="s">
        <v>1152</v>
      </c>
      <c r="H237" s="53"/>
      <c r="I237" s="53" t="s">
        <v>1273</v>
      </c>
      <c r="J237" s="53" t="s">
        <v>1269</v>
      </c>
      <c r="K237" s="53" t="s">
        <v>1155</v>
      </c>
      <c r="L237" s="53"/>
      <c r="M237" s="53" t="s">
        <v>1274</v>
      </c>
      <c r="N237" s="53" t="s">
        <v>1271</v>
      </c>
      <c r="O237" s="53" t="s">
        <v>1158</v>
      </c>
      <c r="P237" s="53"/>
      <c r="Q237" s="53" t="s">
        <v>1275</v>
      </c>
      <c r="R237" s="55">
        <v>1</v>
      </c>
      <c r="S237" s="53">
        <v>1</v>
      </c>
      <c r="T237" s="53" t="s">
        <v>131</v>
      </c>
      <c r="U237" s="53" t="s">
        <v>169</v>
      </c>
      <c r="V237" s="53" t="s">
        <v>1042</v>
      </c>
      <c r="W237" s="53" t="s">
        <v>1042</v>
      </c>
      <c r="X237" s="53" t="s">
        <v>1043</v>
      </c>
      <c r="Y237" s="53"/>
      <c r="Z237" s="53"/>
      <c r="AA237" s="53"/>
      <c r="AB237" s="53" t="s">
        <v>274</v>
      </c>
      <c r="AC237" s="53" t="s">
        <v>274</v>
      </c>
      <c r="AD237" s="53" t="s">
        <v>274</v>
      </c>
      <c r="AE237" s="53" t="s">
        <v>274</v>
      </c>
      <c r="AF237" s="53" t="s">
        <v>275</v>
      </c>
      <c r="AG237" s="53" t="s">
        <v>275</v>
      </c>
      <c r="AH237" s="53" t="s">
        <v>274</v>
      </c>
      <c r="AI237" s="59">
        <v>0.05</v>
      </c>
      <c r="AJ237" s="56" t="s">
        <v>275</v>
      </c>
    </row>
    <row r="238" spans="1:36" x14ac:dyDescent="0.45">
      <c r="A238" s="52">
        <v>242</v>
      </c>
      <c r="B238" s="53"/>
      <c r="C238" s="53" t="s">
        <v>263</v>
      </c>
      <c r="D238" s="53" t="s">
        <v>78</v>
      </c>
      <c r="E238" s="54">
        <v>2215861000009</v>
      </c>
      <c r="F238" s="53" t="s">
        <v>1276</v>
      </c>
      <c r="G238" s="53" t="s">
        <v>1035</v>
      </c>
      <c r="H238" s="53" t="s">
        <v>282</v>
      </c>
      <c r="I238" s="53" t="s">
        <v>1277</v>
      </c>
      <c r="J238" s="53" t="s">
        <v>1278</v>
      </c>
      <c r="K238" s="53" t="s">
        <v>1038</v>
      </c>
      <c r="L238" s="53" t="s">
        <v>282</v>
      </c>
      <c r="M238" s="53" t="s">
        <v>1279</v>
      </c>
      <c r="N238" s="53" t="s">
        <v>1280</v>
      </c>
      <c r="O238" s="53" t="s">
        <v>1040</v>
      </c>
      <c r="P238" s="53" t="s">
        <v>282</v>
      </c>
      <c r="Q238" s="53" t="s">
        <v>1281</v>
      </c>
      <c r="R238" s="55">
        <v>0.5</v>
      </c>
      <c r="S238" s="53">
        <v>1</v>
      </c>
      <c r="T238" s="53" t="s">
        <v>131</v>
      </c>
      <c r="U238" s="53" t="s">
        <v>169</v>
      </c>
      <c r="V238" s="53" t="s">
        <v>1042</v>
      </c>
      <c r="W238" s="53" t="s">
        <v>1042</v>
      </c>
      <c r="X238" s="53" t="s">
        <v>1043</v>
      </c>
      <c r="Y238" s="53"/>
      <c r="Z238" s="53"/>
      <c r="AA238" s="53"/>
      <c r="AB238" s="53" t="s">
        <v>274</v>
      </c>
      <c r="AC238" s="53" t="s">
        <v>274</v>
      </c>
      <c r="AD238" s="53" t="s">
        <v>274</v>
      </c>
      <c r="AE238" s="53" t="s">
        <v>274</v>
      </c>
      <c r="AF238" s="53" t="s">
        <v>275</v>
      </c>
      <c r="AG238" s="53" t="s">
        <v>275</v>
      </c>
      <c r="AH238" s="53" t="s">
        <v>274</v>
      </c>
      <c r="AI238" s="59">
        <v>0.05</v>
      </c>
      <c r="AJ238" s="56" t="s">
        <v>275</v>
      </c>
    </row>
    <row r="239" spans="1:36" x14ac:dyDescent="0.45">
      <c r="A239" s="52">
        <v>243</v>
      </c>
      <c r="B239" s="54">
        <v>158</v>
      </c>
      <c r="C239" s="53" t="s">
        <v>581</v>
      </c>
      <c r="D239" s="53"/>
      <c r="E239" s="54"/>
      <c r="F239" s="53" t="s">
        <v>1282</v>
      </c>
      <c r="G239" s="53" t="s">
        <v>1283</v>
      </c>
      <c r="H239" s="53"/>
      <c r="I239" s="53" t="s">
        <v>1284</v>
      </c>
      <c r="J239" s="53" t="s">
        <v>1285</v>
      </c>
      <c r="K239" s="53" t="s">
        <v>1286</v>
      </c>
      <c r="L239" s="53"/>
      <c r="M239" s="53" t="s">
        <v>1287</v>
      </c>
      <c r="N239" s="53" t="s">
        <v>1288</v>
      </c>
      <c r="O239" s="53" t="s">
        <v>1289</v>
      </c>
      <c r="P239" s="53"/>
      <c r="Q239" s="53" t="s">
        <v>1290</v>
      </c>
      <c r="R239" s="55">
        <v>1</v>
      </c>
      <c r="S239" s="53">
        <v>1</v>
      </c>
      <c r="T239" s="53" t="s">
        <v>131</v>
      </c>
      <c r="U239" s="53" t="s">
        <v>168</v>
      </c>
      <c r="V239" s="53" t="s">
        <v>1042</v>
      </c>
      <c r="W239" s="53" t="s">
        <v>1042</v>
      </c>
      <c r="X239" s="53" t="s">
        <v>1043</v>
      </c>
      <c r="Y239" s="53"/>
      <c r="Z239" s="53"/>
      <c r="AA239" s="53"/>
      <c r="AB239" s="53" t="s">
        <v>274</v>
      </c>
      <c r="AC239" s="53" t="s">
        <v>274</v>
      </c>
      <c r="AD239" s="53" t="s">
        <v>274</v>
      </c>
      <c r="AE239" s="53" t="s">
        <v>274</v>
      </c>
      <c r="AF239" s="53" t="s">
        <v>275</v>
      </c>
      <c r="AG239" s="53" t="s">
        <v>275</v>
      </c>
      <c r="AH239" s="53" t="s">
        <v>274</v>
      </c>
      <c r="AI239" s="59">
        <v>0.05</v>
      </c>
      <c r="AJ239" s="56" t="s">
        <v>275</v>
      </c>
    </row>
    <row r="240" spans="1:36" x14ac:dyDescent="0.45">
      <c r="A240" s="52">
        <v>244</v>
      </c>
      <c r="B240" s="54">
        <v>100</v>
      </c>
      <c r="C240" s="53" t="s">
        <v>581</v>
      </c>
      <c r="D240" s="53" t="s">
        <v>84</v>
      </c>
      <c r="E240" s="54" t="s">
        <v>1409</v>
      </c>
      <c r="F240" s="53" t="s">
        <v>1291</v>
      </c>
      <c r="G240" s="53" t="s">
        <v>1035</v>
      </c>
      <c r="H240" s="53"/>
      <c r="I240" s="53" t="s">
        <v>1292</v>
      </c>
      <c r="J240" s="53" t="s">
        <v>1293</v>
      </c>
      <c r="K240" s="53" t="s">
        <v>1038</v>
      </c>
      <c r="L240" s="53"/>
      <c r="M240" s="53" t="s">
        <v>1294</v>
      </c>
      <c r="N240" s="53" t="s">
        <v>1295</v>
      </c>
      <c r="O240" s="53" t="s">
        <v>1040</v>
      </c>
      <c r="P240" s="53"/>
      <c r="Q240" s="53" t="s">
        <v>1296</v>
      </c>
      <c r="R240" s="55">
        <v>1</v>
      </c>
      <c r="S240" s="53">
        <v>1</v>
      </c>
      <c r="T240" s="53" t="s">
        <v>131</v>
      </c>
      <c r="U240" s="53" t="s">
        <v>168</v>
      </c>
      <c r="V240" s="53" t="s">
        <v>1042</v>
      </c>
      <c r="W240" s="53" t="s">
        <v>1042</v>
      </c>
      <c r="X240" s="53" t="s">
        <v>1043</v>
      </c>
      <c r="Y240" s="53"/>
      <c r="Z240" s="53"/>
      <c r="AA240" s="53"/>
      <c r="AB240" s="53" t="s">
        <v>274</v>
      </c>
      <c r="AC240" s="53" t="s">
        <v>274</v>
      </c>
      <c r="AD240" s="53" t="s">
        <v>274</v>
      </c>
      <c r="AE240" s="53" t="s">
        <v>274</v>
      </c>
      <c r="AF240" s="53" t="s">
        <v>275</v>
      </c>
      <c r="AG240" s="53" t="s">
        <v>275</v>
      </c>
      <c r="AH240" s="53" t="s">
        <v>274</v>
      </c>
      <c r="AI240" s="59">
        <v>0.05</v>
      </c>
      <c r="AJ240" s="56" t="s">
        <v>275</v>
      </c>
    </row>
    <row r="241" spans="1:36" x14ac:dyDescent="0.45">
      <c r="A241" s="52">
        <v>245</v>
      </c>
      <c r="B241" s="53"/>
      <c r="C241" s="53" t="s">
        <v>581</v>
      </c>
      <c r="D241" s="53" t="s">
        <v>78</v>
      </c>
      <c r="E241" s="54">
        <v>2216961000005</v>
      </c>
      <c r="F241" s="53" t="s">
        <v>1291</v>
      </c>
      <c r="G241" s="53" t="s">
        <v>1152</v>
      </c>
      <c r="H241" s="53"/>
      <c r="I241" s="53" t="s">
        <v>1297</v>
      </c>
      <c r="J241" s="53" t="s">
        <v>1293</v>
      </c>
      <c r="K241" s="53" t="s">
        <v>1155</v>
      </c>
      <c r="L241" s="53"/>
      <c r="M241" s="53" t="s">
        <v>1298</v>
      </c>
      <c r="N241" s="53" t="s">
        <v>1295</v>
      </c>
      <c r="O241" s="53" t="s">
        <v>1158</v>
      </c>
      <c r="P241" s="53"/>
      <c r="Q241" s="53" t="s">
        <v>1299</v>
      </c>
      <c r="R241" s="55">
        <v>1</v>
      </c>
      <c r="S241" s="53">
        <v>1</v>
      </c>
      <c r="T241" s="53" t="s">
        <v>131</v>
      </c>
      <c r="U241" s="53" t="s">
        <v>169</v>
      </c>
      <c r="V241" s="53" t="s">
        <v>1042</v>
      </c>
      <c r="W241" s="53" t="s">
        <v>1042</v>
      </c>
      <c r="X241" s="53" t="s">
        <v>1043</v>
      </c>
      <c r="Y241" s="53"/>
      <c r="Z241" s="53"/>
      <c r="AA241" s="53"/>
      <c r="AB241" s="53" t="s">
        <v>274</v>
      </c>
      <c r="AC241" s="53" t="s">
        <v>274</v>
      </c>
      <c r="AD241" s="53" t="s">
        <v>274</v>
      </c>
      <c r="AE241" s="53" t="s">
        <v>274</v>
      </c>
      <c r="AF241" s="53" t="s">
        <v>275</v>
      </c>
      <c r="AG241" s="53" t="s">
        <v>275</v>
      </c>
      <c r="AH241" s="53" t="s">
        <v>274</v>
      </c>
      <c r="AI241" s="59">
        <v>0.05</v>
      </c>
      <c r="AJ241" s="56" t="s">
        <v>275</v>
      </c>
    </row>
    <row r="242" spans="1:36" x14ac:dyDescent="0.45">
      <c r="A242" s="52">
        <v>246</v>
      </c>
      <c r="B242" s="54">
        <v>101</v>
      </c>
      <c r="C242" s="53" t="s">
        <v>581</v>
      </c>
      <c r="D242" s="53" t="s">
        <v>84</v>
      </c>
      <c r="E242" s="54" t="s">
        <v>1409</v>
      </c>
      <c r="F242" s="53" t="s">
        <v>1300</v>
      </c>
      <c r="G242" s="53" t="s">
        <v>1035</v>
      </c>
      <c r="H242" s="53"/>
      <c r="I242" s="53" t="s">
        <v>1301</v>
      </c>
      <c r="J242" s="53" t="s">
        <v>1302</v>
      </c>
      <c r="K242" s="53" t="s">
        <v>1038</v>
      </c>
      <c r="L242" s="53"/>
      <c r="M242" s="53" t="s">
        <v>1303</v>
      </c>
      <c r="N242" s="53" t="s">
        <v>1304</v>
      </c>
      <c r="O242" s="53" t="s">
        <v>1040</v>
      </c>
      <c r="P242" s="53"/>
      <c r="Q242" s="53" t="s">
        <v>1305</v>
      </c>
      <c r="R242" s="55">
        <v>1</v>
      </c>
      <c r="S242" s="53">
        <v>1</v>
      </c>
      <c r="T242" s="53" t="s">
        <v>131</v>
      </c>
      <c r="U242" s="53" t="s">
        <v>168</v>
      </c>
      <c r="V242" s="53" t="s">
        <v>1042</v>
      </c>
      <c r="W242" s="53" t="s">
        <v>1042</v>
      </c>
      <c r="X242" s="53" t="s">
        <v>1043</v>
      </c>
      <c r="Y242" s="53"/>
      <c r="Z242" s="53"/>
      <c r="AA242" s="53"/>
      <c r="AB242" s="53" t="s">
        <v>274</v>
      </c>
      <c r="AC242" s="53" t="s">
        <v>274</v>
      </c>
      <c r="AD242" s="53" t="s">
        <v>274</v>
      </c>
      <c r="AE242" s="53" t="s">
        <v>274</v>
      </c>
      <c r="AF242" s="53" t="s">
        <v>275</v>
      </c>
      <c r="AG242" s="53" t="s">
        <v>275</v>
      </c>
      <c r="AH242" s="53" t="s">
        <v>274</v>
      </c>
      <c r="AI242" s="59">
        <v>0.05</v>
      </c>
      <c r="AJ242" s="56" t="s">
        <v>275</v>
      </c>
    </row>
    <row r="243" spans="1:36" x14ac:dyDescent="0.45">
      <c r="A243" s="52">
        <v>247</v>
      </c>
      <c r="B243" s="53"/>
      <c r="C243" s="53" t="s">
        <v>581</v>
      </c>
      <c r="D243" s="53" t="s">
        <v>78</v>
      </c>
      <c r="E243" s="54">
        <v>2274484000001</v>
      </c>
      <c r="F243" s="53" t="s">
        <v>1300</v>
      </c>
      <c r="G243" s="53" t="s">
        <v>1152</v>
      </c>
      <c r="H243" s="53"/>
      <c r="I243" s="53" t="s">
        <v>1306</v>
      </c>
      <c r="J243" s="53" t="s">
        <v>1302</v>
      </c>
      <c r="K243" s="53" t="s">
        <v>1155</v>
      </c>
      <c r="L243" s="53"/>
      <c r="M243" s="53" t="s">
        <v>1307</v>
      </c>
      <c r="N243" s="53" t="s">
        <v>1304</v>
      </c>
      <c r="O243" s="53" t="s">
        <v>1158</v>
      </c>
      <c r="P243" s="53"/>
      <c r="Q243" s="53" t="s">
        <v>1308</v>
      </c>
      <c r="R243" s="55">
        <v>1</v>
      </c>
      <c r="S243" s="53">
        <v>1</v>
      </c>
      <c r="T243" s="53" t="s">
        <v>131</v>
      </c>
      <c r="U243" s="53" t="s">
        <v>169</v>
      </c>
      <c r="V243" s="53" t="s">
        <v>1042</v>
      </c>
      <c r="W243" s="53" t="s">
        <v>1042</v>
      </c>
      <c r="X243" s="53" t="s">
        <v>1043</v>
      </c>
      <c r="Y243" s="53"/>
      <c r="Z243" s="53"/>
      <c r="AA243" s="53"/>
      <c r="AB243" s="53" t="s">
        <v>274</v>
      </c>
      <c r="AC243" s="53" t="s">
        <v>274</v>
      </c>
      <c r="AD243" s="53" t="s">
        <v>274</v>
      </c>
      <c r="AE243" s="53" t="s">
        <v>274</v>
      </c>
      <c r="AF243" s="53" t="s">
        <v>275</v>
      </c>
      <c r="AG243" s="53" t="s">
        <v>275</v>
      </c>
      <c r="AH243" s="53" t="s">
        <v>274</v>
      </c>
      <c r="AI243" s="59">
        <v>0.05</v>
      </c>
      <c r="AJ243" s="56" t="s">
        <v>275</v>
      </c>
    </row>
    <row r="244" spans="1:36" x14ac:dyDescent="0.45">
      <c r="A244" s="52">
        <v>248</v>
      </c>
      <c r="B244" s="54">
        <v>102</v>
      </c>
      <c r="C244" s="53" t="s">
        <v>581</v>
      </c>
      <c r="D244" s="53" t="s">
        <v>84</v>
      </c>
      <c r="E244" s="54" t="s">
        <v>1409</v>
      </c>
      <c r="F244" s="53" t="s">
        <v>1300</v>
      </c>
      <c r="G244" s="53" t="s">
        <v>1309</v>
      </c>
      <c r="H244" s="53"/>
      <c r="I244" s="53" t="s">
        <v>1310</v>
      </c>
      <c r="J244" s="53" t="s">
        <v>1302</v>
      </c>
      <c r="K244" s="53" t="s">
        <v>1311</v>
      </c>
      <c r="L244" s="53"/>
      <c r="M244" s="53" t="s">
        <v>1312</v>
      </c>
      <c r="N244" s="53" t="s">
        <v>1304</v>
      </c>
      <c r="O244" s="53" t="s">
        <v>1313</v>
      </c>
      <c r="P244" s="53"/>
      <c r="Q244" s="53" t="s">
        <v>1314</v>
      </c>
      <c r="R244" s="55">
        <v>1</v>
      </c>
      <c r="S244" s="53">
        <v>1</v>
      </c>
      <c r="T244" s="53" t="s">
        <v>131</v>
      </c>
      <c r="U244" s="53" t="s">
        <v>168</v>
      </c>
      <c r="V244" s="53" t="s">
        <v>1042</v>
      </c>
      <c r="W244" s="53" t="s">
        <v>1042</v>
      </c>
      <c r="X244" s="53" t="s">
        <v>1043</v>
      </c>
      <c r="Y244" s="53"/>
      <c r="Z244" s="53"/>
      <c r="AA244" s="53"/>
      <c r="AB244" s="53" t="s">
        <v>274</v>
      </c>
      <c r="AC244" s="53" t="s">
        <v>274</v>
      </c>
      <c r="AD244" s="53" t="s">
        <v>274</v>
      </c>
      <c r="AE244" s="53" t="s">
        <v>274</v>
      </c>
      <c r="AF244" s="53" t="s">
        <v>275</v>
      </c>
      <c r="AG244" s="53" t="s">
        <v>275</v>
      </c>
      <c r="AH244" s="53" t="s">
        <v>274</v>
      </c>
      <c r="AI244" s="59">
        <v>0.05</v>
      </c>
      <c r="AJ244" s="56" t="s">
        <v>275</v>
      </c>
    </row>
    <row r="245" spans="1:36" x14ac:dyDescent="0.45">
      <c r="A245" s="52">
        <v>249</v>
      </c>
      <c r="B245" s="53"/>
      <c r="C245" s="53" t="s">
        <v>263</v>
      </c>
      <c r="D245" s="53" t="s">
        <v>84</v>
      </c>
      <c r="E245" s="54">
        <v>7610632010280</v>
      </c>
      <c r="F245" s="53" t="s">
        <v>1315</v>
      </c>
      <c r="G245" s="53" t="s">
        <v>1091</v>
      </c>
      <c r="H245" s="53" t="s">
        <v>1316</v>
      </c>
      <c r="I245" s="53" t="s">
        <v>1317</v>
      </c>
      <c r="J245" s="53" t="s">
        <v>1318</v>
      </c>
      <c r="K245" s="53" t="s">
        <v>1094</v>
      </c>
      <c r="L245" s="53" t="s">
        <v>1316</v>
      </c>
      <c r="M245" s="53" t="s">
        <v>1319</v>
      </c>
      <c r="N245" s="53" t="s">
        <v>1320</v>
      </c>
      <c r="O245" s="53" t="s">
        <v>1096</v>
      </c>
      <c r="P245" s="53" t="s">
        <v>1316</v>
      </c>
      <c r="Q245" s="53" t="s">
        <v>1321</v>
      </c>
      <c r="R245" s="55">
        <v>0.125</v>
      </c>
      <c r="S245" s="53">
        <v>100</v>
      </c>
      <c r="T245" s="53" t="s">
        <v>130</v>
      </c>
      <c r="U245" s="53" t="s">
        <v>169</v>
      </c>
      <c r="V245" s="53" t="s">
        <v>1042</v>
      </c>
      <c r="W245" s="53" t="s">
        <v>1042</v>
      </c>
      <c r="X245" s="53" t="s">
        <v>1043</v>
      </c>
      <c r="Y245" s="53"/>
      <c r="Z245" s="53"/>
      <c r="AA245" s="53"/>
      <c r="AB245" s="53" t="s">
        <v>274</v>
      </c>
      <c r="AC245" s="53" t="s">
        <v>274</v>
      </c>
      <c r="AD245" s="53" t="s">
        <v>274</v>
      </c>
      <c r="AE245" s="53" t="s">
        <v>274</v>
      </c>
      <c r="AF245" s="53" t="s">
        <v>275</v>
      </c>
      <c r="AG245" s="53" t="s">
        <v>275</v>
      </c>
      <c r="AH245" s="53" t="s">
        <v>274</v>
      </c>
      <c r="AI245" s="59">
        <v>0.05</v>
      </c>
      <c r="AJ245" s="56" t="s">
        <v>275</v>
      </c>
    </row>
    <row r="246" spans="1:36" x14ac:dyDescent="0.45">
      <c r="A246" s="52">
        <v>250</v>
      </c>
      <c r="B246" s="53"/>
      <c r="C246" s="53" t="s">
        <v>263</v>
      </c>
      <c r="D246" s="53" t="s">
        <v>84</v>
      </c>
      <c r="E246" s="54">
        <v>7610632050064</v>
      </c>
      <c r="F246" s="53" t="s">
        <v>1315</v>
      </c>
      <c r="G246" s="53" t="s">
        <v>1091</v>
      </c>
      <c r="H246" s="53" t="s">
        <v>266</v>
      </c>
      <c r="I246" s="53" t="s">
        <v>1322</v>
      </c>
      <c r="J246" s="53" t="s">
        <v>1318</v>
      </c>
      <c r="K246" s="53" t="s">
        <v>1094</v>
      </c>
      <c r="L246" s="53" t="s">
        <v>266</v>
      </c>
      <c r="M246" s="53" t="s">
        <v>1323</v>
      </c>
      <c r="N246" s="53" t="s">
        <v>1320</v>
      </c>
      <c r="O246" s="53" t="s">
        <v>1096</v>
      </c>
      <c r="P246" s="53" t="s">
        <v>266</v>
      </c>
      <c r="Q246" s="53" t="s">
        <v>1324</v>
      </c>
      <c r="R246" s="55">
        <v>0.25</v>
      </c>
      <c r="S246" s="53">
        <v>100</v>
      </c>
      <c r="T246" s="53" t="s">
        <v>130</v>
      </c>
      <c r="U246" s="53" t="s">
        <v>169</v>
      </c>
      <c r="V246" s="53" t="s">
        <v>1042</v>
      </c>
      <c r="W246" s="53" t="s">
        <v>1042</v>
      </c>
      <c r="X246" s="53" t="s">
        <v>1043</v>
      </c>
      <c r="Y246" s="53"/>
      <c r="Z246" s="53"/>
      <c r="AA246" s="53"/>
      <c r="AB246" s="53" t="s">
        <v>274</v>
      </c>
      <c r="AC246" s="53" t="s">
        <v>274</v>
      </c>
      <c r="AD246" s="53" t="s">
        <v>274</v>
      </c>
      <c r="AE246" s="53" t="s">
        <v>274</v>
      </c>
      <c r="AF246" s="53" t="s">
        <v>275</v>
      </c>
      <c r="AG246" s="53" t="s">
        <v>275</v>
      </c>
      <c r="AH246" s="53" t="s">
        <v>274</v>
      </c>
      <c r="AI246" s="59">
        <v>0.05</v>
      </c>
      <c r="AJ246" s="56" t="s">
        <v>275</v>
      </c>
    </row>
    <row r="247" spans="1:36" x14ac:dyDescent="0.45">
      <c r="A247" s="52">
        <v>251</v>
      </c>
      <c r="B247" s="54">
        <v>127</v>
      </c>
      <c r="C247" s="53" t="s">
        <v>581</v>
      </c>
      <c r="D247" s="53"/>
      <c r="E247" s="54" t="s">
        <v>1409</v>
      </c>
      <c r="F247" s="53" t="s">
        <v>1325</v>
      </c>
      <c r="G247" s="53"/>
      <c r="H247" s="53"/>
      <c r="I247" s="53" t="s">
        <v>1325</v>
      </c>
      <c r="J247" s="53" t="s">
        <v>1326</v>
      </c>
      <c r="K247" s="53" t="s">
        <v>1108</v>
      </c>
      <c r="L247" s="53"/>
      <c r="M247" s="53" t="s">
        <v>1327</v>
      </c>
      <c r="N247" s="53" t="s">
        <v>1328</v>
      </c>
      <c r="O247" s="53" t="s">
        <v>1089</v>
      </c>
      <c r="P247" s="53"/>
      <c r="Q247" s="53" t="s">
        <v>1329</v>
      </c>
      <c r="R247" s="55">
        <v>1</v>
      </c>
      <c r="S247" s="53">
        <v>1</v>
      </c>
      <c r="T247" s="53" t="s">
        <v>131</v>
      </c>
      <c r="U247" s="53" t="s">
        <v>168</v>
      </c>
      <c r="V247" s="53" t="s">
        <v>1042</v>
      </c>
      <c r="W247" s="53" t="s">
        <v>1042</v>
      </c>
      <c r="X247" s="53" t="s">
        <v>1043</v>
      </c>
      <c r="Y247" s="53"/>
      <c r="Z247" s="53"/>
      <c r="AA247" s="53"/>
      <c r="AB247" s="53" t="s">
        <v>274</v>
      </c>
      <c r="AC247" s="53" t="s">
        <v>274</v>
      </c>
      <c r="AD247" s="53" t="s">
        <v>274</v>
      </c>
      <c r="AE247" s="53" t="s">
        <v>274</v>
      </c>
      <c r="AF247" s="53" t="s">
        <v>275</v>
      </c>
      <c r="AG247" s="53" t="s">
        <v>275</v>
      </c>
      <c r="AH247" s="53" t="s">
        <v>274</v>
      </c>
      <c r="AI247" s="59">
        <v>0.05</v>
      </c>
      <c r="AJ247" s="56" t="s">
        <v>275</v>
      </c>
    </row>
    <row r="248" spans="1:36" x14ac:dyDescent="0.45">
      <c r="A248" s="52">
        <v>252</v>
      </c>
      <c r="B248" s="54">
        <v>129</v>
      </c>
      <c r="C248" s="53" t="s">
        <v>581</v>
      </c>
      <c r="D248" s="53" t="s">
        <v>84</v>
      </c>
      <c r="E248" s="54" t="s">
        <v>1409</v>
      </c>
      <c r="F248" s="53" t="s">
        <v>1330</v>
      </c>
      <c r="G248" s="53" t="s">
        <v>1105</v>
      </c>
      <c r="H248" s="53"/>
      <c r="I248" s="53" t="s">
        <v>1331</v>
      </c>
      <c r="J248" s="53" t="s">
        <v>1332</v>
      </c>
      <c r="K248" s="53" t="s">
        <v>1108</v>
      </c>
      <c r="L248" s="53"/>
      <c r="M248" s="53" t="s">
        <v>1333</v>
      </c>
      <c r="N248" s="53" t="s">
        <v>1334</v>
      </c>
      <c r="O248" s="53" t="s">
        <v>1089</v>
      </c>
      <c r="P248" s="53"/>
      <c r="Q248" s="53" t="s">
        <v>1335</v>
      </c>
      <c r="R248" s="55">
        <v>1</v>
      </c>
      <c r="S248" s="53">
        <v>1</v>
      </c>
      <c r="T248" s="53" t="s">
        <v>131</v>
      </c>
      <c r="U248" s="53" t="s">
        <v>168</v>
      </c>
      <c r="V248" s="53" t="s">
        <v>1042</v>
      </c>
      <c r="W248" s="53" t="s">
        <v>1042</v>
      </c>
      <c r="X248" s="53" t="s">
        <v>1043</v>
      </c>
      <c r="Y248" s="53"/>
      <c r="Z248" s="53"/>
      <c r="AA248" s="53"/>
      <c r="AB248" s="53" t="s">
        <v>274</v>
      </c>
      <c r="AC248" s="53" t="s">
        <v>274</v>
      </c>
      <c r="AD248" s="53" t="s">
        <v>274</v>
      </c>
      <c r="AE248" s="53" t="s">
        <v>274</v>
      </c>
      <c r="AF248" s="53" t="s">
        <v>275</v>
      </c>
      <c r="AG248" s="53" t="s">
        <v>275</v>
      </c>
      <c r="AH248" s="53" t="s">
        <v>274</v>
      </c>
      <c r="AI248" s="59">
        <v>0.05</v>
      </c>
      <c r="AJ248" s="56" t="s">
        <v>275</v>
      </c>
    </row>
    <row r="249" spans="1:36" x14ac:dyDescent="0.45">
      <c r="A249" s="52">
        <v>253</v>
      </c>
      <c r="B249" s="54">
        <v>131</v>
      </c>
      <c r="C249" s="53" t="s">
        <v>581</v>
      </c>
      <c r="D249" s="53" t="s">
        <v>84</v>
      </c>
      <c r="E249" s="54" t="s">
        <v>1409</v>
      </c>
      <c r="F249" s="53" t="s">
        <v>1336</v>
      </c>
      <c r="G249" s="53" t="s">
        <v>1105</v>
      </c>
      <c r="H249" s="53"/>
      <c r="I249" s="53" t="s">
        <v>1337</v>
      </c>
      <c r="J249" s="53" t="s">
        <v>1338</v>
      </c>
      <c r="K249" s="53" t="s">
        <v>1108</v>
      </c>
      <c r="L249" s="53"/>
      <c r="M249" s="53" t="s">
        <v>1339</v>
      </c>
      <c r="N249" s="53" t="s">
        <v>1340</v>
      </c>
      <c r="O249" s="53" t="s">
        <v>1089</v>
      </c>
      <c r="P249" s="53"/>
      <c r="Q249" s="53" t="s">
        <v>1341</v>
      </c>
      <c r="R249" s="55">
        <v>1</v>
      </c>
      <c r="S249" s="53">
        <v>1</v>
      </c>
      <c r="T249" s="53" t="s">
        <v>131</v>
      </c>
      <c r="U249" s="53" t="s">
        <v>168</v>
      </c>
      <c r="V249" s="53" t="s">
        <v>1042</v>
      </c>
      <c r="W249" s="53" t="s">
        <v>1042</v>
      </c>
      <c r="X249" s="53" t="s">
        <v>1043</v>
      </c>
      <c r="Y249" s="53"/>
      <c r="Z249" s="53"/>
      <c r="AA249" s="53"/>
      <c r="AB249" s="53" t="s">
        <v>274</v>
      </c>
      <c r="AC249" s="53" t="s">
        <v>274</v>
      </c>
      <c r="AD249" s="53" t="s">
        <v>274</v>
      </c>
      <c r="AE249" s="53" t="s">
        <v>274</v>
      </c>
      <c r="AF249" s="53" t="s">
        <v>275</v>
      </c>
      <c r="AG249" s="53" t="s">
        <v>275</v>
      </c>
      <c r="AH249" s="53" t="s">
        <v>274</v>
      </c>
      <c r="AI249" s="59">
        <v>0.05</v>
      </c>
      <c r="AJ249" s="56" t="s">
        <v>275</v>
      </c>
    </row>
    <row r="250" spans="1:36" x14ac:dyDescent="0.45">
      <c r="A250" s="52">
        <v>254</v>
      </c>
      <c r="B250" s="54">
        <v>132</v>
      </c>
      <c r="C250" s="53" t="s">
        <v>581</v>
      </c>
      <c r="D250" s="53" t="s">
        <v>84</v>
      </c>
      <c r="E250" s="54" t="s">
        <v>1409</v>
      </c>
      <c r="F250" s="53" t="s">
        <v>1342</v>
      </c>
      <c r="G250" s="53" t="s">
        <v>1343</v>
      </c>
      <c r="H250" s="53"/>
      <c r="I250" s="53" t="s">
        <v>1344</v>
      </c>
      <c r="J250" s="53" t="s">
        <v>1345</v>
      </c>
      <c r="K250" s="53" t="s">
        <v>1108</v>
      </c>
      <c r="L250" s="53"/>
      <c r="M250" s="53" t="s">
        <v>1346</v>
      </c>
      <c r="N250" s="53" t="s">
        <v>1347</v>
      </c>
      <c r="O250" s="53" t="s">
        <v>1089</v>
      </c>
      <c r="P250" s="53"/>
      <c r="Q250" s="53" t="s">
        <v>1348</v>
      </c>
      <c r="R250" s="55">
        <v>1</v>
      </c>
      <c r="S250" s="53">
        <v>1</v>
      </c>
      <c r="T250" s="53" t="s">
        <v>131</v>
      </c>
      <c r="U250" s="53" t="s">
        <v>168</v>
      </c>
      <c r="V250" s="53" t="s">
        <v>1042</v>
      </c>
      <c r="W250" s="53" t="s">
        <v>1042</v>
      </c>
      <c r="X250" s="53" t="s">
        <v>1043</v>
      </c>
      <c r="Y250" s="53"/>
      <c r="Z250" s="53"/>
      <c r="AA250" s="53"/>
      <c r="AB250" s="53" t="s">
        <v>274</v>
      </c>
      <c r="AC250" s="53" t="s">
        <v>274</v>
      </c>
      <c r="AD250" s="53" t="s">
        <v>274</v>
      </c>
      <c r="AE250" s="53" t="s">
        <v>274</v>
      </c>
      <c r="AF250" s="53" t="s">
        <v>275</v>
      </c>
      <c r="AG250" s="53" t="s">
        <v>275</v>
      </c>
      <c r="AH250" s="53" t="s">
        <v>274</v>
      </c>
      <c r="AI250" s="59">
        <v>0.05</v>
      </c>
      <c r="AJ250" s="56" t="s">
        <v>275</v>
      </c>
    </row>
    <row r="251" spans="1:36" x14ac:dyDescent="0.45">
      <c r="A251" s="52">
        <v>255</v>
      </c>
      <c r="B251" s="54">
        <v>130</v>
      </c>
      <c r="C251" s="53" t="s">
        <v>581</v>
      </c>
      <c r="D251" s="53"/>
      <c r="E251" s="54" t="s">
        <v>1409</v>
      </c>
      <c r="F251" s="53" t="s">
        <v>1349</v>
      </c>
      <c r="G251" s="53"/>
      <c r="H251" s="53"/>
      <c r="I251" s="53" t="s">
        <v>1350</v>
      </c>
      <c r="J251" s="53" t="s">
        <v>1351</v>
      </c>
      <c r="K251" s="53" t="s">
        <v>1108</v>
      </c>
      <c r="L251" s="53"/>
      <c r="M251" s="53" t="s">
        <v>1352</v>
      </c>
      <c r="N251" s="53" t="s">
        <v>1353</v>
      </c>
      <c r="O251" s="53" t="s">
        <v>1089</v>
      </c>
      <c r="P251" s="53"/>
      <c r="Q251" s="53" t="s">
        <v>1354</v>
      </c>
      <c r="R251" s="55">
        <v>1</v>
      </c>
      <c r="S251" s="53">
        <v>1</v>
      </c>
      <c r="T251" s="53" t="s">
        <v>131</v>
      </c>
      <c r="U251" s="53" t="s">
        <v>168</v>
      </c>
      <c r="V251" s="53" t="s">
        <v>1042</v>
      </c>
      <c r="W251" s="53" t="s">
        <v>1042</v>
      </c>
      <c r="X251" s="53" t="s">
        <v>1043</v>
      </c>
      <c r="Y251" s="53"/>
      <c r="Z251" s="53"/>
      <c r="AA251" s="53"/>
      <c r="AB251" s="53" t="s">
        <v>274</v>
      </c>
      <c r="AC251" s="53" t="s">
        <v>274</v>
      </c>
      <c r="AD251" s="53" t="s">
        <v>274</v>
      </c>
      <c r="AE251" s="53" t="s">
        <v>274</v>
      </c>
      <c r="AF251" s="53" t="s">
        <v>275</v>
      </c>
      <c r="AG251" s="53" t="s">
        <v>275</v>
      </c>
      <c r="AH251" s="53" t="s">
        <v>274</v>
      </c>
      <c r="AI251" s="59">
        <v>0.05</v>
      </c>
      <c r="AJ251" s="56" t="s">
        <v>275</v>
      </c>
    </row>
    <row r="252" spans="1:36" x14ac:dyDescent="0.45">
      <c r="A252" s="52">
        <v>256</v>
      </c>
      <c r="B252" s="54">
        <v>103</v>
      </c>
      <c r="C252" s="53" t="s">
        <v>581</v>
      </c>
      <c r="D252" s="53" t="s">
        <v>84</v>
      </c>
      <c r="E252" s="54" t="s">
        <v>1409</v>
      </c>
      <c r="F252" s="53" t="s">
        <v>1355</v>
      </c>
      <c r="G252" s="53" t="s">
        <v>1035</v>
      </c>
      <c r="H252" s="53"/>
      <c r="I252" s="53" t="s">
        <v>1356</v>
      </c>
      <c r="J252" s="53" t="s">
        <v>1357</v>
      </c>
      <c r="K252" s="53" t="s">
        <v>1038</v>
      </c>
      <c r="L252" s="53"/>
      <c r="M252" s="53" t="s">
        <v>1358</v>
      </c>
      <c r="N252" s="53" t="s">
        <v>1359</v>
      </c>
      <c r="O252" s="53" t="s">
        <v>1040</v>
      </c>
      <c r="P252" s="53"/>
      <c r="Q252" s="53" t="s">
        <v>1360</v>
      </c>
      <c r="R252" s="55">
        <v>1</v>
      </c>
      <c r="S252" s="53">
        <v>1</v>
      </c>
      <c r="T252" s="53" t="s">
        <v>131</v>
      </c>
      <c r="U252" s="53" t="s">
        <v>168</v>
      </c>
      <c r="V252" s="53" t="s">
        <v>1042</v>
      </c>
      <c r="W252" s="53" t="s">
        <v>1042</v>
      </c>
      <c r="X252" s="53" t="s">
        <v>1043</v>
      </c>
      <c r="Y252" s="53"/>
      <c r="Z252" s="53"/>
      <c r="AA252" s="53"/>
      <c r="AB252" s="53" t="s">
        <v>274</v>
      </c>
      <c r="AC252" s="53" t="s">
        <v>274</v>
      </c>
      <c r="AD252" s="53" t="s">
        <v>274</v>
      </c>
      <c r="AE252" s="53" t="s">
        <v>274</v>
      </c>
      <c r="AF252" s="53" t="s">
        <v>275</v>
      </c>
      <c r="AG252" s="53" t="s">
        <v>275</v>
      </c>
      <c r="AH252" s="53" t="s">
        <v>274</v>
      </c>
      <c r="AI252" s="59">
        <v>0.05</v>
      </c>
      <c r="AJ252" s="56" t="s">
        <v>275</v>
      </c>
    </row>
    <row r="253" spans="1:36" x14ac:dyDescent="0.45">
      <c r="A253" s="52">
        <v>257</v>
      </c>
      <c r="B253" s="53"/>
      <c r="C253" s="53" t="s">
        <v>581</v>
      </c>
      <c r="D253" s="53" t="s">
        <v>78</v>
      </c>
      <c r="E253" s="54">
        <v>2202261000005</v>
      </c>
      <c r="F253" s="53" t="s">
        <v>1355</v>
      </c>
      <c r="G253" s="53" t="s">
        <v>1152</v>
      </c>
      <c r="H253" s="53"/>
      <c r="I253" s="53" t="s">
        <v>1361</v>
      </c>
      <c r="J253" s="53" t="s">
        <v>1357</v>
      </c>
      <c r="K253" s="53" t="s">
        <v>1155</v>
      </c>
      <c r="L253" s="53"/>
      <c r="M253" s="53" t="s">
        <v>1362</v>
      </c>
      <c r="N253" s="53" t="s">
        <v>1359</v>
      </c>
      <c r="O253" s="53" t="s">
        <v>1158</v>
      </c>
      <c r="P253" s="53"/>
      <c r="Q253" s="53" t="s">
        <v>1363</v>
      </c>
      <c r="R253" s="55">
        <v>1</v>
      </c>
      <c r="S253" s="53">
        <v>1</v>
      </c>
      <c r="T253" s="53" t="s">
        <v>131</v>
      </c>
      <c r="U253" s="53" t="s">
        <v>169</v>
      </c>
      <c r="V253" s="53" t="s">
        <v>1042</v>
      </c>
      <c r="W253" s="53" t="s">
        <v>1042</v>
      </c>
      <c r="X253" s="53" t="s">
        <v>1043</v>
      </c>
      <c r="Y253" s="53"/>
      <c r="Z253" s="53"/>
      <c r="AA253" s="53"/>
      <c r="AB253" s="53" t="s">
        <v>274</v>
      </c>
      <c r="AC253" s="53" t="s">
        <v>274</v>
      </c>
      <c r="AD253" s="53" t="s">
        <v>274</v>
      </c>
      <c r="AE253" s="53" t="s">
        <v>274</v>
      </c>
      <c r="AF253" s="53" t="s">
        <v>275</v>
      </c>
      <c r="AG253" s="53" t="s">
        <v>275</v>
      </c>
      <c r="AH253" s="53" t="s">
        <v>274</v>
      </c>
      <c r="AI253" s="59">
        <v>0.05</v>
      </c>
      <c r="AJ253" s="56" t="s">
        <v>275</v>
      </c>
    </row>
    <row r="254" spans="1:36" x14ac:dyDescent="0.45">
      <c r="A254" s="52">
        <v>258</v>
      </c>
      <c r="B254" s="54">
        <v>125</v>
      </c>
      <c r="C254" s="53" t="s">
        <v>581</v>
      </c>
      <c r="D254" s="53"/>
      <c r="E254" s="54" t="s">
        <v>1409</v>
      </c>
      <c r="F254" s="53" t="s">
        <v>1364</v>
      </c>
      <c r="G254" s="53"/>
      <c r="H254" s="53"/>
      <c r="I254" s="53" t="s">
        <v>1364</v>
      </c>
      <c r="J254" s="53" t="s">
        <v>1365</v>
      </c>
      <c r="K254" s="53" t="s">
        <v>1366</v>
      </c>
      <c r="L254" s="53"/>
      <c r="M254" s="53" t="s">
        <v>1367</v>
      </c>
      <c r="N254" s="53" t="s">
        <v>1368</v>
      </c>
      <c r="O254" s="53" t="s">
        <v>1089</v>
      </c>
      <c r="P254" s="53"/>
      <c r="Q254" s="53" t="s">
        <v>1369</v>
      </c>
      <c r="R254" s="55">
        <v>1</v>
      </c>
      <c r="S254" s="53">
        <v>1</v>
      </c>
      <c r="T254" s="53" t="s">
        <v>131</v>
      </c>
      <c r="U254" s="53" t="s">
        <v>168</v>
      </c>
      <c r="V254" s="53" t="s">
        <v>1042</v>
      </c>
      <c r="W254" s="53" t="s">
        <v>1042</v>
      </c>
      <c r="X254" s="53" t="s">
        <v>1043</v>
      </c>
      <c r="Y254" s="53"/>
      <c r="Z254" s="53"/>
      <c r="AA254" s="53"/>
      <c r="AB254" s="53" t="s">
        <v>274</v>
      </c>
      <c r="AC254" s="53" t="s">
        <v>274</v>
      </c>
      <c r="AD254" s="53" t="s">
        <v>274</v>
      </c>
      <c r="AE254" s="53" t="s">
        <v>274</v>
      </c>
      <c r="AF254" s="53" t="s">
        <v>275</v>
      </c>
      <c r="AG254" s="53" t="s">
        <v>275</v>
      </c>
      <c r="AH254" s="53" t="s">
        <v>274</v>
      </c>
      <c r="AI254" s="59">
        <v>0.05</v>
      </c>
      <c r="AJ254" s="56" t="s">
        <v>275</v>
      </c>
    </row>
    <row r="255" spans="1:36" x14ac:dyDescent="0.45">
      <c r="A255" s="52">
        <v>259</v>
      </c>
      <c r="B255" s="54">
        <v>105</v>
      </c>
      <c r="C255" s="53" t="s">
        <v>581</v>
      </c>
      <c r="D255" s="53" t="s">
        <v>84</v>
      </c>
      <c r="E255" s="54" t="s">
        <v>1409</v>
      </c>
      <c r="F255" s="53" t="s">
        <v>1370</v>
      </c>
      <c r="G255" s="53" t="s">
        <v>1035</v>
      </c>
      <c r="H255" s="53"/>
      <c r="I255" s="53" t="s">
        <v>1371</v>
      </c>
      <c r="J255" s="53" t="s">
        <v>1372</v>
      </c>
      <c r="K255" s="53" t="s">
        <v>1038</v>
      </c>
      <c r="L255" s="53"/>
      <c r="M255" s="53" t="s">
        <v>1373</v>
      </c>
      <c r="N255" s="53" t="s">
        <v>1374</v>
      </c>
      <c r="O255" s="53" t="s">
        <v>1040</v>
      </c>
      <c r="P255" s="53"/>
      <c r="Q255" s="53" t="s">
        <v>1375</v>
      </c>
      <c r="R255" s="55">
        <v>1</v>
      </c>
      <c r="S255" s="53">
        <v>1</v>
      </c>
      <c r="T255" s="53" t="s">
        <v>131</v>
      </c>
      <c r="U255" s="53" t="s">
        <v>168</v>
      </c>
      <c r="V255" s="53" t="s">
        <v>1042</v>
      </c>
      <c r="W255" s="53" t="s">
        <v>1042</v>
      </c>
      <c r="X255" s="53" t="s">
        <v>1043</v>
      </c>
      <c r="Y255" s="53"/>
      <c r="Z255" s="53"/>
      <c r="AA255" s="53"/>
      <c r="AB255" s="53" t="s">
        <v>274</v>
      </c>
      <c r="AC255" s="53" t="s">
        <v>274</v>
      </c>
      <c r="AD255" s="53" t="s">
        <v>274</v>
      </c>
      <c r="AE255" s="53" t="s">
        <v>274</v>
      </c>
      <c r="AF255" s="53" t="s">
        <v>275</v>
      </c>
      <c r="AG255" s="53" t="s">
        <v>275</v>
      </c>
      <c r="AH255" s="53" t="s">
        <v>274</v>
      </c>
      <c r="AI255" s="59">
        <v>0.05</v>
      </c>
      <c r="AJ255" s="56" t="s">
        <v>275</v>
      </c>
    </row>
    <row r="256" spans="1:36" x14ac:dyDescent="0.45">
      <c r="A256" s="52">
        <v>260</v>
      </c>
      <c r="B256" s="53"/>
      <c r="C256" s="53" t="s">
        <v>581</v>
      </c>
      <c r="D256" s="53" t="s">
        <v>78</v>
      </c>
      <c r="E256" s="54">
        <v>2202291000006</v>
      </c>
      <c r="F256" s="53" t="s">
        <v>1370</v>
      </c>
      <c r="G256" s="53" t="s">
        <v>1152</v>
      </c>
      <c r="H256" s="53"/>
      <c r="I256" s="53" t="s">
        <v>1376</v>
      </c>
      <c r="J256" s="53" t="s">
        <v>1372</v>
      </c>
      <c r="K256" s="53" t="s">
        <v>1155</v>
      </c>
      <c r="L256" s="53"/>
      <c r="M256" s="53" t="s">
        <v>1377</v>
      </c>
      <c r="N256" s="53" t="s">
        <v>1374</v>
      </c>
      <c r="O256" s="53" t="s">
        <v>1158</v>
      </c>
      <c r="P256" s="53"/>
      <c r="Q256" s="53" t="s">
        <v>1378</v>
      </c>
      <c r="R256" s="55">
        <v>1</v>
      </c>
      <c r="S256" s="53">
        <v>1</v>
      </c>
      <c r="T256" s="53" t="s">
        <v>131</v>
      </c>
      <c r="U256" s="53" t="s">
        <v>169</v>
      </c>
      <c r="V256" s="53" t="s">
        <v>1042</v>
      </c>
      <c r="W256" s="53" t="s">
        <v>1042</v>
      </c>
      <c r="X256" s="53" t="s">
        <v>1043</v>
      </c>
      <c r="Y256" s="53"/>
      <c r="Z256" s="53"/>
      <c r="AA256" s="53"/>
      <c r="AB256" s="53" t="s">
        <v>274</v>
      </c>
      <c r="AC256" s="53" t="s">
        <v>274</v>
      </c>
      <c r="AD256" s="53" t="s">
        <v>274</v>
      </c>
      <c r="AE256" s="53" t="s">
        <v>274</v>
      </c>
      <c r="AF256" s="53" t="s">
        <v>275</v>
      </c>
      <c r="AG256" s="53" t="s">
        <v>275</v>
      </c>
      <c r="AH256" s="53" t="s">
        <v>274</v>
      </c>
      <c r="AI256" s="59">
        <v>0.05</v>
      </c>
      <c r="AJ256" s="56" t="s">
        <v>275</v>
      </c>
    </row>
    <row r="257" spans="1:36" x14ac:dyDescent="0.45">
      <c r="A257" s="52">
        <v>261</v>
      </c>
      <c r="B257" s="54">
        <v>150</v>
      </c>
      <c r="C257" s="53" t="s">
        <v>581</v>
      </c>
      <c r="D257" s="53" t="s">
        <v>84</v>
      </c>
      <c r="E257" s="54"/>
      <c r="F257" s="53" t="s">
        <v>1379</v>
      </c>
      <c r="G257" s="53" t="s">
        <v>1105</v>
      </c>
      <c r="H257" s="53"/>
      <c r="I257" s="53" t="s">
        <v>1380</v>
      </c>
      <c r="J257" s="53" t="s">
        <v>1381</v>
      </c>
      <c r="K257" s="53" t="s">
        <v>1108</v>
      </c>
      <c r="L257" s="53"/>
      <c r="M257" s="53" t="s">
        <v>1382</v>
      </c>
      <c r="N257" s="53" t="s">
        <v>1383</v>
      </c>
      <c r="O257" s="53" t="s">
        <v>1089</v>
      </c>
      <c r="P257" s="53"/>
      <c r="Q257" s="53" t="s">
        <v>1384</v>
      </c>
      <c r="R257" s="55">
        <v>1</v>
      </c>
      <c r="S257" s="53">
        <v>1</v>
      </c>
      <c r="T257" s="53" t="s">
        <v>131</v>
      </c>
      <c r="U257" s="53" t="s">
        <v>168</v>
      </c>
      <c r="V257" s="53" t="s">
        <v>1042</v>
      </c>
      <c r="W257" s="53" t="s">
        <v>1042</v>
      </c>
      <c r="X257" s="53" t="s">
        <v>1043</v>
      </c>
      <c r="Y257" s="53"/>
      <c r="Z257" s="53"/>
      <c r="AA257" s="53"/>
      <c r="AB257" s="53" t="s">
        <v>274</v>
      </c>
      <c r="AC257" s="53" t="s">
        <v>274</v>
      </c>
      <c r="AD257" s="53" t="s">
        <v>274</v>
      </c>
      <c r="AE257" s="53" t="s">
        <v>274</v>
      </c>
      <c r="AF257" s="53" t="s">
        <v>275</v>
      </c>
      <c r="AG257" s="53" t="s">
        <v>275</v>
      </c>
      <c r="AH257" s="53" t="s">
        <v>274</v>
      </c>
      <c r="AI257" s="59">
        <v>0.05</v>
      </c>
      <c r="AJ257" s="56" t="s">
        <v>275</v>
      </c>
    </row>
    <row r="258" spans="1:36" x14ac:dyDescent="0.45">
      <c r="A258" s="52">
        <v>262</v>
      </c>
      <c r="B258" s="53"/>
      <c r="C258" s="53" t="s">
        <v>263</v>
      </c>
      <c r="D258" s="53" t="s">
        <v>84</v>
      </c>
      <c r="E258" s="54">
        <v>7613399001287</v>
      </c>
      <c r="F258" s="53" t="s">
        <v>1385</v>
      </c>
      <c r="G258" s="53"/>
      <c r="H258" s="53" t="s">
        <v>640</v>
      </c>
      <c r="I258" s="53" t="s">
        <v>1386</v>
      </c>
      <c r="J258" s="53" t="s">
        <v>1387</v>
      </c>
      <c r="K258" s="53"/>
      <c r="L258" s="53" t="s">
        <v>640</v>
      </c>
      <c r="M258" s="53" t="s">
        <v>1388</v>
      </c>
      <c r="N258" s="53" t="s">
        <v>1389</v>
      </c>
      <c r="O258" s="53"/>
      <c r="P258" s="53" t="s">
        <v>640</v>
      </c>
      <c r="Q258" s="53" t="s">
        <v>1390</v>
      </c>
      <c r="R258" s="55">
        <v>0.2</v>
      </c>
      <c r="S258" s="53">
        <v>100</v>
      </c>
      <c r="T258" s="53" t="s">
        <v>130</v>
      </c>
      <c r="U258" s="53" t="s">
        <v>169</v>
      </c>
      <c r="V258" s="53" t="s">
        <v>1042</v>
      </c>
      <c r="W258" s="53" t="s">
        <v>1042</v>
      </c>
      <c r="X258" s="53" t="s">
        <v>1043</v>
      </c>
      <c r="Y258" s="53"/>
      <c r="Z258" s="53"/>
      <c r="AA258" s="53"/>
      <c r="AB258" s="53" t="s">
        <v>274</v>
      </c>
      <c r="AC258" s="53" t="s">
        <v>274</v>
      </c>
      <c r="AD258" s="53" t="s">
        <v>274</v>
      </c>
      <c r="AE258" s="53" t="s">
        <v>274</v>
      </c>
      <c r="AF258" s="53" t="s">
        <v>275</v>
      </c>
      <c r="AG258" s="53" t="s">
        <v>275</v>
      </c>
      <c r="AH258" s="53" t="s">
        <v>274</v>
      </c>
      <c r="AI258" s="59">
        <v>0.05</v>
      </c>
      <c r="AJ258" s="56" t="s">
        <v>275</v>
      </c>
    </row>
    <row r="259" spans="1:36" x14ac:dyDescent="0.45">
      <c r="A259" s="52">
        <v>263</v>
      </c>
      <c r="B259" s="53"/>
      <c r="C259" s="53" t="s">
        <v>581</v>
      </c>
      <c r="D259" s="53" t="s">
        <v>78</v>
      </c>
      <c r="E259" s="54">
        <v>2296291000005</v>
      </c>
      <c r="F259" s="53" t="s">
        <v>1391</v>
      </c>
      <c r="G259" s="53" t="s">
        <v>1392</v>
      </c>
      <c r="H259" s="53"/>
      <c r="I259" s="53" t="s">
        <v>1393</v>
      </c>
      <c r="J259" s="53" t="s">
        <v>1394</v>
      </c>
      <c r="K259" s="53" t="s">
        <v>1395</v>
      </c>
      <c r="L259" s="53"/>
      <c r="M259" s="53" t="s">
        <v>1396</v>
      </c>
      <c r="N259" s="53" t="s">
        <v>1397</v>
      </c>
      <c r="O259" s="53" t="s">
        <v>1398</v>
      </c>
      <c r="P259" s="53"/>
      <c r="Q259" s="53" t="s">
        <v>1399</v>
      </c>
      <c r="R259" s="55">
        <v>1</v>
      </c>
      <c r="S259" s="53">
        <v>1</v>
      </c>
      <c r="T259" s="53" t="s">
        <v>131</v>
      </c>
      <c r="U259" s="53" t="s">
        <v>169</v>
      </c>
      <c r="V259" s="53" t="s">
        <v>1042</v>
      </c>
      <c r="W259" s="53" t="s">
        <v>1042</v>
      </c>
      <c r="X259" s="53" t="s">
        <v>1043</v>
      </c>
      <c r="Y259" s="53"/>
      <c r="Z259" s="53"/>
      <c r="AA259" s="53"/>
      <c r="AB259" s="53" t="s">
        <v>274</v>
      </c>
      <c r="AC259" s="53" t="s">
        <v>274</v>
      </c>
      <c r="AD259" s="53" t="s">
        <v>274</v>
      </c>
      <c r="AE259" s="53" t="s">
        <v>274</v>
      </c>
      <c r="AF259" s="53" t="s">
        <v>275</v>
      </c>
      <c r="AG259" s="53" t="s">
        <v>275</v>
      </c>
      <c r="AH259" s="53" t="s">
        <v>274</v>
      </c>
      <c r="AI259" s="59">
        <v>0.05</v>
      </c>
      <c r="AJ259" s="56" t="s">
        <v>275</v>
      </c>
    </row>
    <row r="260" spans="1:36" x14ac:dyDescent="0.45">
      <c r="A260" s="52">
        <v>264</v>
      </c>
      <c r="B260" s="54">
        <v>107</v>
      </c>
      <c r="C260" s="53" t="s">
        <v>581</v>
      </c>
      <c r="D260" s="53" t="s">
        <v>84</v>
      </c>
      <c r="E260" s="54" t="s">
        <v>1409</v>
      </c>
      <c r="F260" s="53" t="s">
        <v>1400</v>
      </c>
      <c r="G260" s="53" t="s">
        <v>1035</v>
      </c>
      <c r="H260" s="53"/>
      <c r="I260" s="53" t="s">
        <v>1401</v>
      </c>
      <c r="J260" s="53" t="s">
        <v>1402</v>
      </c>
      <c r="K260" s="53" t="s">
        <v>1038</v>
      </c>
      <c r="L260" s="53"/>
      <c r="M260" s="53" t="s">
        <v>1403</v>
      </c>
      <c r="N260" s="53" t="s">
        <v>1404</v>
      </c>
      <c r="O260" s="53" t="s">
        <v>1040</v>
      </c>
      <c r="P260" s="53"/>
      <c r="Q260" s="53" t="s">
        <v>1405</v>
      </c>
      <c r="R260" s="55">
        <v>1</v>
      </c>
      <c r="S260" s="53">
        <v>1</v>
      </c>
      <c r="T260" s="53" t="s">
        <v>131</v>
      </c>
      <c r="U260" s="53" t="s">
        <v>168</v>
      </c>
      <c r="V260" s="53" t="s">
        <v>1042</v>
      </c>
      <c r="W260" s="53" t="s">
        <v>1042</v>
      </c>
      <c r="X260" s="53" t="s">
        <v>1043</v>
      </c>
      <c r="Y260" s="53"/>
      <c r="Z260" s="53"/>
      <c r="AA260" s="53"/>
      <c r="AB260" s="53" t="s">
        <v>274</v>
      </c>
      <c r="AC260" s="53" t="s">
        <v>274</v>
      </c>
      <c r="AD260" s="53" t="s">
        <v>274</v>
      </c>
      <c r="AE260" s="53" t="s">
        <v>274</v>
      </c>
      <c r="AF260" s="53" t="s">
        <v>275</v>
      </c>
      <c r="AG260" s="53" t="s">
        <v>275</v>
      </c>
      <c r="AH260" s="53" t="s">
        <v>274</v>
      </c>
      <c r="AI260" s="59">
        <v>0.05</v>
      </c>
      <c r="AJ260" s="56" t="s">
        <v>275</v>
      </c>
    </row>
    <row r="261" spans="1:36" x14ac:dyDescent="0.45">
      <c r="A261" s="52">
        <v>265</v>
      </c>
      <c r="B261" s="53"/>
      <c r="C261" s="53" t="s">
        <v>581</v>
      </c>
      <c r="D261" s="53" t="s">
        <v>78</v>
      </c>
      <c r="E261" s="54">
        <v>2202381000008</v>
      </c>
      <c r="F261" s="53" t="s">
        <v>1400</v>
      </c>
      <c r="G261" s="53" t="s">
        <v>1152</v>
      </c>
      <c r="H261" s="53"/>
      <c r="I261" s="53" t="s">
        <v>1406</v>
      </c>
      <c r="J261" s="53" t="s">
        <v>1402</v>
      </c>
      <c r="K261" s="53" t="s">
        <v>1155</v>
      </c>
      <c r="L261" s="53"/>
      <c r="M261" s="53" t="s">
        <v>1407</v>
      </c>
      <c r="N261" s="53" t="s">
        <v>1404</v>
      </c>
      <c r="O261" s="53" t="s">
        <v>1158</v>
      </c>
      <c r="P261" s="53"/>
      <c r="Q261" s="53" t="s">
        <v>1408</v>
      </c>
      <c r="R261" s="55">
        <v>1</v>
      </c>
      <c r="S261" s="53">
        <v>1</v>
      </c>
      <c r="T261" s="53" t="s">
        <v>131</v>
      </c>
      <c r="U261" s="53" t="s">
        <v>169</v>
      </c>
      <c r="V261" s="53" t="s">
        <v>1042</v>
      </c>
      <c r="W261" s="53" t="s">
        <v>1042</v>
      </c>
      <c r="X261" s="53" t="s">
        <v>1043</v>
      </c>
      <c r="Y261" s="53"/>
      <c r="Z261" s="53"/>
      <c r="AA261" s="53"/>
      <c r="AB261" s="53" t="s">
        <v>274</v>
      </c>
      <c r="AC261" s="53" t="s">
        <v>274</v>
      </c>
      <c r="AD261" s="53" t="s">
        <v>274</v>
      </c>
      <c r="AE261" s="53" t="s">
        <v>274</v>
      </c>
      <c r="AF261" s="53" t="s">
        <v>275</v>
      </c>
      <c r="AG261" s="53" t="s">
        <v>275</v>
      </c>
      <c r="AH261" s="53" t="s">
        <v>274</v>
      </c>
      <c r="AI261" s="59">
        <v>0.05</v>
      </c>
      <c r="AJ261" s="56" t="s">
        <v>275</v>
      </c>
    </row>
  </sheetData>
  <autoFilter ref="A1:AG195" xr:uid="{4A855C53-24C0-4D6A-B3F7-850D03E51587}">
    <sortState xmlns:xlrd2="http://schemas.microsoft.com/office/spreadsheetml/2017/richdata2" ref="A2:AG195">
      <sortCondition ref="V1:V195"/>
    </sortState>
  </autoFilter>
  <conditionalFormatting sqref="B2:B78 B81:B86 B89:B90 B93:B110 B117:B195">
    <cfRule type="duplicateValues" dxfId="1" priority="2"/>
  </conditionalFormatting>
  <conditionalFormatting sqref="B196:B261">
    <cfRule type="duplicateValues" dxfId="0" priority="1"/>
  </conditionalFormatting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892E6-1643-4D6B-B5A1-C041A84C7834}">
  <sheetPr codeName="Sheet5"/>
  <dimension ref="A1:E2"/>
  <sheetViews>
    <sheetView workbookViewId="0"/>
  </sheetViews>
  <sheetFormatPr defaultColWidth="11.59765625" defaultRowHeight="14.25" x14ac:dyDescent="0.45"/>
  <cols>
    <col min="1" max="16384" width="11.59765625" style="4"/>
  </cols>
  <sheetData>
    <row r="1" spans="1:5" ht="15.75" x14ac:dyDescent="0.5">
      <c r="A1" s="41" t="s">
        <v>9</v>
      </c>
      <c r="B1" s="41" t="s">
        <v>10</v>
      </c>
      <c r="D1" s="41" t="s">
        <v>11</v>
      </c>
      <c r="E1" s="41" t="s">
        <v>12</v>
      </c>
    </row>
    <row r="2" spans="1:5" x14ac:dyDescent="0.45">
      <c r="A2" s="4" t="s">
        <v>13</v>
      </c>
      <c r="B2" s="4" t="s">
        <v>10</v>
      </c>
      <c r="D2" s="29" t="s">
        <v>70</v>
      </c>
      <c r="E2" s="4" t="s">
        <v>219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D7DF1-0B47-4121-9097-8C6F75899F5B}">
  <dimension ref="A1:AQ14"/>
  <sheetViews>
    <sheetView workbookViewId="0"/>
  </sheetViews>
  <sheetFormatPr defaultRowHeight="14.25" x14ac:dyDescent="0.45"/>
  <sheetData>
    <row r="1" spans="1:43" ht="15.75" x14ac:dyDescent="0.5">
      <c r="A1" s="37" t="s">
        <v>72</v>
      </c>
      <c r="B1" s="37" t="s">
        <v>74</v>
      </c>
      <c r="C1" s="37" t="s">
        <v>76</v>
      </c>
      <c r="D1" s="37" t="s">
        <v>77</v>
      </c>
      <c r="E1" s="37" t="s">
        <v>79</v>
      </c>
      <c r="F1" s="37" t="s">
        <v>81</v>
      </c>
      <c r="G1" s="37" t="s">
        <v>83</v>
      </c>
      <c r="H1" s="37" t="s">
        <v>85</v>
      </c>
      <c r="I1" s="37" t="s">
        <v>86</v>
      </c>
      <c r="J1" s="37" t="s">
        <v>88</v>
      </c>
      <c r="K1" s="37" t="s">
        <v>89</v>
      </c>
      <c r="L1" s="37" t="s">
        <v>90</v>
      </c>
      <c r="M1" s="37" t="s">
        <v>91</v>
      </c>
      <c r="N1" s="37" t="s">
        <v>92</v>
      </c>
      <c r="O1" s="37" t="s">
        <v>93</v>
      </c>
      <c r="P1" s="37" t="s">
        <v>95</v>
      </c>
      <c r="Q1" s="37" t="s">
        <v>96</v>
      </c>
      <c r="R1" s="37" t="s">
        <v>97</v>
      </c>
      <c r="S1" s="37" t="s">
        <v>98</v>
      </c>
      <c r="T1" s="29" t="s">
        <v>100</v>
      </c>
      <c r="U1" s="29" t="s">
        <v>104</v>
      </c>
      <c r="V1" s="29" t="s">
        <v>105</v>
      </c>
      <c r="W1" s="29" t="s">
        <v>106</v>
      </c>
      <c r="X1" s="29" t="s">
        <v>118</v>
      </c>
      <c r="Y1" s="29" t="s">
        <v>119</v>
      </c>
      <c r="Z1" s="29" t="s">
        <v>120</v>
      </c>
      <c r="AA1" s="29" t="s">
        <v>125</v>
      </c>
      <c r="AB1" s="29" t="s">
        <v>126</v>
      </c>
      <c r="AC1" s="29" t="s">
        <v>127</v>
      </c>
      <c r="AD1" s="29" t="s">
        <v>139</v>
      </c>
      <c r="AE1" s="29" t="s">
        <v>151</v>
      </c>
      <c r="AF1" s="29" t="s">
        <v>162</v>
      </c>
      <c r="AG1" s="29" t="s">
        <v>166</v>
      </c>
      <c r="AH1" s="29" t="s">
        <v>167</v>
      </c>
      <c r="AI1" s="29" t="s">
        <v>177</v>
      </c>
      <c r="AJ1" s="29" t="s">
        <v>181</v>
      </c>
      <c r="AK1" s="29" t="s">
        <v>185</v>
      </c>
      <c r="AL1" s="29" t="s">
        <v>189</v>
      </c>
      <c r="AM1" s="29" t="s">
        <v>196</v>
      </c>
      <c r="AN1" s="29" t="s">
        <v>203</v>
      </c>
      <c r="AO1" s="29" t="s">
        <v>210</v>
      </c>
      <c r="AP1" s="29" t="s">
        <v>213</v>
      </c>
      <c r="AQ1" s="29" t="s">
        <v>216</v>
      </c>
    </row>
    <row r="2" spans="1:43" x14ac:dyDescent="0.45">
      <c r="A2" t="s">
        <v>73</v>
      </c>
      <c r="B2" t="s">
        <v>75</v>
      </c>
      <c r="C2" t="s">
        <v>73</v>
      </c>
      <c r="D2" t="s">
        <v>78</v>
      </c>
      <c r="E2" t="s">
        <v>80</v>
      </c>
      <c r="F2" t="s">
        <v>82</v>
      </c>
      <c r="G2" t="s">
        <v>84</v>
      </c>
      <c r="H2" t="s">
        <v>73</v>
      </c>
      <c r="I2" t="s">
        <v>87</v>
      </c>
      <c r="J2" t="s">
        <v>87</v>
      </c>
      <c r="K2" t="s">
        <v>82</v>
      </c>
      <c r="L2" t="s">
        <v>84</v>
      </c>
      <c r="M2" t="s">
        <v>84</v>
      </c>
      <c r="N2" t="s">
        <v>78</v>
      </c>
      <c r="O2" t="s">
        <v>94</v>
      </c>
      <c r="P2" t="s">
        <v>87</v>
      </c>
      <c r="Q2" t="s">
        <v>78</v>
      </c>
      <c r="R2" t="s">
        <v>82</v>
      </c>
      <c r="S2" t="s">
        <v>99</v>
      </c>
      <c r="T2" t="s">
        <v>87</v>
      </c>
      <c r="U2" t="s">
        <v>78</v>
      </c>
      <c r="V2" t="s">
        <v>78</v>
      </c>
      <c r="W2" t="s">
        <v>107</v>
      </c>
      <c r="X2" t="s">
        <v>107</v>
      </c>
      <c r="Y2" t="s">
        <v>107</v>
      </c>
      <c r="Z2" t="s">
        <v>121</v>
      </c>
      <c r="AA2" t="s">
        <v>121</v>
      </c>
      <c r="AB2" t="s">
        <v>121</v>
      </c>
      <c r="AC2" t="s">
        <v>128</v>
      </c>
      <c r="AD2" t="s">
        <v>140</v>
      </c>
      <c r="AE2" t="s">
        <v>152</v>
      </c>
      <c r="AF2" t="s">
        <v>163</v>
      </c>
      <c r="AG2" t="s">
        <v>102</v>
      </c>
      <c r="AH2" t="s">
        <v>102</v>
      </c>
      <c r="AI2" t="s">
        <v>178</v>
      </c>
      <c r="AJ2" t="s">
        <v>182</v>
      </c>
      <c r="AK2" t="s">
        <v>186</v>
      </c>
      <c r="AL2" t="s">
        <v>190</v>
      </c>
      <c r="AM2" t="s">
        <v>197</v>
      </c>
      <c r="AN2" t="s">
        <v>204</v>
      </c>
      <c r="AO2" t="s">
        <v>211</v>
      </c>
      <c r="AP2" t="s">
        <v>214</v>
      </c>
      <c r="AQ2" t="s">
        <v>217</v>
      </c>
    </row>
    <row r="3" spans="1:43" x14ac:dyDescent="0.45">
      <c r="T3" t="s">
        <v>101</v>
      </c>
      <c r="U3" t="s">
        <v>84</v>
      </c>
      <c r="V3" t="s">
        <v>84</v>
      </c>
      <c r="W3" t="s">
        <v>108</v>
      </c>
      <c r="X3" t="s">
        <v>109</v>
      </c>
      <c r="Y3" t="s">
        <v>109</v>
      </c>
      <c r="Z3" t="s">
        <v>122</v>
      </c>
      <c r="AA3" t="s">
        <v>122</v>
      </c>
      <c r="AB3" t="s">
        <v>122</v>
      </c>
      <c r="AC3" t="s">
        <v>129</v>
      </c>
      <c r="AD3" t="s">
        <v>141</v>
      </c>
      <c r="AE3" t="s">
        <v>153</v>
      </c>
      <c r="AF3" t="s">
        <v>164</v>
      </c>
      <c r="AG3" t="s">
        <v>103</v>
      </c>
      <c r="AH3" t="s">
        <v>103</v>
      </c>
      <c r="AI3" t="s">
        <v>179</v>
      </c>
      <c r="AJ3" t="s">
        <v>183</v>
      </c>
      <c r="AK3" t="s">
        <v>187</v>
      </c>
      <c r="AL3" t="s">
        <v>191</v>
      </c>
      <c r="AM3" t="s">
        <v>198</v>
      </c>
      <c r="AN3" t="s">
        <v>205</v>
      </c>
      <c r="AO3" t="s">
        <v>212</v>
      </c>
      <c r="AP3" t="s">
        <v>215</v>
      </c>
      <c r="AQ3" t="s">
        <v>218</v>
      </c>
    </row>
    <row r="4" spans="1:43" x14ac:dyDescent="0.45">
      <c r="T4" t="s">
        <v>102</v>
      </c>
      <c r="U4" t="s">
        <v>102</v>
      </c>
      <c r="V4" t="s">
        <v>102</v>
      </c>
      <c r="W4" t="s">
        <v>109</v>
      </c>
      <c r="X4" t="s">
        <v>117</v>
      </c>
      <c r="Y4" t="s">
        <v>117</v>
      </c>
      <c r="Z4" t="s">
        <v>123</v>
      </c>
      <c r="AA4" t="s">
        <v>123</v>
      </c>
      <c r="AB4" t="s">
        <v>123</v>
      </c>
      <c r="AC4" t="s">
        <v>130</v>
      </c>
      <c r="AD4" t="s">
        <v>142</v>
      </c>
      <c r="AE4" t="s">
        <v>154</v>
      </c>
      <c r="AF4" t="s">
        <v>165</v>
      </c>
      <c r="AI4" t="s">
        <v>180</v>
      </c>
      <c r="AJ4" t="s">
        <v>184</v>
      </c>
      <c r="AK4" t="s">
        <v>188</v>
      </c>
      <c r="AL4" t="s">
        <v>192</v>
      </c>
      <c r="AM4" t="s">
        <v>199</v>
      </c>
      <c r="AN4" t="s">
        <v>206</v>
      </c>
      <c r="AO4" t="s">
        <v>102</v>
      </c>
      <c r="AP4" t="s">
        <v>102</v>
      </c>
      <c r="AQ4" t="s">
        <v>102</v>
      </c>
    </row>
    <row r="5" spans="1:43" x14ac:dyDescent="0.45">
      <c r="T5" t="s">
        <v>103</v>
      </c>
      <c r="U5" t="s">
        <v>103</v>
      </c>
      <c r="V5" t="s">
        <v>103</v>
      </c>
      <c r="W5" t="s">
        <v>110</v>
      </c>
      <c r="X5" t="s">
        <v>102</v>
      </c>
      <c r="Y5" t="s">
        <v>102</v>
      </c>
      <c r="Z5" t="s">
        <v>124</v>
      </c>
      <c r="AA5" t="s">
        <v>124</v>
      </c>
      <c r="AB5" t="s">
        <v>124</v>
      </c>
      <c r="AC5" t="s">
        <v>131</v>
      </c>
      <c r="AD5" t="s">
        <v>143</v>
      </c>
      <c r="AE5" t="s">
        <v>155</v>
      </c>
      <c r="AF5" t="s">
        <v>102</v>
      </c>
      <c r="AI5" t="s">
        <v>102</v>
      </c>
      <c r="AJ5" t="s">
        <v>102</v>
      </c>
      <c r="AK5" t="s">
        <v>102</v>
      </c>
      <c r="AL5" t="s">
        <v>193</v>
      </c>
      <c r="AM5" t="s">
        <v>200</v>
      </c>
      <c r="AN5" t="s">
        <v>207</v>
      </c>
      <c r="AO5" t="s">
        <v>103</v>
      </c>
      <c r="AP5" t="s">
        <v>103</v>
      </c>
      <c r="AQ5" t="s">
        <v>103</v>
      </c>
    </row>
    <row r="6" spans="1:43" x14ac:dyDescent="0.45">
      <c r="W6" t="s">
        <v>111</v>
      </c>
      <c r="X6" t="s">
        <v>103</v>
      </c>
      <c r="Y6" t="s">
        <v>103</v>
      </c>
      <c r="Z6" t="s">
        <v>102</v>
      </c>
      <c r="AA6" t="s">
        <v>102</v>
      </c>
      <c r="AB6" t="s">
        <v>102</v>
      </c>
      <c r="AC6" t="s">
        <v>132</v>
      </c>
      <c r="AD6" t="s">
        <v>144</v>
      </c>
      <c r="AE6" t="s">
        <v>156</v>
      </c>
      <c r="AF6" t="s">
        <v>103</v>
      </c>
      <c r="AI6" t="s">
        <v>103</v>
      </c>
      <c r="AJ6" t="s">
        <v>103</v>
      </c>
      <c r="AK6" t="s">
        <v>103</v>
      </c>
      <c r="AL6" t="s">
        <v>194</v>
      </c>
      <c r="AM6" t="s">
        <v>201</v>
      </c>
      <c r="AN6" t="s">
        <v>208</v>
      </c>
    </row>
    <row r="7" spans="1:43" x14ac:dyDescent="0.45">
      <c r="W7" t="s">
        <v>112</v>
      </c>
      <c r="Z7" t="s">
        <v>103</v>
      </c>
      <c r="AA7" t="s">
        <v>103</v>
      </c>
      <c r="AB7" t="s">
        <v>103</v>
      </c>
      <c r="AC7" t="s">
        <v>133</v>
      </c>
      <c r="AD7" t="s">
        <v>145</v>
      </c>
      <c r="AE7" t="s">
        <v>129</v>
      </c>
      <c r="AL7" t="s">
        <v>195</v>
      </c>
      <c r="AM7" t="s">
        <v>202</v>
      </c>
      <c r="AN7" t="s">
        <v>209</v>
      </c>
    </row>
    <row r="8" spans="1:43" x14ac:dyDescent="0.45">
      <c r="W8" t="s">
        <v>113</v>
      </c>
      <c r="AC8" t="s">
        <v>134</v>
      </c>
      <c r="AD8" t="s">
        <v>146</v>
      </c>
      <c r="AE8" t="s">
        <v>157</v>
      </c>
      <c r="AL8" t="s">
        <v>102</v>
      </c>
      <c r="AM8" t="s">
        <v>102</v>
      </c>
      <c r="AN8" t="s">
        <v>102</v>
      </c>
    </row>
    <row r="9" spans="1:43" x14ac:dyDescent="0.45">
      <c r="W9" t="s">
        <v>114</v>
      </c>
      <c r="AC9" t="s">
        <v>135</v>
      </c>
      <c r="AD9" t="s">
        <v>147</v>
      </c>
      <c r="AE9" t="s">
        <v>158</v>
      </c>
      <c r="AL9" t="s">
        <v>103</v>
      </c>
      <c r="AM9" t="s">
        <v>103</v>
      </c>
      <c r="AN9" t="s">
        <v>103</v>
      </c>
    </row>
    <row r="10" spans="1:43" x14ac:dyDescent="0.45">
      <c r="W10" t="s">
        <v>115</v>
      </c>
      <c r="AC10" t="s">
        <v>136</v>
      </c>
      <c r="AD10" t="s">
        <v>148</v>
      </c>
      <c r="AE10" t="s">
        <v>159</v>
      </c>
    </row>
    <row r="11" spans="1:43" x14ac:dyDescent="0.45">
      <c r="W11" t="s">
        <v>116</v>
      </c>
      <c r="AC11" t="s">
        <v>137</v>
      </c>
      <c r="AD11" t="s">
        <v>149</v>
      </c>
      <c r="AE11" t="s">
        <v>160</v>
      </c>
    </row>
    <row r="12" spans="1:43" x14ac:dyDescent="0.45">
      <c r="W12" t="s">
        <v>117</v>
      </c>
      <c r="AC12" t="s">
        <v>138</v>
      </c>
      <c r="AD12" t="s">
        <v>150</v>
      </c>
      <c r="AE12" t="s">
        <v>161</v>
      </c>
    </row>
    <row r="13" spans="1:43" x14ac:dyDescent="0.45">
      <c r="W13" t="s">
        <v>102</v>
      </c>
      <c r="AC13" t="s">
        <v>102</v>
      </c>
      <c r="AD13" t="s">
        <v>102</v>
      </c>
      <c r="AE13" t="s">
        <v>102</v>
      </c>
    </row>
    <row r="14" spans="1:43" x14ac:dyDescent="0.45">
      <c r="W14" t="s">
        <v>103</v>
      </c>
      <c r="AC14" t="s">
        <v>103</v>
      </c>
      <c r="AD14" t="s">
        <v>103</v>
      </c>
      <c r="AE14" t="s">
        <v>103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8A80F-37E0-4439-87C1-64DCF3AB2315}">
  <dimension ref="A1:K6"/>
  <sheetViews>
    <sheetView workbookViewId="0"/>
  </sheetViews>
  <sheetFormatPr defaultRowHeight="14.25" x14ac:dyDescent="0.45"/>
  <sheetData>
    <row r="1" spans="1:11" ht="15.75" x14ac:dyDescent="0.5">
      <c r="A1" s="38" t="s">
        <v>111</v>
      </c>
      <c r="B1" s="38" t="s">
        <v>117</v>
      </c>
      <c r="C1" s="38" t="s">
        <v>170</v>
      </c>
      <c r="D1" s="38" t="s">
        <v>116</v>
      </c>
      <c r="E1" s="38" t="s">
        <v>107</v>
      </c>
      <c r="F1" s="38" t="s">
        <v>112</v>
      </c>
      <c r="G1" s="38" t="s">
        <v>108</v>
      </c>
      <c r="H1" s="38" t="s">
        <v>109</v>
      </c>
      <c r="I1" s="38" t="s">
        <v>114</v>
      </c>
      <c r="J1" s="38" t="s">
        <v>110</v>
      </c>
      <c r="K1" s="38" t="s">
        <v>113</v>
      </c>
    </row>
    <row r="2" spans="1:11" x14ac:dyDescent="0.45">
      <c r="A2" t="s">
        <v>168</v>
      </c>
      <c r="B2" t="s">
        <v>169</v>
      </c>
      <c r="C2" t="s">
        <v>168</v>
      </c>
      <c r="D2" t="s">
        <v>168</v>
      </c>
      <c r="E2" t="s">
        <v>168</v>
      </c>
      <c r="F2" t="s">
        <v>168</v>
      </c>
      <c r="G2" t="s">
        <v>168</v>
      </c>
      <c r="H2" t="s">
        <v>168</v>
      </c>
      <c r="I2" t="s">
        <v>171</v>
      </c>
      <c r="J2" t="s">
        <v>168</v>
      </c>
      <c r="K2" t="s">
        <v>168</v>
      </c>
    </row>
    <row r="3" spans="1:11" x14ac:dyDescent="0.45">
      <c r="A3" t="s">
        <v>169</v>
      </c>
      <c r="B3" t="s">
        <v>102</v>
      </c>
      <c r="C3" t="s">
        <v>171</v>
      </c>
      <c r="D3" t="s">
        <v>169</v>
      </c>
      <c r="E3" t="s">
        <v>169</v>
      </c>
      <c r="F3" t="s">
        <v>169</v>
      </c>
      <c r="G3" t="s">
        <v>169</v>
      </c>
      <c r="H3" t="s">
        <v>169</v>
      </c>
      <c r="I3" t="s">
        <v>102</v>
      </c>
      <c r="J3" t="s">
        <v>169</v>
      </c>
      <c r="K3" t="s">
        <v>169</v>
      </c>
    </row>
    <row r="4" spans="1:11" x14ac:dyDescent="0.45">
      <c r="A4" t="s">
        <v>102</v>
      </c>
      <c r="B4" t="s">
        <v>103</v>
      </c>
      <c r="C4" t="s">
        <v>169</v>
      </c>
      <c r="D4" t="s">
        <v>102</v>
      </c>
      <c r="E4" t="s">
        <v>102</v>
      </c>
      <c r="F4" t="s">
        <v>102</v>
      </c>
      <c r="G4" t="s">
        <v>102</v>
      </c>
      <c r="H4" t="s">
        <v>102</v>
      </c>
      <c r="I4" t="s">
        <v>103</v>
      </c>
      <c r="J4" t="s">
        <v>102</v>
      </c>
      <c r="K4" t="s">
        <v>102</v>
      </c>
    </row>
    <row r="5" spans="1:11" x14ac:dyDescent="0.45">
      <c r="A5" t="s">
        <v>103</v>
      </c>
      <c r="C5" t="s">
        <v>102</v>
      </c>
      <c r="D5" t="s">
        <v>103</v>
      </c>
      <c r="E5" t="s">
        <v>103</v>
      </c>
      <c r="F5" t="s">
        <v>103</v>
      </c>
      <c r="G5" t="s">
        <v>103</v>
      </c>
      <c r="H5" t="s">
        <v>103</v>
      </c>
      <c r="J5" t="s">
        <v>103</v>
      </c>
      <c r="K5" t="s">
        <v>103</v>
      </c>
    </row>
    <row r="6" spans="1:11" x14ac:dyDescent="0.45">
      <c r="C6" t="s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34BF8-2D9F-4481-9281-686A8AA45487}">
  <dimension ref="A1:D6"/>
  <sheetViews>
    <sheetView workbookViewId="0"/>
  </sheetViews>
  <sheetFormatPr defaultRowHeight="14.25" x14ac:dyDescent="0.45"/>
  <sheetData>
    <row r="1" spans="1:4" ht="15.75" x14ac:dyDescent="0.5">
      <c r="A1" s="39" t="s">
        <v>117</v>
      </c>
      <c r="B1" s="39" t="s">
        <v>170</v>
      </c>
      <c r="C1" s="39" t="s">
        <v>107</v>
      </c>
      <c r="D1" s="39" t="s">
        <v>109</v>
      </c>
    </row>
    <row r="2" spans="1:4" x14ac:dyDescent="0.45">
      <c r="A2" t="s">
        <v>172</v>
      </c>
      <c r="B2" t="s">
        <v>173</v>
      </c>
      <c r="C2" t="s">
        <v>173</v>
      </c>
      <c r="D2" t="s">
        <v>173</v>
      </c>
    </row>
    <row r="3" spans="1:4" x14ac:dyDescent="0.45">
      <c r="A3" t="s">
        <v>102</v>
      </c>
      <c r="B3" t="s">
        <v>174</v>
      </c>
      <c r="C3" t="s">
        <v>172</v>
      </c>
      <c r="D3" t="s">
        <v>172</v>
      </c>
    </row>
    <row r="4" spans="1:4" x14ac:dyDescent="0.45">
      <c r="A4" t="s">
        <v>103</v>
      </c>
      <c r="B4" t="s">
        <v>172</v>
      </c>
      <c r="C4" t="s">
        <v>102</v>
      </c>
      <c r="D4" t="s">
        <v>102</v>
      </c>
    </row>
    <row r="5" spans="1:4" x14ac:dyDescent="0.45">
      <c r="B5" t="s">
        <v>102</v>
      </c>
      <c r="C5" t="s">
        <v>103</v>
      </c>
      <c r="D5" t="s">
        <v>103</v>
      </c>
    </row>
    <row r="6" spans="1:4" x14ac:dyDescent="0.45">
      <c r="B6" t="s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AFE83-9F4E-4EA0-8697-4B26B1EF1ECE}">
  <dimension ref="A1:D6"/>
  <sheetViews>
    <sheetView workbookViewId="0"/>
  </sheetViews>
  <sheetFormatPr defaultRowHeight="14.25" x14ac:dyDescent="0.45"/>
  <sheetData>
    <row r="1" spans="1:4" ht="15.75" x14ac:dyDescent="0.5">
      <c r="A1" s="40" t="s">
        <v>117</v>
      </c>
      <c r="B1" s="40" t="s">
        <v>170</v>
      </c>
      <c r="C1" s="40" t="s">
        <v>107</v>
      </c>
      <c r="D1" s="40" t="s">
        <v>109</v>
      </c>
    </row>
    <row r="2" spans="1:4" x14ac:dyDescent="0.45">
      <c r="A2" t="s">
        <v>175</v>
      </c>
      <c r="B2" t="s">
        <v>168</v>
      </c>
      <c r="C2" t="s">
        <v>168</v>
      </c>
      <c r="D2" t="s">
        <v>168</v>
      </c>
    </row>
    <row r="3" spans="1:4" x14ac:dyDescent="0.45">
      <c r="A3" t="s">
        <v>102</v>
      </c>
      <c r="B3" t="s">
        <v>176</v>
      </c>
      <c r="C3" t="s">
        <v>175</v>
      </c>
      <c r="D3" t="s">
        <v>175</v>
      </c>
    </row>
    <row r="4" spans="1:4" x14ac:dyDescent="0.45">
      <c r="A4" t="s">
        <v>103</v>
      </c>
      <c r="B4" t="s">
        <v>175</v>
      </c>
      <c r="C4" t="s">
        <v>102</v>
      </c>
      <c r="D4" t="s">
        <v>102</v>
      </c>
    </row>
    <row r="5" spans="1:4" x14ac:dyDescent="0.45">
      <c r="B5" t="s">
        <v>102</v>
      </c>
      <c r="C5" t="s">
        <v>103</v>
      </c>
      <c r="D5" t="s">
        <v>103</v>
      </c>
    </row>
    <row r="6" spans="1:4" x14ac:dyDescent="0.45">
      <c r="B6" t="s">
        <v>103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6E6ED023-3B1A-4880-9851-35ADE6F3671E}">
  <ds:schemaRefs/>
</ds:datastoreItem>
</file>

<file path=customXml/itemProps2.xml><?xml version="1.0" encoding="utf-8"?>
<ds:datastoreItem xmlns:ds="http://schemas.openxmlformats.org/officeDocument/2006/customXml" ds:itemID="{1866A2CD-A332-4B27-916F-1830469205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46</vt:i4>
      </vt:variant>
    </vt:vector>
  </HeadingPairs>
  <TitlesOfParts>
    <vt:vector size="54" baseType="lpstr">
      <vt:lpstr>Help</vt:lpstr>
      <vt:lpstr>Entities</vt:lpstr>
      <vt:lpstr>Migrationsartikel</vt:lpstr>
      <vt:lpstr>Model</vt:lpstr>
      <vt:lpstr>Reference Data</vt:lpstr>
      <vt:lpstr>dedea_axba2387</vt:lpstr>
      <vt:lpstr>frfra_axba1516</vt:lpstr>
      <vt:lpstr>itita_axba3948</vt:lpstr>
      <vt:lpstr>EntitiesCol</vt:lpstr>
      <vt:lpstr>EntitiesRow</vt:lpstr>
      <vt:lpstr>Migrationsartikel!Print_Area</vt:lpstr>
      <vt:lpstr>RSC__refxartikeltypsap</vt:lpstr>
      <vt:lpstr>RSC__refxbooleanalkoholhaltig</vt:lpstr>
      <vt:lpstr>RSC__refxboolen</vt:lpstr>
      <vt:lpstr>RSC__refxgtintyperegioartikel</vt:lpstr>
      <vt:lpstr>RSC__refxshopinshop</vt:lpstr>
      <vt:lpstr>RSC__refxsystemsap</vt:lpstr>
      <vt:lpstr>RSC_atxalkoholhaltig__de_DE</vt:lpstr>
      <vt:lpstr>RSC_atxalkoholhaltig__fr_FR</vt:lpstr>
      <vt:lpstr>RSC_atxalkoholhaltig__it_IT</vt:lpstr>
      <vt:lpstr>RSC_atxwarengruppesap__de_DE</vt:lpstr>
      <vt:lpstr>RSC_atxwarengruppesap__fr_FR</vt:lpstr>
      <vt:lpstr>RSC_atxwarengruppesap__it_IT</vt:lpstr>
      <vt:lpstr>RSC_axartikelslpmstruktur__de_DE</vt:lpstr>
      <vt:lpstr>RSC_axartikelslpmstruktur__fr_FR</vt:lpstr>
      <vt:lpstr>RSC_axartikelslpmstruktur__it_IT</vt:lpstr>
      <vt:lpstr>RSC_axartikeltypsap__de_DE</vt:lpstr>
      <vt:lpstr>RSC_axartikeltypsap__fr_FR</vt:lpstr>
      <vt:lpstr>RSC_axartikeltypsap__it_IT</vt:lpstr>
      <vt:lpstr>RSC_axmhdvorhanden__de_DE</vt:lpstr>
      <vt:lpstr>RSC_axmhdvorhanden__fr_FR</vt:lpstr>
      <vt:lpstr>RSC_axmhdvorhanden__it_IT</vt:lpstr>
      <vt:lpstr>RSC_axtaxdummyfilter__de_DE</vt:lpstr>
      <vt:lpstr>RSC_axtaxdummyfilter__fr_FR</vt:lpstr>
      <vt:lpstr>RSC_axtaxdummyfilter__it_IT</vt:lpstr>
      <vt:lpstr>RSC_de_DE_refxaltersbegrtyp</vt:lpstr>
      <vt:lpstr>RSC_de_DE_refxartikelartsap</vt:lpstr>
      <vt:lpstr>RSC_de_DE_refxmengeneinheit</vt:lpstr>
      <vt:lpstr>RSC_de_DE_refxsaisontypsap</vt:lpstr>
      <vt:lpstr>RSC_de_DE_refxtaxclass</vt:lpstr>
      <vt:lpstr>RSC_de_DE_refxvergleichspreiseinheit</vt:lpstr>
      <vt:lpstr>RSC_ENTITY_NAME</vt:lpstr>
      <vt:lpstr>RSC_fr_FR_refxaltersbegrtyp</vt:lpstr>
      <vt:lpstr>RSC_fr_FR_refxartikelartsap</vt:lpstr>
      <vt:lpstr>RSC_fr_FR_refxmengeneinheit</vt:lpstr>
      <vt:lpstr>RSC_fr_FR_refxsaisontypsap</vt:lpstr>
      <vt:lpstr>RSC_fr_FR_refxtaxclass</vt:lpstr>
      <vt:lpstr>RSC_fr_FR_refxvergleichspreiseinheit</vt:lpstr>
      <vt:lpstr>RSC_it_IT_refxaltersbegrtyp</vt:lpstr>
      <vt:lpstr>RSC_it_IT_refxartikelartsap</vt:lpstr>
      <vt:lpstr>RSC_it_IT_refxmengeneinheit</vt:lpstr>
      <vt:lpstr>RSC_it_IT_refxsaisontypsap</vt:lpstr>
      <vt:lpstr>RSC_it_IT_refxtaxclass</vt:lpstr>
      <vt:lpstr>RSC_it_IT_refxvergleichspreiseinheit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Nair</dc:creator>
  <cp:lastModifiedBy>Otto Mischler</cp:lastModifiedBy>
  <dcterms:created xsi:type="dcterms:W3CDTF">2017-05-21T21:17:00Z</dcterms:created>
  <dcterms:modified xsi:type="dcterms:W3CDTF">2025-11-14T13:07:04Z</dcterms:modified>
</cp:coreProperties>
</file>