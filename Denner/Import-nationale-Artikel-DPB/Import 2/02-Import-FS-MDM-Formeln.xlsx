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vellencesolutionsag-my.sharepoint.com/personal/otto_mischler_advellence_com/Documents/Dokumente/Projekte/Denner/1629-Regio-Artikel/Import-nationale-Artikel-DPB/"/>
    </mc:Choice>
  </mc:AlternateContent>
  <xr:revisionPtr revIDLastSave="69" documentId="8_{91235202-768E-4CDF-91C5-C3BB1681B390}" xr6:coauthVersionLast="47" xr6:coauthVersionMax="47" xr10:uidLastSave="{AAED875B-8ECD-44A1-998F-3E5FDEF11953}"/>
  <bookViews>
    <workbookView xWindow="-12780" yWindow="-17388" windowWidth="30936" windowHeight="16776" tabRatio="294" activeTab="1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</externalReferences>
  <definedNames>
    <definedName name="_xlnm._FilterDatabase" localSheetId="1" hidden="1">Entities!$A$2:$AQ$209</definedName>
    <definedName name="_xlnm._FilterDatabase" localSheetId="3" hidden="1">Leergutliste!$A$2:$L$32</definedName>
    <definedName name="_xlnm._FilterDatabase" localSheetId="2" hidden="1">Migrationsartikel!$A$1:$AJ$208</definedName>
    <definedName name="EntitiesCol">Entities!$SRI$2</definedName>
    <definedName name="EntitiesRow">Entities!$A$998645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4" i="10" l="1"/>
  <c r="R133" i="10"/>
  <c r="R131" i="10"/>
  <c r="R130" i="10"/>
  <c r="R129" i="10"/>
  <c r="R128" i="10"/>
  <c r="R126" i="10"/>
  <c r="R12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Q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<sst xmlns="http://schemas.openxmlformats.org/spreadsheetml/2006/main" count="13674" uniqueCount="1997">
  <si>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</si>
  <si>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</si>
  <si>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</si>
  <si>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</si>
  <si>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</si>
  <si>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</si>
  <si>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</si>
  <si>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</si>
  <si>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</si>
  <si>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</si>
  <si>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</si>
  <si>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</si>
  <si>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</si>
  <si>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</si>
  <si>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</si>
  <si>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</si>
  <si>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</si>
  <si>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</si>
  <si>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</si>
  <si>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</si>
  <si>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</si>
  <si>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</si>
  <si>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</si>
  <si>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</si>
  <si>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</si>
  <si>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</si>
  <si>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</si>
  <si>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</si>
  <si>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</si>
  <si>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</si>
  <si>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</si>
  <si>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</si>
  <si>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</si>
  <si>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</si>
  <si>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</si>
  <si>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</si>
  <si>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</si>
  <si>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</si>
  <si>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</si>
  <si>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</si>
  <si>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</si>
  <si>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</si>
  <si>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</si>
  <si>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</si>
  <si>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</si>
  <si>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</si>
  <si>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</si>
  <si>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</si>
  <si>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</si>
  <si>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</si>
  <si>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</si>
  <si>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</si>
  <si>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</si>
  <si>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</si>
  <si>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</si>
  <si>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</si>
  <si>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</si>
  <si>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</si>
  <si>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</si>
  <si>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</si>
  <si>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</si>
  <si>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</si>
  <si>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</si>
  <si>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</si>
  <si>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</si>
  <si>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</si>
  <si>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</si>
  <si>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</si>
  <si>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</si>
  <si>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</si>
  <si>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</si>
  <si>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</si>
  <si>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</si>
  <si>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</si>
  <si>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</si>
  <si>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</si>
  <si>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</si>
  <si>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</si>
  <si>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</si>
  <si>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</si>
  <si>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</si>
  <si>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</si>
  <si>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</si>
  <si>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</si>
  <si>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</si>
  <si>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</si>
  <si>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</si>
  <si>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</si>
  <si>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</si>
  <si>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</si>
  <si>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</si>
  <si>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</si>
  <si>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</si>
  <si>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</si>
  <si>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</si>
  <si>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</si>
  <si>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</si>
  <si>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</si>
  <si>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</si>
  <si>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</si>
  <si>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</si>
  <si>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</si>
  <si>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</si>
  <si>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</si>
  <si>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</si>
  <si>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</si>
  <si>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</si>
  <si>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</si>
  <si>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</si>
  <si>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</si>
  <si>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</si>
  <si>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</si>
  <si>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</si>
  <si>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</si>
  <si>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</si>
  <si>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</si>
  <si>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</si>
  <si>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</si>
  <si>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</si>
  <si>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</si>
  <si>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</si>
  <si>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</si>
  <si>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</si>
  <si>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</si>
  <si>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</si>
  <si>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</si>
  <si>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</si>
  <si>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</si>
  <si>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</si>
  <si>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</si>
  <si>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</si>
  <si>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</si>
  <si>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</si>
  <si>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</si>
  <si>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</si>
  <si>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</si>
  <si>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</si>
  <si>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</si>
  <si>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</si>
  <si>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</si>
  <si>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</si>
  <si>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</si>
  <si>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</si>
  <si>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</si>
  <si>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</si>
  <si>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</si>
  <si>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</si>
  <si>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</si>
  <si>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</si>
  <si>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</si>
  <si>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</si>
  <si>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</si>
  <si>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</si>
  <si>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</si>
  <si>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</si>
  <si>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</si>
  <si>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</si>
  <si>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</si>
  <si>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</si>
  <si>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</si>
  <si>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</si>
  <si>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</si>
  <si>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</si>
  <si>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</si>
  <si>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</si>
  <si>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</si>
  <si>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</si>
  <si>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</si>
  <si>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</si>
  <si>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</si>
  <si>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</si>
  <si>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</si>
  <si>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</si>
  <si>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</si>
  <si>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</si>
  <si>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</si>
  <si>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</si>
  <si>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</si>
  <si>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</si>
  <si>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</si>
  <si>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</si>
  <si>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</si>
  <si>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</si>
  <si>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</si>
  <si>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</si>
  <si>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</si>
  <si>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</si>
  <si>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</si>
  <si>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</si>
  <si>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</si>
  <si>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</si>
  <si>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</si>
  <si>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</si>
  <si>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</si>
  <si>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</si>
  <si>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</si>
  <si>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</si>
  <si>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</si>
  <si>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</si>
  <si>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</si>
  <si>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</si>
  <si>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</si>
  <si>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</si>
  <si>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</si>
  <si>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</si>
  <si>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</si>
  <si>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</si>
  <si>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</si>
  <si>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</si>
  <si>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</si>
  <si>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</si>
  <si>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</si>
  <si>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</si>
  <si>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</si>
  <si>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</si>
  <si>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</si>
  <si>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</si>
  <si>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</si>
  <si>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</si>
  <si>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</si>
  <si>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</si>
  <si>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</si>
  <si>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</si>
  <si>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</si>
  <si>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</si>
  <si>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</si>
  <si>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</si>
  <si>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</si>
  <si>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</si>
  <si>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</si>
  <si>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</si>
  <si>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</si>
  <si>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</si>
  <si>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</si>
  <si>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</si>
  <si>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</si>
  <si>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</si>
  <si>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</si>
  <si>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</si>
  <si>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</si>
  <si>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</si>
  <si>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</si>
  <si>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</si>
  <si>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</si>
  <si>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</si>
  <si>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</si>
  <si>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</si>
  <si>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</si>
  <si>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</si>
  <si>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</si>
  <si>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</si>
  <si>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</si>
  <si>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</si>
  <si>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Baguette</t>
  </si>
  <si>
    <t>aus der Region</t>
  </si>
  <si>
    <t>250g</t>
  </si>
  <si>
    <t>Baguette 250g</t>
  </si>
  <si>
    <t>de la région</t>
  </si>
  <si>
    <t>della regione</t>
  </si>
  <si>
    <t>Backwaren &amp; Convenience</t>
  </si>
  <si>
    <t>Brot und Backwaren</t>
  </si>
  <si>
    <t>Backwaren andere</t>
  </si>
  <si>
    <t>ja</t>
  </si>
  <si>
    <t>-</t>
  </si>
  <si>
    <t>Baslerbrot</t>
  </si>
  <si>
    <t>Baslerbrot 250g</t>
  </si>
  <si>
    <t>Pain bâlois 250g</t>
  </si>
  <si>
    <t>Pane di Basilea 250g</t>
  </si>
  <si>
    <t>500g</t>
  </si>
  <si>
    <t>Baslerbrot 500g</t>
  </si>
  <si>
    <t>Pain bâlois 500g</t>
  </si>
  <si>
    <t>Pane di Basilea 500g</t>
  </si>
  <si>
    <t>Berliner</t>
  </si>
  <si>
    <t>1Stk</t>
  </si>
  <si>
    <t>1pce</t>
  </si>
  <si>
    <t>1pz</t>
  </si>
  <si>
    <t>Birewegge</t>
  </si>
  <si>
    <t>Bricelets</t>
  </si>
  <si>
    <t>Brioche mit Füllung</t>
  </si>
  <si>
    <t>Brioche ripiena</t>
  </si>
  <si>
    <t>Brot vom Beck</t>
  </si>
  <si>
    <t>Pain du boulanger</t>
  </si>
  <si>
    <t>Pane del panettiere</t>
  </si>
  <si>
    <t>Brottheke</t>
  </si>
  <si>
    <t>Comptoir à pain</t>
  </si>
  <si>
    <t>Banco pane</t>
  </si>
  <si>
    <t>Cornetto al burro</t>
  </si>
  <si>
    <t>300g</t>
  </si>
  <si>
    <t>Butterzopf 300g</t>
  </si>
  <si>
    <t>Tresse 300g</t>
  </si>
  <si>
    <t>Treccia 300g</t>
  </si>
  <si>
    <t>Butterzopf 500g</t>
  </si>
  <si>
    <t>Tresse 500g</t>
  </si>
  <si>
    <t>Treccia 500g</t>
  </si>
  <si>
    <t>700g</t>
  </si>
  <si>
    <t>Butterzopf 700g</t>
  </si>
  <si>
    <t>Tresse 700g</t>
  </si>
  <si>
    <t>Treccia 700g</t>
  </si>
  <si>
    <t>Ciabattina</t>
  </si>
  <si>
    <t>Flûtes</t>
  </si>
  <si>
    <t>Focaccia</t>
  </si>
  <si>
    <t>Halbweissbrot</t>
  </si>
  <si>
    <t>Halbweissbrot 500g</t>
  </si>
  <si>
    <t>Pain mi-blanc</t>
  </si>
  <si>
    <t>Pain mi-blanc 500g</t>
  </si>
  <si>
    <t>Pane semibianco</t>
  </si>
  <si>
    <t>Pane semibianco 500g</t>
  </si>
  <si>
    <t>1kg</t>
  </si>
  <si>
    <t>Halbweissbrot 1kg</t>
  </si>
  <si>
    <t>Pain mi-blanc 1kg</t>
  </si>
  <si>
    <t>Pane semibianco 1kg</t>
  </si>
  <si>
    <t>Halbweissbrot 250g</t>
  </si>
  <si>
    <t>Pain mi-blanc 250g</t>
  </si>
  <si>
    <t>Pane semibianco 250g</t>
  </si>
  <si>
    <t>Cornetto di sils</t>
  </si>
  <si>
    <t>Cornetto alle mandorle</t>
  </si>
  <si>
    <t>Croissant multicér.</t>
  </si>
  <si>
    <t>Cornetto ai cereali</t>
  </si>
  <si>
    <t>Meringues régional</t>
  </si>
  <si>
    <t>Meringues</t>
  </si>
  <si>
    <t>Croissant aux noix</t>
  </si>
  <si>
    <t>Cornetto alle noci</t>
  </si>
  <si>
    <t>Bâton aux noix</t>
  </si>
  <si>
    <t>Bastoncino alle noci</t>
  </si>
  <si>
    <t>Pizza</t>
  </si>
  <si>
    <t>Ruchbrot</t>
  </si>
  <si>
    <t>Ruchbrot 1kg</t>
  </si>
  <si>
    <t>Pain bis 1kg</t>
  </si>
  <si>
    <t>Pane bigio 1kg</t>
  </si>
  <si>
    <t>Ruchbrot 500g</t>
  </si>
  <si>
    <t>Pain bis 500g</t>
  </si>
  <si>
    <t>Pane bigio</t>
  </si>
  <si>
    <t>Pane bigio 500g</t>
  </si>
  <si>
    <t>Ruchbrot 250g</t>
  </si>
  <si>
    <t>Pain bis 250g</t>
  </si>
  <si>
    <t>Pane bigio 250g</t>
  </si>
  <si>
    <t>Sandwich</t>
  </si>
  <si>
    <t>Panino</t>
  </si>
  <si>
    <t>Sandwichbrötli gross</t>
  </si>
  <si>
    <t>Pain sandwich grand</t>
  </si>
  <si>
    <t>Pane per panino grande</t>
  </si>
  <si>
    <t>Sandwichbrötli klein</t>
  </si>
  <si>
    <t>Pain sandwich petit</t>
  </si>
  <si>
    <t>Pane per panino picc.</t>
  </si>
  <si>
    <t>Schinkengipfel</t>
  </si>
  <si>
    <t>Cornetto al prosciutto</t>
  </si>
  <si>
    <t>Cornetto al cioccolato</t>
  </si>
  <si>
    <t>Petit pain torsadé</t>
  </si>
  <si>
    <t>Panino torciglione</t>
  </si>
  <si>
    <t>Ballon régional</t>
  </si>
  <si>
    <t>Michetta</t>
  </si>
  <si>
    <t>St. Gallerbrot 250g</t>
  </si>
  <si>
    <t>Pain St-Gall</t>
  </si>
  <si>
    <t>Pain St-Gall 250g</t>
  </si>
  <si>
    <t>Pane di San Gallo</t>
  </si>
  <si>
    <t>Pane di San Gallo 250g</t>
  </si>
  <si>
    <t>St. Gallerbrot 500g</t>
  </si>
  <si>
    <t>Pain St-Gall 500g</t>
  </si>
  <si>
    <t>Pane di San Gallo 500g</t>
  </si>
  <si>
    <t>400g</t>
  </si>
  <si>
    <t>Tessinerbrot 400g</t>
  </si>
  <si>
    <t>Pain tessinois 400g</t>
  </si>
  <si>
    <t>Pane ticinese</t>
  </si>
  <si>
    <t>Pane ticinese 400g</t>
  </si>
  <si>
    <t>Cornetto alla vaniglia</t>
  </si>
  <si>
    <t>Friv. vanille-framb.</t>
  </si>
  <si>
    <t>Sfoglia vanigl.-lamp.</t>
  </si>
  <si>
    <t>Bâton à la vanille</t>
  </si>
  <si>
    <t>Bastoncino vaniglia</t>
  </si>
  <si>
    <t>Croissant complet</t>
  </si>
  <si>
    <t>Cornetto integrale</t>
  </si>
  <si>
    <t>Michetta al latte</t>
  </si>
  <si>
    <t>Frische Pasta</t>
  </si>
  <si>
    <t>Pâtes fraîches</t>
  </si>
  <si>
    <t>Pasta fresca</t>
  </si>
  <si>
    <t>Convenience-Produkte</t>
  </si>
  <si>
    <t>Ready to cook</t>
  </si>
  <si>
    <t>Ravioli</t>
  </si>
  <si>
    <t>Gastronomietheke</t>
  </si>
  <si>
    <t>Comptoir gastronomie</t>
  </si>
  <si>
    <t>Banco gastronomia</t>
  </si>
  <si>
    <t>Ready to eat</t>
  </si>
  <si>
    <t>Glace Becher</t>
  </si>
  <si>
    <t>Glace gobelet</t>
  </si>
  <si>
    <t>Gelato coppetta</t>
  </si>
  <si>
    <t>Tiefkühlprodukte</t>
  </si>
  <si>
    <t>Glace Behälter</t>
  </si>
  <si>
    <t>1l</t>
  </si>
  <si>
    <t>Glace Behälter 1l</t>
  </si>
  <si>
    <t>Glace bac</t>
  </si>
  <si>
    <t>Glace bac 1l</t>
  </si>
  <si>
    <t>Gelato vaschetta</t>
  </si>
  <si>
    <t>Gelato vaschetta 1l</t>
  </si>
  <si>
    <t>Mehl 500g</t>
  </si>
  <si>
    <t>Farine 500g</t>
  </si>
  <si>
    <t>Farina 500g</t>
  </si>
  <si>
    <t>Food</t>
  </si>
  <si>
    <t>Grundnahrungsmittel</t>
  </si>
  <si>
    <t>Mehl 1kg</t>
  </si>
  <si>
    <t>Farine 1kg</t>
  </si>
  <si>
    <t>Farina 1kg</t>
  </si>
  <si>
    <t>500ml</t>
  </si>
  <si>
    <t>Salatsauce 500ml</t>
  </si>
  <si>
    <t>Sauce à salade</t>
  </si>
  <si>
    <t>Sauce à salade 500ml</t>
  </si>
  <si>
    <t>Salsa per insalata</t>
  </si>
  <si>
    <t>Salsa per insalata 500ml</t>
  </si>
  <si>
    <t>Öl/Essig/Salatsaucen</t>
  </si>
  <si>
    <t>Salatsauce 1l</t>
  </si>
  <si>
    <t>Sauce à salade 1l</t>
  </si>
  <si>
    <t>Salsa per insalata 1l</t>
  </si>
  <si>
    <t>Mohrenkopf</t>
  </si>
  <si>
    <t>Tête de choco</t>
  </si>
  <si>
    <t>Moretti</t>
  </si>
  <si>
    <t>Schokolade</t>
  </si>
  <si>
    <t>Bénichon-Senf</t>
  </si>
  <si>
    <t>100g</t>
  </si>
  <si>
    <t>Bénichon-Senf 100g</t>
  </si>
  <si>
    <t>Moutarde de Bénichon</t>
  </si>
  <si>
    <t>Moutarde de Bénichon 100g</t>
  </si>
  <si>
    <t>Senape di Bénichon</t>
  </si>
  <si>
    <t>Senape di Bénichon 100g</t>
  </si>
  <si>
    <t>Sonstige Nahrungsmittel</t>
  </si>
  <si>
    <t>Bénichon-Senf 250g</t>
  </si>
  <si>
    <t>Moutarde de Bénichon 250</t>
  </si>
  <si>
    <t>Senape di Bénichon 250</t>
  </si>
  <si>
    <t>Geschenkkorb</t>
  </si>
  <si>
    <t>Panier cadeau</t>
  </si>
  <si>
    <t>Cesto regalo</t>
  </si>
  <si>
    <t>Honig 250g</t>
  </si>
  <si>
    <t>Miel</t>
  </si>
  <si>
    <t>Miel 250g</t>
  </si>
  <si>
    <t>Miele 250g</t>
  </si>
  <si>
    <t>Honig 500g</t>
  </si>
  <si>
    <t>Miel 500g</t>
  </si>
  <si>
    <t>Miele 500g</t>
  </si>
  <si>
    <t>Konfitüre</t>
  </si>
  <si>
    <t>150g</t>
  </si>
  <si>
    <t>Konfitüre 150g</t>
  </si>
  <si>
    <t>Confiture 150g</t>
  </si>
  <si>
    <t>Confettura 150g</t>
  </si>
  <si>
    <t>Konfitüre 250g</t>
  </si>
  <si>
    <t>Confiture 250g</t>
  </si>
  <si>
    <t>Confettura 250g</t>
  </si>
  <si>
    <t>350g</t>
  </si>
  <si>
    <t>Konfitüre 350g</t>
  </si>
  <si>
    <t>Confiture 350g</t>
  </si>
  <si>
    <t>Confettura 350g</t>
  </si>
  <si>
    <t>450g</t>
  </si>
  <si>
    <t>Konfitüre 450g</t>
  </si>
  <si>
    <t>Confiture 450g</t>
  </si>
  <si>
    <t>Confettura 450g</t>
  </si>
  <si>
    <t>Zuckerconfiserie</t>
  </si>
  <si>
    <t>Eier</t>
  </si>
  <si>
    <t>4Stk</t>
  </si>
  <si>
    <t>Eier 4Stk</t>
  </si>
  <si>
    <t>Oeufs</t>
  </si>
  <si>
    <t>4pces</t>
  </si>
  <si>
    <t>Oeufs 4pces</t>
  </si>
  <si>
    <t>Uova</t>
  </si>
  <si>
    <t>4pz</t>
  </si>
  <si>
    <t>Uova 4pz</t>
  </si>
  <si>
    <t>Frische</t>
  </si>
  <si>
    <t>10Stk</t>
  </si>
  <si>
    <t>Eier 10Stk</t>
  </si>
  <si>
    <t>10pces</t>
  </si>
  <si>
    <t>Oeufs 10pces</t>
  </si>
  <si>
    <t>10pz</t>
  </si>
  <si>
    <t>Uova 10pz</t>
  </si>
  <si>
    <t>Eier 1Stk</t>
  </si>
  <si>
    <t>Oeuf</t>
  </si>
  <si>
    <t>Oeuf 1pce</t>
  </si>
  <si>
    <t>Uovo</t>
  </si>
  <si>
    <t>Uovo 1pz</t>
  </si>
  <si>
    <t>6Stk</t>
  </si>
  <si>
    <t>Eier 6Stk</t>
  </si>
  <si>
    <t>6pces</t>
  </si>
  <si>
    <t>Oeufs 6pces</t>
  </si>
  <si>
    <t>6pz</t>
  </si>
  <si>
    <t>Uova 6pz</t>
  </si>
  <si>
    <t>Picnic-Eier</t>
  </si>
  <si>
    <t>Picnic-Eier 6Stk</t>
  </si>
  <si>
    <t>Oeufs picnic 6pces</t>
  </si>
  <si>
    <t>Uova picnic</t>
  </si>
  <si>
    <t>Uova picnic 6pz</t>
  </si>
  <si>
    <t>Picnic-Eier 1Stk</t>
  </si>
  <si>
    <t>Oeuf picnic</t>
  </si>
  <si>
    <t>Oeuf picnic 1pce</t>
  </si>
  <si>
    <t>Uovo picnic</t>
  </si>
  <si>
    <t>Uovo picnic 1pz</t>
  </si>
  <si>
    <t>Wachteleier</t>
  </si>
  <si>
    <t>8Stk</t>
  </si>
  <si>
    <t>Wachteleier 8Stk</t>
  </si>
  <si>
    <t>Oeufs de caille</t>
  </si>
  <si>
    <t>8pces</t>
  </si>
  <si>
    <t>Oeufs de caille 8pces</t>
  </si>
  <si>
    <t>Uova di quaglia</t>
  </si>
  <si>
    <t>8pz</t>
  </si>
  <si>
    <t>Uova di quaglia 8pz</t>
  </si>
  <si>
    <t>Wachteleier 6Stk</t>
  </si>
  <si>
    <t>Oeufs de caille 6pces</t>
  </si>
  <si>
    <t>Uova di quaglia 6pz</t>
  </si>
  <si>
    <t>Wachteleier 1Stk</t>
  </si>
  <si>
    <t>kg</t>
  </si>
  <si>
    <t>Filet de perche</t>
  </si>
  <si>
    <t>Filetto di persico</t>
  </si>
  <si>
    <t>SB - Fleisch</t>
  </si>
  <si>
    <t>Fisch</t>
  </si>
  <si>
    <t>Rindstartar</t>
  </si>
  <si>
    <t>Tartare de boeuf</t>
  </si>
  <si>
    <t>Tartare di manzo</t>
  </si>
  <si>
    <t>Fleisch</t>
  </si>
  <si>
    <t>Theke Wurstwaren</t>
  </si>
  <si>
    <t>Comptoir charcuterie</t>
  </si>
  <si>
    <t>Banco salumeria</t>
  </si>
  <si>
    <t>Fleisch- und Wurstwaren</t>
  </si>
  <si>
    <t>Fleisch- und Wurstwaren andere</t>
  </si>
  <si>
    <t>Charcuterie</t>
  </si>
  <si>
    <t>Salumi</t>
  </si>
  <si>
    <t>Büscion</t>
  </si>
  <si>
    <t>2Stk</t>
  </si>
  <si>
    <t>Büscion 2Stk</t>
  </si>
  <si>
    <t>Büscion 2pces</t>
  </si>
  <si>
    <t>2pces</t>
  </si>
  <si>
    <t>2pz</t>
  </si>
  <si>
    <t>Büscion 2pz</t>
  </si>
  <si>
    <t>Käse</t>
  </si>
  <si>
    <t>Fondue</t>
  </si>
  <si>
    <t>Fondue 400g</t>
  </si>
  <si>
    <t>600g</t>
  </si>
  <si>
    <t>Fondue 600g</t>
  </si>
  <si>
    <t>800g</t>
  </si>
  <si>
    <t>Fondue 800g</t>
  </si>
  <si>
    <t>Frischkäse</t>
  </si>
  <si>
    <t>Frischkäse 2Stk</t>
  </si>
  <si>
    <t>Fromage frais 2pces</t>
  </si>
  <si>
    <t>Formaggini freschi</t>
  </si>
  <si>
    <t>Formaggini freschi 2pz</t>
  </si>
  <si>
    <t>Gruyère</t>
  </si>
  <si>
    <t>Käse Spezialitäten</t>
  </si>
  <si>
    <t>Spécialités de fromage</t>
  </si>
  <si>
    <t>Formaggi</t>
  </si>
  <si>
    <t>Käsetheke</t>
  </si>
  <si>
    <t>Banco formaggi</t>
  </si>
  <si>
    <t>Mutschli</t>
  </si>
  <si>
    <t>Tomino</t>
  </si>
  <si>
    <t>Raclette</t>
  </si>
  <si>
    <t>Zincarlin</t>
  </si>
  <si>
    <t>Butter 100g</t>
  </si>
  <si>
    <t>Beurre 100g</t>
  </si>
  <si>
    <t>Burro 100g</t>
  </si>
  <si>
    <t>Milchprodukte</t>
  </si>
  <si>
    <t>200g</t>
  </si>
  <si>
    <t>Butter 200g</t>
  </si>
  <si>
    <t>Beurre</t>
  </si>
  <si>
    <t>Beurre 200g</t>
  </si>
  <si>
    <t>Burro 200g</t>
  </si>
  <si>
    <t>Butter 250g</t>
  </si>
  <si>
    <t>Beurre 250g</t>
  </si>
  <si>
    <t>Burro 250g</t>
  </si>
  <si>
    <t>Doppel-Rahm</t>
  </si>
  <si>
    <t>200ml</t>
  </si>
  <si>
    <t>Doppel-Rahm 200ml</t>
  </si>
  <si>
    <t>Double crème</t>
  </si>
  <si>
    <t>Double crème 200ml</t>
  </si>
  <si>
    <t>Panna doppia</t>
  </si>
  <si>
    <t>Panna 200ml</t>
  </si>
  <si>
    <t>250ml</t>
  </si>
  <si>
    <t>Doppel-Rahm 250ml</t>
  </si>
  <si>
    <t>Double crème 250ml</t>
  </si>
  <si>
    <t>Panna 250ml</t>
  </si>
  <si>
    <t>Jogurt</t>
  </si>
  <si>
    <t>130g</t>
  </si>
  <si>
    <t>Jogurt 130g</t>
  </si>
  <si>
    <t>Yogourt</t>
  </si>
  <si>
    <t>Yogourt 130g</t>
  </si>
  <si>
    <t>Jogurt 150g</t>
  </si>
  <si>
    <t>Yogourt 150g</t>
  </si>
  <si>
    <t>180g</t>
  </si>
  <si>
    <t>Jogurt 180g</t>
  </si>
  <si>
    <t>Yogourt 180g</t>
  </si>
  <si>
    <t>Jogurt 200g</t>
  </si>
  <si>
    <t>Yogourt 200g</t>
  </si>
  <si>
    <t>Jogurt 250g</t>
  </si>
  <si>
    <t>Yogourt 250g</t>
  </si>
  <si>
    <t>Jogurt 400g</t>
  </si>
  <si>
    <t>Yogourt 400g</t>
  </si>
  <si>
    <t>Jogurt 500g</t>
  </si>
  <si>
    <t>Yogourt 500g</t>
  </si>
  <si>
    <t>40g</t>
  </si>
  <si>
    <t>Kräuterbutter 40g</t>
  </si>
  <si>
    <t>Beurre aux herbes</t>
  </si>
  <si>
    <t>Beurre aux herbes 40g</t>
  </si>
  <si>
    <t>Burro alle erbe</t>
  </si>
  <si>
    <t>Burro alle erbe 40g</t>
  </si>
  <si>
    <t>60g</t>
  </si>
  <si>
    <t>Kräuterbutter 60g</t>
  </si>
  <si>
    <t>Beurre aux herbes 60g</t>
  </si>
  <si>
    <t>Burro alle erbe 60g</t>
  </si>
  <si>
    <t>Kräuterbutter 100g</t>
  </si>
  <si>
    <t>Beurre aux herbes 100g</t>
  </si>
  <si>
    <t>Burro alle erbe 100g</t>
  </si>
  <si>
    <t>Molki Spezialitäten</t>
  </si>
  <si>
    <t>Spécialités laiterie</t>
  </si>
  <si>
    <t>Specialità di latteria</t>
  </si>
  <si>
    <t>Fleischtheke</t>
  </si>
  <si>
    <t>SB - Fleisch andere</t>
  </si>
  <si>
    <t>Bauernschüblig 2Stk</t>
  </si>
  <si>
    <t>Schüblig 2pces</t>
  </si>
  <si>
    <t>Schüblig contadino</t>
  </si>
  <si>
    <t>Schüblig contadino 2pz</t>
  </si>
  <si>
    <t>Wurstwaren</t>
  </si>
  <si>
    <t>Cervelat 2Stk</t>
  </si>
  <si>
    <t>Cervelas 2pces</t>
  </si>
  <si>
    <t>Cervelat 2pz</t>
  </si>
  <si>
    <t>Hauswurst 2Stk</t>
  </si>
  <si>
    <t>Saucisse 2pces</t>
  </si>
  <si>
    <t>Salsiccia 2pz</t>
  </si>
  <si>
    <t>Landjäger dunkel 2Stk</t>
  </si>
  <si>
    <t>Sauc. Landjäger foncée</t>
  </si>
  <si>
    <t>Sauc. foncée 2pces</t>
  </si>
  <si>
    <t>Sals. Landjäger scura</t>
  </si>
  <si>
    <t>Sals. scura 2pz</t>
  </si>
  <si>
    <t>Landjäger hell 2Stk</t>
  </si>
  <si>
    <t>Sauc. Landjäger claire</t>
  </si>
  <si>
    <t>Sauc. claire 2pces</t>
  </si>
  <si>
    <t>Sals. Landjäger chiara</t>
  </si>
  <si>
    <t>Sals. chiara 2pz</t>
  </si>
  <si>
    <t>Rauchwurst 2Stk</t>
  </si>
  <si>
    <t>Saucisse fumée</t>
  </si>
  <si>
    <t>Saucisse fumée 2pces</t>
  </si>
  <si>
    <t>Salsiccia affumicata 2pz</t>
  </si>
  <si>
    <t>6x25cl</t>
  </si>
  <si>
    <t>Bier 6x25cl</t>
  </si>
  <si>
    <t>Bière 6x25cl</t>
  </si>
  <si>
    <t>Birra 6x25cl</t>
  </si>
  <si>
    <t>Getränke</t>
  </si>
  <si>
    <t>4x25cl</t>
  </si>
  <si>
    <t>Bier 4x25cl</t>
  </si>
  <si>
    <t>Bière 4x25cl</t>
  </si>
  <si>
    <t>Birra 4x25cl</t>
  </si>
  <si>
    <t>25cl</t>
  </si>
  <si>
    <t>Bier 25cl</t>
  </si>
  <si>
    <t>Bière 25cl</t>
  </si>
  <si>
    <t>Birra 25cl</t>
  </si>
  <si>
    <t>10x33cl</t>
  </si>
  <si>
    <t>Bier 10x33cl</t>
  </si>
  <si>
    <t>Bière 10x33cl</t>
  </si>
  <si>
    <t>Birra 10x33cl</t>
  </si>
  <si>
    <t>6x33cl</t>
  </si>
  <si>
    <t>Bier 6x33cl</t>
  </si>
  <si>
    <t>Bière 6x33cl</t>
  </si>
  <si>
    <t>Birra 6x33cl</t>
  </si>
  <si>
    <t>4x33cl</t>
  </si>
  <si>
    <t>Bier 4x33cl</t>
  </si>
  <si>
    <t>Bière 4x33cl</t>
  </si>
  <si>
    <t>Birra 4x33cl</t>
  </si>
  <si>
    <t>3x33cl</t>
  </si>
  <si>
    <t>Bier 3x33cl</t>
  </si>
  <si>
    <t>Bière 3x33cl</t>
  </si>
  <si>
    <t>Birra 3x33cl</t>
  </si>
  <si>
    <t>33cl</t>
  </si>
  <si>
    <t>Bier 33cl</t>
  </si>
  <si>
    <t>Bière 33cl</t>
  </si>
  <si>
    <t>Birra 33cl</t>
  </si>
  <si>
    <t>6x50cl</t>
  </si>
  <si>
    <t>Bier 6x50cl</t>
  </si>
  <si>
    <t>Bière 6x50cl</t>
  </si>
  <si>
    <t>Birra 6x50cl</t>
  </si>
  <si>
    <t>4x50cl</t>
  </si>
  <si>
    <t>Bier 4x50cl</t>
  </si>
  <si>
    <t>Bière 4x50cl</t>
  </si>
  <si>
    <t>Birra 4x50cl</t>
  </si>
  <si>
    <t>50cl</t>
  </si>
  <si>
    <t>Bier 50cl</t>
  </si>
  <si>
    <t>Bière 50cl</t>
  </si>
  <si>
    <t>Birra 50cl</t>
  </si>
  <si>
    <t>75cl</t>
  </si>
  <si>
    <t>Bier 75cl</t>
  </si>
  <si>
    <t>Bière 75cl</t>
  </si>
  <si>
    <t>Birra 75cl</t>
  </si>
  <si>
    <t>Kaffee und Tee</t>
  </si>
  <si>
    <t>Kaffee</t>
  </si>
  <si>
    <t>Absinth</t>
  </si>
  <si>
    <t>Absinth 1l</t>
  </si>
  <si>
    <t>Absinthe</t>
  </si>
  <si>
    <t>Absinthe 1l</t>
  </si>
  <si>
    <t>Assenzio</t>
  </si>
  <si>
    <t>Assenzio 1l</t>
  </si>
  <si>
    <t>Absinth 50cl</t>
  </si>
  <si>
    <t>Absinthe 50cl</t>
  </si>
  <si>
    <t>Assenzio 50cl</t>
  </si>
  <si>
    <t>Grappa</t>
  </si>
  <si>
    <t>Grappa 1l</t>
  </si>
  <si>
    <t>Grappa 50cl</t>
  </si>
  <si>
    <t>70cl</t>
  </si>
  <si>
    <t>Grappa 70cl</t>
  </si>
  <si>
    <t>Limoncello</t>
  </si>
  <si>
    <t>Limoncello 1l</t>
  </si>
  <si>
    <t>Nocino</t>
  </si>
  <si>
    <t>Nocino 1l</t>
  </si>
  <si>
    <t>Nocino 50cl</t>
  </si>
  <si>
    <t>Nocino 70cl</t>
  </si>
  <si>
    <t>Apfelsaft</t>
  </si>
  <si>
    <t>Apfelsaft 33cl</t>
  </si>
  <si>
    <t>Jus de pomme</t>
  </si>
  <si>
    <t>Jus de pomme 33cl</t>
  </si>
  <si>
    <t>Succo di mela</t>
  </si>
  <si>
    <t>Succo mela 33cl</t>
  </si>
  <si>
    <t>Tafelgetränke</t>
  </si>
  <si>
    <t>Apfelsaft 50cl</t>
  </si>
  <si>
    <t>Jus de pomme 50cl</t>
  </si>
  <si>
    <t>Succo mela 50cl</t>
  </si>
  <si>
    <t>Apfelsaft 1l</t>
  </si>
  <si>
    <t>Jus de pomme 1l</t>
  </si>
  <si>
    <t>Succo mela 1l</t>
  </si>
  <si>
    <t>1.5l</t>
  </si>
  <si>
    <t>Apfelsaft 1.5l</t>
  </si>
  <si>
    <t>Jus de pomme 1.5l</t>
  </si>
  <si>
    <t>Succo mela 1.5l</t>
  </si>
  <si>
    <t>10l</t>
  </si>
  <si>
    <t>Apfelsaft 10l</t>
  </si>
  <si>
    <t>Jus de pomme 10l</t>
  </si>
  <si>
    <t>Succo mela 10l</t>
  </si>
  <si>
    <t>5l</t>
  </si>
  <si>
    <t>Apfelsaft 5l</t>
  </si>
  <si>
    <t>Jus de pomme 5l</t>
  </si>
  <si>
    <t>Succo mela 5l</t>
  </si>
  <si>
    <t>3l</t>
  </si>
  <si>
    <t>Apfelsaft 3l</t>
  </si>
  <si>
    <t>Jus de pomme 3l</t>
  </si>
  <si>
    <t>Succo mela 3l</t>
  </si>
  <si>
    <t>Apfelshorle</t>
  </si>
  <si>
    <t>Jus de pomme pétillant</t>
  </si>
  <si>
    <t>Jus de pomme pétillant 33cl</t>
  </si>
  <si>
    <t>Succo di mela gassato</t>
  </si>
  <si>
    <t>Succo di mela gas. 33cl</t>
  </si>
  <si>
    <t>Jus de pomme pétillant 50cl</t>
  </si>
  <si>
    <t>Succo di mela gas. 50cl</t>
  </si>
  <si>
    <t>Jus de pomme pétillant 1l</t>
  </si>
  <si>
    <t>Succo di mela gas. 1l</t>
  </si>
  <si>
    <t>Jus de pomme pétillant 1.5l</t>
  </si>
  <si>
    <t>Succo di mela gas. 1.5l</t>
  </si>
  <si>
    <t>Apfelwein</t>
  </si>
  <si>
    <t>Apfelwein 33cl</t>
  </si>
  <si>
    <t>Vin de pomme</t>
  </si>
  <si>
    <t>Vin de pomme 33cl</t>
  </si>
  <si>
    <t>Vino di mele</t>
  </si>
  <si>
    <t>Vino di mele 33cl</t>
  </si>
  <si>
    <t>Apfelwein 50cl</t>
  </si>
  <si>
    <t>Vin de pomme 50cl</t>
  </si>
  <si>
    <t>Vino di mele 50cl</t>
  </si>
  <si>
    <t>Apfelwein 75cl</t>
  </si>
  <si>
    <t>Vin de pomme 75cl</t>
  </si>
  <si>
    <t>Vino di mele 75cl</t>
  </si>
  <si>
    <t>Apfelwein 1l</t>
  </si>
  <si>
    <t>Vin de pomme 1l</t>
  </si>
  <si>
    <t>Vino di mele 1l</t>
  </si>
  <si>
    <t>Apfelwein 1.5l</t>
  </si>
  <si>
    <t>Vin de pomme 1.5l</t>
  </si>
  <si>
    <t>Vino di mele 1.5l</t>
  </si>
  <si>
    <t>Cider</t>
  </si>
  <si>
    <t>Cider 33cl</t>
  </si>
  <si>
    <t>Cidre</t>
  </si>
  <si>
    <t>Cidre 33cl</t>
  </si>
  <si>
    <t>Sidro</t>
  </si>
  <si>
    <t>Sidro 33cl</t>
  </si>
  <si>
    <t>Cider 50cl</t>
  </si>
  <si>
    <t>Cidre 50cl</t>
  </si>
  <si>
    <t>Sidro 50cl</t>
  </si>
  <si>
    <t>Cider 75cl</t>
  </si>
  <si>
    <t>Cidre 75cl</t>
  </si>
  <si>
    <t>Sidro 75cl</t>
  </si>
  <si>
    <t>Cider 1l</t>
  </si>
  <si>
    <t>Cidre 1l</t>
  </si>
  <si>
    <t>Sidro 1l</t>
  </si>
  <si>
    <t>Sirup</t>
  </si>
  <si>
    <t>35cl</t>
  </si>
  <si>
    <t>Sirup 35cl</t>
  </si>
  <si>
    <t>Sirop 35cl</t>
  </si>
  <si>
    <t>Sciroppo</t>
  </si>
  <si>
    <t>Sciroppo 35cl</t>
  </si>
  <si>
    <t>Sirup 50cl</t>
  </si>
  <si>
    <t>Sirop 50cl</t>
  </si>
  <si>
    <t>Sciroppo 50cl</t>
  </si>
  <si>
    <t>Sirup 75cl</t>
  </si>
  <si>
    <t>Sirop 75cl</t>
  </si>
  <si>
    <t>Sciroppo 75cl</t>
  </si>
  <si>
    <t>Sirup 1l</t>
  </si>
  <si>
    <t>Sirop 1l</t>
  </si>
  <si>
    <t>Sciroppo 1l</t>
  </si>
  <si>
    <t>Tee</t>
  </si>
  <si>
    <t>10.5kg</t>
  </si>
  <si>
    <t>Gasflasche 10.5kg</t>
  </si>
  <si>
    <t>Bouteille gaz 10.5kg</t>
  </si>
  <si>
    <t>Bombola gas 10.5kg</t>
  </si>
  <si>
    <t>Near Food</t>
  </si>
  <si>
    <t>Gebrauchsartikel</t>
  </si>
  <si>
    <t>5kg</t>
  </si>
  <si>
    <t>Gasflasche 5kg</t>
  </si>
  <si>
    <t>Bouteille gaz 5kg</t>
  </si>
  <si>
    <t>Bombola gas 5kg</t>
  </si>
  <si>
    <t>33kg</t>
  </si>
  <si>
    <t>Gasflasche 33kg</t>
  </si>
  <si>
    <t>Bouteille gaz 33kg</t>
  </si>
  <si>
    <t>Bombola gas 33kg</t>
  </si>
  <si>
    <t>35kg</t>
  </si>
  <si>
    <t>Gasflasche 35kg</t>
  </si>
  <si>
    <t>Bouteille gaz 35kg</t>
  </si>
  <si>
    <t>Bombola gas 35kg</t>
  </si>
  <si>
    <t>7.5kg</t>
  </si>
  <si>
    <t>Gasflasche 7.5kg</t>
  </si>
  <si>
    <t>Bouteille gaz 7.5kg</t>
  </si>
  <si>
    <t>Bombola gas 7.5kg</t>
  </si>
  <si>
    <t>Holz</t>
  </si>
  <si>
    <t>Bois de chauffage</t>
  </si>
  <si>
    <t>Legna da ardere</t>
  </si>
  <si>
    <t>Holzkohle</t>
  </si>
  <si>
    <t>Charbon de bois</t>
  </si>
  <si>
    <t>Carbone</t>
  </si>
  <si>
    <t>Karten</t>
  </si>
  <si>
    <t>Cartoline</t>
  </si>
  <si>
    <t>Pellets</t>
  </si>
  <si>
    <t>Pellet</t>
  </si>
  <si>
    <t>Zeitschriften</t>
  </si>
  <si>
    <t>Magazines</t>
  </si>
  <si>
    <t>Riviste</t>
  </si>
  <si>
    <t>Bündelmarke</t>
  </si>
  <si>
    <t>Marque de regroupement</t>
  </si>
  <si>
    <t>Tagliando tarif. fasci</t>
  </si>
  <si>
    <t>Gebührensäcke und Marken</t>
  </si>
  <si>
    <t>Container Band</t>
  </si>
  <si>
    <t>Container Band 1Stk</t>
  </si>
  <si>
    <t>Bande de conteneur</t>
  </si>
  <si>
    <t>Bande conteneur 1pce</t>
  </si>
  <si>
    <t>Fascia per contenitore</t>
  </si>
  <si>
    <t>Fascia contenitore 1pz</t>
  </si>
  <si>
    <t>240L</t>
  </si>
  <si>
    <t>Container Band 240L</t>
  </si>
  <si>
    <t>240l</t>
  </si>
  <si>
    <t>Bande conteneur 240l</t>
  </si>
  <si>
    <t>Fascia contenitore 240l</t>
  </si>
  <si>
    <t>800L</t>
  </si>
  <si>
    <t>Container Band 800L</t>
  </si>
  <si>
    <t>800l</t>
  </si>
  <si>
    <t>Bande conteneur 800l</t>
  </si>
  <si>
    <t>Fascia contenitore 800l</t>
  </si>
  <si>
    <t>250L</t>
  </si>
  <si>
    <t>Container Band 250L</t>
  </si>
  <si>
    <t>250l</t>
  </si>
  <si>
    <t>Bande conteneur 250l</t>
  </si>
  <si>
    <t>Fascia contenitore 250l</t>
  </si>
  <si>
    <t>Gebührenmarke Sperrgut</t>
  </si>
  <si>
    <t>Timbre-taxe encombr.</t>
  </si>
  <si>
    <t>Tagliando tarif. ing.</t>
  </si>
  <si>
    <t>110L</t>
  </si>
  <si>
    <t>Gebührensäcke 110L</t>
  </si>
  <si>
    <t>Sacs poubelles taxés</t>
  </si>
  <si>
    <t>110l</t>
  </si>
  <si>
    <t>Sacs poubelles 110l</t>
  </si>
  <si>
    <t>Sacchi rifiuti</t>
  </si>
  <si>
    <t>Sacchi rifiuti 110l</t>
  </si>
  <si>
    <t>17L</t>
  </si>
  <si>
    <t>Gebührensäcke 17L</t>
  </si>
  <si>
    <t>17l</t>
  </si>
  <si>
    <t>Sacs poubelles 17l</t>
  </si>
  <si>
    <t>Sacchi rifiuti 17l</t>
  </si>
  <si>
    <t>35L</t>
  </si>
  <si>
    <t>Gebührensäcke 35L</t>
  </si>
  <si>
    <t>35l</t>
  </si>
  <si>
    <t>Sacs poubelles 35l</t>
  </si>
  <si>
    <t>Sacchi rifiuti 35l</t>
  </si>
  <si>
    <t>60L</t>
  </si>
  <si>
    <t>Gebührensäcke 60L</t>
  </si>
  <si>
    <t>60l</t>
  </si>
  <si>
    <t>Sacs poubelles 60l</t>
  </si>
  <si>
    <t>Sacchi rifiuti 60l</t>
  </si>
  <si>
    <t>Plastikmüllsäcke</t>
  </si>
  <si>
    <t>Sacs poubelles plast.</t>
  </si>
  <si>
    <t>Sacchi rifiuti plast.</t>
  </si>
  <si>
    <t>Lieferpauschale</t>
  </si>
  <si>
    <t>Frais de livraison</t>
  </si>
  <si>
    <t>Costi di consegna</t>
  </si>
  <si>
    <t>Nicht-Handelsware</t>
  </si>
  <si>
    <t>Non-Merchandise</t>
  </si>
  <si>
    <t>Dienstleistungen</t>
  </si>
  <si>
    <t>Gutschein</t>
  </si>
  <si>
    <t>Bon cadeau</t>
  </si>
  <si>
    <t>Kasse</t>
  </si>
  <si>
    <t>Gutschein, Voucher</t>
  </si>
  <si>
    <t>Vin cuit</t>
  </si>
  <si>
    <t>Vin cuit 50cl</t>
  </si>
  <si>
    <t>Weine</t>
  </si>
  <si>
    <t>Wein andere</t>
  </si>
  <si>
    <t>Vin cuit 75cl</t>
  </si>
  <si>
    <t>Vin cuit 1l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</si>
  <si>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</si>
  <si>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</si>
  <si>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</si>
  <si>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</si>
  <si>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</si>
  <si>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</si>
  <si>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</si>
  <si>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</si>
  <si>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</si>
  <si>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</si>
  <si>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</si>
  <si>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</si>
  <si>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</si>
  <si>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</si>
  <si>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</si>
  <si>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</si>
  <si>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</si>
  <si>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</si>
  <si>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</si>
  <si>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</si>
  <si>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</si>
  <si>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</si>
  <si>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</si>
  <si>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</si>
  <si>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</si>
  <si>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</si>
  <si>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</si>
  <si>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</si>
  <si>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</si>
  <si>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</si>
  <si>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</si>
  <si>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</si>
  <si>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</si>
  <si>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</si>
  <si>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</si>
  <si>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</si>
  <si>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</si>
  <si>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</si>
  <si>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</si>
  <si>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</si>
  <si>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</si>
  <si>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</si>
  <si>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</si>
  <si>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</si>
  <si>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</si>
  <si>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</si>
  <si>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</si>
  <si>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</si>
  <si>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</si>
  <si>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</si>
  <si>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</si>
  <si>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</si>
  <si>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</si>
  <si>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</si>
  <si>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</si>
  <si>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</si>
  <si>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</si>
  <si>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</si>
  <si>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</si>
  <si>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</si>
  <si>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</si>
  <si>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</si>
  <si>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</si>
  <si>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</si>
  <si>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</si>
  <si>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</si>
  <si>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</si>
  <si>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</si>
  <si>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</si>
  <si>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</si>
  <si>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</si>
  <si>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</si>
  <si>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</si>
  <si>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</si>
  <si>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</si>
  <si>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</si>
  <si>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</si>
  <si>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</si>
  <si>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</si>
  <si>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</si>
  <si>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</si>
  <si>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</si>
  <si>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</si>
  <si>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</si>
  <si>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</si>
  <si>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</si>
  <si>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</si>
  <si>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</si>
  <si>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</si>
  <si>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</si>
  <si>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</si>
  <si>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</si>
  <si>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</si>
  <si>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</si>
  <si>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</si>
  <si>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</si>
  <si>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</si>
  <si>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</si>
  <si>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</si>
  <si>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</si>
  <si>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</si>
  <si>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</si>
  <si>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</si>
  <si>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</si>
  <si>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</si>
  <si>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</si>
  <si>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</si>
  <si>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</si>
  <si>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</si>
  <si>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</si>
  <si>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</si>
  <si>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</si>
  <si>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</si>
  <si>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</si>
  <si>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</si>
  <si>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</si>
  <si>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</si>
  <si>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</si>
  <si>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</si>
  <si>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</si>
  <si>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</si>
  <si>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</si>
  <si>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</si>
  <si>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</si>
  <si>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</si>
  <si>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</si>
  <si>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Source</t>
  </si>
  <si>
    <t>Ist Vordefiniert</t>
  </si>
  <si>
    <t/>
  </si>
  <si>
    <t xml:space="preserve">Baguette </t>
  </si>
  <si>
    <t xml:space="preserve">Pain bâlois </t>
  </si>
  <si>
    <t xml:space="preserve">Pane di Basilea </t>
  </si>
  <si>
    <t xml:space="preserve">Boule de Berlin </t>
  </si>
  <si>
    <t xml:space="preserve">Bricelets </t>
  </si>
  <si>
    <t xml:space="preserve">Brioche fourée </t>
  </si>
  <si>
    <t xml:space="preserve">Bürli </t>
  </si>
  <si>
    <t xml:space="preserve">Buttergipfel </t>
  </si>
  <si>
    <t xml:space="preserve">Croissant au beurre </t>
  </si>
  <si>
    <t xml:space="preserve">Butterzopf </t>
  </si>
  <si>
    <t xml:space="preserve">Tresse </t>
  </si>
  <si>
    <t xml:space="preserve">Treccia </t>
  </si>
  <si>
    <t xml:space="preserve">Flûtes </t>
  </si>
  <si>
    <t xml:space="preserve">Halbweissbrot </t>
  </si>
  <si>
    <t xml:space="preserve">Laugenbrötli </t>
  </si>
  <si>
    <t xml:space="preserve">Petits pains sils </t>
  </si>
  <si>
    <t xml:space="preserve">Panino di sils </t>
  </si>
  <si>
    <t xml:space="preserve">Laugengipfel </t>
  </si>
  <si>
    <t xml:space="preserve">Croissant sils </t>
  </si>
  <si>
    <t xml:space="preserve">Mandelgipfel </t>
  </si>
  <si>
    <t xml:space="preserve">Croissant aux amandes </t>
  </si>
  <si>
    <t xml:space="preserve">Mehrkorngipfel </t>
  </si>
  <si>
    <t xml:space="preserve">Meringues </t>
  </si>
  <si>
    <t xml:space="preserve">Meringhe </t>
  </si>
  <si>
    <t xml:space="preserve">Nussgipfel </t>
  </si>
  <si>
    <t xml:space="preserve">Nuss-Stange </t>
  </si>
  <si>
    <t xml:space="preserve">Pizza </t>
  </si>
  <si>
    <t xml:space="preserve">Pain bis </t>
  </si>
  <si>
    <t xml:space="preserve">Pane bigio </t>
  </si>
  <si>
    <t xml:space="preserve">Ruchbrot </t>
  </si>
  <si>
    <t xml:space="preserve">Croissant au jambon </t>
  </si>
  <si>
    <t xml:space="preserve">Schoggibrötli </t>
  </si>
  <si>
    <t xml:space="preserve">Pain au chocolat </t>
  </si>
  <si>
    <t xml:space="preserve">Panino al cioccolato </t>
  </si>
  <si>
    <t xml:space="preserve">Schoggigipfel </t>
  </si>
  <si>
    <t xml:space="preserve">Croissant au chocolat </t>
  </si>
  <si>
    <t xml:space="preserve">Schraubenbrötli </t>
  </si>
  <si>
    <t xml:space="preserve">Semmeli </t>
  </si>
  <si>
    <t xml:space="preserve">St. Gallerbrot </t>
  </si>
  <si>
    <t xml:space="preserve">Tessinerbrot </t>
  </si>
  <si>
    <t xml:space="preserve">Pain tessinois </t>
  </si>
  <si>
    <t xml:space="preserve">Vanillebrötli </t>
  </si>
  <si>
    <t xml:space="preserve">Petit pain vanille </t>
  </si>
  <si>
    <t xml:space="preserve">Panino alla vaniglia </t>
  </si>
  <si>
    <t xml:space="preserve">Vanillegipfel </t>
  </si>
  <si>
    <t xml:space="preserve">Croissant vanille </t>
  </si>
  <si>
    <t xml:space="preserve">Vanille-Himb. Plunder </t>
  </si>
  <si>
    <t xml:space="preserve">Vanille-Stange </t>
  </si>
  <si>
    <t xml:space="preserve">Vollkorngipfel </t>
  </si>
  <si>
    <t xml:space="preserve">Weggli </t>
  </si>
  <si>
    <t xml:space="preserve">Pain au lait </t>
  </si>
  <si>
    <t xml:space="preserve">Ravioli </t>
  </si>
  <si>
    <t xml:space="preserve">Mehl </t>
  </si>
  <si>
    <t xml:space="preserve">Farine </t>
  </si>
  <si>
    <t xml:space="preserve">Farina </t>
  </si>
  <si>
    <t xml:space="preserve">Salatsauce </t>
  </si>
  <si>
    <t xml:space="preserve">Honig </t>
  </si>
  <si>
    <t xml:space="preserve">Miele </t>
  </si>
  <si>
    <t xml:space="preserve">Confiture </t>
  </si>
  <si>
    <t xml:space="preserve">Confettura </t>
  </si>
  <si>
    <t xml:space="preserve">Molkereiprodukte &amp; Eier </t>
  </si>
  <si>
    <t xml:space="preserve">Eier </t>
  </si>
  <si>
    <t xml:space="preserve">Oeufs picnic </t>
  </si>
  <si>
    <t xml:space="preserve">Picnic-Eier </t>
  </si>
  <si>
    <t xml:space="preserve">Eglifilet </t>
  </si>
  <si>
    <t xml:space="preserve">Fromage frais </t>
  </si>
  <si>
    <t xml:space="preserve">Gruyère </t>
  </si>
  <si>
    <t xml:space="preserve">Fromagerie </t>
  </si>
  <si>
    <t xml:space="preserve">Tomme </t>
  </si>
  <si>
    <t xml:space="preserve">Raclette </t>
  </si>
  <si>
    <t xml:space="preserve">Butter </t>
  </si>
  <si>
    <t xml:space="preserve">Beurre </t>
  </si>
  <si>
    <t xml:space="preserve">Burro </t>
  </si>
  <si>
    <t xml:space="preserve">Kräuterbutter </t>
  </si>
  <si>
    <t xml:space="preserve">Boucherie </t>
  </si>
  <si>
    <t xml:space="preserve">Banco carni </t>
  </si>
  <si>
    <t xml:space="preserve">Bauernschüblig </t>
  </si>
  <si>
    <t xml:space="preserve">Schüblig </t>
  </si>
  <si>
    <t xml:space="preserve">Cervelat </t>
  </si>
  <si>
    <t xml:space="preserve">Cervelas </t>
  </si>
  <si>
    <t xml:space="preserve">Hauswurst </t>
  </si>
  <si>
    <t xml:space="preserve">Saucisse </t>
  </si>
  <si>
    <t xml:space="preserve">Salsiccia </t>
  </si>
  <si>
    <t xml:space="preserve">Landjäger dunkel </t>
  </si>
  <si>
    <t xml:space="preserve">Landjäger hell </t>
  </si>
  <si>
    <t xml:space="preserve">Rauchwurst </t>
  </si>
  <si>
    <t xml:space="preserve">Salsiccia affumicata </t>
  </si>
  <si>
    <t xml:space="preserve">Kaffee </t>
  </si>
  <si>
    <t>Kaffee 250g</t>
  </si>
  <si>
    <t xml:space="preserve">Café </t>
  </si>
  <si>
    <t>Café 250g</t>
  </si>
  <si>
    <t xml:space="preserve">Caffè </t>
  </si>
  <si>
    <t>Caffè 250g</t>
  </si>
  <si>
    <t>Kaffee 500g</t>
  </si>
  <si>
    <t>Café 500g</t>
  </si>
  <si>
    <t>Caffè 500g</t>
  </si>
  <si>
    <t>Kaffee 1kg</t>
  </si>
  <si>
    <t>Café 1kg</t>
  </si>
  <si>
    <t>Caffè 1kg</t>
  </si>
  <si>
    <t>Kaffee to go (klein)</t>
  </si>
  <si>
    <t>Café to go (petit)</t>
  </si>
  <si>
    <t>Kaffee to go (mittel)</t>
  </si>
  <si>
    <t>Café to go (moyen)</t>
  </si>
  <si>
    <t>Kaffee to go (gross)</t>
  </si>
  <si>
    <t>Café to go (grand)</t>
  </si>
  <si>
    <t xml:space="preserve">Sirop </t>
  </si>
  <si>
    <t xml:space="preserve">Tee </t>
  </si>
  <si>
    <t>50g</t>
  </si>
  <si>
    <t>Tee 50g</t>
  </si>
  <si>
    <t xml:space="preserve">Thé </t>
  </si>
  <si>
    <t>Thé 50g</t>
  </si>
  <si>
    <t xml:space="preserve">Tè </t>
  </si>
  <si>
    <t>Tè 50g</t>
  </si>
  <si>
    <t>Tee 100g</t>
  </si>
  <si>
    <t>Thé 100g</t>
  </si>
  <si>
    <t>Tè 100g</t>
  </si>
  <si>
    <t>Gasflasche (Stahl)</t>
  </si>
  <si>
    <t>mit Depot</t>
  </si>
  <si>
    <t>Bteille gaz (acier)</t>
  </si>
  <si>
    <t>avec dépôt</t>
  </si>
  <si>
    <t>Bomb. gas (acciaio)</t>
  </si>
  <si>
    <t>con deposito</t>
  </si>
  <si>
    <t>Gasflasche (Composite)</t>
  </si>
  <si>
    <t>Bomb. gas (composite)</t>
  </si>
  <si>
    <t xml:space="preserve">Cartes </t>
  </si>
  <si>
    <t xml:space="preserve">Container Band </t>
  </si>
  <si>
    <t xml:space="preserve">Gebührensäcke </t>
  </si>
  <si>
    <t xml:space="preserve">Buono regalo </t>
  </si>
  <si>
    <t xml:space="preserve">Vin cuit </t>
  </si>
  <si>
    <t>(kg)</t>
  </si>
  <si>
    <t>Sandwich (kg)</t>
  </si>
  <si>
    <t>Panino (kg)</t>
  </si>
  <si>
    <t>(Stk)</t>
  </si>
  <si>
    <t>Sandwich (Stk)</t>
  </si>
  <si>
    <t>(pce)</t>
  </si>
  <si>
    <t>Sandwich (pce)</t>
  </si>
  <si>
    <t>(pz)</t>
  </si>
  <si>
    <t>Panino (pz)</t>
  </si>
  <si>
    <t>Gastronomietheke (kg)</t>
  </si>
  <si>
    <t>Comptoir gastronomie (kg)</t>
  </si>
  <si>
    <t>Banco gastronomia (kg)</t>
  </si>
  <si>
    <t>Gastronomietheke (Stk)</t>
  </si>
  <si>
    <t>Comptoir gastronomie (pce)</t>
  </si>
  <si>
    <t>Banco gastronomia (pz)</t>
  </si>
  <si>
    <t>Glace Behälter 500ml</t>
  </si>
  <si>
    <t>Glace bac 500ml</t>
  </si>
  <si>
    <t>Gelato vaschetta 500ml</t>
  </si>
  <si>
    <t>Karamell handgemacht</t>
  </si>
  <si>
    <t>Caramel artisanal</t>
  </si>
  <si>
    <t>Caramello artigianale</t>
  </si>
  <si>
    <t>Theke Wurstwaren (kg)</t>
  </si>
  <si>
    <t>Comptoir charcuterie (kg)</t>
  </si>
  <si>
    <t>Banco salumeria (kg)</t>
  </si>
  <si>
    <t>Theke Wurstwaren (Stk)</t>
  </si>
  <si>
    <t>Comptoir charcuterie (pce)</t>
  </si>
  <si>
    <t>Banco salumeria (pz)</t>
  </si>
  <si>
    <t>Wurstwaren (kg)</t>
  </si>
  <si>
    <t>Charcuterie (kg)</t>
  </si>
  <si>
    <t>Salumi (kg)</t>
  </si>
  <si>
    <t>Wurstwaren (Stk)</t>
  </si>
  <si>
    <t>Charcuterie (pce)</t>
  </si>
  <si>
    <t>Salumi (pz)</t>
  </si>
  <si>
    <t>Käse Spezialitäten (kg)</t>
  </si>
  <si>
    <t>Spécialités de fromage (kg)</t>
  </si>
  <si>
    <t>Formaggi (kg)</t>
  </si>
  <si>
    <t>Käse Spezialitäten (Stk)</t>
  </si>
  <si>
    <t>Spécialités de fromage (pce)</t>
  </si>
  <si>
    <t>Formaggi (pz)</t>
  </si>
  <si>
    <t>Käsetheke (kg)</t>
  </si>
  <si>
    <t>Fromagerie (kg)</t>
  </si>
  <si>
    <t>Banco formaggi (kg)</t>
  </si>
  <si>
    <t>Käsetheke (Stk)</t>
  </si>
  <si>
    <t>Fromagerie (pce)</t>
  </si>
  <si>
    <t>Banco formaggi (pz)</t>
  </si>
  <si>
    <t>Molki Spezialitäten (Stk)</t>
  </si>
  <si>
    <t>Spécialités laiterie (pce)</t>
  </si>
  <si>
    <t>Specialità di latteria (pz)</t>
  </si>
  <si>
    <t>Fleischtheke (kg)</t>
  </si>
  <si>
    <t>Boucherie (kg)</t>
  </si>
  <si>
    <t>Banco carni (kg)</t>
  </si>
  <si>
    <t>Fleischtheke (Stk)</t>
  </si>
  <si>
    <t>Boucherie (pce)</t>
  </si>
  <si>
    <t>Banco carni (pz)</t>
  </si>
  <si>
    <t>Caffè asporto (picc.)</t>
  </si>
  <si>
    <t>Caffè asporto (medio)</t>
  </si>
  <si>
    <t>Caffè asporto (grande)</t>
  </si>
  <si>
    <t>Apfelshorle 33cl</t>
  </si>
  <si>
    <t>Apfelshorle 50cl</t>
  </si>
  <si>
    <t>Apfelshorle 1l</t>
  </si>
  <si>
    <t>Apfelshorle 1.5l</t>
  </si>
  <si>
    <t>Bteille gaz (compos.)</t>
  </si>
  <si>
    <t>Warengruppe&gt;&gt;Backwaren &amp; Convenience&gt;&gt;Brot und Backwaren&gt;&gt;Backwaren andere</t>
  </si>
  <si>
    <t>Baguette aus der Region 250g</t>
  </si>
  <si>
    <t>Baguette della regione 250g</t>
  </si>
  <si>
    <t>false</t>
  </si>
  <si>
    <t>PLU</t>
  </si>
  <si>
    <t>Imp. 2 Regio Lf-Nr 1</t>
  </si>
  <si>
    <t>Baslerbrot aus der Region 250g</t>
  </si>
  <si>
    <t>Imp. 2 Regio Lf-Nr 2</t>
  </si>
  <si>
    <t>Baslerbrot aus der Region 500g</t>
  </si>
  <si>
    <t>Imp. 2 Regio Lf-Nr 3</t>
  </si>
  <si>
    <t>Berliner aus der Region 1Stk</t>
  </si>
  <si>
    <t>Berliner della regione 1pz</t>
  </si>
  <si>
    <t>Imp. 2 Regio Lf-Nr 4</t>
  </si>
  <si>
    <t>Birewegge aus der Region 1Stk</t>
  </si>
  <si>
    <t>Birewegge de la région 1pce</t>
  </si>
  <si>
    <t>Birewegge della regione 1pz</t>
  </si>
  <si>
    <t>Imp. 2 Regio Lf-Nr 5</t>
  </si>
  <si>
    <t>Bricelets aus der Region 1Stk</t>
  </si>
  <si>
    <t>Imp. 2 Regio Lf-Nr 6</t>
  </si>
  <si>
    <t>Brioche mit Füllung aus der Region 1Stk</t>
  </si>
  <si>
    <t>Brioche ripiena della regione 1pz</t>
  </si>
  <si>
    <t>Imp. 2 Regio Lf-Nr 7</t>
  </si>
  <si>
    <t>Brot vom Beck aus der Region</t>
  </si>
  <si>
    <t>Pain du boulanger de la région</t>
  </si>
  <si>
    <t>Pane del panettiere della regione</t>
  </si>
  <si>
    <t>Imp. 2 Regio Lf-Nr 8</t>
  </si>
  <si>
    <t>Brottheke aus der Region</t>
  </si>
  <si>
    <t>Comptoir à pain de la région</t>
  </si>
  <si>
    <t>Banco pane della regione</t>
  </si>
  <si>
    <t>Imp. 2 Regio Lf-Nr 9</t>
  </si>
  <si>
    <t>Imp. 2 Regio Lf-Nr 10</t>
  </si>
  <si>
    <t>Cornetto al burro della regione 1pz</t>
  </si>
  <si>
    <t>Imp. 2 Regio Lf-Nr 11</t>
  </si>
  <si>
    <t>Imp. 2 Regio Lf-Nr 12</t>
  </si>
  <si>
    <t>Imp. 2 Regio Lf-Nr 13</t>
  </si>
  <si>
    <t>Imp. 2 Regio Lf-Nr 14</t>
  </si>
  <si>
    <t>Ciabattina aus der Region 1Stk</t>
  </si>
  <si>
    <t>Ciabattina de la région 1pce</t>
  </si>
  <si>
    <t>Ciabattina della regione 1pz</t>
  </si>
  <si>
    <t>Imp. 2 Regio Lf-Nr 15</t>
  </si>
  <si>
    <t>Flûtes aus der Region 1Stk</t>
  </si>
  <si>
    <t>Flûtes della regione 1pz</t>
  </si>
  <si>
    <t>Imp. 2 Regio Lf-Nr 16</t>
  </si>
  <si>
    <t>Focaccia aus der Region 1Stk</t>
  </si>
  <si>
    <t>Focaccia de la région 1pce</t>
  </si>
  <si>
    <t>Focaccia della regione 1pz</t>
  </si>
  <si>
    <t>Imp. 2 Regio Lf-Nr 17</t>
  </si>
  <si>
    <t>Halbweissbrot aus der Region 500g</t>
  </si>
  <si>
    <t>Pain mi-blanc de la région 500g</t>
  </si>
  <si>
    <t>Pane semibianco della regione 500g</t>
  </si>
  <si>
    <t>Imp. 2 Regio Lf-Nr 22</t>
  </si>
  <si>
    <t>Pain mi-blanc de la région 1kg</t>
  </si>
  <si>
    <t>Pane semibianco della regione 1kg</t>
  </si>
  <si>
    <t>Imp. 2 Regio Lf-Nr 23</t>
  </si>
  <si>
    <t>Pain mi-blanc de la région 250g</t>
  </si>
  <si>
    <t>Pane semibianco della regione 250g</t>
  </si>
  <si>
    <t>Imp. 2 Regio Lf-Nr 24</t>
  </si>
  <si>
    <t>Imp. 2 Regio Lf-Nr 25</t>
  </si>
  <si>
    <t>Cornetto di sils della regione 1pz</t>
  </si>
  <si>
    <t>Imp. 2 Regio Lf-Nr 26</t>
  </si>
  <si>
    <t>Cornetto alle mandorle della regione 1pz</t>
  </si>
  <si>
    <t>Imp. 2 Regio Lf-Nr 27</t>
  </si>
  <si>
    <t>Croissant multicér. de la région 1pce</t>
  </si>
  <si>
    <t>Cornetto ai cereali della regione 1pz</t>
  </si>
  <si>
    <t>Imp. 2 Regio Lf-Nr 28</t>
  </si>
  <si>
    <t>Meringues régional de la région 1pce</t>
  </si>
  <si>
    <t>Imp. 2 Regio Lf-Nr 29</t>
  </si>
  <si>
    <t>Croissant aux noix de la région 1pce</t>
  </si>
  <si>
    <t>Cornetto alle noci della regione 1pz</t>
  </si>
  <si>
    <t>Imp. 2 Regio Lf-Nr 30</t>
  </si>
  <si>
    <t>Bâton aux noix de la région 1pce</t>
  </si>
  <si>
    <t>Bastoncino alle noci della regione 1pz</t>
  </si>
  <si>
    <t>Imp. 2 Regio Lf-Nr 31</t>
  </si>
  <si>
    <t>Pizza aus der Region 1Stk</t>
  </si>
  <si>
    <t>Imp. 2 Regio Lf-Nr 33</t>
  </si>
  <si>
    <t>Ruchbrot aus der Region 1kg</t>
  </si>
  <si>
    <t>Imp. 2 Regio Lf-Nr 35</t>
  </si>
  <si>
    <t>Ruchbrot aus der Region 500g</t>
  </si>
  <si>
    <t>Pane bigio della regione 500g</t>
  </si>
  <si>
    <t>Imp. 2 Regio Lf-Nr 36</t>
  </si>
  <si>
    <t>Pane bigio della regione 250g</t>
  </si>
  <si>
    <t>Imp. 2 Regio Lf-Nr 37</t>
  </si>
  <si>
    <t>Sandwichbrötli gross aus der Region 1Stk</t>
  </si>
  <si>
    <t>Pain sandwich grand de la région 1pce</t>
  </si>
  <si>
    <t>Pane per panino grande della regione 1pz</t>
  </si>
  <si>
    <t>Imp. 2 Regio Lf-Nr 39</t>
  </si>
  <si>
    <t>Sandwichbrötli klein aus der Region 1Stk</t>
  </si>
  <si>
    <t>Pain sandwich petit de la région 1pce</t>
  </si>
  <si>
    <t>Pane per panino picc. della regione 1pz</t>
  </si>
  <si>
    <t>Imp. 2 Regio Lf-Nr 40</t>
  </si>
  <si>
    <t>Schinkengipfel aus der Region 1Stk</t>
  </si>
  <si>
    <t>Cornetto al prosciutto della regione 1pz</t>
  </si>
  <si>
    <t>Imp. 2 Regio Lf-Nr 41</t>
  </si>
  <si>
    <t>Imp. 2 Regio Lf-Nr 43</t>
  </si>
  <si>
    <t>Cornetto al cioccolato della regione 1pz</t>
  </si>
  <si>
    <t>Imp. 2 Regio Lf-Nr 44</t>
  </si>
  <si>
    <t>Petit pain torsadé de la région 1pce</t>
  </si>
  <si>
    <t>Panino torciglione della regione 1pz</t>
  </si>
  <si>
    <t>Imp. 2 Regio Lf-Nr 45</t>
  </si>
  <si>
    <t>Ballon régional de la région 1pce</t>
  </si>
  <si>
    <t>Michetta della regione 1pz</t>
  </si>
  <si>
    <t>Imp. 2 Regio Lf-Nr 46</t>
  </si>
  <si>
    <t>Pain St-Gall de la région 250g</t>
  </si>
  <si>
    <t>Pane di San Gallo della regione 250g</t>
  </si>
  <si>
    <t>Imp. 2 Regio Lf-Nr 47</t>
  </si>
  <si>
    <t>Pain St-Gall de la région 500g</t>
  </si>
  <si>
    <t>Pane di San Gallo della regione 500g</t>
  </si>
  <si>
    <t>Imp. 2 Regio Lf-Nr 48</t>
  </si>
  <si>
    <t>Pane ticinese della regione 400g</t>
  </si>
  <si>
    <t>Imp. 2 Regio Lf-Nr 49</t>
  </si>
  <si>
    <t>Imp. 2 Regio Lf-Nr 50</t>
  </si>
  <si>
    <t>Cornetto alla vaniglia della regione 1pz</t>
  </si>
  <si>
    <t>Imp. 2 Regio Lf-Nr 51</t>
  </si>
  <si>
    <t>Friv. vanille-framb. de la région 1pce</t>
  </si>
  <si>
    <t>Sfoglia vanigl.-lamp. della regione 1pz</t>
  </si>
  <si>
    <t>Imp. 2 Regio Lf-Nr 52</t>
  </si>
  <si>
    <t>Bâton à la vanille de la région 1pce</t>
  </si>
  <si>
    <t>Bastoncino vaniglia della regione 1pz</t>
  </si>
  <si>
    <t>Imp. 2 Regio Lf-Nr 53</t>
  </si>
  <si>
    <t>Croissant complet de la région 1pce</t>
  </si>
  <si>
    <t>Cornetto integrale della regione 1pz</t>
  </si>
  <si>
    <t>Imp. 2 Regio Lf-Nr 54</t>
  </si>
  <si>
    <t>Michetta al latte della regione 1pz</t>
  </si>
  <si>
    <t>Imp. 2 Regio Lf-Nr 55</t>
  </si>
  <si>
    <t>Warengruppe&gt;&gt;Backwaren &amp; Convenience&gt;&gt;Convenience-Produkte&gt;&gt;Ready to cook</t>
  </si>
  <si>
    <t>Frische Pasta aus der Region 1Stk</t>
  </si>
  <si>
    <t>Pâtes fraîches de la région 1pce</t>
  </si>
  <si>
    <t>Pasta fresca della regione 1pz</t>
  </si>
  <si>
    <t>Imp. 2 Regio Lf-Nr 18</t>
  </si>
  <si>
    <t>Ravioli aus der Region 1Stk</t>
  </si>
  <si>
    <t>Ravioli de la région 1pce</t>
  </si>
  <si>
    <t>Imp. 2 Regio Lf-Nr 34</t>
  </si>
  <si>
    <t>Warengruppe&gt;&gt;Backwaren &amp; Convenience&gt;&gt;Convenience-Produkte&gt;&gt;Ready to eat</t>
  </si>
  <si>
    <t>Sandwich aus der Region (kg)</t>
  </si>
  <si>
    <t>Sandwich de la région (kg)</t>
  </si>
  <si>
    <t>Panino della regione (kg)</t>
  </si>
  <si>
    <t>Imp. 2 Regio Lf-Nr 38</t>
  </si>
  <si>
    <t>Sandwich aus der Region (Stk)</t>
  </si>
  <si>
    <t>Sandwich de la région (pce)</t>
  </si>
  <si>
    <t>Panino della regione (pz)</t>
  </si>
  <si>
    <t>Gastronomietheke aus der Region (kg)</t>
  </si>
  <si>
    <t>Comptoir gastronomie de la région (kg)</t>
  </si>
  <si>
    <t>Banco gastronomia della regione (kg)</t>
  </si>
  <si>
    <t>Imp. 2 Regio Lf-Nr 19</t>
  </si>
  <si>
    <t>Gastronomietheke aus der Region (Stk)</t>
  </si>
  <si>
    <t>Comptoir gastronomie de la région (pce)</t>
  </si>
  <si>
    <t>Banco gastronomia della regione (pz)</t>
  </si>
  <si>
    <t>Warengruppe&gt;&gt;Backwaren &amp; Convenience&gt;&gt;Tiefkühlprodukte&gt;&gt;Tiefkühlprodukte</t>
  </si>
  <si>
    <t>Glace Becher aus der Region 1Stk</t>
  </si>
  <si>
    <t>Glace gobelet de la région 1pce</t>
  </si>
  <si>
    <t>Gelato coppetta della regione 1pz</t>
  </si>
  <si>
    <t>Imp. 2 Regio Lf-Nr 20</t>
  </si>
  <si>
    <t>Glace Behälter aus der Region 500ml</t>
  </si>
  <si>
    <t>Glace bac de la région 500ml</t>
  </si>
  <si>
    <t>Gelato vaschetta della regione 500ml</t>
  </si>
  <si>
    <t>Imp. 2 Regio Lf-Nr 21</t>
  </si>
  <si>
    <t>Glace Behälter aus der Region 1l</t>
  </si>
  <si>
    <t>Glace bac de la région 1l</t>
  </si>
  <si>
    <t>Gelato vaschetta della regione 1l</t>
  </si>
  <si>
    <t>Warengruppe&gt;&gt;Food&gt;&gt;Grundnahrungsmittel&gt;&gt;Grundnahrungsmittel</t>
  </si>
  <si>
    <t>Imp. 2 Regio Lf-Nr 62</t>
  </si>
  <si>
    <t>Warengruppe&gt;&gt;Food&gt;&gt;Öl/Essig/Salatsaucen&gt;&gt;Öl/Essig/Salatsaucen</t>
  </si>
  <si>
    <t>Sauce à salade de la région 500ml</t>
  </si>
  <si>
    <t>Salsa per insalata della regione 500ml</t>
  </si>
  <si>
    <t>Imp. 2 Regio Lf-Nr 64</t>
  </si>
  <si>
    <t>Sauce à salade de la région 1l</t>
  </si>
  <si>
    <t>Salsa per insalata della regione 1l</t>
  </si>
  <si>
    <t>Warengruppe&gt;&gt;Food&gt;&gt;Schokolade&gt;&gt;Schokolade</t>
  </si>
  <si>
    <t>Mohrenkopf aus der Region 1Stk</t>
  </si>
  <si>
    <t>Tête de choco de la région 1pce</t>
  </si>
  <si>
    <t>Moretti della regione 1pz</t>
  </si>
  <si>
    <t>Imp. 2 Regio Lf-Nr 63</t>
  </si>
  <si>
    <t>Warengruppe&gt;&gt;Food&gt;&gt;Sonstige Nahrungsmittel&gt;&gt;Sonstige Nahrungsmittel</t>
  </si>
  <si>
    <t>Bénichon-Senf aus der Region 100g</t>
  </si>
  <si>
    <t>Moutarde de Bénichon de la région 100g</t>
  </si>
  <si>
    <t>Senape di Bénichon della regione 100g</t>
  </si>
  <si>
    <t>Imp. 2 Regio Lf-Nr 56</t>
  </si>
  <si>
    <t>Bénichon-Senf aus der Region 250g</t>
  </si>
  <si>
    <t>Moutarde de Bénichon de la région 250g</t>
  </si>
  <si>
    <t>Senape di Bénichon della regione 250g</t>
  </si>
  <si>
    <t>Geschenkkorb aus der Region 1Stk</t>
  </si>
  <si>
    <t>Panier cadeau de la région 1pce</t>
  </si>
  <si>
    <t>Cesto regalo della regione 1pz</t>
  </si>
  <si>
    <t>Imp. 2 Regio Lf-Nr 57</t>
  </si>
  <si>
    <t>Miel de la région 250g</t>
  </si>
  <si>
    <t>Imp. 2 Regio Lf-Nr 58</t>
  </si>
  <si>
    <t>Miel de la région 500g</t>
  </si>
  <si>
    <t>Imp. 2 Regio Lf-Nr 59</t>
  </si>
  <si>
    <t>Konfitüre aus der Region 150g</t>
  </si>
  <si>
    <t>Imp. 2 Regio Lf-Nr 61</t>
  </si>
  <si>
    <t>Konfitüre aus der Region 250g</t>
  </si>
  <si>
    <t>Konfitüre aus der Region 350g</t>
  </si>
  <si>
    <t>Konfitüre aus der Region 450g</t>
  </si>
  <si>
    <t>Warengruppe&gt;&gt;Food&gt;&gt;Zuckerconfiserie&gt;&gt;Zuckerconfiserie</t>
  </si>
  <si>
    <t>Karamell handgemacht aus der Region 1Stk</t>
  </si>
  <si>
    <t>Caramel artisanal de la région 1pce</t>
  </si>
  <si>
    <t>Caramello artigianale della regione 1pz</t>
  </si>
  <si>
    <t>Imp. 2 Regio Lf-Nr 60</t>
  </si>
  <si>
    <t>Warengruppe&gt;&gt;Frische&gt;&gt;Molkereiprodukte &amp; Eier &gt;&gt;Eier</t>
  </si>
  <si>
    <t>Eier aus der Region 4Stk</t>
  </si>
  <si>
    <t>Oeufs de la région 4pces</t>
  </si>
  <si>
    <t>Uova della regione 4pz</t>
  </si>
  <si>
    <t>Imp. 2 Regio Lf-Nr 74</t>
  </si>
  <si>
    <t>Oeufs de la région 10pces</t>
  </si>
  <si>
    <t>Uova della regione 10pz</t>
  </si>
  <si>
    <t>Imp. 2 Regio Lf-Nr 75</t>
  </si>
  <si>
    <t>Oeuf de la région 1pce</t>
  </si>
  <si>
    <t>Uovo della regione 1pz</t>
  </si>
  <si>
    <t>Imp. 2 Regio Lf-Nr 76</t>
  </si>
  <si>
    <t>Oeufs de la région 6pces</t>
  </si>
  <si>
    <t>Uova della regione 6pz</t>
  </si>
  <si>
    <t>Imp. 2 Regio Lf-Nr 77</t>
  </si>
  <si>
    <t>Picnic-Eier aus der Region 6Stk</t>
  </si>
  <si>
    <t>Uova picnic della regione 6pz</t>
  </si>
  <si>
    <t>Imp. 2 Regio Lf-Nr 94</t>
  </si>
  <si>
    <t>Oeuf picnic de la région 1pce</t>
  </si>
  <si>
    <t>Uovo picnic della regione 1pz</t>
  </si>
  <si>
    <t>Imp. 2 Regio Lf-Nr 95</t>
  </si>
  <si>
    <t>Wachteleier aus der Region 8Stk</t>
  </si>
  <si>
    <t>Oeufs de caille de la région 8pces</t>
  </si>
  <si>
    <t>Uova di quaglia della regione 8pz</t>
  </si>
  <si>
    <t>Imp. 2 Regio Lf-Nr 100</t>
  </si>
  <si>
    <t>Wachteleier aus der Region 6Stk</t>
  </si>
  <si>
    <t>Oeufs de caille de la région 6pces</t>
  </si>
  <si>
    <t>Uova di quaglia della regione 6pz</t>
  </si>
  <si>
    <t>Wachteleier aus der Region 1Stk</t>
  </si>
  <si>
    <t>Oeufs de caille de la région 1pce</t>
  </si>
  <si>
    <t>Uova di quaglia della regione 1pz</t>
  </si>
  <si>
    <t>Warengruppe&gt;&gt;Frische&gt;&gt;SB - Fleisch&gt;&gt;Fisch</t>
  </si>
  <si>
    <t>Filet de perche de la région 1pce</t>
  </si>
  <si>
    <t>Filetto di persico della regione 1pz</t>
  </si>
  <si>
    <t>Imp. 2 Regio Lf-Nr 73</t>
  </si>
  <si>
    <t>Warengruppe&gt;&gt;Frische&gt;&gt;SB - Fleisch&gt;&gt;Fleisch</t>
  </si>
  <si>
    <t>Rindstartar aus der Region 1Stk</t>
  </si>
  <si>
    <t>Tartare de boeuf de la région 1pce</t>
  </si>
  <si>
    <t>Tartare di manzo della regione 1pz</t>
  </si>
  <si>
    <t>Imp. 2 Regio Lf-Nr 98</t>
  </si>
  <si>
    <t>Warengruppe&gt;&gt;Frische&gt;&gt;Fleisch- und Wurstwaren&gt;&gt;Fleisch- und Wurstwaren andere</t>
  </si>
  <si>
    <t>Theke Wurstwaren aus der Region (kg)</t>
  </si>
  <si>
    <t>Comptoir charcuterie de la région (kg)</t>
  </si>
  <si>
    <t>Banco salumeria della regione (kg)</t>
  </si>
  <si>
    <t>Imp. 2 Regio Lf-Nr 99</t>
  </si>
  <si>
    <t>Theke Wurstwaren aus der Region (Stk)</t>
  </si>
  <si>
    <t>Comptoir charcuterie de la région (pce)</t>
  </si>
  <si>
    <t>Banco salumeria della regione (pz)</t>
  </si>
  <si>
    <t>Wurstwaren aus der Region (kg)</t>
  </si>
  <si>
    <t>Charcuterie de la région (kg)</t>
  </si>
  <si>
    <t>Salumi della regione (kg)</t>
  </si>
  <si>
    <t>Imp. 2 Regio Lf-Nr 101</t>
  </si>
  <si>
    <t>Wurstwaren aus der Region (Stk)</t>
  </si>
  <si>
    <t>Charcuterie de la région (pce)</t>
  </si>
  <si>
    <t>Salumi della regione (pz)</t>
  </si>
  <si>
    <t>Warengruppe&gt;&gt;Frische&gt;&gt;Käse&gt;&gt;Käse</t>
  </si>
  <si>
    <t>Büscion aus der Region 2Stk</t>
  </si>
  <si>
    <t>Büscion 2pces de la région 2pces</t>
  </si>
  <si>
    <t>Büscion della regione 2pz</t>
  </si>
  <si>
    <t>Imp. 2 Regio Lf-Nr 66</t>
  </si>
  <si>
    <t>Fondue aus der Region 400g</t>
  </si>
  <si>
    <t>Fondue de la région 400g</t>
  </si>
  <si>
    <t>Fondue della regione 400g</t>
  </si>
  <si>
    <t>Imp. 2 Regio Lf-Nr 79</t>
  </si>
  <si>
    <t>Fondue aus der Region 600g</t>
  </si>
  <si>
    <t>Fondue de la région 600g</t>
  </si>
  <si>
    <t>Fondue della regione 600g</t>
  </si>
  <si>
    <t>Imp. 2 Regio Lf-Nr 80</t>
  </si>
  <si>
    <t>Fondue aus der Region 800g</t>
  </si>
  <si>
    <t>Fondue de la région 800g</t>
  </si>
  <si>
    <t>Fondue della regione 800g</t>
  </si>
  <si>
    <t>Imp. 2 Regio Lf-Nr 81</t>
  </si>
  <si>
    <t>Frischkäse aus der Region 2Stk</t>
  </si>
  <si>
    <t>Formaggini freschi della regione 2pz</t>
  </si>
  <si>
    <t>Imp. 2 Regio Lf-Nr 82</t>
  </si>
  <si>
    <t>Gruyère aus der Region 1Stk</t>
  </si>
  <si>
    <t>Imp. 2 Regio Lf-Nr 83</t>
  </si>
  <si>
    <t>Käse Spezialitäten aus der Region (kg)</t>
  </si>
  <si>
    <t>Spécialités de fromage de la région (kg)</t>
  </si>
  <si>
    <t>Formaggi della regione (kg)</t>
  </si>
  <si>
    <t>Imp. 2 Regio Lf-Nr 87</t>
  </si>
  <si>
    <t>Käse Spezialitäten aus der Region (Stk)</t>
  </si>
  <si>
    <t>Formaggi della regione (pz)</t>
  </si>
  <si>
    <t>Käsetheke aus der Region (kg)</t>
  </si>
  <si>
    <t>Banco formaggi della regione (kg)</t>
  </si>
  <si>
    <t>Imp. 2 Regio Lf-Nr 88</t>
  </si>
  <si>
    <t>Käsetheke aus der Region (Stk)</t>
  </si>
  <si>
    <t>Banco formaggi della regione (pz)</t>
  </si>
  <si>
    <t>Mutschli aus der Region 1Stk</t>
  </si>
  <si>
    <t>Tomino della regione 1pz</t>
  </si>
  <si>
    <t>Imp. 2 Regio Lf-Nr 93</t>
  </si>
  <si>
    <t>Raclette aus der Region 1Stk</t>
  </si>
  <si>
    <t>Raclette della regione 1pz</t>
  </si>
  <si>
    <t>Imp. 2 Regio Lf-Nr 96</t>
  </si>
  <si>
    <t>Zincarlin aus der Region 1Stk</t>
  </si>
  <si>
    <t>Zincarlin de la région 1pce</t>
  </si>
  <si>
    <t>Zincarlin della regione 1pz</t>
  </si>
  <si>
    <t>Imp. 2 Regio Lf-Nr 102</t>
  </si>
  <si>
    <t>Warengruppe&gt;&gt;Frische&gt;&gt;Molkereiprodukte &amp; Eier &gt;&gt;Milchprodukte</t>
  </si>
  <si>
    <t>Imp. 2 Regio Lf-Nr 67</t>
  </si>
  <si>
    <t>Beurre de la région 200g</t>
  </si>
  <si>
    <t>Imp. 2 Regio Lf-Nr 68</t>
  </si>
  <si>
    <t>Beurre de la région 250g</t>
  </si>
  <si>
    <t>Imp. 2 Regio Lf-Nr 69</t>
  </si>
  <si>
    <t>Doppel-Rahm aus der Region 200ml</t>
  </si>
  <si>
    <t>Double crème de la région 200ml</t>
  </si>
  <si>
    <t>Panna doppia della regione 200ml</t>
  </si>
  <si>
    <t>Imp. 2 Regio Lf-Nr 71</t>
  </si>
  <si>
    <t>Doppel-Rahm aus der Region 250ml</t>
  </si>
  <si>
    <t>Double crème de la région 250ml</t>
  </si>
  <si>
    <t>Panna doppia della regione 250ml</t>
  </si>
  <si>
    <t>Imp. 2 Regio Lf-Nr 72</t>
  </si>
  <si>
    <t>Jogurt aus der Region 130g</t>
  </si>
  <si>
    <t>Yogourt de la région 130g</t>
  </si>
  <si>
    <t>Yogourt della regione 130g</t>
  </si>
  <si>
    <t>Imp. 2 Regio Lf-Nr 85</t>
  </si>
  <si>
    <t>Jogurt aus der Region 150g</t>
  </si>
  <si>
    <t>Yogourt de la région 150g</t>
  </si>
  <si>
    <t>Yogourt della regione 150g</t>
  </si>
  <si>
    <t>Jogurt aus der Region 180g</t>
  </si>
  <si>
    <t>Yogourt de la région 180g</t>
  </si>
  <si>
    <t>Yogourt della regione 180g</t>
  </si>
  <si>
    <t>Jogurt aus der Region 200g</t>
  </si>
  <si>
    <t>Yogourt de la région 200g</t>
  </si>
  <si>
    <t>Yogourt della regione 200g</t>
  </si>
  <si>
    <t>Jogurt aus der Region 250g</t>
  </si>
  <si>
    <t>Yogourt de la région 250g</t>
  </si>
  <si>
    <t>Yogourt della regione 250g</t>
  </si>
  <si>
    <t>Jogurt aus der Region 400g</t>
  </si>
  <si>
    <t>Yogourt de la région 400g</t>
  </si>
  <si>
    <t>Yogourt della regione 400g</t>
  </si>
  <si>
    <t>Imp. 2 Regio Lf-Nr 86</t>
  </si>
  <si>
    <t>Jogurt aus der Region 500g</t>
  </si>
  <si>
    <t>Yogourt de la région 500g</t>
  </si>
  <si>
    <t>Yogourt della regione 500g</t>
  </si>
  <si>
    <t>Beurre aux herbes de la région 40g</t>
  </si>
  <si>
    <t>Burro alle erbe della regione 40g</t>
  </si>
  <si>
    <t>Imp. 2 Regio Lf-Nr 89</t>
  </si>
  <si>
    <t>Beurre aux herbes de la région 60g</t>
  </si>
  <si>
    <t>Burro alle erbe della regione 60g</t>
  </si>
  <si>
    <t>Beurre aux herbes de la région 100g</t>
  </si>
  <si>
    <t>Burro alle erbe della regione 100g</t>
  </si>
  <si>
    <t>Molki Spezialitäten aus der Region (Stk)</t>
  </si>
  <si>
    <t>Spécialités laiterie de la région (pce)</t>
  </si>
  <si>
    <t>Imp. 2 Regio Lf-Nr 92</t>
  </si>
  <si>
    <t>Warengruppe&gt;&gt;Frische&gt;&gt;SB - Fleisch&gt;&gt;SB - Fleisch andere</t>
  </si>
  <si>
    <t>Fleischtheke aus der Region (kg)</t>
  </si>
  <si>
    <t>Imp. 2 Regio Lf-Nr 78</t>
  </si>
  <si>
    <t>Fleischtheke aus der Region (Stk)</t>
  </si>
  <si>
    <t>Warengruppe&gt;&gt;Frische&gt;&gt;Fleisch- und Wurstwaren&gt;&gt;Wurstwaren</t>
  </si>
  <si>
    <t>Schüblig contadino della regione 2pz</t>
  </si>
  <si>
    <t>Imp. 2 Regio Lf-Nr 65</t>
  </si>
  <si>
    <t>Imp. 2 Regio Lf-Nr 70</t>
  </si>
  <si>
    <t>Imp. 2 Regio Lf-Nr 84</t>
  </si>
  <si>
    <t>Sals. Landjäger scura della regione 2pz</t>
  </si>
  <si>
    <t>Imp. 2 Regio Lf-Nr 90</t>
  </si>
  <si>
    <t>Sals. Landjäger chiara della regione 2pz</t>
  </si>
  <si>
    <t>Imp. 2 Regio Lf-Nr 91</t>
  </si>
  <si>
    <t>Saucisse fumée de la région 2pces</t>
  </si>
  <si>
    <t>Imp. 2 Regio Lf-Nr 97</t>
  </si>
  <si>
    <t>Warengruppe&gt;&gt;Getränke&gt;&gt;Bier&gt;&gt;Bier</t>
  </si>
  <si>
    <t>Bier aus der Region 6x25cl</t>
  </si>
  <si>
    <t>Bière de la région 6x25cl</t>
  </si>
  <si>
    <t>Birra della regione 6x25cl</t>
  </si>
  <si>
    <t>Imp. 2 Regio Lf-Nr 109</t>
  </si>
  <si>
    <t>Bier aus der Region 4x25cl</t>
  </si>
  <si>
    <t>Bière de la région 4x25cl</t>
  </si>
  <si>
    <t>Birra della regione 4x25cl</t>
  </si>
  <si>
    <t>Bier aus der Region 25cl</t>
  </si>
  <si>
    <t>Bière de la région 25cl</t>
  </si>
  <si>
    <t>Birra della regione 25cl</t>
  </si>
  <si>
    <t>Bier aus der Region 10x33cl</t>
  </si>
  <si>
    <t>Bière de la région 10x33cl</t>
  </si>
  <si>
    <t>Birra della regione 10x33cl</t>
  </si>
  <si>
    <t>Imp. 2 Regio Lf-Nr 108</t>
  </si>
  <si>
    <t>Bier aus der Region 6x33cl</t>
  </si>
  <si>
    <t>Bière de la région 6x33cl</t>
  </si>
  <si>
    <t>Birra della regione 6x33cl</t>
  </si>
  <si>
    <t>Bier aus der Region 4x33cl</t>
  </si>
  <si>
    <t>Bière de la région 4x33cl</t>
  </si>
  <si>
    <t>Birra della regione 4x33cl</t>
  </si>
  <si>
    <t>Bier aus der Region 3x33cl</t>
  </si>
  <si>
    <t>Bière de la région 3x33cl</t>
  </si>
  <si>
    <t>Birra della regione 3x33cl</t>
  </si>
  <si>
    <t>Bier aus der Region 33cl</t>
  </si>
  <si>
    <t>Bière de la région 33cl</t>
  </si>
  <si>
    <t>Birra della regione 33cl</t>
  </si>
  <si>
    <t>Bier aus der Region 6x50cl</t>
  </si>
  <si>
    <t>Bière de la région 6x50cl</t>
  </si>
  <si>
    <t>Birra della regione 6x50cl</t>
  </si>
  <si>
    <t>Bier aus der Region 4x50cl</t>
  </si>
  <si>
    <t>Bière de la région 4x50cl</t>
  </si>
  <si>
    <t>Birra della regione 4x50cl</t>
  </si>
  <si>
    <t>Bier aus der Region 50cl</t>
  </si>
  <si>
    <t>Bière de la région 50cl</t>
  </si>
  <si>
    <t>Birra della regione 50cl</t>
  </si>
  <si>
    <t>Bier aus der Region 75cl</t>
  </si>
  <si>
    <t>Bière de la région 75cl</t>
  </si>
  <si>
    <t>Birra della regione 75cl</t>
  </si>
  <si>
    <t>Warengruppe&gt;&gt;Getränke&gt;&gt;Kaffee und Tee&gt;&gt;Kaffee</t>
  </si>
  <si>
    <t>Imp. 2 Regio Lf-Nr 114</t>
  </si>
  <si>
    <t>Kaffee to go (klein) aus der Region 1Stk</t>
  </si>
  <si>
    <t>Café to go (petit) de la région 1pce</t>
  </si>
  <si>
    <t>Caffè asporto (picc.) della regione 1pz</t>
  </si>
  <si>
    <t>Imp. 2 Regio Lf-Nr 115</t>
  </si>
  <si>
    <t>Café to go (moyen) de la région 1pce</t>
  </si>
  <si>
    <t>Caffè asporto (medio) della regione 1pz</t>
  </si>
  <si>
    <t>Kaffee to go (gross) aus der Region 1Stk</t>
  </si>
  <si>
    <t>Café to go (grand) de la région 1pce</t>
  </si>
  <si>
    <t>Caffè asporto (grande) della regione 1pz</t>
  </si>
  <si>
    <t>Warengruppe&gt;&gt;Getränke&gt;&gt;Spirituosen&gt;&gt;Spirituosen</t>
  </si>
  <si>
    <t>Absinth aus der Region 1l</t>
  </si>
  <si>
    <t>Absinthe de la région 1l</t>
  </si>
  <si>
    <t>Assenzio della regione 1l</t>
  </si>
  <si>
    <t>Imp. 2 Regio Lf-Nr 103</t>
  </si>
  <si>
    <t>Absinth aus der Region 50cl</t>
  </si>
  <si>
    <t>Absinthe de la région 50cl</t>
  </si>
  <si>
    <t>Assenzio della regione 50cl</t>
  </si>
  <si>
    <t>Imp. 2 Regio Lf-Nr 104</t>
  </si>
  <si>
    <t>Grappa aus der Region 1l</t>
  </si>
  <si>
    <t>Grappa de la région 1l</t>
  </si>
  <si>
    <t>Grappa della regione 1l</t>
  </si>
  <si>
    <t>Imp. 2 Regio Lf-Nr 111</t>
  </si>
  <si>
    <t>Grappa aus der Region 50cl</t>
  </si>
  <si>
    <t>Grappa de la région 50cl</t>
  </si>
  <si>
    <t>Grappa della regione 50cl</t>
  </si>
  <si>
    <t>Imp. 2 Regio Lf-Nr 112</t>
  </si>
  <si>
    <t>Grappa aus der Region 70cl</t>
  </si>
  <si>
    <t>Grappa de la région 70cl</t>
  </si>
  <si>
    <t>Grappa della regione 70cl</t>
  </si>
  <si>
    <t>Imp. 2 Regio Lf-Nr 113</t>
  </si>
  <si>
    <t>Limoncello aus der Region 1l</t>
  </si>
  <si>
    <t>Limoncello de la région 1l</t>
  </si>
  <si>
    <t>Limoncello della regione 1l</t>
  </si>
  <si>
    <t>Imp. 2 Regio Lf-Nr 117</t>
  </si>
  <si>
    <t>Nocino aus der Region 1l</t>
  </si>
  <si>
    <t>Nocino de la région 1l</t>
  </si>
  <si>
    <t>Nocino della regione 1l</t>
  </si>
  <si>
    <t>Imp. 2 Regio Lf-Nr 118</t>
  </si>
  <si>
    <t>Nocino aus der Region 50cl</t>
  </si>
  <si>
    <t>Nocino de la région 50cl</t>
  </si>
  <si>
    <t>Nocino della regione 50cl</t>
  </si>
  <si>
    <t>Imp. 2 Regio Lf-Nr 119</t>
  </si>
  <si>
    <t>Nocino aus der Region 70cl</t>
  </si>
  <si>
    <t>Nocino de la région 70cl</t>
  </si>
  <si>
    <t>Nocino della regione 70cl</t>
  </si>
  <si>
    <t>Imp. 2 Regio Lf-Nr 120</t>
  </si>
  <si>
    <t>Warengruppe&gt;&gt;Getränke&gt;&gt;Tafelgetränke&gt;&gt;Tafelgetränke</t>
  </si>
  <si>
    <t>Apfelsaft aus der Region 33cl</t>
  </si>
  <si>
    <t>Jus de pomme de la région 33cl</t>
  </si>
  <si>
    <t>Succo di mela della regione 33cl</t>
  </si>
  <si>
    <t>Imp. 2 Regio Lf-Nr 105</t>
  </si>
  <si>
    <t>Apfelsaft aus der Region 50cl</t>
  </si>
  <si>
    <t>Jus de pomme de la région 50cl</t>
  </si>
  <si>
    <t>Succo di mela della regione 50cl</t>
  </si>
  <si>
    <t>Apfelsaft aus der Region 1l</t>
  </si>
  <si>
    <t>Jus de pomme de la région 1l</t>
  </si>
  <si>
    <t>Succo di mela della regione 1l</t>
  </si>
  <si>
    <t>Apfelsaft aus der Region 1.5l</t>
  </si>
  <si>
    <t>Jus de pomme de la région 1.5l</t>
  </si>
  <si>
    <t>Succo di mela della regione 1.5l</t>
  </si>
  <si>
    <t>Apfelsaft aus der Region 10l</t>
  </si>
  <si>
    <t>Jus de pomme de la région 10l</t>
  </si>
  <si>
    <t>Succo di mela della regione 10l</t>
  </si>
  <si>
    <t>Imp. 2 Regio Lf-Nr 106</t>
  </si>
  <si>
    <t>Apfelsaft aus der Region 5l</t>
  </si>
  <si>
    <t>Jus de pomme de la région 5l</t>
  </si>
  <si>
    <t>Succo di mela della regione 5l</t>
  </si>
  <si>
    <t>Imp. 2 Regio Lf-Nr 107</t>
  </si>
  <si>
    <t>Apfelsaft aus der Region 3l</t>
  </si>
  <si>
    <t>Jus de pomme de la région 3l</t>
  </si>
  <si>
    <t>Succo di mela della regione 3l</t>
  </si>
  <si>
    <t>Apfelshorle aus der Region 33cl</t>
  </si>
  <si>
    <t>Jus de pomme pétillant de la région 33cl</t>
  </si>
  <si>
    <t>Succo di mela gassato della regione 33cl</t>
  </si>
  <si>
    <t>Imp. 2 Regio Lf-Nr 122</t>
  </si>
  <si>
    <t>Apfelshorle aus der Region 50cl</t>
  </si>
  <si>
    <t>Jus de pomme pétillant de la région 50cl</t>
  </si>
  <si>
    <t>Succo di mela gassato della regione 50cl</t>
  </si>
  <si>
    <t>Apfelshorle aus der Region 1l</t>
  </si>
  <si>
    <t>Jus de pomme pétillant de la région 1l</t>
  </si>
  <si>
    <t>Succo di mela gassato della regione 1l</t>
  </si>
  <si>
    <t>Apfelshorle aus der Region 1.5l</t>
  </si>
  <si>
    <t>Jus de pomme pétillant de la région 1.5l</t>
  </si>
  <si>
    <t>Succo di mela gassato della regione 1.5l</t>
  </si>
  <si>
    <t>Apfelwein aus der Region 33cl</t>
  </si>
  <si>
    <t>Vin de pomme de la région 33cl</t>
  </si>
  <si>
    <t>Vino di mele della regione 33cl</t>
  </si>
  <si>
    <t>Apfelwein aus der Region 50cl</t>
  </si>
  <si>
    <t>Vin de pomme de la région 50cl</t>
  </si>
  <si>
    <t>Vino di mele della regione 50cl</t>
  </si>
  <si>
    <t>Apfelwein aus der Region 75cl</t>
  </si>
  <si>
    <t>Vin de pomme de la région 75cl</t>
  </si>
  <si>
    <t>Vino di mele della regione 75cl</t>
  </si>
  <si>
    <t>Apfelwein aus der Region 1l</t>
  </si>
  <si>
    <t>Vin de pomme de la région 1l</t>
  </si>
  <si>
    <t>Vino di mele della regione 1l</t>
  </si>
  <si>
    <t>Apfelwein aus der Region 1.5l</t>
  </si>
  <si>
    <t>Vin de pomme de la région 1.5l</t>
  </si>
  <si>
    <t>Vino di mele della regione 1.5l</t>
  </si>
  <si>
    <t>Cider aus der Region 33cl</t>
  </si>
  <si>
    <t>Cidre de la région 33cl</t>
  </si>
  <si>
    <t>Sidro della regione 33cl</t>
  </si>
  <si>
    <t>Imp. 2 Regio Lf-Nr 121</t>
  </si>
  <si>
    <t>Cider aus der Region 50cl</t>
  </si>
  <si>
    <t>Cidre de la région 50cl</t>
  </si>
  <si>
    <t>Sidro della regione 50cl</t>
  </si>
  <si>
    <t>Cider aus der Region 75cl</t>
  </si>
  <si>
    <t>Cidre de la région 75cl</t>
  </si>
  <si>
    <t>Sidro della regione 75cl</t>
  </si>
  <si>
    <t>Cider aus der Region 1l</t>
  </si>
  <si>
    <t>Cidre de la région 1l</t>
  </si>
  <si>
    <t>Sidro della regione 1l</t>
  </si>
  <si>
    <t>Sirup aus der Region 35cl</t>
  </si>
  <si>
    <t>Sciroppo della regione 35cl</t>
  </si>
  <si>
    <t>Sirup aus der Region 50cl</t>
  </si>
  <si>
    <t>Sciroppo della regione 50cl</t>
  </si>
  <si>
    <t>Sirup aus der Region 75cl</t>
  </si>
  <si>
    <t>Sciroppo della regione 75cl</t>
  </si>
  <si>
    <t>Sirup aus der Region 1l</t>
  </si>
  <si>
    <t>Sciroppo della regione 1l</t>
  </si>
  <si>
    <t>Warengruppe&gt;&gt;Getränke&gt;&gt;Kaffee und Tee&gt;&gt;Tee</t>
  </si>
  <si>
    <t>Imp. 2 Regio Lf-Nr 123</t>
  </si>
  <si>
    <t>Warengruppe&gt;&gt;Near Food&gt;&gt;Gebrauchsartikel&gt;&gt;Gebrauchsartikel</t>
  </si>
  <si>
    <t>Gasflasche (Stahl) mit Depot 10.5kg</t>
  </si>
  <si>
    <t>Bteille gaz (acier) avec dépôt 10.5kg</t>
  </si>
  <si>
    <t>Bomb. gas (acciaio) con deposito 10.5kg</t>
  </si>
  <si>
    <t>Imp. 2 Regio Lf-Nr 129</t>
  </si>
  <si>
    <t>Gasflasche (Stahl) mit Depot 5kg</t>
  </si>
  <si>
    <t>Bteille gaz (acier) avec dépôt 5kg</t>
  </si>
  <si>
    <t>Bomb. gas (acciaio) con deposito 5kg</t>
  </si>
  <si>
    <t>Imp. 2 Regio Lf-Nr 130</t>
  </si>
  <si>
    <t>Gasflasche (Stahl) mit Depot 33kg</t>
  </si>
  <si>
    <t>Bteille gaz (acier) avec dépôt 33kg</t>
  </si>
  <si>
    <t>Bomb. gas (acciaio) con deposito 33kg</t>
  </si>
  <si>
    <t>Imp. 2 Regio Lf-Nr 131</t>
  </si>
  <si>
    <t>Gasflasche (Stahl) mit Depot 35kg</t>
  </si>
  <si>
    <t>Bteille gaz (acier) avec dépôt 35kg</t>
  </si>
  <si>
    <t>Bomb. gas (acciaio) con deposito 35kg</t>
  </si>
  <si>
    <t>Imp. 2 Regio Lf-Nr 132</t>
  </si>
  <si>
    <t>Gasflasche (Stahl) mit Depot 7.5kg</t>
  </si>
  <si>
    <t>Bteille gaz (acier) avec dépôt 7.5kg</t>
  </si>
  <si>
    <t>Bomb. gas (acciaio) con deposito 7.5kg</t>
  </si>
  <si>
    <t>Imp. 2 Regio Lf-Nr 133</t>
  </si>
  <si>
    <t>Gasflasche (Composite) mit Depot 10.5kg</t>
  </si>
  <si>
    <t>Bteille gaz (compos.) avec dépôt 10.5kg</t>
  </si>
  <si>
    <t>Gasflasche (Composite) mit Depot 5kg</t>
  </si>
  <si>
    <t>Bteille gaz (compos.) avec dépôt 5kg</t>
  </si>
  <si>
    <t>Bomb. gas (composite) con deposito 5kg</t>
  </si>
  <si>
    <t>Gasflasche (Composite) mit Depot 33kg</t>
  </si>
  <si>
    <t>Bteille gaz (compos.) avec dépôt 33kg</t>
  </si>
  <si>
    <t>Bomb. gas (composite) con deposito 33kg</t>
  </si>
  <si>
    <t>Gasflasche (Composite) mit Depot 35kg</t>
  </si>
  <si>
    <t>Bteille gaz (compos.) avec dépôt 35kg</t>
  </si>
  <si>
    <t>Bomb. gas (composite) con deposito 35kg</t>
  </si>
  <si>
    <t>Gasflasche (Composite) mit Depot 7.5kg</t>
  </si>
  <si>
    <t>Bteille gaz (compos.) avec dépôt 7.5kg</t>
  </si>
  <si>
    <t>Bomb. gas (composite) con deposito 7.5kg</t>
  </si>
  <si>
    <t>Holz 1Stk</t>
  </si>
  <si>
    <t>Bois de chauffage 1pce</t>
  </si>
  <si>
    <t>Legna da ardere 1pz</t>
  </si>
  <si>
    <t>Imp. 2 Regio Lf-Nr 139</t>
  </si>
  <si>
    <t>Holzkohle 1Stk</t>
  </si>
  <si>
    <t>Charbon de bois 1pce</t>
  </si>
  <si>
    <t>Carbone 1pz</t>
  </si>
  <si>
    <t>Imp. 2 Regio Lf-Nr 140</t>
  </si>
  <si>
    <t>Karten 1Stk</t>
  </si>
  <si>
    <t>Cartoline 1pz</t>
  </si>
  <si>
    <t>Imp. 2 Regio Lf-Nr 141</t>
  </si>
  <si>
    <t>Pellets 1Stk</t>
  </si>
  <si>
    <t>Pellets 1pce</t>
  </si>
  <si>
    <t>Pellet 1pz</t>
  </si>
  <si>
    <t>Imp. 2 Regio Lf-Nr 142</t>
  </si>
  <si>
    <t>Zeitschriften 1Stk</t>
  </si>
  <si>
    <t>Magazines 1pce</t>
  </si>
  <si>
    <t>Riviste 1pz</t>
  </si>
  <si>
    <t>Imp. 2 Regio Lf-Nr 144</t>
  </si>
  <si>
    <t>Warengruppe&gt;&gt;Near Food&gt;&gt;Gebrauchsartikel&gt;&gt;Gebührensäcke und Marken</t>
  </si>
  <si>
    <t>Bündelmarke 1Stk</t>
  </si>
  <si>
    <t>Marque de regroupement 1pce</t>
  </si>
  <si>
    <t>Tagliando tarif. fasci 1pz</t>
  </si>
  <si>
    <t>Imp. 2 Regio Lf-Nr 124</t>
  </si>
  <si>
    <t>Bande de conteneur 1pce</t>
  </si>
  <si>
    <t>Fascia per contenitore 1pz</t>
  </si>
  <si>
    <t>Imp. 2 Regio Lf-Nr 125</t>
  </si>
  <si>
    <t>Bande de conteneur 240l</t>
  </si>
  <si>
    <t>Fascia per contenitore 240l</t>
  </si>
  <si>
    <t>Imp. 2 Regio Lf-Nr 126</t>
  </si>
  <si>
    <t>Bande de conteneur 800l</t>
  </si>
  <si>
    <t>Fascia per contenitore 800l</t>
  </si>
  <si>
    <t>Imp. 2 Regio Lf-Nr 127</t>
  </si>
  <si>
    <t>Bande de conteneur 250l</t>
  </si>
  <si>
    <t>Fascia per contenitore 250l</t>
  </si>
  <si>
    <t>Imp. 2 Regio Lf-Nr 128</t>
  </si>
  <si>
    <t>Gebührenmarke Sperrgut 1Stk</t>
  </si>
  <si>
    <t>Timbre-taxe encombr. 1pce</t>
  </si>
  <si>
    <t>Tagliando tarif. ing. 1pz</t>
  </si>
  <si>
    <t>Imp. 2 Regio Lf-Nr 134</t>
  </si>
  <si>
    <t>Sacs poubelles taxés 110l</t>
  </si>
  <si>
    <t>Imp. 2 Regio Lf-Nr 135</t>
  </si>
  <si>
    <t>Sacs poubelles taxés 17l</t>
  </si>
  <si>
    <t>Imp. 2 Regio Lf-Nr 136</t>
  </si>
  <si>
    <t>Sacs poubelles taxés 35l</t>
  </si>
  <si>
    <t>Imp. 2 Regio Lf-Nr 137</t>
  </si>
  <si>
    <t>Sacs poubelles taxés 60l</t>
  </si>
  <si>
    <t>Imp. 2 Regio Lf-Nr 138</t>
  </si>
  <si>
    <t>Plastikmüllsäcke 1Stk</t>
  </si>
  <si>
    <t>Sacs poubelles plast. 1pce</t>
  </si>
  <si>
    <t>Sacchi rifiuti plast. 1pz</t>
  </si>
  <si>
    <t>Imp. 2 Regio Lf-Nr 143</t>
  </si>
  <si>
    <t>Warengruppe&gt;&gt;Nicht-Handelsware&gt;&gt;Non-Merchandise&gt;&gt;Dienstleistungen</t>
  </si>
  <si>
    <t>Lieferpauschale 1Stk</t>
  </si>
  <si>
    <t>Frais de livraison 1pce</t>
  </si>
  <si>
    <t>Costi di consegna 1pz</t>
  </si>
  <si>
    <t>Imp. 2 Regio Lf-Nr 146</t>
  </si>
  <si>
    <t>Warengruppe&gt;&gt;Nicht-Handelsware&gt;&gt;Kasse&gt;&gt;Gutschein, Voucher</t>
  </si>
  <si>
    <t>Gutschein 1Stk</t>
  </si>
  <si>
    <t>Bon cadeau 1pce</t>
  </si>
  <si>
    <t>Imp. 2 Regio Lf-Nr 145</t>
  </si>
  <si>
    <t>Warengruppe&gt;&gt;Wein&gt;&gt;Weine&gt;&gt;Wein andere</t>
  </si>
  <si>
    <t>Vin cuit aus der Region 50cl</t>
  </si>
  <si>
    <t>Vin cuit della regione 50cl</t>
  </si>
  <si>
    <t>Imp. 2 Regio Lf-Nr 147</t>
  </si>
  <si>
    <t>Vin cuit della regione 75cl</t>
  </si>
  <si>
    <t>Vin cuit della regione 1l</t>
  </si>
  <si>
    <t>Vanille-Himbeer Plunder Region 1Stk</t>
  </si>
  <si>
    <t>Spécialités de fromage région (pce)</t>
  </si>
  <si>
    <t>Specialità di latteria regione (pz)</t>
  </si>
  <si>
    <t>Sauc. Landjäger foncée région 2pces</t>
  </si>
  <si>
    <t>Sauc. Landjäger claire région 2pces</t>
  </si>
  <si>
    <t>Kaffee to go (mittel) Region 1Stk</t>
  </si>
  <si>
    <t>Bomb. gas (composite) deposito 10.5kg</t>
  </si>
  <si>
    <t>Baguette de la région 250g</t>
  </si>
  <si>
    <t>Pain bâlois de la région 250g</t>
  </si>
  <si>
    <t>Pane di Basilea della regione 250g</t>
  </si>
  <si>
    <t>Pain bâlois de la région 500g</t>
  </si>
  <si>
    <t>Pane di Basilea della regione 500g</t>
  </si>
  <si>
    <t>Boule de Berlin de la région 1pce</t>
  </si>
  <si>
    <t>Bricelets de la région 1pce</t>
  </si>
  <si>
    <t>Bricelets della regione 1pz</t>
  </si>
  <si>
    <t>Brioche fourée de la région 1pce</t>
  </si>
  <si>
    <t>Bürli aus der Region 1Stk</t>
  </si>
  <si>
    <t>Bürli de la région 1pce</t>
  </si>
  <si>
    <t>Bürli della regione 1pz</t>
  </si>
  <si>
    <t>Buttergipfel aus der Region 1Stk</t>
  </si>
  <si>
    <t>Croissant au beurre de la région 1pce</t>
  </si>
  <si>
    <t>Butterzopf aus der Region 300g</t>
  </si>
  <si>
    <t>Tresse de la région 300g</t>
  </si>
  <si>
    <t>Treccia della regione 300g</t>
  </si>
  <si>
    <t>Butterzopf aus der Region 500g</t>
  </si>
  <si>
    <t>Tresse de la région 500g</t>
  </si>
  <si>
    <t>Treccia della regione 500g</t>
  </si>
  <si>
    <t>Butterzopf aus der Region 700g</t>
  </si>
  <si>
    <t>Tresse de la région 700g</t>
  </si>
  <si>
    <t>Treccia della regione 700g</t>
  </si>
  <si>
    <t>Flûtes de la région 1pce</t>
  </si>
  <si>
    <t>Halbweissbrot aus der Region 1kg</t>
  </si>
  <si>
    <t>Halbweissbrot aus der Region 250g</t>
  </si>
  <si>
    <t>Laugenbrötli aus der Region 1Stk</t>
  </si>
  <si>
    <t>Petits pains sils de la région 1pce</t>
  </si>
  <si>
    <t>Panino di sils della regione 1pz</t>
  </si>
  <si>
    <t>Laugengipfel aus der Region 1Stk</t>
  </si>
  <si>
    <t>Croissant sils de la région 1pce</t>
  </si>
  <si>
    <t>Mandelgipfel aus der Region 1Stk</t>
  </si>
  <si>
    <t>Croissant aux amandes de la région 1pce</t>
  </si>
  <si>
    <t>Mehrkorngipfel aus der Region 1Stk</t>
  </si>
  <si>
    <t>Meringues aus der Region 1Stk</t>
  </si>
  <si>
    <t>Meringhe della regione 1pz</t>
  </si>
  <si>
    <t>Nussgipfel aus der Region 1Stk</t>
  </si>
  <si>
    <t>Nuss-Stange aus der Region 1Stk</t>
  </si>
  <si>
    <t>Pizza de la région 1pce</t>
  </si>
  <si>
    <t>Pizza della regione 1pz</t>
  </si>
  <si>
    <t>Pain bis de la région 1kg</t>
  </si>
  <si>
    <t>Pane bigio della regione 1kg</t>
  </si>
  <si>
    <t>Pain bis de la région 500g</t>
  </si>
  <si>
    <t>Ruchbrot aus der Region 250g</t>
  </si>
  <si>
    <t>Pain bis de la région 250g</t>
  </si>
  <si>
    <t>Croissant au jambon de la région 1pce</t>
  </si>
  <si>
    <t>Schoggibrötli aus der Region 1Stk</t>
  </si>
  <si>
    <t>Pain au chocolat de la région 1pce</t>
  </si>
  <si>
    <t>Panino al cioccolato della regione 1pz</t>
  </si>
  <si>
    <t>Schoggigipfel aus der Region 1Stk</t>
  </si>
  <si>
    <t>Croissant au chocolat de la région 1pce</t>
  </si>
  <si>
    <t>Schraubenbrötli aus der Region 1Stk</t>
  </si>
  <si>
    <t>Semmeli aus der Region 1Stk</t>
  </si>
  <si>
    <t>St. Gallerbrot aus der Region 250g</t>
  </si>
  <si>
    <t>St. Gallerbrot aus der Region 500g</t>
  </si>
  <si>
    <t>Tessinerbrot aus der Region 400g</t>
  </si>
  <si>
    <t>Pain tessinois de la région 400g</t>
  </si>
  <si>
    <t>Vanillebrötli aus der Region 1Stk</t>
  </si>
  <si>
    <t>Petit pain vanille de la région 1pce</t>
  </si>
  <si>
    <t>Panino alla vaniglia della regione 1pz</t>
  </si>
  <si>
    <t>Vanillegipfel aus der Region 1Stk</t>
  </si>
  <si>
    <t>Croissant vanille de la région 1pce</t>
  </si>
  <si>
    <t>Vanille-Stange aus der Region 1Stk</t>
  </si>
  <si>
    <t>Vollkorngipfel aus der Region 1Stk</t>
  </si>
  <si>
    <t>Weggli aus der Region 1Stk</t>
  </si>
  <si>
    <t>Pain au lait de la région 1pce</t>
  </si>
  <si>
    <t>Ravioli della regione 1pz</t>
  </si>
  <si>
    <t>Mehl aus der Region 500g</t>
  </si>
  <si>
    <t>Farine de la région 500g</t>
  </si>
  <si>
    <t>Farina della regione 500g</t>
  </si>
  <si>
    <t>Mehl aus der Region 1kg</t>
  </si>
  <si>
    <t>Farine de la région 1kg</t>
  </si>
  <si>
    <t>Farina della regione 1kg</t>
  </si>
  <si>
    <t>Salatsauce aus der Region 500ml</t>
  </si>
  <si>
    <t>Salatsauce aus der Region 1l</t>
  </si>
  <si>
    <t>Honig aus der Region 250g</t>
  </si>
  <si>
    <t>Miele della regione 250g</t>
  </si>
  <si>
    <t>Honig aus der Region 500g</t>
  </si>
  <si>
    <t>Miele della regione 500g</t>
  </si>
  <si>
    <t>Confiture de la région 150g</t>
  </si>
  <si>
    <t>Confettura della regione 150g</t>
  </si>
  <si>
    <t>Confiture de la région 250g</t>
  </si>
  <si>
    <t>Confettura della regione 250g</t>
  </si>
  <si>
    <t>Confiture de la région 350g</t>
  </si>
  <si>
    <t>Confettura della regione 350g</t>
  </si>
  <si>
    <t>Confiture de la région 450g</t>
  </si>
  <si>
    <t>Confettura della regione 450g</t>
  </si>
  <si>
    <t>Eier aus der Region 10Stk</t>
  </si>
  <si>
    <t>Eier aus der Region 1Stk</t>
  </si>
  <si>
    <t>Eier aus der Region 6Stk</t>
  </si>
  <si>
    <t>Oeufs picnic de la région 6pces</t>
  </si>
  <si>
    <t>Picnic-Eier aus der Region 1Stk</t>
  </si>
  <si>
    <t>Eglifilet aus der Region 1Stk</t>
  </si>
  <si>
    <t>Fromage frais de la région 2pces</t>
  </si>
  <si>
    <t>Gruyère de la région 1pce</t>
  </si>
  <si>
    <t>Gruyère della regione 1pz</t>
  </si>
  <si>
    <t>Fromagerie de la région (kg)</t>
  </si>
  <si>
    <t>Fromagerie de la région (pce)</t>
  </si>
  <si>
    <t>Tomme de la région 1pce</t>
  </si>
  <si>
    <t>Raclette de la région 1pce</t>
  </si>
  <si>
    <t>Butter aus der Region 100g</t>
  </si>
  <si>
    <t>Beurre de la région 100g</t>
  </si>
  <si>
    <t>Burro della regione 100g</t>
  </si>
  <si>
    <t>Butter aus der Region 200g</t>
  </si>
  <si>
    <t>Burro della regione 200g</t>
  </si>
  <si>
    <t>Butter aus der Region 250g</t>
  </si>
  <si>
    <t>Burro della regione 250g</t>
  </si>
  <si>
    <t>Kräuterbutter aus der Region 40g</t>
  </si>
  <si>
    <t>Kräuterbutter aus der Region 60g</t>
  </si>
  <si>
    <t>Kräuterbutter aus der Region 100g</t>
  </si>
  <si>
    <t>Boucherie de la région (kg)</t>
  </si>
  <si>
    <t>Banco carni della regione (kg)</t>
  </si>
  <si>
    <t>Boucherie de la région (pce)</t>
  </si>
  <si>
    <t>Banco carni della regione (pz)</t>
  </si>
  <si>
    <t>Bauernschüblig aus der Region 2Stk</t>
  </si>
  <si>
    <t>Schüblig de la région 2pces</t>
  </si>
  <si>
    <t>Cervelat aus der Region 2Stk</t>
  </si>
  <si>
    <t>Cervelas de la région 2pces</t>
  </si>
  <si>
    <t>Cervelat della regione 2pz</t>
  </si>
  <si>
    <t>Hauswurst aus der Region 2Stk</t>
  </si>
  <si>
    <t>Saucisse de la région 2pces</t>
  </si>
  <si>
    <t>Salsiccia della regione 2pz</t>
  </si>
  <si>
    <t>Landjäger dunkel aus der Region 2Stk</t>
  </si>
  <si>
    <t>Landjäger hell aus der Region 2Stk</t>
  </si>
  <si>
    <t>Rauchwurst aus der Region 2Stk</t>
  </si>
  <si>
    <t>Salsiccia affumicata della regione 2pz</t>
  </si>
  <si>
    <t>Kaffee aus der Region 250g</t>
  </si>
  <si>
    <t>Café de la région 250g</t>
  </si>
  <si>
    <t>Caffè della regione 250g</t>
  </si>
  <si>
    <t>Kaffee aus der Region 500g</t>
  </si>
  <si>
    <t>Café de la région 500g</t>
  </si>
  <si>
    <t>Caffè della regione 500g</t>
  </si>
  <si>
    <t>Kaffee aus der Region 1kg</t>
  </si>
  <si>
    <t>Café de la région 1kg</t>
  </si>
  <si>
    <t>Caffè della regione 1kg</t>
  </si>
  <si>
    <t>Sirop de la région 35cl</t>
  </si>
  <si>
    <t>Sirop de la région 50cl</t>
  </si>
  <si>
    <t>Sirop de la région 75cl</t>
  </si>
  <si>
    <t>Sirop de la région 1l</t>
  </si>
  <si>
    <t>Tee aus der Region 50g</t>
  </si>
  <si>
    <t>Thé de la région 50g</t>
  </si>
  <si>
    <t>Tè della regione 50g</t>
  </si>
  <si>
    <t>Tee aus der Region 100g</t>
  </si>
  <si>
    <t>Thé de la région 100g</t>
  </si>
  <si>
    <t>Tè della regione 100g</t>
  </si>
  <si>
    <t>Cartes 1pce</t>
  </si>
  <si>
    <t>Buono regalo 1pz</t>
  </si>
  <si>
    <t>Vin cuit de la région 50cl</t>
  </si>
  <si>
    <t>Vin cuit aus der Region 75cl</t>
  </si>
  <si>
    <t>Vin cuit de la région 75cl</t>
  </si>
  <si>
    <t>Vin cuit aus der Region 1l</t>
  </si>
  <si>
    <t>Vin cuit de la région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</si>
</sst>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95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2" fontId="0" fillId="0" borderId="0" xfId="0" applyNumberFormat="1"/>
    <xf numFmtId="165" fontId="0" fillId="0" borderId="0" xfId="0" applyNumberFormat="1"/>
    <xf numFmtId="0" fontId="33" fillId="0" borderId="5" xfId="0" applyFont="1" applyBorder="1" applyAlignment="1">
      <alignment vertical="top"/>
    </xf>
    <xf numFmtId="0" fontId="33" fillId="28" borderId="5" xfId="0" applyFont="1" applyFill="1" applyBorder="1" applyAlignment="1">
      <alignment horizontal="left" vertical="top" wrapText="1"/>
    </xf>
    <xf numFmtId="0" fontId="33" fillId="28" borderId="5" xfId="0" applyFont="1" applyFill="1" applyBorder="1" applyAlignment="1">
      <alignment horizontal="left" vertical="top"/>
    </xf>
    <xf numFmtId="165" fontId="33" fillId="28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7" borderId="5" xfId="0" applyFill="1" applyBorder="1" applyAlignment="1">
      <alignment horizontal="left"/>
    </xf>
    <xf numFmtId="1" fontId="0" fillId="27" borderId="5" xfId="0" applyNumberFormat="1" applyFill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0" fontId="0" fillId="27" borderId="5" xfId="0" quotePrefix="1" applyFill="1" applyBorder="1" applyAlignment="1">
      <alignment horizontal="left"/>
    </xf>
    <xf numFmtId="2" fontId="0" fillId="27" borderId="5" xfId="0" applyNumberFormat="1" applyFill="1" applyBorder="1" applyAlignment="1">
      <alignment horizontal="left"/>
    </xf>
    <xf numFmtId="2" fontId="0" fillId="27" borderId="5" xfId="0" quotePrefix="1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29" borderId="0" xfId="0" applyFill="1"/>
    <xf numFmtId="49" fontId="0" fillId="29" borderId="0" xfId="0" applyNumberFormat="1" applyFill="1"/>
    <xf numFmtId="164" fontId="0" fillId="29" borderId="0" xfId="0" applyNumberFormat="1" applyFill="1"/>
    <xf numFmtId="0" fontId="0" fillId="30" borderId="0" xfId="0" applyFill="1"/>
    <xf numFmtId="49" fontId="0" fillId="30" borderId="0" xfId="0" applyNumberFormat="1" applyFill="1"/>
    <xf numFmtId="1" fontId="0" fillId="30" borderId="0" xfId="0" applyNumberFormat="1" applyFill="1"/>
    <xf numFmtId="166" fontId="0" fillId="0" borderId="4" xfId="0" applyNumberFormat="1" applyBorder="1" applyAlignment="1">
      <alignment horizontal="left" vertical="center"/>
    </xf>
    <xf numFmtId="0" fontId="35" fillId="8" borderId="0" xfId="0" applyFont="1" applyFill="1" applyAlignment="1">
      <alignment horizontal="center" vertical="center"/>
    </xf>
    <xf numFmtId="0" fontId="12" fillId="8" borderId="0" xfId="0" applyFont="1" applyFill="1"/>
    <xf numFmtId="0" fontId="14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  <xf numFmtId="1" fontId="33" fillId="28" borderId="5" xfId="0" applyNumberFormat="1" applyFont="1" applyFill="1" applyBorder="1" applyAlignment="1">
      <alignment horizontal="left" vertical="top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R907"/>
  <sheetViews>
    <sheetView tabSelected="1" topLeftCell="I1" zoomScale="96" zoomScaleNormal="96" workbookViewId="0">
      <pane ySplit="2" topLeftCell="A207" activePane="bottomLeft" state="frozen"/>
      <selection pane="bottomLeft" activeCell="I3" sqref="A3:XFD209"/>
    </sheetView>
  </sheetViews>
  <sheetFormatPr defaultRowHeight="21.75" customHeight="1" x14ac:dyDescent="0.45"/>
  <cols>
    <col min="1" max="1" width="5.9296875" style="52" bestFit="1" customWidth="1"/>
    <col min="2" max="2" width="7.6640625" style="52" bestFit="1" customWidth="1"/>
    <col min="3" max="3" width="33.9296875" style="52" bestFit="1" customWidth="1"/>
    <col min="4" max="4" width="39.265625" style="52" bestFit="1" customWidth="1"/>
    <col min="5" max="5" width="15.06640625" style="53" bestFit="1" customWidth="1"/>
    <col min="6" max="6" width="72.33203125" style="53" bestFit="1" customWidth="1"/>
    <col min="7" max="7" width="20.46484375" style="53" bestFit="1" customWidth="1"/>
    <col min="8" max="8" width="28.06640625" style="53" bestFit="1" customWidth="1"/>
    <col min="9" max="9" width="15.3984375" style="53" bestFit="1" customWidth="1"/>
    <col min="10" max="10" width="20.53125" style="53" customWidth="1"/>
    <col min="11" max="11" width="23" style="53" customWidth="1"/>
    <col min="12" max="12" width="35.73046875" style="52" bestFit="1" customWidth="1"/>
    <col min="13" max="13" width="34.9296875" style="53" bestFit="1" customWidth="1"/>
    <col min="14" max="14" width="35" style="53" bestFit="1" customWidth="1"/>
    <col min="15" max="15" width="23.73046875" style="53" customWidth="1"/>
    <col min="16" max="16" width="22.86328125" style="53" bestFit="1" customWidth="1"/>
    <col min="17" max="17" width="22.265625" style="53" bestFit="1" customWidth="1"/>
    <col min="18" max="18" width="23.73046875" style="52" bestFit="1" customWidth="1"/>
    <col min="19" max="19" width="22.86328125" style="52" bestFit="1" customWidth="1"/>
    <col min="20" max="20" width="22.265625" style="52" bestFit="1" customWidth="1"/>
    <col min="21" max="21" width="28.73046875" style="53" bestFit="1" customWidth="1"/>
    <col min="22" max="22" width="27.796875" style="53" bestFit="1" customWidth="1"/>
    <col min="23" max="23" width="27.1328125" style="53" bestFit="1" customWidth="1"/>
    <col min="24" max="24" width="37.1328125" style="52" customWidth="1"/>
    <col min="25" max="26" width="34.06640625" style="52" customWidth="1"/>
    <col min="27" max="27" width="9.86328125" style="62" bestFit="1" customWidth="1"/>
    <col min="28" max="28" width="33.46484375" style="53" bestFit="1" customWidth="1"/>
    <col min="29" max="29" width="21.19921875" style="64" bestFit="1" customWidth="1"/>
    <col min="30" max="30" width="22.86328125" style="53" bestFit="1" customWidth="1"/>
    <col min="31" max="31" width="22.59765625" style="53" bestFit="1" customWidth="1"/>
    <col min="32" max="32" width="48.19921875" style="53" customWidth="1"/>
    <col min="33" max="33" width="25" style="53" bestFit="1" customWidth="1"/>
    <col min="34" max="34" width="15" style="53" bestFit="1" customWidth="1"/>
    <col min="35" max="35" width="17.33203125" style="53" bestFit="1" customWidth="1"/>
    <col min="36" max="36" width="23.1328125" style="53" bestFit="1" customWidth="1"/>
    <col min="37" max="37" width="20.46484375" style="53" bestFit="1" customWidth="1"/>
    <col min="38" max="38" width="11.3984375" style="53" bestFit="1" customWidth="1"/>
    <col min="39" max="39" width="13.19921875" style="53" bestFit="1" customWidth="1"/>
    <col min="40" max="40" width="33.46484375" style="53" bestFit="1" customWidth="1"/>
    <col min="41" max="41" width="16.33203125" style="64" customWidth="1"/>
    <col min="42" max="42" width="26.73046875" style="64" bestFit="1" customWidth="1"/>
    <col min="43" max="43" width="19.1328125" style="64" bestFit="1" customWidth="1"/>
    <col min="44" max="44" width="9.06640625" style="30"/>
    <col min="45" max="16384" width="9.06640625" style="52"/>
  </cols>
  <sheetData>
    <row r="1" spans="1:44" ht="21.75" customHeight="1" x14ac:dyDescent="0.45">
      <c r="A1" s="79" t="s">
        <v>29</v>
      </c>
      <c r="B1" s="85"/>
      <c r="C1" s="85"/>
      <c r="D1" s="85"/>
      <c r="E1" s="86" t="s">
        <v>32</v>
      </c>
      <c r="F1" s="80"/>
      <c r="G1" s="54" t="s">
        <v>34</v>
      </c>
      <c r="H1" s="87" t="s">
        <v>38</v>
      </c>
      <c r="I1" s="80"/>
      <c r="J1" s="88" t="s">
        <v>41</v>
      </c>
      <c r="K1" s="80"/>
      <c r="L1" s="89" t="s">
        <v>38</v>
      </c>
      <c r="M1" s="80"/>
      <c r="N1" s="80"/>
      <c r="O1" s="79" t="s">
        <v>51</v>
      </c>
      <c r="P1" s="80"/>
      <c r="Q1" s="80"/>
      <c r="R1" s="80"/>
      <c r="S1" s="80"/>
      <c r="T1" s="80"/>
      <c r="U1" s="81" t="s">
        <v>41</v>
      </c>
      <c r="V1" s="80"/>
      <c r="W1" s="80"/>
      <c r="X1" s="80"/>
      <c r="Y1" s="80"/>
      <c r="Z1" s="80"/>
      <c r="AA1" s="82" t="s">
        <v>38</v>
      </c>
      <c r="AB1" s="80"/>
      <c r="AC1" s="80"/>
      <c r="AD1" s="80"/>
      <c r="AE1" s="80"/>
      <c r="AF1" s="80"/>
      <c r="AG1" s="80"/>
      <c r="AH1" s="83" t="s">
        <v>69</v>
      </c>
      <c r="AI1" s="80"/>
      <c r="AJ1" s="80"/>
      <c r="AK1" s="80"/>
      <c r="AL1" s="80"/>
      <c r="AM1" s="84" t="s">
        <v>41</v>
      </c>
      <c r="AN1" s="80"/>
      <c r="AO1" s="80"/>
      <c r="AP1" s="80"/>
      <c r="AQ1" s="80"/>
      <c r="AR1" s="52"/>
    </row>
    <row r="2" spans="1:44" ht="14.25" x14ac:dyDescent="0.45">
      <c r="A2" s="55" t="s">
        <v>26</v>
      </c>
      <c r="B2" s="56" t="s">
        <v>15</v>
      </c>
      <c r="C2" s="55" t="s">
        <v>27</v>
      </c>
      <c r="D2" s="55" t="s">
        <v>28</v>
      </c>
      <c r="E2" s="56" t="s">
        <v>30</v>
      </c>
      <c r="F2" s="56" t="s">
        <v>31</v>
      </c>
      <c r="G2" s="57" t="s">
        <v>33</v>
      </c>
      <c r="H2" s="58" t="s">
        <v>35</v>
      </c>
      <c r="I2" s="58" t="s">
        <v>36</v>
      </c>
      <c r="J2" s="59" t="s">
        <v>37</v>
      </c>
      <c r="K2" s="59" t="s">
        <v>39</v>
      </c>
      <c r="L2" s="58" t="s">
        <v>40</v>
      </c>
      <c r="M2" s="58" t="s">
        <v>42</v>
      </c>
      <c r="N2" s="58" t="s">
        <v>43</v>
      </c>
      <c r="O2" s="58" t="s">
        <v>44</v>
      </c>
      <c r="P2" s="58" t="s">
        <v>45</v>
      </c>
      <c r="Q2" s="58" t="s">
        <v>46</v>
      </c>
      <c r="R2" s="57" t="s">
        <v>47</v>
      </c>
      <c r="S2" s="57" t="s">
        <v>48</v>
      </c>
      <c r="T2" s="57" t="s">
        <v>49</v>
      </c>
      <c r="U2" s="57" t="s">
        <v>50</v>
      </c>
      <c r="V2" s="57" t="s">
        <v>52</v>
      </c>
      <c r="W2" s="57" t="s">
        <v>53</v>
      </c>
      <c r="X2" s="58" t="s">
        <v>54</v>
      </c>
      <c r="Y2" s="58" t="s">
        <v>55</v>
      </c>
      <c r="Z2" s="58" t="s">
        <v>56</v>
      </c>
      <c r="AA2" s="60" t="s">
        <v>57</v>
      </c>
      <c r="AB2" s="58" t="s">
        <v>58</v>
      </c>
      <c r="AC2" s="60" t="s">
        <v>59</v>
      </c>
      <c r="AD2" s="58" t="s">
        <v>60</v>
      </c>
      <c r="AE2" s="58" t="s">
        <v>61</v>
      </c>
      <c r="AF2" s="57" t="s">
        <v>900</v>
      </c>
      <c r="AG2" s="57" t="s">
        <v>62</v>
      </c>
      <c r="AH2" s="58" t="s">
        <v>63</v>
      </c>
      <c r="AI2" s="57" t="s">
        <v>64</v>
      </c>
      <c r="AJ2" s="58" t="s">
        <v>65</v>
      </c>
      <c r="AK2" s="57" t="s">
        <v>66</v>
      </c>
      <c r="AL2" s="57" t="s">
        <v>67</v>
      </c>
      <c r="AM2" s="57" t="s">
        <v>68</v>
      </c>
      <c r="AN2" s="59" t="s">
        <v>70</v>
      </c>
      <c r="AO2" s="77" t="s">
        <v>899</v>
      </c>
      <c r="AP2" s="77" t="s">
        <v>1022</v>
      </c>
      <c r="AQ2" s="60" t="s">
        <v>71</v>
      </c>
      <c r="AR2" s="78" t="s">
        <v>1023</v>
      </c>
    </row>
    <row r="3" spans="1:44" ht="21.75" customHeight="1" x14ac:dyDescent="0.45">
      <c r="B3" s="52" t="s">
        <v>99</v>
      </c>
      <c r="E3" s="53" t="s">
        <v>87</v>
      </c>
      <c r="F3" s="52" t="s">
        <v>1216</v>
      </c>
      <c r="H3" s="53" t="s">
        <v>109</v>
      </c>
      <c r="J3" s="76">
        <v>700</v>
      </c>
      <c r="L3" s="52" t="s">
        <v>1217</v>
      </c>
      <c r="M3" s="52" t="s">
        <v>1845</v>
      </c>
      <c r="N3" s="52" t="s">
        <v>1218</v>
      </c>
      <c r="O3" s="52" t="s">
        <v>253</v>
      </c>
      <c r="P3" s="52" t="s">
        <v>1025</v>
      </c>
      <c r="Q3" s="52" t="s">
        <v>253</v>
      </c>
      <c r="R3" s="52" t="s">
        <v>254</v>
      </c>
      <c r="S3" s="52" t="s">
        <v>257</v>
      </c>
      <c r="T3" s="52" t="s">
        <v>258</v>
      </c>
      <c r="U3" s="52" t="s">
        <v>255</v>
      </c>
      <c r="V3" s="52" t="s">
        <v>255</v>
      </c>
      <c r="W3" s="52" t="s">
        <v>255</v>
      </c>
      <c r="X3" s="52" t="s">
        <v>256</v>
      </c>
      <c r="Y3" s="52" t="s">
        <v>256</v>
      </c>
      <c r="Z3" s="52" t="s">
        <v>256</v>
      </c>
      <c r="AA3" s="61">
        <v>0.25</v>
      </c>
      <c r="AB3" s="52" t="s">
        <v>130</v>
      </c>
      <c r="AC3" s="63">
        <v>100</v>
      </c>
      <c r="AD3" s="52" t="s">
        <v>169</v>
      </c>
      <c r="AE3" s="53" t="s">
        <v>179</v>
      </c>
      <c r="AF3" s="65">
        <v>0</v>
      </c>
      <c r="AG3" s="53" t="s">
        <v>192</v>
      </c>
      <c r="AH3" s="52" t="s">
        <v>219</v>
      </c>
      <c r="AI3" s="52" t="s">
        <v>219</v>
      </c>
      <c r="AJ3" s="52" t="s">
        <v>219</v>
      </c>
      <c r="AK3" s="52" t="s">
        <v>219</v>
      </c>
      <c r="AL3" s="52" t="s">
        <v>1024</v>
      </c>
      <c r="AM3" s="52" t="s">
        <v>1219</v>
      </c>
      <c r="AN3" s="52" t="s">
        <v>1220</v>
      </c>
      <c r="AO3" s="64" t="s">
        <v>219</v>
      </c>
      <c r="AP3" s="63" t="s">
        <v>1221</v>
      </c>
      <c r="AQ3" s="64" t="s">
        <v>217</v>
      </c>
      <c r="AR3" s="30" t="s">
        <v>219</v>
      </c>
    </row>
    <row r="4" spans="1:44" ht="21.75" customHeight="1" x14ac:dyDescent="0.45">
      <c r="B4" s="52" t="s">
        <v>99</v>
      </c>
      <c r="E4" s="53" t="s">
        <v>87</v>
      </c>
      <c r="F4" s="52" t="s">
        <v>1216</v>
      </c>
      <c r="H4" s="53" t="s">
        <v>109</v>
      </c>
      <c r="J4" s="76">
        <v>701</v>
      </c>
      <c r="L4" s="52" t="s">
        <v>1222</v>
      </c>
      <c r="M4" s="52" t="s">
        <v>1846</v>
      </c>
      <c r="N4" s="52" t="s">
        <v>1847</v>
      </c>
      <c r="O4" s="52" t="s">
        <v>264</v>
      </c>
      <c r="P4" s="52" t="s">
        <v>1026</v>
      </c>
      <c r="Q4" s="52" t="s">
        <v>1027</v>
      </c>
      <c r="R4" s="52" t="s">
        <v>254</v>
      </c>
      <c r="S4" s="52" t="s">
        <v>257</v>
      </c>
      <c r="T4" s="52" t="s">
        <v>258</v>
      </c>
      <c r="U4" s="52" t="s">
        <v>255</v>
      </c>
      <c r="V4" s="52" t="s">
        <v>255</v>
      </c>
      <c r="W4" s="52" t="s">
        <v>255</v>
      </c>
      <c r="X4" s="52" t="s">
        <v>265</v>
      </c>
      <c r="Y4" s="52" t="s">
        <v>266</v>
      </c>
      <c r="Z4" s="52" t="s">
        <v>267</v>
      </c>
      <c r="AA4" s="61">
        <v>0.25</v>
      </c>
      <c r="AB4" s="52" t="s">
        <v>130</v>
      </c>
      <c r="AC4" s="63">
        <v>100</v>
      </c>
      <c r="AD4" s="52" t="s">
        <v>169</v>
      </c>
      <c r="AE4" s="53" t="s">
        <v>179</v>
      </c>
      <c r="AF4" s="65">
        <v>0</v>
      </c>
      <c r="AG4" s="53" t="s">
        <v>192</v>
      </c>
      <c r="AH4" s="52" t="s">
        <v>219</v>
      </c>
      <c r="AI4" s="52" t="s">
        <v>219</v>
      </c>
      <c r="AJ4" s="52" t="s">
        <v>219</v>
      </c>
      <c r="AK4" s="52" t="s">
        <v>219</v>
      </c>
      <c r="AL4" s="52" t="s">
        <v>1024</v>
      </c>
      <c r="AM4" s="52" t="s">
        <v>1219</v>
      </c>
      <c r="AN4" s="52" t="s">
        <v>1220</v>
      </c>
      <c r="AO4" s="64" t="s">
        <v>219</v>
      </c>
      <c r="AP4" s="63" t="s">
        <v>1223</v>
      </c>
      <c r="AQ4" s="64" t="s">
        <v>217</v>
      </c>
      <c r="AR4" s="30" t="s">
        <v>219</v>
      </c>
    </row>
    <row r="5" spans="1:44" ht="21.75" customHeight="1" x14ac:dyDescent="0.45">
      <c r="B5" s="52" t="s">
        <v>99</v>
      </c>
      <c r="E5" s="53" t="s">
        <v>87</v>
      </c>
      <c r="F5" s="52" t="s">
        <v>1216</v>
      </c>
      <c r="H5" s="53" t="s">
        <v>109</v>
      </c>
      <c r="J5" s="76">
        <v>702</v>
      </c>
      <c r="L5" s="52" t="s">
        <v>1224</v>
      </c>
      <c r="M5" s="52" t="s">
        <v>1848</v>
      </c>
      <c r="N5" s="52" t="s">
        <v>1849</v>
      </c>
      <c r="O5" s="52" t="s">
        <v>264</v>
      </c>
      <c r="P5" s="52" t="s">
        <v>1026</v>
      </c>
      <c r="Q5" s="52" t="s">
        <v>1027</v>
      </c>
      <c r="R5" s="52" t="s">
        <v>254</v>
      </c>
      <c r="S5" s="52" t="s">
        <v>257</v>
      </c>
      <c r="T5" s="52" t="s">
        <v>258</v>
      </c>
      <c r="U5" s="52" t="s">
        <v>268</v>
      </c>
      <c r="V5" s="52" t="s">
        <v>268</v>
      </c>
      <c r="W5" s="52" t="s">
        <v>268</v>
      </c>
      <c r="X5" s="52" t="s">
        <v>269</v>
      </c>
      <c r="Y5" s="52" t="s">
        <v>270</v>
      </c>
      <c r="Z5" s="52" t="s">
        <v>271</v>
      </c>
      <c r="AA5" s="61">
        <v>0.5</v>
      </c>
      <c r="AB5" s="52" t="s">
        <v>130</v>
      </c>
      <c r="AC5" s="63">
        <v>100</v>
      </c>
      <c r="AD5" s="52" t="s">
        <v>169</v>
      </c>
      <c r="AE5" s="53" t="s">
        <v>179</v>
      </c>
      <c r="AF5" s="65">
        <v>0</v>
      </c>
      <c r="AG5" s="53" t="s">
        <v>192</v>
      </c>
      <c r="AH5" s="52" t="s">
        <v>219</v>
      </c>
      <c r="AI5" s="52" t="s">
        <v>219</v>
      </c>
      <c r="AJ5" s="52" t="s">
        <v>219</v>
      </c>
      <c r="AK5" s="52" t="s">
        <v>219</v>
      </c>
      <c r="AL5" s="52" t="s">
        <v>1024</v>
      </c>
      <c r="AM5" s="52" t="s">
        <v>1219</v>
      </c>
      <c r="AN5" s="52" t="s">
        <v>1220</v>
      </c>
      <c r="AO5" s="64" t="s">
        <v>219</v>
      </c>
      <c r="AP5" s="63" t="s">
        <v>1225</v>
      </c>
      <c r="AQ5" s="64" t="s">
        <v>217</v>
      </c>
      <c r="AR5" s="30" t="s">
        <v>219</v>
      </c>
    </row>
    <row r="6" spans="1:44" ht="21.75" customHeight="1" x14ac:dyDescent="0.45">
      <c r="B6" s="52" t="s">
        <v>99</v>
      </c>
      <c r="E6" s="53" t="s">
        <v>87</v>
      </c>
      <c r="F6" s="52" t="s">
        <v>1216</v>
      </c>
      <c r="H6" s="53" t="s">
        <v>109</v>
      </c>
      <c r="J6" s="76">
        <v>703</v>
      </c>
      <c r="L6" s="52" t="s">
        <v>1226</v>
      </c>
      <c r="M6" s="52" t="s">
        <v>1850</v>
      </c>
      <c r="N6" s="52" t="s">
        <v>1227</v>
      </c>
      <c r="O6" s="52" t="s">
        <v>272</v>
      </c>
      <c r="P6" s="52" t="s">
        <v>1028</v>
      </c>
      <c r="Q6" s="52" t="s">
        <v>272</v>
      </c>
      <c r="R6" s="52" t="s">
        <v>254</v>
      </c>
      <c r="S6" s="52" t="s">
        <v>257</v>
      </c>
      <c r="T6" s="52" t="s">
        <v>258</v>
      </c>
      <c r="U6" s="52" t="s">
        <v>273</v>
      </c>
      <c r="V6" s="52" t="s">
        <v>274</v>
      </c>
      <c r="W6" s="52" t="s">
        <v>275</v>
      </c>
      <c r="X6" s="52" t="s">
        <v>272</v>
      </c>
      <c r="Y6" s="52" t="s">
        <v>1028</v>
      </c>
      <c r="Z6" s="52" t="s">
        <v>272</v>
      </c>
      <c r="AA6" s="61">
        <v>1</v>
      </c>
      <c r="AB6" s="52" t="s">
        <v>137</v>
      </c>
      <c r="AC6" s="63">
        <v>1</v>
      </c>
      <c r="AD6" s="52" t="s">
        <v>169</v>
      </c>
      <c r="AE6" s="53" t="s">
        <v>179</v>
      </c>
      <c r="AF6" s="65">
        <v>0</v>
      </c>
      <c r="AG6" s="53" t="s">
        <v>192</v>
      </c>
      <c r="AH6" s="52" t="s">
        <v>219</v>
      </c>
      <c r="AI6" s="52" t="s">
        <v>219</v>
      </c>
      <c r="AJ6" s="52" t="s">
        <v>219</v>
      </c>
      <c r="AK6" s="52" t="s">
        <v>219</v>
      </c>
      <c r="AL6" s="52" t="s">
        <v>1024</v>
      </c>
      <c r="AM6" s="52" t="s">
        <v>1219</v>
      </c>
      <c r="AN6" s="52" t="s">
        <v>1220</v>
      </c>
      <c r="AO6" s="64" t="s">
        <v>219</v>
      </c>
      <c r="AP6" s="63" t="s">
        <v>1228</v>
      </c>
      <c r="AQ6" s="64" t="s">
        <v>217</v>
      </c>
      <c r="AR6" s="30" t="s">
        <v>219</v>
      </c>
    </row>
    <row r="7" spans="1:44" ht="21.75" customHeight="1" x14ac:dyDescent="0.45">
      <c r="B7" s="52" t="s">
        <v>99</v>
      </c>
      <c r="E7" s="53" t="s">
        <v>87</v>
      </c>
      <c r="F7" s="52" t="s">
        <v>1216</v>
      </c>
      <c r="H7" s="53" t="s">
        <v>109</v>
      </c>
      <c r="J7" s="76">
        <v>704</v>
      </c>
      <c r="L7" s="52" t="s">
        <v>1229</v>
      </c>
      <c r="M7" s="52" t="s">
        <v>1230</v>
      </c>
      <c r="N7" s="52" t="s">
        <v>1231</v>
      </c>
      <c r="O7" s="52" t="s">
        <v>276</v>
      </c>
      <c r="P7" s="52" t="s">
        <v>276</v>
      </c>
      <c r="Q7" s="52" t="s">
        <v>276</v>
      </c>
      <c r="R7" s="52" t="s">
        <v>254</v>
      </c>
      <c r="S7" s="52" t="s">
        <v>257</v>
      </c>
      <c r="T7" s="52" t="s">
        <v>258</v>
      </c>
      <c r="U7" s="52" t="s">
        <v>273</v>
      </c>
      <c r="V7" s="52" t="s">
        <v>274</v>
      </c>
      <c r="W7" s="52" t="s">
        <v>275</v>
      </c>
      <c r="X7" s="52" t="s">
        <v>276</v>
      </c>
      <c r="Y7" s="52" t="s">
        <v>276</v>
      </c>
      <c r="Z7" s="52" t="s">
        <v>276</v>
      </c>
      <c r="AA7" s="61">
        <v>1</v>
      </c>
      <c r="AB7" s="52" t="s">
        <v>137</v>
      </c>
      <c r="AC7" s="63">
        <v>1</v>
      </c>
      <c r="AD7" s="52" t="s">
        <v>169</v>
      </c>
      <c r="AE7" s="53" t="s">
        <v>179</v>
      </c>
      <c r="AF7" s="65">
        <v>0</v>
      </c>
      <c r="AG7" s="53" t="s">
        <v>192</v>
      </c>
      <c r="AH7" s="52" t="s">
        <v>219</v>
      </c>
      <c r="AI7" s="52" t="s">
        <v>219</v>
      </c>
      <c r="AJ7" s="52" t="s">
        <v>219</v>
      </c>
      <c r="AK7" s="52" t="s">
        <v>219</v>
      </c>
      <c r="AL7" s="52" t="s">
        <v>1024</v>
      </c>
      <c r="AM7" s="52" t="s">
        <v>1219</v>
      </c>
      <c r="AN7" s="52" t="s">
        <v>1220</v>
      </c>
      <c r="AO7" s="64" t="s">
        <v>219</v>
      </c>
      <c r="AP7" s="63" t="s">
        <v>1232</v>
      </c>
      <c r="AQ7" s="64" t="s">
        <v>217</v>
      </c>
      <c r="AR7" s="30" t="s">
        <v>219</v>
      </c>
    </row>
    <row r="8" spans="1:44" ht="21.75" customHeight="1" x14ac:dyDescent="0.45">
      <c r="B8" s="52" t="s">
        <v>99</v>
      </c>
      <c r="E8" s="53" t="s">
        <v>87</v>
      </c>
      <c r="F8" s="52" t="s">
        <v>1216</v>
      </c>
      <c r="H8" s="53" t="s">
        <v>109</v>
      </c>
      <c r="J8" s="76">
        <v>705</v>
      </c>
      <c r="L8" s="52" t="s">
        <v>1233</v>
      </c>
      <c r="M8" s="52" t="s">
        <v>1851</v>
      </c>
      <c r="N8" s="52" t="s">
        <v>1852</v>
      </c>
      <c r="O8" s="52" t="s">
        <v>277</v>
      </c>
      <c r="P8" s="52" t="s">
        <v>1029</v>
      </c>
      <c r="Q8" s="52" t="s">
        <v>1029</v>
      </c>
      <c r="R8" s="52" t="s">
        <v>254</v>
      </c>
      <c r="S8" s="52" t="s">
        <v>257</v>
      </c>
      <c r="T8" s="52" t="s">
        <v>258</v>
      </c>
      <c r="U8" s="52" t="s">
        <v>273</v>
      </c>
      <c r="V8" s="52" t="s">
        <v>274</v>
      </c>
      <c r="W8" s="52" t="s">
        <v>275</v>
      </c>
      <c r="X8" s="52" t="s">
        <v>277</v>
      </c>
      <c r="Y8" s="52" t="s">
        <v>1029</v>
      </c>
      <c r="Z8" s="52" t="s">
        <v>1029</v>
      </c>
      <c r="AA8" s="61">
        <v>1</v>
      </c>
      <c r="AB8" s="52" t="s">
        <v>137</v>
      </c>
      <c r="AC8" s="63">
        <v>1</v>
      </c>
      <c r="AD8" s="52" t="s">
        <v>169</v>
      </c>
      <c r="AE8" s="53" t="s">
        <v>179</v>
      </c>
      <c r="AF8" s="65">
        <v>0</v>
      </c>
      <c r="AG8" s="53" t="s">
        <v>192</v>
      </c>
      <c r="AH8" s="52" t="s">
        <v>219</v>
      </c>
      <c r="AI8" s="52" t="s">
        <v>219</v>
      </c>
      <c r="AJ8" s="52" t="s">
        <v>219</v>
      </c>
      <c r="AK8" s="52" t="s">
        <v>219</v>
      </c>
      <c r="AL8" s="52" t="s">
        <v>1024</v>
      </c>
      <c r="AM8" s="52" t="s">
        <v>1219</v>
      </c>
      <c r="AN8" s="52" t="s">
        <v>1220</v>
      </c>
      <c r="AO8" s="64" t="s">
        <v>219</v>
      </c>
      <c r="AP8" s="63" t="s">
        <v>1234</v>
      </c>
      <c r="AQ8" s="64" t="s">
        <v>217</v>
      </c>
      <c r="AR8" s="30" t="s">
        <v>219</v>
      </c>
    </row>
    <row r="9" spans="1:44" ht="21.75" customHeight="1" x14ac:dyDescent="0.45">
      <c r="B9" s="52" t="s">
        <v>99</v>
      </c>
      <c r="E9" s="53" t="s">
        <v>87</v>
      </c>
      <c r="F9" s="52" t="s">
        <v>1216</v>
      </c>
      <c r="H9" s="53" t="s">
        <v>109</v>
      </c>
      <c r="J9" s="76">
        <v>706</v>
      </c>
      <c r="L9" s="52" t="s">
        <v>1235</v>
      </c>
      <c r="M9" s="52" t="s">
        <v>1853</v>
      </c>
      <c r="N9" s="52" t="s">
        <v>1236</v>
      </c>
      <c r="O9" s="52" t="s">
        <v>278</v>
      </c>
      <c r="P9" s="52" t="s">
        <v>1030</v>
      </c>
      <c r="Q9" s="52" t="s">
        <v>279</v>
      </c>
      <c r="R9" s="52" t="s">
        <v>254</v>
      </c>
      <c r="S9" s="52" t="s">
        <v>257</v>
      </c>
      <c r="T9" s="52" t="s">
        <v>258</v>
      </c>
      <c r="U9" s="52" t="s">
        <v>273</v>
      </c>
      <c r="V9" s="52" t="s">
        <v>274</v>
      </c>
      <c r="W9" s="52" t="s">
        <v>275</v>
      </c>
      <c r="X9" s="52" t="s">
        <v>278</v>
      </c>
      <c r="Y9" s="52" t="s">
        <v>1030</v>
      </c>
      <c r="Z9" s="52" t="s">
        <v>279</v>
      </c>
      <c r="AA9" s="61">
        <v>1</v>
      </c>
      <c r="AB9" s="52" t="s">
        <v>137</v>
      </c>
      <c r="AC9" s="63">
        <v>1</v>
      </c>
      <c r="AD9" s="52" t="s">
        <v>169</v>
      </c>
      <c r="AE9" s="53" t="s">
        <v>179</v>
      </c>
      <c r="AF9" s="65">
        <v>0</v>
      </c>
      <c r="AG9" s="53" t="s">
        <v>192</v>
      </c>
      <c r="AH9" s="52" t="s">
        <v>219</v>
      </c>
      <c r="AI9" s="52" t="s">
        <v>219</v>
      </c>
      <c r="AJ9" s="52" t="s">
        <v>219</v>
      </c>
      <c r="AK9" s="52" t="s">
        <v>219</v>
      </c>
      <c r="AL9" s="52" t="s">
        <v>1024</v>
      </c>
      <c r="AM9" s="52" t="s">
        <v>1219</v>
      </c>
      <c r="AN9" s="52" t="s">
        <v>1220</v>
      </c>
      <c r="AO9" s="64" t="s">
        <v>219</v>
      </c>
      <c r="AP9" s="63" t="s">
        <v>1237</v>
      </c>
      <c r="AQ9" s="64" t="s">
        <v>217</v>
      </c>
      <c r="AR9" s="30" t="s">
        <v>219</v>
      </c>
    </row>
    <row r="10" spans="1:44" ht="21.75" customHeight="1" x14ac:dyDescent="0.45">
      <c r="B10" s="52" t="s">
        <v>99</v>
      </c>
      <c r="E10" s="53" t="s">
        <v>87</v>
      </c>
      <c r="F10" s="52" t="s">
        <v>1216</v>
      </c>
      <c r="H10" s="53" t="s">
        <v>109</v>
      </c>
      <c r="J10" s="76">
        <v>707</v>
      </c>
      <c r="L10" s="52" t="s">
        <v>1238</v>
      </c>
      <c r="M10" s="52" t="s">
        <v>1239</v>
      </c>
      <c r="N10" s="52" t="s">
        <v>1240</v>
      </c>
      <c r="O10" s="52" t="s">
        <v>280</v>
      </c>
      <c r="P10" s="52" t="s">
        <v>281</v>
      </c>
      <c r="Q10" s="52" t="s">
        <v>282</v>
      </c>
      <c r="R10" s="52" t="s">
        <v>254</v>
      </c>
      <c r="S10" s="52" t="s">
        <v>257</v>
      </c>
      <c r="T10" s="52" t="s">
        <v>258</v>
      </c>
      <c r="U10" s="52" t="s">
        <v>1024</v>
      </c>
      <c r="V10" s="52" t="s">
        <v>1024</v>
      </c>
      <c r="W10" s="52" t="s">
        <v>1024</v>
      </c>
      <c r="X10" s="52" t="s">
        <v>280</v>
      </c>
      <c r="Y10" s="52" t="s">
        <v>281</v>
      </c>
      <c r="Z10" s="52" t="s">
        <v>282</v>
      </c>
      <c r="AA10" s="61">
        <v>1</v>
      </c>
      <c r="AB10" s="52" t="s">
        <v>137</v>
      </c>
      <c r="AC10" s="63">
        <v>1</v>
      </c>
      <c r="AD10" s="52" t="s">
        <v>169</v>
      </c>
      <c r="AE10" s="53" t="s">
        <v>179</v>
      </c>
      <c r="AF10" s="65">
        <v>0</v>
      </c>
      <c r="AG10" s="53" t="s">
        <v>192</v>
      </c>
      <c r="AH10" s="52" t="s">
        <v>219</v>
      </c>
      <c r="AI10" s="52" t="s">
        <v>219</v>
      </c>
      <c r="AJ10" s="52" t="s">
        <v>219</v>
      </c>
      <c r="AK10" s="52" t="s">
        <v>219</v>
      </c>
      <c r="AL10" s="52" t="s">
        <v>1024</v>
      </c>
      <c r="AM10" s="52" t="s">
        <v>1219</v>
      </c>
      <c r="AN10" s="52" t="s">
        <v>1220</v>
      </c>
      <c r="AO10" s="64" t="s">
        <v>219</v>
      </c>
      <c r="AP10" s="63" t="s">
        <v>1241</v>
      </c>
      <c r="AQ10" s="64" t="s">
        <v>217</v>
      </c>
      <c r="AR10" s="30" t="s">
        <v>219</v>
      </c>
    </row>
    <row r="11" spans="1:44" ht="21.75" customHeight="1" x14ac:dyDescent="0.45">
      <c r="B11" s="52" t="s">
        <v>99</v>
      </c>
      <c r="E11" s="53" t="s">
        <v>87</v>
      </c>
      <c r="F11" s="52" t="s">
        <v>1216</v>
      </c>
      <c r="H11" s="53" t="s">
        <v>109</v>
      </c>
      <c r="J11" s="76">
        <v>708</v>
      </c>
      <c r="L11" s="52" t="s">
        <v>1242</v>
      </c>
      <c r="M11" s="52" t="s">
        <v>1243</v>
      </c>
      <c r="N11" s="52" t="s">
        <v>1244</v>
      </c>
      <c r="O11" s="52" t="s">
        <v>283</v>
      </c>
      <c r="P11" s="52" t="s">
        <v>284</v>
      </c>
      <c r="Q11" s="52" t="s">
        <v>285</v>
      </c>
      <c r="R11" s="52" t="s">
        <v>254</v>
      </c>
      <c r="S11" s="52" t="s">
        <v>257</v>
      </c>
      <c r="T11" s="52" t="s">
        <v>258</v>
      </c>
      <c r="U11" s="52" t="s">
        <v>1024</v>
      </c>
      <c r="V11" s="52" t="s">
        <v>1024</v>
      </c>
      <c r="W11" s="52" t="s">
        <v>1024</v>
      </c>
      <c r="X11" s="52" t="s">
        <v>283</v>
      </c>
      <c r="Y11" s="52" t="s">
        <v>284</v>
      </c>
      <c r="Z11" s="52" t="s">
        <v>285</v>
      </c>
      <c r="AA11" s="61">
        <v>1</v>
      </c>
      <c r="AB11" s="52" t="s">
        <v>137</v>
      </c>
      <c r="AC11" s="63">
        <v>1</v>
      </c>
      <c r="AD11" s="52" t="s">
        <v>169</v>
      </c>
      <c r="AE11" s="53" t="s">
        <v>179</v>
      </c>
      <c r="AF11" s="65">
        <v>0</v>
      </c>
      <c r="AG11" s="53" t="s">
        <v>192</v>
      </c>
      <c r="AH11" s="52" t="s">
        <v>219</v>
      </c>
      <c r="AI11" s="52" t="s">
        <v>219</v>
      </c>
      <c r="AJ11" s="52" t="s">
        <v>219</v>
      </c>
      <c r="AK11" s="52" t="s">
        <v>219</v>
      </c>
      <c r="AL11" s="52" t="s">
        <v>1024</v>
      </c>
      <c r="AM11" s="52" t="s">
        <v>1219</v>
      </c>
      <c r="AN11" s="52" t="s">
        <v>1220</v>
      </c>
      <c r="AO11" s="64" t="s">
        <v>219</v>
      </c>
      <c r="AP11" s="63" t="s">
        <v>1245</v>
      </c>
      <c r="AQ11" s="64" t="s">
        <v>217</v>
      </c>
      <c r="AR11" s="30" t="s">
        <v>219</v>
      </c>
    </row>
    <row r="12" spans="1:44" ht="21.75" customHeight="1" x14ac:dyDescent="0.45">
      <c r="B12" s="52" t="s">
        <v>99</v>
      </c>
      <c r="E12" s="53" t="s">
        <v>87</v>
      </c>
      <c r="F12" s="52" t="s">
        <v>1216</v>
      </c>
      <c r="H12" s="53" t="s">
        <v>109</v>
      </c>
      <c r="J12" s="76">
        <v>709</v>
      </c>
      <c r="L12" s="52" t="s">
        <v>1854</v>
      </c>
      <c r="M12" s="52" t="s">
        <v>1855</v>
      </c>
      <c r="N12" s="52" t="s">
        <v>1856</v>
      </c>
      <c r="O12" s="52" t="s">
        <v>1031</v>
      </c>
      <c r="P12" s="52" t="s">
        <v>1031</v>
      </c>
      <c r="Q12" s="52" t="s">
        <v>1031</v>
      </c>
      <c r="R12" s="52" t="s">
        <v>254</v>
      </c>
      <c r="S12" s="52" t="s">
        <v>257</v>
      </c>
      <c r="T12" s="52" t="s">
        <v>258</v>
      </c>
      <c r="U12" s="52" t="s">
        <v>273</v>
      </c>
      <c r="V12" s="52" t="s">
        <v>274</v>
      </c>
      <c r="W12" s="52" t="s">
        <v>275</v>
      </c>
      <c r="X12" s="52" t="s">
        <v>1031</v>
      </c>
      <c r="Y12" s="52" t="s">
        <v>1031</v>
      </c>
      <c r="Z12" s="52" t="s">
        <v>1031</v>
      </c>
      <c r="AA12" s="61">
        <v>1</v>
      </c>
      <c r="AB12" s="52" t="s">
        <v>137</v>
      </c>
      <c r="AC12" s="63">
        <v>1</v>
      </c>
      <c r="AD12" s="52" t="s">
        <v>169</v>
      </c>
      <c r="AE12" s="53" t="s">
        <v>179</v>
      </c>
      <c r="AF12" s="65">
        <v>0</v>
      </c>
      <c r="AG12" s="53" t="s">
        <v>192</v>
      </c>
      <c r="AH12" s="52" t="s">
        <v>219</v>
      </c>
      <c r="AI12" s="52" t="s">
        <v>219</v>
      </c>
      <c r="AJ12" s="52" t="s">
        <v>219</v>
      </c>
      <c r="AK12" s="52" t="s">
        <v>219</v>
      </c>
      <c r="AL12" s="52" t="s">
        <v>1024</v>
      </c>
      <c r="AM12" s="52" t="s">
        <v>1219</v>
      </c>
      <c r="AN12" s="52" t="s">
        <v>1220</v>
      </c>
      <c r="AO12" s="64" t="s">
        <v>219</v>
      </c>
      <c r="AP12" s="63" t="s">
        <v>1246</v>
      </c>
      <c r="AQ12" s="64" t="s">
        <v>217</v>
      </c>
      <c r="AR12" s="30" t="s">
        <v>219</v>
      </c>
    </row>
    <row r="13" spans="1:44" ht="21.75" customHeight="1" x14ac:dyDescent="0.45">
      <c r="B13" s="52" t="s">
        <v>99</v>
      </c>
      <c r="E13" s="53" t="s">
        <v>87</v>
      </c>
      <c r="F13" s="52" t="s">
        <v>1216</v>
      </c>
      <c r="H13" s="53" t="s">
        <v>109</v>
      </c>
      <c r="J13" s="76">
        <v>710</v>
      </c>
      <c r="L13" s="52" t="s">
        <v>1857</v>
      </c>
      <c r="M13" s="52" t="s">
        <v>1858</v>
      </c>
      <c r="N13" s="52" t="s">
        <v>1247</v>
      </c>
      <c r="O13" s="52" t="s">
        <v>1032</v>
      </c>
      <c r="P13" s="52" t="s">
        <v>1033</v>
      </c>
      <c r="Q13" s="52" t="s">
        <v>286</v>
      </c>
      <c r="R13" s="52" t="s">
        <v>254</v>
      </c>
      <c r="S13" s="52" t="s">
        <v>257</v>
      </c>
      <c r="T13" s="52" t="s">
        <v>258</v>
      </c>
      <c r="U13" s="52" t="s">
        <v>273</v>
      </c>
      <c r="V13" s="52" t="s">
        <v>274</v>
      </c>
      <c r="W13" s="52" t="s">
        <v>275</v>
      </c>
      <c r="X13" s="52" t="s">
        <v>1032</v>
      </c>
      <c r="Y13" s="52" t="s">
        <v>1033</v>
      </c>
      <c r="Z13" s="52" t="s">
        <v>286</v>
      </c>
      <c r="AA13" s="61">
        <v>1</v>
      </c>
      <c r="AB13" s="52" t="s">
        <v>137</v>
      </c>
      <c r="AC13" s="63">
        <v>1</v>
      </c>
      <c r="AD13" s="52" t="s">
        <v>169</v>
      </c>
      <c r="AE13" s="53" t="s">
        <v>179</v>
      </c>
      <c r="AF13" s="65">
        <v>0</v>
      </c>
      <c r="AG13" s="53" t="s">
        <v>192</v>
      </c>
      <c r="AH13" s="52" t="s">
        <v>219</v>
      </c>
      <c r="AI13" s="52" t="s">
        <v>219</v>
      </c>
      <c r="AJ13" s="52" t="s">
        <v>219</v>
      </c>
      <c r="AK13" s="52" t="s">
        <v>219</v>
      </c>
      <c r="AL13" s="52" t="s">
        <v>1024</v>
      </c>
      <c r="AM13" s="52" t="s">
        <v>1219</v>
      </c>
      <c r="AN13" s="52" t="s">
        <v>1220</v>
      </c>
      <c r="AO13" s="64" t="s">
        <v>219</v>
      </c>
      <c r="AP13" s="63" t="s">
        <v>1248</v>
      </c>
      <c r="AQ13" s="64" t="s">
        <v>217</v>
      </c>
      <c r="AR13" s="30" t="s">
        <v>219</v>
      </c>
    </row>
    <row r="14" spans="1:44" ht="21.75" customHeight="1" x14ac:dyDescent="0.45">
      <c r="B14" s="52" t="s">
        <v>99</v>
      </c>
      <c r="E14" s="53" t="s">
        <v>87</v>
      </c>
      <c r="F14" s="52" t="s">
        <v>1216</v>
      </c>
      <c r="H14" s="53" t="s">
        <v>109</v>
      </c>
      <c r="J14" s="76">
        <v>711</v>
      </c>
      <c r="L14" s="52" t="s">
        <v>1859</v>
      </c>
      <c r="M14" s="52" t="s">
        <v>1860</v>
      </c>
      <c r="N14" s="52" t="s">
        <v>1861</v>
      </c>
      <c r="O14" s="52" t="s">
        <v>1034</v>
      </c>
      <c r="P14" s="52" t="s">
        <v>1035</v>
      </c>
      <c r="Q14" s="52" t="s">
        <v>1036</v>
      </c>
      <c r="R14" s="52" t="s">
        <v>254</v>
      </c>
      <c r="S14" s="52" t="s">
        <v>257</v>
      </c>
      <c r="T14" s="52" t="s">
        <v>258</v>
      </c>
      <c r="U14" s="52" t="s">
        <v>287</v>
      </c>
      <c r="V14" s="52" t="s">
        <v>287</v>
      </c>
      <c r="W14" s="52" t="s">
        <v>287</v>
      </c>
      <c r="X14" s="52" t="s">
        <v>288</v>
      </c>
      <c r="Y14" s="52" t="s">
        <v>289</v>
      </c>
      <c r="Z14" s="52" t="s">
        <v>290</v>
      </c>
      <c r="AA14" s="61">
        <v>0.3</v>
      </c>
      <c r="AB14" s="52" t="s">
        <v>130</v>
      </c>
      <c r="AC14" s="63">
        <v>100</v>
      </c>
      <c r="AD14" s="52" t="s">
        <v>169</v>
      </c>
      <c r="AE14" s="53" t="s">
        <v>179</v>
      </c>
      <c r="AF14" s="65">
        <v>0</v>
      </c>
      <c r="AG14" s="53" t="s">
        <v>192</v>
      </c>
      <c r="AH14" s="52" t="s">
        <v>219</v>
      </c>
      <c r="AI14" s="52" t="s">
        <v>219</v>
      </c>
      <c r="AJ14" s="52" t="s">
        <v>219</v>
      </c>
      <c r="AK14" s="52" t="s">
        <v>219</v>
      </c>
      <c r="AL14" s="52" t="s">
        <v>1024</v>
      </c>
      <c r="AM14" s="52" t="s">
        <v>1219</v>
      </c>
      <c r="AN14" s="52" t="s">
        <v>1220</v>
      </c>
      <c r="AO14" s="64" t="s">
        <v>219</v>
      </c>
      <c r="AP14" s="63" t="s">
        <v>1249</v>
      </c>
      <c r="AQ14" s="64" t="s">
        <v>217</v>
      </c>
      <c r="AR14" s="30" t="s">
        <v>219</v>
      </c>
    </row>
    <row r="15" spans="1:44" ht="21.75" customHeight="1" x14ac:dyDescent="0.45">
      <c r="B15" s="52" t="s">
        <v>99</v>
      </c>
      <c r="E15" s="53" t="s">
        <v>87</v>
      </c>
      <c r="F15" s="52" t="s">
        <v>1216</v>
      </c>
      <c r="H15" s="53" t="s">
        <v>109</v>
      </c>
      <c r="J15" s="76">
        <v>712</v>
      </c>
      <c r="L15" s="52" t="s">
        <v>1862</v>
      </c>
      <c r="M15" s="52" t="s">
        <v>1863</v>
      </c>
      <c r="N15" s="52" t="s">
        <v>1864</v>
      </c>
      <c r="O15" s="52" t="s">
        <v>1034</v>
      </c>
      <c r="P15" s="52" t="s">
        <v>1035</v>
      </c>
      <c r="Q15" s="52" t="s">
        <v>1036</v>
      </c>
      <c r="R15" s="52" t="s">
        <v>254</v>
      </c>
      <c r="S15" s="52" t="s">
        <v>257</v>
      </c>
      <c r="T15" s="52" t="s">
        <v>258</v>
      </c>
      <c r="U15" s="52" t="s">
        <v>268</v>
      </c>
      <c r="V15" s="52" t="s">
        <v>268</v>
      </c>
      <c r="W15" s="52" t="s">
        <v>268</v>
      </c>
      <c r="X15" s="52" t="s">
        <v>291</v>
      </c>
      <c r="Y15" s="52" t="s">
        <v>292</v>
      </c>
      <c r="Z15" s="52" t="s">
        <v>293</v>
      </c>
      <c r="AA15" s="61">
        <v>0.5</v>
      </c>
      <c r="AB15" s="52" t="s">
        <v>130</v>
      </c>
      <c r="AC15" s="63">
        <v>100</v>
      </c>
      <c r="AD15" s="52" t="s">
        <v>169</v>
      </c>
      <c r="AE15" s="53" t="s">
        <v>179</v>
      </c>
      <c r="AF15" s="65">
        <v>0</v>
      </c>
      <c r="AG15" s="53" t="s">
        <v>192</v>
      </c>
      <c r="AH15" s="52" t="s">
        <v>219</v>
      </c>
      <c r="AI15" s="52" t="s">
        <v>219</v>
      </c>
      <c r="AJ15" s="52" t="s">
        <v>219</v>
      </c>
      <c r="AK15" s="52" t="s">
        <v>219</v>
      </c>
      <c r="AL15" s="52" t="s">
        <v>1024</v>
      </c>
      <c r="AM15" s="52" t="s">
        <v>1219</v>
      </c>
      <c r="AN15" s="52" t="s">
        <v>1220</v>
      </c>
      <c r="AO15" s="64" t="s">
        <v>219</v>
      </c>
      <c r="AP15" s="63" t="s">
        <v>1250</v>
      </c>
      <c r="AQ15" s="64" t="s">
        <v>217</v>
      </c>
      <c r="AR15" s="30" t="s">
        <v>219</v>
      </c>
    </row>
    <row r="16" spans="1:44" ht="21.75" customHeight="1" x14ac:dyDescent="0.45">
      <c r="B16" s="52" t="s">
        <v>99</v>
      </c>
      <c r="E16" s="53" t="s">
        <v>87</v>
      </c>
      <c r="F16" s="52" t="s">
        <v>1216</v>
      </c>
      <c r="H16" s="53" t="s">
        <v>109</v>
      </c>
      <c r="J16" s="76">
        <v>713</v>
      </c>
      <c r="L16" s="52" t="s">
        <v>1865</v>
      </c>
      <c r="M16" s="52" t="s">
        <v>1866</v>
      </c>
      <c r="N16" s="52" t="s">
        <v>1867</v>
      </c>
      <c r="O16" s="52" t="s">
        <v>1034</v>
      </c>
      <c r="P16" s="52" t="s">
        <v>1035</v>
      </c>
      <c r="Q16" s="52" t="s">
        <v>1036</v>
      </c>
      <c r="R16" s="52" t="s">
        <v>254</v>
      </c>
      <c r="S16" s="52" t="s">
        <v>257</v>
      </c>
      <c r="T16" s="52" t="s">
        <v>258</v>
      </c>
      <c r="U16" s="52" t="s">
        <v>294</v>
      </c>
      <c r="V16" s="52" t="s">
        <v>294</v>
      </c>
      <c r="W16" s="52" t="s">
        <v>294</v>
      </c>
      <c r="X16" s="52" t="s">
        <v>295</v>
      </c>
      <c r="Y16" s="52" t="s">
        <v>296</v>
      </c>
      <c r="Z16" s="52" t="s">
        <v>297</v>
      </c>
      <c r="AA16" s="61">
        <v>0.7</v>
      </c>
      <c r="AB16" s="52" t="s">
        <v>130</v>
      </c>
      <c r="AC16" s="63">
        <v>100</v>
      </c>
      <c r="AD16" s="52" t="s">
        <v>169</v>
      </c>
      <c r="AE16" s="53" t="s">
        <v>179</v>
      </c>
      <c r="AF16" s="65">
        <v>0</v>
      </c>
      <c r="AG16" s="53" t="s">
        <v>192</v>
      </c>
      <c r="AH16" s="52" t="s">
        <v>219</v>
      </c>
      <c r="AI16" s="52" t="s">
        <v>219</v>
      </c>
      <c r="AJ16" s="52" t="s">
        <v>219</v>
      </c>
      <c r="AK16" s="52" t="s">
        <v>219</v>
      </c>
      <c r="AL16" s="52" t="s">
        <v>1024</v>
      </c>
      <c r="AM16" s="52" t="s">
        <v>1219</v>
      </c>
      <c r="AN16" s="52" t="s">
        <v>1220</v>
      </c>
      <c r="AO16" s="64" t="s">
        <v>219</v>
      </c>
      <c r="AP16" s="63" t="s">
        <v>1251</v>
      </c>
      <c r="AQ16" s="64" t="s">
        <v>217</v>
      </c>
      <c r="AR16" s="30" t="s">
        <v>219</v>
      </c>
    </row>
    <row r="17" spans="2:44" ht="21.75" customHeight="1" x14ac:dyDescent="0.45">
      <c r="B17" s="52" t="s">
        <v>99</v>
      </c>
      <c r="E17" s="53" t="s">
        <v>87</v>
      </c>
      <c r="F17" s="52" t="s">
        <v>1216</v>
      </c>
      <c r="H17" s="53" t="s">
        <v>109</v>
      </c>
      <c r="J17" s="76">
        <v>714</v>
      </c>
      <c r="L17" s="52" t="s">
        <v>1252</v>
      </c>
      <c r="M17" s="52" t="s">
        <v>1253</v>
      </c>
      <c r="N17" s="52" t="s">
        <v>1254</v>
      </c>
      <c r="O17" s="52" t="s">
        <v>298</v>
      </c>
      <c r="P17" s="52" t="s">
        <v>298</v>
      </c>
      <c r="Q17" s="52" t="s">
        <v>298</v>
      </c>
      <c r="R17" s="52" t="s">
        <v>254</v>
      </c>
      <c r="S17" s="52" t="s">
        <v>257</v>
      </c>
      <c r="T17" s="52" t="s">
        <v>258</v>
      </c>
      <c r="U17" s="52" t="s">
        <v>273</v>
      </c>
      <c r="V17" s="52" t="s">
        <v>274</v>
      </c>
      <c r="W17" s="52" t="s">
        <v>275</v>
      </c>
      <c r="X17" s="52" t="s">
        <v>298</v>
      </c>
      <c r="Y17" s="52" t="s">
        <v>298</v>
      </c>
      <c r="Z17" s="52" t="s">
        <v>298</v>
      </c>
      <c r="AA17" s="61">
        <v>1</v>
      </c>
      <c r="AB17" s="52" t="s">
        <v>137</v>
      </c>
      <c r="AC17" s="63">
        <v>1</v>
      </c>
      <c r="AD17" s="52" t="s">
        <v>169</v>
      </c>
      <c r="AE17" s="53" t="s">
        <v>179</v>
      </c>
      <c r="AF17" s="65">
        <v>0</v>
      </c>
      <c r="AG17" s="53" t="s">
        <v>192</v>
      </c>
      <c r="AH17" s="52" t="s">
        <v>219</v>
      </c>
      <c r="AI17" s="52" t="s">
        <v>219</v>
      </c>
      <c r="AJ17" s="52" t="s">
        <v>219</v>
      </c>
      <c r="AK17" s="52" t="s">
        <v>219</v>
      </c>
      <c r="AL17" s="52" t="s">
        <v>1024</v>
      </c>
      <c r="AM17" s="52" t="s">
        <v>1219</v>
      </c>
      <c r="AN17" s="52" t="s">
        <v>1220</v>
      </c>
      <c r="AO17" s="64" t="s">
        <v>219</v>
      </c>
      <c r="AP17" s="63" t="s">
        <v>1255</v>
      </c>
      <c r="AQ17" s="64" t="s">
        <v>217</v>
      </c>
      <c r="AR17" s="30" t="s">
        <v>219</v>
      </c>
    </row>
    <row r="18" spans="2:44" ht="21.75" customHeight="1" x14ac:dyDescent="0.45">
      <c r="B18" s="52" t="s">
        <v>99</v>
      </c>
      <c r="E18" s="53" t="s">
        <v>87</v>
      </c>
      <c r="F18" s="52" t="s">
        <v>1216</v>
      </c>
      <c r="H18" s="53" t="s">
        <v>109</v>
      </c>
      <c r="J18" s="76">
        <v>715</v>
      </c>
      <c r="L18" s="52" t="s">
        <v>1256</v>
      </c>
      <c r="M18" s="52" t="s">
        <v>1868</v>
      </c>
      <c r="N18" s="52" t="s">
        <v>1257</v>
      </c>
      <c r="O18" s="52" t="s">
        <v>299</v>
      </c>
      <c r="P18" s="52" t="s">
        <v>1037</v>
      </c>
      <c r="Q18" s="52" t="s">
        <v>299</v>
      </c>
      <c r="R18" s="52" t="s">
        <v>254</v>
      </c>
      <c r="S18" s="52" t="s">
        <v>257</v>
      </c>
      <c r="T18" s="52" t="s">
        <v>258</v>
      </c>
      <c r="U18" s="52" t="s">
        <v>273</v>
      </c>
      <c r="V18" s="52" t="s">
        <v>274</v>
      </c>
      <c r="W18" s="52" t="s">
        <v>275</v>
      </c>
      <c r="X18" s="52" t="s">
        <v>299</v>
      </c>
      <c r="Y18" s="52" t="s">
        <v>1037</v>
      </c>
      <c r="Z18" s="52" t="s">
        <v>299</v>
      </c>
      <c r="AA18" s="61">
        <v>1</v>
      </c>
      <c r="AB18" s="52" t="s">
        <v>137</v>
      </c>
      <c r="AC18" s="63">
        <v>1</v>
      </c>
      <c r="AD18" s="52" t="s">
        <v>169</v>
      </c>
      <c r="AE18" s="53" t="s">
        <v>179</v>
      </c>
      <c r="AF18" s="65">
        <v>0</v>
      </c>
      <c r="AG18" s="53" t="s">
        <v>192</v>
      </c>
      <c r="AH18" s="52" t="s">
        <v>219</v>
      </c>
      <c r="AI18" s="52" t="s">
        <v>219</v>
      </c>
      <c r="AJ18" s="52" t="s">
        <v>219</v>
      </c>
      <c r="AK18" s="52" t="s">
        <v>219</v>
      </c>
      <c r="AL18" s="52" t="s">
        <v>1024</v>
      </c>
      <c r="AM18" s="52" t="s">
        <v>1219</v>
      </c>
      <c r="AN18" s="52" t="s">
        <v>1220</v>
      </c>
      <c r="AO18" s="64" t="s">
        <v>219</v>
      </c>
      <c r="AP18" s="63" t="s">
        <v>1258</v>
      </c>
      <c r="AQ18" s="64" t="s">
        <v>217</v>
      </c>
      <c r="AR18" s="30" t="s">
        <v>219</v>
      </c>
    </row>
    <row r="19" spans="2:44" ht="21.75" customHeight="1" x14ac:dyDescent="0.45">
      <c r="B19" s="52" t="s">
        <v>99</v>
      </c>
      <c r="E19" s="53" t="s">
        <v>87</v>
      </c>
      <c r="F19" s="52" t="s">
        <v>1216</v>
      </c>
      <c r="H19" s="53" t="s">
        <v>109</v>
      </c>
      <c r="J19" s="76">
        <v>716</v>
      </c>
      <c r="L19" s="52" t="s">
        <v>1259</v>
      </c>
      <c r="M19" s="52" t="s">
        <v>1260</v>
      </c>
      <c r="N19" s="52" t="s">
        <v>1261</v>
      </c>
      <c r="O19" s="52" t="s">
        <v>300</v>
      </c>
      <c r="P19" s="52" t="s">
        <v>300</v>
      </c>
      <c r="Q19" s="52" t="s">
        <v>300</v>
      </c>
      <c r="R19" s="52" t="s">
        <v>254</v>
      </c>
      <c r="S19" s="52" t="s">
        <v>257</v>
      </c>
      <c r="T19" s="52" t="s">
        <v>258</v>
      </c>
      <c r="U19" s="52" t="s">
        <v>273</v>
      </c>
      <c r="V19" s="52" t="s">
        <v>274</v>
      </c>
      <c r="W19" s="52" t="s">
        <v>275</v>
      </c>
      <c r="X19" s="52" t="s">
        <v>300</v>
      </c>
      <c r="Y19" s="52" t="s">
        <v>300</v>
      </c>
      <c r="Z19" s="52" t="s">
        <v>300</v>
      </c>
      <c r="AA19" s="61">
        <v>1</v>
      </c>
      <c r="AB19" s="52" t="s">
        <v>137</v>
      </c>
      <c r="AC19" s="63">
        <v>1</v>
      </c>
      <c r="AD19" s="52" t="s">
        <v>169</v>
      </c>
      <c r="AE19" s="53" t="s">
        <v>179</v>
      </c>
      <c r="AF19" s="65">
        <v>0</v>
      </c>
      <c r="AG19" s="53" t="s">
        <v>192</v>
      </c>
      <c r="AH19" s="52" t="s">
        <v>219</v>
      </c>
      <c r="AI19" s="52" t="s">
        <v>219</v>
      </c>
      <c r="AJ19" s="52" t="s">
        <v>219</v>
      </c>
      <c r="AK19" s="52" t="s">
        <v>219</v>
      </c>
      <c r="AL19" s="52" t="s">
        <v>1024</v>
      </c>
      <c r="AM19" s="52" t="s">
        <v>1219</v>
      </c>
      <c r="AN19" s="52" t="s">
        <v>1220</v>
      </c>
      <c r="AO19" s="64" t="s">
        <v>219</v>
      </c>
      <c r="AP19" s="63" t="s">
        <v>1262</v>
      </c>
      <c r="AQ19" s="64" t="s">
        <v>217</v>
      </c>
      <c r="AR19" s="30" t="s">
        <v>219</v>
      </c>
    </row>
    <row r="20" spans="2:44" ht="21.75" customHeight="1" x14ac:dyDescent="0.45">
      <c r="B20" s="52" t="s">
        <v>99</v>
      </c>
      <c r="E20" s="53" t="s">
        <v>87</v>
      </c>
      <c r="F20" s="52" t="s">
        <v>1216</v>
      </c>
      <c r="H20" s="53" t="s">
        <v>109</v>
      </c>
      <c r="J20" s="76">
        <v>717</v>
      </c>
      <c r="L20" s="52" t="s">
        <v>1263</v>
      </c>
      <c r="M20" s="52" t="s">
        <v>1264</v>
      </c>
      <c r="N20" s="52" t="s">
        <v>1265</v>
      </c>
      <c r="O20" s="52" t="s">
        <v>301</v>
      </c>
      <c r="P20" s="52" t="s">
        <v>303</v>
      </c>
      <c r="Q20" s="52" t="s">
        <v>305</v>
      </c>
      <c r="R20" s="52" t="s">
        <v>254</v>
      </c>
      <c r="S20" s="52" t="s">
        <v>257</v>
      </c>
      <c r="T20" s="52" t="s">
        <v>258</v>
      </c>
      <c r="U20" s="52" t="s">
        <v>268</v>
      </c>
      <c r="V20" s="52" t="s">
        <v>268</v>
      </c>
      <c r="W20" s="52" t="s">
        <v>268</v>
      </c>
      <c r="X20" s="52" t="s">
        <v>302</v>
      </c>
      <c r="Y20" s="52" t="s">
        <v>304</v>
      </c>
      <c r="Z20" s="52" t="s">
        <v>306</v>
      </c>
      <c r="AA20" s="61">
        <v>0.5</v>
      </c>
      <c r="AB20" s="52" t="s">
        <v>130</v>
      </c>
      <c r="AC20" s="63">
        <v>100</v>
      </c>
      <c r="AD20" s="52" t="s">
        <v>169</v>
      </c>
      <c r="AE20" s="53" t="s">
        <v>179</v>
      </c>
      <c r="AF20" s="65">
        <v>0</v>
      </c>
      <c r="AG20" s="53" t="s">
        <v>192</v>
      </c>
      <c r="AH20" s="52" t="s">
        <v>219</v>
      </c>
      <c r="AI20" s="52" t="s">
        <v>219</v>
      </c>
      <c r="AJ20" s="52" t="s">
        <v>219</v>
      </c>
      <c r="AK20" s="52" t="s">
        <v>219</v>
      </c>
      <c r="AL20" s="52" t="s">
        <v>1024</v>
      </c>
      <c r="AM20" s="52" t="s">
        <v>1219</v>
      </c>
      <c r="AN20" s="52" t="s">
        <v>1220</v>
      </c>
      <c r="AO20" s="64" t="s">
        <v>219</v>
      </c>
      <c r="AP20" s="63" t="s">
        <v>1266</v>
      </c>
      <c r="AQ20" s="64" t="s">
        <v>217</v>
      </c>
      <c r="AR20" s="30" t="s">
        <v>219</v>
      </c>
    </row>
    <row r="21" spans="2:44" ht="21.75" customHeight="1" x14ac:dyDescent="0.45">
      <c r="B21" s="52" t="s">
        <v>99</v>
      </c>
      <c r="E21" s="53" t="s">
        <v>87</v>
      </c>
      <c r="F21" s="52" t="s">
        <v>1216</v>
      </c>
      <c r="H21" s="53" t="s">
        <v>109</v>
      </c>
      <c r="J21" s="76">
        <v>718</v>
      </c>
      <c r="L21" s="52" t="s">
        <v>1869</v>
      </c>
      <c r="M21" s="52" t="s">
        <v>1267</v>
      </c>
      <c r="N21" s="52" t="s">
        <v>1268</v>
      </c>
      <c r="O21" s="52" t="s">
        <v>1038</v>
      </c>
      <c r="P21" s="52" t="s">
        <v>303</v>
      </c>
      <c r="Q21" s="52" t="s">
        <v>305</v>
      </c>
      <c r="R21" s="52" t="s">
        <v>254</v>
      </c>
      <c r="S21" s="52" t="s">
        <v>257</v>
      </c>
      <c r="T21" s="52" t="s">
        <v>258</v>
      </c>
      <c r="U21" s="52" t="s">
        <v>307</v>
      </c>
      <c r="V21" s="52" t="s">
        <v>307</v>
      </c>
      <c r="W21" s="52" t="s">
        <v>307</v>
      </c>
      <c r="X21" s="52" t="s">
        <v>308</v>
      </c>
      <c r="Y21" s="52" t="s">
        <v>309</v>
      </c>
      <c r="Z21" s="52" t="s">
        <v>310</v>
      </c>
      <c r="AA21" s="61">
        <v>1</v>
      </c>
      <c r="AB21" s="52" t="s">
        <v>130</v>
      </c>
      <c r="AC21" s="63">
        <v>100</v>
      </c>
      <c r="AD21" s="52" t="s">
        <v>169</v>
      </c>
      <c r="AE21" s="53" t="s">
        <v>179</v>
      </c>
      <c r="AF21" s="65">
        <v>0</v>
      </c>
      <c r="AG21" s="53" t="s">
        <v>192</v>
      </c>
      <c r="AH21" s="52" t="s">
        <v>219</v>
      </c>
      <c r="AI21" s="52" t="s">
        <v>219</v>
      </c>
      <c r="AJ21" s="52" t="s">
        <v>219</v>
      </c>
      <c r="AK21" s="52" t="s">
        <v>219</v>
      </c>
      <c r="AL21" s="52" t="s">
        <v>1024</v>
      </c>
      <c r="AM21" s="52" t="s">
        <v>1219</v>
      </c>
      <c r="AN21" s="52" t="s">
        <v>1220</v>
      </c>
      <c r="AO21" s="64" t="s">
        <v>219</v>
      </c>
      <c r="AP21" s="63" t="s">
        <v>1269</v>
      </c>
      <c r="AQ21" s="64" t="s">
        <v>217</v>
      </c>
      <c r="AR21" s="30" t="s">
        <v>219</v>
      </c>
    </row>
    <row r="22" spans="2:44" ht="21.75" customHeight="1" x14ac:dyDescent="0.45">
      <c r="B22" s="52" t="s">
        <v>99</v>
      </c>
      <c r="E22" s="53" t="s">
        <v>87</v>
      </c>
      <c r="F22" s="52" t="s">
        <v>1216</v>
      </c>
      <c r="H22" s="53" t="s">
        <v>109</v>
      </c>
      <c r="J22" s="76">
        <v>719</v>
      </c>
      <c r="L22" s="52" t="s">
        <v>1870</v>
      </c>
      <c r="M22" s="52" t="s">
        <v>1270</v>
      </c>
      <c r="N22" s="52" t="s">
        <v>1271</v>
      </c>
      <c r="O22" s="52" t="s">
        <v>1038</v>
      </c>
      <c r="P22" s="52" t="s">
        <v>303</v>
      </c>
      <c r="Q22" s="52" t="s">
        <v>305</v>
      </c>
      <c r="R22" s="52" t="s">
        <v>254</v>
      </c>
      <c r="S22" s="52" t="s">
        <v>257</v>
      </c>
      <c r="T22" s="52" t="s">
        <v>258</v>
      </c>
      <c r="U22" s="52" t="s">
        <v>255</v>
      </c>
      <c r="V22" s="52" t="s">
        <v>255</v>
      </c>
      <c r="W22" s="52" t="s">
        <v>255</v>
      </c>
      <c r="X22" s="52" t="s">
        <v>311</v>
      </c>
      <c r="Y22" s="52" t="s">
        <v>312</v>
      </c>
      <c r="Z22" s="52" t="s">
        <v>313</v>
      </c>
      <c r="AA22" s="61">
        <v>0.25</v>
      </c>
      <c r="AB22" s="52" t="s">
        <v>130</v>
      </c>
      <c r="AC22" s="63">
        <v>100</v>
      </c>
      <c r="AD22" s="52" t="s">
        <v>169</v>
      </c>
      <c r="AE22" s="53" t="s">
        <v>179</v>
      </c>
      <c r="AF22" s="65">
        <v>0</v>
      </c>
      <c r="AG22" s="53" t="s">
        <v>192</v>
      </c>
      <c r="AH22" s="52" t="s">
        <v>219</v>
      </c>
      <c r="AI22" s="52" t="s">
        <v>219</v>
      </c>
      <c r="AJ22" s="52" t="s">
        <v>219</v>
      </c>
      <c r="AK22" s="52" t="s">
        <v>219</v>
      </c>
      <c r="AL22" s="52" t="s">
        <v>1024</v>
      </c>
      <c r="AM22" s="52" t="s">
        <v>1219</v>
      </c>
      <c r="AN22" s="52" t="s">
        <v>1220</v>
      </c>
      <c r="AO22" s="64" t="s">
        <v>219</v>
      </c>
      <c r="AP22" s="63" t="s">
        <v>1272</v>
      </c>
      <c r="AQ22" s="64" t="s">
        <v>217</v>
      </c>
      <c r="AR22" s="30" t="s">
        <v>219</v>
      </c>
    </row>
    <row r="23" spans="2:44" ht="21.75" customHeight="1" x14ac:dyDescent="0.45">
      <c r="B23" s="52" t="s">
        <v>99</v>
      </c>
      <c r="E23" s="53" t="s">
        <v>87</v>
      </c>
      <c r="F23" s="52" t="s">
        <v>1216</v>
      </c>
      <c r="H23" s="53" t="s">
        <v>109</v>
      </c>
      <c r="J23" s="76">
        <v>720</v>
      </c>
      <c r="L23" s="52" t="s">
        <v>1871</v>
      </c>
      <c r="M23" s="52" t="s">
        <v>1872</v>
      </c>
      <c r="N23" s="52" t="s">
        <v>1873</v>
      </c>
      <c r="O23" s="52" t="s">
        <v>1039</v>
      </c>
      <c r="P23" s="52" t="s">
        <v>1040</v>
      </c>
      <c r="Q23" s="52" t="s">
        <v>1041</v>
      </c>
      <c r="R23" s="52" t="s">
        <v>254</v>
      </c>
      <c r="S23" s="52" t="s">
        <v>257</v>
      </c>
      <c r="T23" s="52" t="s">
        <v>258</v>
      </c>
      <c r="U23" s="52" t="s">
        <v>273</v>
      </c>
      <c r="V23" s="52" t="s">
        <v>274</v>
      </c>
      <c r="W23" s="52" t="s">
        <v>275</v>
      </c>
      <c r="X23" s="52" t="s">
        <v>1039</v>
      </c>
      <c r="Y23" s="52" t="s">
        <v>1040</v>
      </c>
      <c r="Z23" s="52" t="s">
        <v>1041</v>
      </c>
      <c r="AA23" s="61">
        <v>1</v>
      </c>
      <c r="AB23" s="52" t="s">
        <v>137</v>
      </c>
      <c r="AC23" s="63">
        <v>1</v>
      </c>
      <c r="AD23" s="52" t="s">
        <v>169</v>
      </c>
      <c r="AE23" s="53" t="s">
        <v>179</v>
      </c>
      <c r="AF23" s="65">
        <v>0</v>
      </c>
      <c r="AG23" s="53" t="s">
        <v>192</v>
      </c>
      <c r="AH23" s="52" t="s">
        <v>219</v>
      </c>
      <c r="AI23" s="52" t="s">
        <v>219</v>
      </c>
      <c r="AJ23" s="52" t="s">
        <v>219</v>
      </c>
      <c r="AK23" s="52" t="s">
        <v>219</v>
      </c>
      <c r="AL23" s="52" t="s">
        <v>1024</v>
      </c>
      <c r="AM23" s="52" t="s">
        <v>1219</v>
      </c>
      <c r="AN23" s="52" t="s">
        <v>1220</v>
      </c>
      <c r="AO23" s="64" t="s">
        <v>219</v>
      </c>
      <c r="AP23" s="63" t="s">
        <v>1273</v>
      </c>
      <c r="AQ23" s="64" t="s">
        <v>217</v>
      </c>
      <c r="AR23" s="30" t="s">
        <v>219</v>
      </c>
    </row>
    <row r="24" spans="2:44" ht="21.75" customHeight="1" x14ac:dyDescent="0.45">
      <c r="B24" s="52" t="s">
        <v>99</v>
      </c>
      <c r="E24" s="53" t="s">
        <v>87</v>
      </c>
      <c r="F24" s="52" t="s">
        <v>1216</v>
      </c>
      <c r="H24" s="53" t="s">
        <v>109</v>
      </c>
      <c r="J24" s="76">
        <v>721</v>
      </c>
      <c r="L24" s="52" t="s">
        <v>1874</v>
      </c>
      <c r="M24" s="52" t="s">
        <v>1875</v>
      </c>
      <c r="N24" s="52" t="s">
        <v>1274</v>
      </c>
      <c r="O24" s="52" t="s">
        <v>1042</v>
      </c>
      <c r="P24" s="52" t="s">
        <v>1043</v>
      </c>
      <c r="Q24" s="52" t="s">
        <v>314</v>
      </c>
      <c r="R24" s="52" t="s">
        <v>254</v>
      </c>
      <c r="S24" s="52" t="s">
        <v>257</v>
      </c>
      <c r="T24" s="52" t="s">
        <v>258</v>
      </c>
      <c r="U24" s="52" t="s">
        <v>273</v>
      </c>
      <c r="V24" s="52" t="s">
        <v>274</v>
      </c>
      <c r="W24" s="52" t="s">
        <v>275</v>
      </c>
      <c r="X24" s="52" t="s">
        <v>1042</v>
      </c>
      <c r="Y24" s="52" t="s">
        <v>1043</v>
      </c>
      <c r="Z24" s="52" t="s">
        <v>314</v>
      </c>
      <c r="AA24" s="61">
        <v>1</v>
      </c>
      <c r="AB24" s="52" t="s">
        <v>137</v>
      </c>
      <c r="AC24" s="63">
        <v>1</v>
      </c>
      <c r="AD24" s="52" t="s">
        <v>169</v>
      </c>
      <c r="AE24" s="53" t="s">
        <v>179</v>
      </c>
      <c r="AF24" s="65">
        <v>0</v>
      </c>
      <c r="AG24" s="53" t="s">
        <v>192</v>
      </c>
      <c r="AH24" s="52" t="s">
        <v>219</v>
      </c>
      <c r="AI24" s="52" t="s">
        <v>219</v>
      </c>
      <c r="AJ24" s="52" t="s">
        <v>219</v>
      </c>
      <c r="AK24" s="52" t="s">
        <v>219</v>
      </c>
      <c r="AL24" s="52" t="s">
        <v>1024</v>
      </c>
      <c r="AM24" s="52" t="s">
        <v>1219</v>
      </c>
      <c r="AN24" s="52" t="s">
        <v>1220</v>
      </c>
      <c r="AO24" s="64" t="s">
        <v>219</v>
      </c>
      <c r="AP24" s="63" t="s">
        <v>1275</v>
      </c>
      <c r="AQ24" s="64" t="s">
        <v>217</v>
      </c>
      <c r="AR24" s="30" t="s">
        <v>219</v>
      </c>
    </row>
    <row r="25" spans="2:44" ht="21.75" customHeight="1" x14ac:dyDescent="0.45">
      <c r="B25" s="52" t="s">
        <v>99</v>
      </c>
      <c r="E25" s="53" t="s">
        <v>87</v>
      </c>
      <c r="F25" s="52" t="s">
        <v>1216</v>
      </c>
      <c r="H25" s="53" t="s">
        <v>109</v>
      </c>
      <c r="J25" s="76">
        <v>722</v>
      </c>
      <c r="L25" s="52" t="s">
        <v>1876</v>
      </c>
      <c r="M25" s="52" t="s">
        <v>1877</v>
      </c>
      <c r="N25" s="52" t="s">
        <v>1276</v>
      </c>
      <c r="O25" s="52" t="s">
        <v>1044</v>
      </c>
      <c r="P25" s="52" t="s">
        <v>1045</v>
      </c>
      <c r="Q25" s="52" t="s">
        <v>315</v>
      </c>
      <c r="R25" s="52" t="s">
        <v>254</v>
      </c>
      <c r="S25" s="52" t="s">
        <v>257</v>
      </c>
      <c r="T25" s="52" t="s">
        <v>258</v>
      </c>
      <c r="U25" s="52" t="s">
        <v>273</v>
      </c>
      <c r="V25" s="52" t="s">
        <v>274</v>
      </c>
      <c r="W25" s="52" t="s">
        <v>275</v>
      </c>
      <c r="X25" s="52" t="s">
        <v>1044</v>
      </c>
      <c r="Y25" s="52" t="s">
        <v>1045</v>
      </c>
      <c r="Z25" s="52" t="s">
        <v>315</v>
      </c>
      <c r="AA25" s="61">
        <v>1</v>
      </c>
      <c r="AB25" s="52" t="s">
        <v>137</v>
      </c>
      <c r="AC25" s="63">
        <v>1</v>
      </c>
      <c r="AD25" s="52" t="s">
        <v>169</v>
      </c>
      <c r="AE25" s="53" t="s">
        <v>179</v>
      </c>
      <c r="AF25" s="65">
        <v>0</v>
      </c>
      <c r="AG25" s="53" t="s">
        <v>192</v>
      </c>
      <c r="AH25" s="52" t="s">
        <v>219</v>
      </c>
      <c r="AI25" s="52" t="s">
        <v>219</v>
      </c>
      <c r="AJ25" s="52" t="s">
        <v>219</v>
      </c>
      <c r="AK25" s="52" t="s">
        <v>219</v>
      </c>
      <c r="AL25" s="52" t="s">
        <v>1024</v>
      </c>
      <c r="AM25" s="52" t="s">
        <v>1219</v>
      </c>
      <c r="AN25" s="52" t="s">
        <v>1220</v>
      </c>
      <c r="AO25" s="64" t="s">
        <v>219</v>
      </c>
      <c r="AP25" s="63" t="s">
        <v>1277</v>
      </c>
      <c r="AQ25" s="64" t="s">
        <v>217</v>
      </c>
      <c r="AR25" s="30" t="s">
        <v>219</v>
      </c>
    </row>
    <row r="26" spans="2:44" ht="21.75" customHeight="1" x14ac:dyDescent="0.45">
      <c r="B26" s="52" t="s">
        <v>99</v>
      </c>
      <c r="E26" s="53" t="s">
        <v>87</v>
      </c>
      <c r="F26" s="52" t="s">
        <v>1216</v>
      </c>
      <c r="H26" s="53" t="s">
        <v>109</v>
      </c>
      <c r="J26" s="76">
        <v>723</v>
      </c>
      <c r="L26" s="52" t="s">
        <v>1878</v>
      </c>
      <c r="M26" s="52" t="s">
        <v>1278</v>
      </c>
      <c r="N26" s="52" t="s">
        <v>1279</v>
      </c>
      <c r="O26" s="52" t="s">
        <v>1046</v>
      </c>
      <c r="P26" s="52" t="s">
        <v>316</v>
      </c>
      <c r="Q26" s="52" t="s">
        <v>317</v>
      </c>
      <c r="R26" s="52" t="s">
        <v>254</v>
      </c>
      <c r="S26" s="52" t="s">
        <v>257</v>
      </c>
      <c r="T26" s="52" t="s">
        <v>258</v>
      </c>
      <c r="U26" s="52" t="s">
        <v>273</v>
      </c>
      <c r="V26" s="52" t="s">
        <v>274</v>
      </c>
      <c r="W26" s="52" t="s">
        <v>275</v>
      </c>
      <c r="X26" s="52" t="s">
        <v>1046</v>
      </c>
      <c r="Y26" s="52" t="s">
        <v>316</v>
      </c>
      <c r="Z26" s="52" t="s">
        <v>317</v>
      </c>
      <c r="AA26" s="61">
        <v>1</v>
      </c>
      <c r="AB26" s="52" t="s">
        <v>137</v>
      </c>
      <c r="AC26" s="63">
        <v>1</v>
      </c>
      <c r="AD26" s="52" t="s">
        <v>169</v>
      </c>
      <c r="AE26" s="53" t="s">
        <v>179</v>
      </c>
      <c r="AF26" s="65">
        <v>0</v>
      </c>
      <c r="AG26" s="53" t="s">
        <v>192</v>
      </c>
      <c r="AH26" s="52" t="s">
        <v>219</v>
      </c>
      <c r="AI26" s="52" t="s">
        <v>219</v>
      </c>
      <c r="AJ26" s="52" t="s">
        <v>219</v>
      </c>
      <c r="AK26" s="52" t="s">
        <v>219</v>
      </c>
      <c r="AL26" s="52" t="s">
        <v>1024</v>
      </c>
      <c r="AM26" s="52" t="s">
        <v>1219</v>
      </c>
      <c r="AN26" s="52" t="s">
        <v>1220</v>
      </c>
      <c r="AO26" s="64" t="s">
        <v>219</v>
      </c>
      <c r="AP26" s="63" t="s">
        <v>1280</v>
      </c>
      <c r="AQ26" s="64" t="s">
        <v>217</v>
      </c>
      <c r="AR26" s="30" t="s">
        <v>219</v>
      </c>
    </row>
    <row r="27" spans="2:44" ht="21.75" customHeight="1" x14ac:dyDescent="0.45">
      <c r="B27" s="52" t="s">
        <v>99</v>
      </c>
      <c r="E27" s="53" t="s">
        <v>87</v>
      </c>
      <c r="F27" s="52" t="s">
        <v>1216</v>
      </c>
      <c r="H27" s="53" t="s">
        <v>109</v>
      </c>
      <c r="J27" s="76">
        <v>724</v>
      </c>
      <c r="L27" s="52" t="s">
        <v>1879</v>
      </c>
      <c r="M27" s="52" t="s">
        <v>1281</v>
      </c>
      <c r="N27" s="52" t="s">
        <v>1880</v>
      </c>
      <c r="O27" s="52" t="s">
        <v>1047</v>
      </c>
      <c r="P27" s="52" t="s">
        <v>318</v>
      </c>
      <c r="Q27" s="52" t="s">
        <v>1048</v>
      </c>
      <c r="R27" s="52" t="s">
        <v>254</v>
      </c>
      <c r="S27" s="52" t="s">
        <v>257</v>
      </c>
      <c r="T27" s="52" t="s">
        <v>258</v>
      </c>
      <c r="U27" s="52" t="s">
        <v>273</v>
      </c>
      <c r="V27" s="52" t="s">
        <v>274</v>
      </c>
      <c r="W27" s="52" t="s">
        <v>275</v>
      </c>
      <c r="X27" s="52" t="s">
        <v>1047</v>
      </c>
      <c r="Y27" s="52" t="s">
        <v>319</v>
      </c>
      <c r="Z27" s="52" t="s">
        <v>1048</v>
      </c>
      <c r="AA27" s="61">
        <v>1</v>
      </c>
      <c r="AB27" s="52" t="s">
        <v>137</v>
      </c>
      <c r="AC27" s="63">
        <v>1</v>
      </c>
      <c r="AD27" s="52" t="s">
        <v>169</v>
      </c>
      <c r="AE27" s="53" t="s">
        <v>179</v>
      </c>
      <c r="AF27" s="65">
        <v>0</v>
      </c>
      <c r="AG27" s="53" t="s">
        <v>192</v>
      </c>
      <c r="AH27" s="52" t="s">
        <v>219</v>
      </c>
      <c r="AI27" s="52" t="s">
        <v>219</v>
      </c>
      <c r="AJ27" s="52" t="s">
        <v>219</v>
      </c>
      <c r="AK27" s="52" t="s">
        <v>219</v>
      </c>
      <c r="AL27" s="52" t="s">
        <v>1024</v>
      </c>
      <c r="AM27" s="52" t="s">
        <v>1219</v>
      </c>
      <c r="AN27" s="52" t="s">
        <v>1220</v>
      </c>
      <c r="AO27" s="64" t="s">
        <v>219</v>
      </c>
      <c r="AP27" s="63" t="s">
        <v>1282</v>
      </c>
      <c r="AQ27" s="64" t="s">
        <v>217</v>
      </c>
      <c r="AR27" s="30" t="s">
        <v>219</v>
      </c>
    </row>
    <row r="28" spans="2:44" ht="21.75" customHeight="1" x14ac:dyDescent="0.45">
      <c r="B28" s="52" t="s">
        <v>99</v>
      </c>
      <c r="E28" s="53" t="s">
        <v>87</v>
      </c>
      <c r="F28" s="52" t="s">
        <v>1216</v>
      </c>
      <c r="H28" s="53" t="s">
        <v>109</v>
      </c>
      <c r="J28" s="76">
        <v>725</v>
      </c>
      <c r="L28" s="52" t="s">
        <v>1881</v>
      </c>
      <c r="M28" s="52" t="s">
        <v>1283</v>
      </c>
      <c r="N28" s="52" t="s">
        <v>1284</v>
      </c>
      <c r="O28" s="52" t="s">
        <v>1049</v>
      </c>
      <c r="P28" s="52" t="s">
        <v>320</v>
      </c>
      <c r="Q28" s="52" t="s">
        <v>321</v>
      </c>
      <c r="R28" s="52" t="s">
        <v>254</v>
      </c>
      <c r="S28" s="52" t="s">
        <v>257</v>
      </c>
      <c r="T28" s="52" t="s">
        <v>258</v>
      </c>
      <c r="U28" s="52" t="s">
        <v>273</v>
      </c>
      <c r="V28" s="52" t="s">
        <v>274</v>
      </c>
      <c r="W28" s="52" t="s">
        <v>275</v>
      </c>
      <c r="X28" s="52" t="s">
        <v>1049</v>
      </c>
      <c r="Y28" s="52" t="s">
        <v>320</v>
      </c>
      <c r="Z28" s="52" t="s">
        <v>321</v>
      </c>
      <c r="AA28" s="61">
        <v>1</v>
      </c>
      <c r="AB28" s="52" t="s">
        <v>137</v>
      </c>
      <c r="AC28" s="63">
        <v>1</v>
      </c>
      <c r="AD28" s="52" t="s">
        <v>169</v>
      </c>
      <c r="AE28" s="53" t="s">
        <v>179</v>
      </c>
      <c r="AF28" s="65">
        <v>0</v>
      </c>
      <c r="AG28" s="53" t="s">
        <v>192</v>
      </c>
      <c r="AH28" s="52" t="s">
        <v>219</v>
      </c>
      <c r="AI28" s="52" t="s">
        <v>219</v>
      </c>
      <c r="AJ28" s="52" t="s">
        <v>219</v>
      </c>
      <c r="AK28" s="52" t="s">
        <v>219</v>
      </c>
      <c r="AL28" s="52" t="s">
        <v>1024</v>
      </c>
      <c r="AM28" s="52" t="s">
        <v>1219</v>
      </c>
      <c r="AN28" s="52" t="s">
        <v>1220</v>
      </c>
      <c r="AO28" s="64" t="s">
        <v>219</v>
      </c>
      <c r="AP28" s="63" t="s">
        <v>1285</v>
      </c>
      <c r="AQ28" s="64" t="s">
        <v>217</v>
      </c>
      <c r="AR28" s="30" t="s">
        <v>219</v>
      </c>
    </row>
    <row r="29" spans="2:44" ht="21.75" customHeight="1" x14ac:dyDescent="0.45">
      <c r="B29" s="52" t="s">
        <v>99</v>
      </c>
      <c r="E29" s="53" t="s">
        <v>87</v>
      </c>
      <c r="F29" s="52" t="s">
        <v>1216</v>
      </c>
      <c r="H29" s="53" t="s">
        <v>109</v>
      </c>
      <c r="J29" s="76">
        <v>726</v>
      </c>
      <c r="L29" s="52" t="s">
        <v>1882</v>
      </c>
      <c r="M29" s="52" t="s">
        <v>1286</v>
      </c>
      <c r="N29" s="52" t="s">
        <v>1287</v>
      </c>
      <c r="O29" s="52" t="s">
        <v>1050</v>
      </c>
      <c r="P29" s="52" t="s">
        <v>322</v>
      </c>
      <c r="Q29" s="52" t="s">
        <v>323</v>
      </c>
      <c r="R29" s="52" t="s">
        <v>254</v>
      </c>
      <c r="S29" s="52" t="s">
        <v>257</v>
      </c>
      <c r="T29" s="52" t="s">
        <v>258</v>
      </c>
      <c r="U29" s="52" t="s">
        <v>273</v>
      </c>
      <c r="V29" s="52" t="s">
        <v>274</v>
      </c>
      <c r="W29" s="52" t="s">
        <v>275</v>
      </c>
      <c r="X29" s="52" t="s">
        <v>1050</v>
      </c>
      <c r="Y29" s="52" t="s">
        <v>322</v>
      </c>
      <c r="Z29" s="52" t="s">
        <v>323</v>
      </c>
      <c r="AA29" s="61">
        <v>1</v>
      </c>
      <c r="AB29" s="52" t="s">
        <v>137</v>
      </c>
      <c r="AC29" s="63">
        <v>1</v>
      </c>
      <c r="AD29" s="52" t="s">
        <v>169</v>
      </c>
      <c r="AE29" s="53" t="s">
        <v>179</v>
      </c>
      <c r="AF29" s="65">
        <v>0</v>
      </c>
      <c r="AG29" s="53" t="s">
        <v>192</v>
      </c>
      <c r="AH29" s="52" t="s">
        <v>219</v>
      </c>
      <c r="AI29" s="52" t="s">
        <v>219</v>
      </c>
      <c r="AJ29" s="52" t="s">
        <v>219</v>
      </c>
      <c r="AK29" s="52" t="s">
        <v>219</v>
      </c>
      <c r="AL29" s="52" t="s">
        <v>1024</v>
      </c>
      <c r="AM29" s="52" t="s">
        <v>1219</v>
      </c>
      <c r="AN29" s="52" t="s">
        <v>1220</v>
      </c>
      <c r="AO29" s="64" t="s">
        <v>219</v>
      </c>
      <c r="AP29" s="63" t="s">
        <v>1288</v>
      </c>
      <c r="AQ29" s="64" t="s">
        <v>217</v>
      </c>
      <c r="AR29" s="30" t="s">
        <v>219</v>
      </c>
    </row>
    <row r="30" spans="2:44" ht="21.75" customHeight="1" x14ac:dyDescent="0.45">
      <c r="B30" s="52" t="s">
        <v>99</v>
      </c>
      <c r="E30" s="53" t="s">
        <v>87</v>
      </c>
      <c r="F30" s="52" t="s">
        <v>1216</v>
      </c>
      <c r="H30" s="53" t="s">
        <v>109</v>
      </c>
      <c r="J30" s="76">
        <v>727</v>
      </c>
      <c r="L30" s="52" t="s">
        <v>1289</v>
      </c>
      <c r="M30" s="52" t="s">
        <v>1883</v>
      </c>
      <c r="N30" s="52" t="s">
        <v>1884</v>
      </c>
      <c r="O30" s="52" t="s">
        <v>324</v>
      </c>
      <c r="P30" s="52" t="s">
        <v>1051</v>
      </c>
      <c r="Q30" s="52" t="s">
        <v>1051</v>
      </c>
      <c r="R30" s="52" t="s">
        <v>254</v>
      </c>
      <c r="S30" s="52" t="s">
        <v>257</v>
      </c>
      <c r="T30" s="52" t="s">
        <v>258</v>
      </c>
      <c r="U30" s="52" t="s">
        <v>273</v>
      </c>
      <c r="V30" s="52" t="s">
        <v>274</v>
      </c>
      <c r="W30" s="52" t="s">
        <v>275</v>
      </c>
      <c r="X30" s="52" t="s">
        <v>324</v>
      </c>
      <c r="Y30" s="52" t="s">
        <v>1051</v>
      </c>
      <c r="Z30" s="52" t="s">
        <v>1051</v>
      </c>
      <c r="AA30" s="61">
        <v>1</v>
      </c>
      <c r="AB30" s="52" t="s">
        <v>137</v>
      </c>
      <c r="AC30" s="63">
        <v>1</v>
      </c>
      <c r="AD30" s="52" t="s">
        <v>169</v>
      </c>
      <c r="AE30" s="53" t="s">
        <v>179</v>
      </c>
      <c r="AF30" s="65">
        <v>0</v>
      </c>
      <c r="AG30" s="53" t="s">
        <v>192</v>
      </c>
      <c r="AH30" s="52" t="s">
        <v>219</v>
      </c>
      <c r="AI30" s="52" t="s">
        <v>219</v>
      </c>
      <c r="AJ30" s="52" t="s">
        <v>219</v>
      </c>
      <c r="AK30" s="52" t="s">
        <v>219</v>
      </c>
      <c r="AL30" s="52" t="s">
        <v>1024</v>
      </c>
      <c r="AM30" s="52" t="s">
        <v>1219</v>
      </c>
      <c r="AN30" s="52" t="s">
        <v>1220</v>
      </c>
      <c r="AO30" s="64" t="s">
        <v>219</v>
      </c>
      <c r="AP30" s="63" t="s">
        <v>1290</v>
      </c>
      <c r="AQ30" s="64" t="s">
        <v>217</v>
      </c>
      <c r="AR30" s="30" t="s">
        <v>219</v>
      </c>
    </row>
    <row r="31" spans="2:44" ht="21.75" customHeight="1" x14ac:dyDescent="0.45">
      <c r="B31" s="52" t="s">
        <v>99</v>
      </c>
      <c r="E31" s="53" t="s">
        <v>87</v>
      </c>
      <c r="F31" s="52" t="s">
        <v>1216</v>
      </c>
      <c r="H31" s="53" t="s">
        <v>109</v>
      </c>
      <c r="J31" s="76">
        <v>728</v>
      </c>
      <c r="L31" s="52" t="s">
        <v>1291</v>
      </c>
      <c r="M31" s="52" t="s">
        <v>1885</v>
      </c>
      <c r="N31" s="52" t="s">
        <v>1886</v>
      </c>
      <c r="O31" s="52" t="s">
        <v>325</v>
      </c>
      <c r="P31" s="52" t="s">
        <v>1052</v>
      </c>
      <c r="Q31" s="52" t="s">
        <v>1053</v>
      </c>
      <c r="R31" s="52" t="s">
        <v>254</v>
      </c>
      <c r="S31" s="52" t="s">
        <v>257</v>
      </c>
      <c r="T31" s="52" t="s">
        <v>258</v>
      </c>
      <c r="U31" s="52" t="s">
        <v>307</v>
      </c>
      <c r="V31" s="52" t="s">
        <v>307</v>
      </c>
      <c r="W31" s="52" t="s">
        <v>307</v>
      </c>
      <c r="X31" s="52" t="s">
        <v>326</v>
      </c>
      <c r="Y31" s="52" t="s">
        <v>327</v>
      </c>
      <c r="Z31" s="52" t="s">
        <v>328</v>
      </c>
      <c r="AA31" s="61">
        <v>1</v>
      </c>
      <c r="AB31" s="52" t="s">
        <v>130</v>
      </c>
      <c r="AC31" s="63">
        <v>100</v>
      </c>
      <c r="AD31" s="52" t="s">
        <v>169</v>
      </c>
      <c r="AE31" s="53" t="s">
        <v>179</v>
      </c>
      <c r="AF31" s="65">
        <v>0</v>
      </c>
      <c r="AG31" s="53" t="s">
        <v>192</v>
      </c>
      <c r="AH31" s="52" t="s">
        <v>219</v>
      </c>
      <c r="AI31" s="52" t="s">
        <v>219</v>
      </c>
      <c r="AJ31" s="52" t="s">
        <v>219</v>
      </c>
      <c r="AK31" s="52" t="s">
        <v>219</v>
      </c>
      <c r="AL31" s="52" t="s">
        <v>1024</v>
      </c>
      <c r="AM31" s="52" t="s">
        <v>1219</v>
      </c>
      <c r="AN31" s="52" t="s">
        <v>1220</v>
      </c>
      <c r="AO31" s="64" t="s">
        <v>219</v>
      </c>
      <c r="AP31" s="63" t="s">
        <v>1292</v>
      </c>
      <c r="AQ31" s="64" t="s">
        <v>217</v>
      </c>
      <c r="AR31" s="30" t="s">
        <v>219</v>
      </c>
    </row>
    <row r="32" spans="2:44" ht="21.75" customHeight="1" x14ac:dyDescent="0.45">
      <c r="B32" s="52" t="s">
        <v>99</v>
      </c>
      <c r="E32" s="53" t="s">
        <v>87</v>
      </c>
      <c r="F32" s="52" t="s">
        <v>1216</v>
      </c>
      <c r="H32" s="53" t="s">
        <v>109</v>
      </c>
      <c r="J32" s="76">
        <v>729</v>
      </c>
      <c r="L32" s="52" t="s">
        <v>1293</v>
      </c>
      <c r="M32" s="52" t="s">
        <v>1887</v>
      </c>
      <c r="N32" s="52" t="s">
        <v>1294</v>
      </c>
      <c r="O32" s="52" t="s">
        <v>325</v>
      </c>
      <c r="P32" s="52" t="s">
        <v>1052</v>
      </c>
      <c r="Q32" s="52" t="s">
        <v>331</v>
      </c>
      <c r="R32" s="52" t="s">
        <v>254</v>
      </c>
      <c r="S32" s="52" t="s">
        <v>257</v>
      </c>
      <c r="T32" s="52" t="s">
        <v>258</v>
      </c>
      <c r="U32" s="52" t="s">
        <v>268</v>
      </c>
      <c r="V32" s="52" t="s">
        <v>268</v>
      </c>
      <c r="W32" s="52" t="s">
        <v>268</v>
      </c>
      <c r="X32" s="52" t="s">
        <v>329</v>
      </c>
      <c r="Y32" s="52" t="s">
        <v>330</v>
      </c>
      <c r="Z32" s="52" t="s">
        <v>332</v>
      </c>
      <c r="AA32" s="61">
        <v>0.5</v>
      </c>
      <c r="AB32" s="52" t="s">
        <v>130</v>
      </c>
      <c r="AC32" s="63">
        <v>100</v>
      </c>
      <c r="AD32" s="52" t="s">
        <v>169</v>
      </c>
      <c r="AE32" s="53" t="s">
        <v>179</v>
      </c>
      <c r="AF32" s="65">
        <v>0</v>
      </c>
      <c r="AG32" s="53" t="s">
        <v>192</v>
      </c>
      <c r="AH32" s="52" t="s">
        <v>219</v>
      </c>
      <c r="AI32" s="52" t="s">
        <v>219</v>
      </c>
      <c r="AJ32" s="52" t="s">
        <v>219</v>
      </c>
      <c r="AK32" s="52" t="s">
        <v>219</v>
      </c>
      <c r="AL32" s="52" t="s">
        <v>1024</v>
      </c>
      <c r="AM32" s="52" t="s">
        <v>1219</v>
      </c>
      <c r="AN32" s="52" t="s">
        <v>1220</v>
      </c>
      <c r="AO32" s="64" t="s">
        <v>219</v>
      </c>
      <c r="AP32" s="63" t="s">
        <v>1295</v>
      </c>
      <c r="AQ32" s="64" t="s">
        <v>217</v>
      </c>
      <c r="AR32" s="30" t="s">
        <v>219</v>
      </c>
    </row>
    <row r="33" spans="2:44" ht="21.75" customHeight="1" x14ac:dyDescent="0.45">
      <c r="B33" s="52" t="s">
        <v>99</v>
      </c>
      <c r="E33" s="53" t="s">
        <v>87</v>
      </c>
      <c r="F33" s="52" t="s">
        <v>1216</v>
      </c>
      <c r="H33" s="53" t="s">
        <v>109</v>
      </c>
      <c r="J33" s="76">
        <v>730</v>
      </c>
      <c r="L33" s="52" t="s">
        <v>1888</v>
      </c>
      <c r="M33" s="52" t="s">
        <v>1889</v>
      </c>
      <c r="N33" s="52" t="s">
        <v>1296</v>
      </c>
      <c r="O33" s="52" t="s">
        <v>1054</v>
      </c>
      <c r="P33" s="52" t="s">
        <v>1052</v>
      </c>
      <c r="Q33" s="52" t="s">
        <v>331</v>
      </c>
      <c r="R33" s="52" t="s">
        <v>254</v>
      </c>
      <c r="S33" s="52" t="s">
        <v>257</v>
      </c>
      <c r="T33" s="52" t="s">
        <v>258</v>
      </c>
      <c r="U33" s="52" t="s">
        <v>255</v>
      </c>
      <c r="V33" s="52" t="s">
        <v>255</v>
      </c>
      <c r="W33" s="52" t="s">
        <v>255</v>
      </c>
      <c r="X33" s="52" t="s">
        <v>333</v>
      </c>
      <c r="Y33" s="52" t="s">
        <v>334</v>
      </c>
      <c r="Z33" s="52" t="s">
        <v>335</v>
      </c>
      <c r="AA33" s="61">
        <v>0.25</v>
      </c>
      <c r="AB33" s="52" t="s">
        <v>130</v>
      </c>
      <c r="AC33" s="63">
        <v>100</v>
      </c>
      <c r="AD33" s="52" t="s">
        <v>169</v>
      </c>
      <c r="AE33" s="53" t="s">
        <v>179</v>
      </c>
      <c r="AF33" s="65">
        <v>0</v>
      </c>
      <c r="AG33" s="53" t="s">
        <v>192</v>
      </c>
      <c r="AH33" s="52" t="s">
        <v>219</v>
      </c>
      <c r="AI33" s="52" t="s">
        <v>219</v>
      </c>
      <c r="AJ33" s="52" t="s">
        <v>219</v>
      </c>
      <c r="AK33" s="52" t="s">
        <v>219</v>
      </c>
      <c r="AL33" s="52" t="s">
        <v>1024</v>
      </c>
      <c r="AM33" s="52" t="s">
        <v>1219</v>
      </c>
      <c r="AN33" s="52" t="s">
        <v>1220</v>
      </c>
      <c r="AO33" s="64" t="s">
        <v>219</v>
      </c>
      <c r="AP33" s="63" t="s">
        <v>1297</v>
      </c>
      <c r="AQ33" s="64" t="s">
        <v>217</v>
      </c>
      <c r="AR33" s="30" t="s">
        <v>219</v>
      </c>
    </row>
    <row r="34" spans="2:44" ht="21.75" customHeight="1" x14ac:dyDescent="0.45">
      <c r="B34" s="52" t="s">
        <v>99</v>
      </c>
      <c r="E34" s="53" t="s">
        <v>87</v>
      </c>
      <c r="F34" s="52" t="s">
        <v>1216</v>
      </c>
      <c r="H34" s="53" t="s">
        <v>109</v>
      </c>
      <c r="J34" s="76">
        <v>731</v>
      </c>
      <c r="L34" s="52" t="s">
        <v>1298</v>
      </c>
      <c r="M34" s="52" t="s">
        <v>1299</v>
      </c>
      <c r="N34" s="52" t="s">
        <v>1300</v>
      </c>
      <c r="O34" s="52" t="s">
        <v>338</v>
      </c>
      <c r="P34" s="52" t="s">
        <v>339</v>
      </c>
      <c r="Q34" s="52" t="s">
        <v>340</v>
      </c>
      <c r="R34" s="52" t="s">
        <v>254</v>
      </c>
      <c r="S34" s="52" t="s">
        <v>257</v>
      </c>
      <c r="T34" s="52" t="s">
        <v>258</v>
      </c>
      <c r="U34" s="52" t="s">
        <v>273</v>
      </c>
      <c r="V34" s="52" t="s">
        <v>274</v>
      </c>
      <c r="W34" s="52" t="s">
        <v>275</v>
      </c>
      <c r="X34" s="52" t="s">
        <v>338</v>
      </c>
      <c r="Y34" s="52" t="s">
        <v>339</v>
      </c>
      <c r="Z34" s="52" t="s">
        <v>340</v>
      </c>
      <c r="AA34" s="61">
        <v>1</v>
      </c>
      <c r="AB34" s="52" t="s">
        <v>137</v>
      </c>
      <c r="AC34" s="63">
        <v>1</v>
      </c>
      <c r="AD34" s="52" t="s">
        <v>169</v>
      </c>
      <c r="AE34" s="53" t="s">
        <v>179</v>
      </c>
      <c r="AF34" s="65">
        <v>0</v>
      </c>
      <c r="AG34" s="53" t="s">
        <v>192</v>
      </c>
      <c r="AH34" s="52" t="s">
        <v>219</v>
      </c>
      <c r="AI34" s="52" t="s">
        <v>219</v>
      </c>
      <c r="AJ34" s="52" t="s">
        <v>219</v>
      </c>
      <c r="AK34" s="52" t="s">
        <v>219</v>
      </c>
      <c r="AL34" s="52" t="s">
        <v>1024</v>
      </c>
      <c r="AM34" s="52" t="s">
        <v>1219</v>
      </c>
      <c r="AN34" s="52" t="s">
        <v>1220</v>
      </c>
      <c r="AO34" s="64" t="s">
        <v>219</v>
      </c>
      <c r="AP34" s="63" t="s">
        <v>1301</v>
      </c>
      <c r="AQ34" s="64" t="s">
        <v>217</v>
      </c>
      <c r="AR34" s="30" t="s">
        <v>219</v>
      </c>
    </row>
    <row r="35" spans="2:44" ht="21.75" customHeight="1" x14ac:dyDescent="0.45">
      <c r="B35" s="52" t="s">
        <v>99</v>
      </c>
      <c r="E35" s="53" t="s">
        <v>87</v>
      </c>
      <c r="F35" s="52" t="s">
        <v>1216</v>
      </c>
      <c r="H35" s="53" t="s">
        <v>109</v>
      </c>
      <c r="J35" s="76">
        <v>732</v>
      </c>
      <c r="L35" s="52" t="s">
        <v>1302</v>
      </c>
      <c r="M35" s="52" t="s">
        <v>1303</v>
      </c>
      <c r="N35" s="52" t="s">
        <v>1304</v>
      </c>
      <c r="O35" s="52" t="s">
        <v>341</v>
      </c>
      <c r="P35" s="52" t="s">
        <v>342</v>
      </c>
      <c r="Q35" s="52" t="s">
        <v>343</v>
      </c>
      <c r="R35" s="52" t="s">
        <v>254</v>
      </c>
      <c r="S35" s="52" t="s">
        <v>257</v>
      </c>
      <c r="T35" s="52" t="s">
        <v>258</v>
      </c>
      <c r="U35" s="52" t="s">
        <v>273</v>
      </c>
      <c r="V35" s="52" t="s">
        <v>274</v>
      </c>
      <c r="W35" s="52" t="s">
        <v>275</v>
      </c>
      <c r="X35" s="52" t="s">
        <v>341</v>
      </c>
      <c r="Y35" s="52" t="s">
        <v>342</v>
      </c>
      <c r="Z35" s="52" t="s">
        <v>343</v>
      </c>
      <c r="AA35" s="61">
        <v>1</v>
      </c>
      <c r="AB35" s="52" t="s">
        <v>137</v>
      </c>
      <c r="AC35" s="63">
        <v>1</v>
      </c>
      <c r="AD35" s="52" t="s">
        <v>169</v>
      </c>
      <c r="AE35" s="53" t="s">
        <v>179</v>
      </c>
      <c r="AF35" s="65">
        <v>0</v>
      </c>
      <c r="AG35" s="53" t="s">
        <v>192</v>
      </c>
      <c r="AH35" s="52" t="s">
        <v>219</v>
      </c>
      <c r="AI35" s="52" t="s">
        <v>219</v>
      </c>
      <c r="AJ35" s="52" t="s">
        <v>219</v>
      </c>
      <c r="AK35" s="52" t="s">
        <v>219</v>
      </c>
      <c r="AL35" s="52" t="s">
        <v>1024</v>
      </c>
      <c r="AM35" s="52" t="s">
        <v>1219</v>
      </c>
      <c r="AN35" s="52" t="s">
        <v>1220</v>
      </c>
      <c r="AO35" s="64" t="s">
        <v>219</v>
      </c>
      <c r="AP35" s="63" t="s">
        <v>1305</v>
      </c>
      <c r="AQ35" s="64" t="s">
        <v>217</v>
      </c>
      <c r="AR35" s="30" t="s">
        <v>219</v>
      </c>
    </row>
    <row r="36" spans="2:44" ht="21.75" customHeight="1" x14ac:dyDescent="0.45">
      <c r="B36" s="52" t="s">
        <v>99</v>
      </c>
      <c r="E36" s="53" t="s">
        <v>87</v>
      </c>
      <c r="F36" s="52" t="s">
        <v>1216</v>
      </c>
      <c r="H36" s="53" t="s">
        <v>109</v>
      </c>
      <c r="J36" s="76">
        <v>733</v>
      </c>
      <c r="L36" s="52" t="s">
        <v>1306</v>
      </c>
      <c r="M36" s="52" t="s">
        <v>1890</v>
      </c>
      <c r="N36" s="52" t="s">
        <v>1307</v>
      </c>
      <c r="O36" s="52" t="s">
        <v>344</v>
      </c>
      <c r="P36" s="52" t="s">
        <v>1055</v>
      </c>
      <c r="Q36" s="52" t="s">
        <v>345</v>
      </c>
      <c r="R36" s="52" t="s">
        <v>254</v>
      </c>
      <c r="S36" s="52" t="s">
        <v>257</v>
      </c>
      <c r="T36" s="52" t="s">
        <v>258</v>
      </c>
      <c r="U36" s="52" t="s">
        <v>273</v>
      </c>
      <c r="V36" s="52" t="s">
        <v>274</v>
      </c>
      <c r="W36" s="52" t="s">
        <v>275</v>
      </c>
      <c r="X36" s="52" t="s">
        <v>344</v>
      </c>
      <c r="Y36" s="52" t="s">
        <v>1055</v>
      </c>
      <c r="Z36" s="52" t="s">
        <v>345</v>
      </c>
      <c r="AA36" s="61">
        <v>1</v>
      </c>
      <c r="AB36" s="52" t="s">
        <v>137</v>
      </c>
      <c r="AC36" s="63">
        <v>1</v>
      </c>
      <c r="AD36" s="52" t="s">
        <v>169</v>
      </c>
      <c r="AE36" s="53" t="s">
        <v>179</v>
      </c>
      <c r="AF36" s="65">
        <v>0</v>
      </c>
      <c r="AG36" s="53" t="s">
        <v>192</v>
      </c>
      <c r="AH36" s="52" t="s">
        <v>219</v>
      </c>
      <c r="AI36" s="52" t="s">
        <v>219</v>
      </c>
      <c r="AJ36" s="52" t="s">
        <v>219</v>
      </c>
      <c r="AK36" s="52" t="s">
        <v>219</v>
      </c>
      <c r="AL36" s="52" t="s">
        <v>1024</v>
      </c>
      <c r="AM36" s="52" t="s">
        <v>1219</v>
      </c>
      <c r="AN36" s="52" t="s">
        <v>1220</v>
      </c>
      <c r="AO36" s="64" t="s">
        <v>219</v>
      </c>
      <c r="AP36" s="63" t="s">
        <v>1308</v>
      </c>
      <c r="AQ36" s="64" t="s">
        <v>217</v>
      </c>
      <c r="AR36" s="30" t="s">
        <v>219</v>
      </c>
    </row>
    <row r="37" spans="2:44" ht="21.75" customHeight="1" x14ac:dyDescent="0.45">
      <c r="B37" s="52" t="s">
        <v>99</v>
      </c>
      <c r="E37" s="53" t="s">
        <v>87</v>
      </c>
      <c r="F37" s="52" t="s">
        <v>1216</v>
      </c>
      <c r="H37" s="53" t="s">
        <v>109</v>
      </c>
      <c r="J37" s="76">
        <v>734</v>
      </c>
      <c r="L37" s="52" t="s">
        <v>1891</v>
      </c>
      <c r="M37" s="52" t="s">
        <v>1892</v>
      </c>
      <c r="N37" s="52" t="s">
        <v>1893</v>
      </c>
      <c r="O37" s="52" t="s">
        <v>1056</v>
      </c>
      <c r="P37" s="52" t="s">
        <v>1057</v>
      </c>
      <c r="Q37" s="52" t="s">
        <v>1058</v>
      </c>
      <c r="R37" s="52" t="s">
        <v>254</v>
      </c>
      <c r="S37" s="52" t="s">
        <v>257</v>
      </c>
      <c r="T37" s="52" t="s">
        <v>258</v>
      </c>
      <c r="U37" s="52" t="s">
        <v>273</v>
      </c>
      <c r="V37" s="52" t="s">
        <v>274</v>
      </c>
      <c r="W37" s="52" t="s">
        <v>275</v>
      </c>
      <c r="X37" s="52" t="s">
        <v>1056</v>
      </c>
      <c r="Y37" s="52" t="s">
        <v>1057</v>
      </c>
      <c r="Z37" s="52" t="s">
        <v>1058</v>
      </c>
      <c r="AA37" s="61">
        <v>1</v>
      </c>
      <c r="AB37" s="52" t="s">
        <v>137</v>
      </c>
      <c r="AC37" s="63">
        <v>1</v>
      </c>
      <c r="AD37" s="52" t="s">
        <v>169</v>
      </c>
      <c r="AE37" s="53" t="s">
        <v>179</v>
      </c>
      <c r="AF37" s="65">
        <v>0</v>
      </c>
      <c r="AG37" s="53" t="s">
        <v>192</v>
      </c>
      <c r="AH37" s="52" t="s">
        <v>219</v>
      </c>
      <c r="AI37" s="52" t="s">
        <v>219</v>
      </c>
      <c r="AJ37" s="52" t="s">
        <v>219</v>
      </c>
      <c r="AK37" s="52" t="s">
        <v>219</v>
      </c>
      <c r="AL37" s="52" t="s">
        <v>1024</v>
      </c>
      <c r="AM37" s="52" t="s">
        <v>1219</v>
      </c>
      <c r="AN37" s="52" t="s">
        <v>1220</v>
      </c>
      <c r="AO37" s="64" t="s">
        <v>219</v>
      </c>
      <c r="AP37" s="63" t="s">
        <v>1309</v>
      </c>
      <c r="AQ37" s="64" t="s">
        <v>217</v>
      </c>
      <c r="AR37" s="30" t="s">
        <v>219</v>
      </c>
    </row>
    <row r="38" spans="2:44" ht="21.75" customHeight="1" x14ac:dyDescent="0.45">
      <c r="B38" s="52" t="s">
        <v>99</v>
      </c>
      <c r="E38" s="53" t="s">
        <v>87</v>
      </c>
      <c r="F38" s="52" t="s">
        <v>1216</v>
      </c>
      <c r="H38" s="53" t="s">
        <v>109</v>
      </c>
      <c r="J38" s="76">
        <v>735</v>
      </c>
      <c r="L38" s="52" t="s">
        <v>1894</v>
      </c>
      <c r="M38" s="52" t="s">
        <v>1895</v>
      </c>
      <c r="N38" s="52" t="s">
        <v>1310</v>
      </c>
      <c r="O38" s="52" t="s">
        <v>1059</v>
      </c>
      <c r="P38" s="52" t="s">
        <v>1060</v>
      </c>
      <c r="Q38" s="52" t="s">
        <v>346</v>
      </c>
      <c r="R38" s="52" t="s">
        <v>254</v>
      </c>
      <c r="S38" s="52" t="s">
        <v>257</v>
      </c>
      <c r="T38" s="52" t="s">
        <v>258</v>
      </c>
      <c r="U38" s="52" t="s">
        <v>273</v>
      </c>
      <c r="V38" s="52" t="s">
        <v>274</v>
      </c>
      <c r="W38" s="52" t="s">
        <v>275</v>
      </c>
      <c r="X38" s="52" t="s">
        <v>1059</v>
      </c>
      <c r="Y38" s="52" t="s">
        <v>1060</v>
      </c>
      <c r="Z38" s="52" t="s">
        <v>346</v>
      </c>
      <c r="AA38" s="61">
        <v>1</v>
      </c>
      <c r="AB38" s="52" t="s">
        <v>137</v>
      </c>
      <c r="AC38" s="63">
        <v>1</v>
      </c>
      <c r="AD38" s="52" t="s">
        <v>169</v>
      </c>
      <c r="AE38" s="53" t="s">
        <v>179</v>
      </c>
      <c r="AF38" s="65">
        <v>0</v>
      </c>
      <c r="AG38" s="53" t="s">
        <v>192</v>
      </c>
      <c r="AH38" s="52" t="s">
        <v>219</v>
      </c>
      <c r="AI38" s="52" t="s">
        <v>219</v>
      </c>
      <c r="AJ38" s="52" t="s">
        <v>219</v>
      </c>
      <c r="AK38" s="52" t="s">
        <v>219</v>
      </c>
      <c r="AL38" s="52" t="s">
        <v>1024</v>
      </c>
      <c r="AM38" s="52" t="s">
        <v>1219</v>
      </c>
      <c r="AN38" s="52" t="s">
        <v>1220</v>
      </c>
      <c r="AO38" s="64" t="s">
        <v>219</v>
      </c>
      <c r="AP38" s="63" t="s">
        <v>1311</v>
      </c>
      <c r="AQ38" s="64" t="s">
        <v>217</v>
      </c>
      <c r="AR38" s="30" t="s">
        <v>219</v>
      </c>
    </row>
    <row r="39" spans="2:44" ht="21.75" customHeight="1" x14ac:dyDescent="0.45">
      <c r="B39" s="52" t="s">
        <v>99</v>
      </c>
      <c r="E39" s="53" t="s">
        <v>87</v>
      </c>
      <c r="F39" s="52" t="s">
        <v>1216</v>
      </c>
      <c r="H39" s="53" t="s">
        <v>109</v>
      </c>
      <c r="J39" s="76">
        <v>736</v>
      </c>
      <c r="L39" s="52" t="s">
        <v>1896</v>
      </c>
      <c r="M39" s="52" t="s">
        <v>1312</v>
      </c>
      <c r="N39" s="52" t="s">
        <v>1313</v>
      </c>
      <c r="O39" s="52" t="s">
        <v>1061</v>
      </c>
      <c r="P39" s="52" t="s">
        <v>347</v>
      </c>
      <c r="Q39" s="52" t="s">
        <v>348</v>
      </c>
      <c r="R39" s="52" t="s">
        <v>254</v>
      </c>
      <c r="S39" s="52" t="s">
        <v>257</v>
      </c>
      <c r="T39" s="52" t="s">
        <v>258</v>
      </c>
      <c r="U39" s="52" t="s">
        <v>273</v>
      </c>
      <c r="V39" s="52" t="s">
        <v>274</v>
      </c>
      <c r="W39" s="52" t="s">
        <v>275</v>
      </c>
      <c r="X39" s="52" t="s">
        <v>1061</v>
      </c>
      <c r="Y39" s="52" t="s">
        <v>347</v>
      </c>
      <c r="Z39" s="52" t="s">
        <v>348</v>
      </c>
      <c r="AA39" s="61">
        <v>1</v>
      </c>
      <c r="AB39" s="52" t="s">
        <v>137</v>
      </c>
      <c r="AC39" s="63">
        <v>1</v>
      </c>
      <c r="AD39" s="52" t="s">
        <v>169</v>
      </c>
      <c r="AE39" s="53" t="s">
        <v>179</v>
      </c>
      <c r="AF39" s="65">
        <v>0</v>
      </c>
      <c r="AG39" s="53" t="s">
        <v>192</v>
      </c>
      <c r="AH39" s="52" t="s">
        <v>219</v>
      </c>
      <c r="AI39" s="52" t="s">
        <v>219</v>
      </c>
      <c r="AJ39" s="52" t="s">
        <v>219</v>
      </c>
      <c r="AK39" s="52" t="s">
        <v>219</v>
      </c>
      <c r="AL39" s="52" t="s">
        <v>1024</v>
      </c>
      <c r="AM39" s="52" t="s">
        <v>1219</v>
      </c>
      <c r="AN39" s="52" t="s">
        <v>1220</v>
      </c>
      <c r="AO39" s="64" t="s">
        <v>219</v>
      </c>
      <c r="AP39" s="63" t="s">
        <v>1314</v>
      </c>
      <c r="AQ39" s="64" t="s">
        <v>217</v>
      </c>
      <c r="AR39" s="30" t="s">
        <v>219</v>
      </c>
    </row>
    <row r="40" spans="2:44" ht="21.75" customHeight="1" x14ac:dyDescent="0.45">
      <c r="B40" s="52" t="s">
        <v>99</v>
      </c>
      <c r="E40" s="53" t="s">
        <v>87</v>
      </c>
      <c r="F40" s="52" t="s">
        <v>1216</v>
      </c>
      <c r="H40" s="53" t="s">
        <v>109</v>
      </c>
      <c r="J40" s="76">
        <v>737</v>
      </c>
      <c r="L40" s="52" t="s">
        <v>1897</v>
      </c>
      <c r="M40" s="52" t="s">
        <v>1315</v>
      </c>
      <c r="N40" s="52" t="s">
        <v>1316</v>
      </c>
      <c r="O40" s="52" t="s">
        <v>1062</v>
      </c>
      <c r="P40" s="52" t="s">
        <v>349</v>
      </c>
      <c r="Q40" s="52" t="s">
        <v>350</v>
      </c>
      <c r="R40" s="52" t="s">
        <v>254</v>
      </c>
      <c r="S40" s="52" t="s">
        <v>257</v>
      </c>
      <c r="T40" s="52" t="s">
        <v>258</v>
      </c>
      <c r="U40" s="52" t="s">
        <v>273</v>
      </c>
      <c r="V40" s="52" t="s">
        <v>274</v>
      </c>
      <c r="W40" s="52" t="s">
        <v>275</v>
      </c>
      <c r="X40" s="52" t="s">
        <v>1062</v>
      </c>
      <c r="Y40" s="52" t="s">
        <v>349</v>
      </c>
      <c r="Z40" s="52" t="s">
        <v>350</v>
      </c>
      <c r="AA40" s="61">
        <v>1</v>
      </c>
      <c r="AB40" s="52" t="s">
        <v>137</v>
      </c>
      <c r="AC40" s="63">
        <v>1</v>
      </c>
      <c r="AD40" s="52" t="s">
        <v>169</v>
      </c>
      <c r="AE40" s="53" t="s">
        <v>179</v>
      </c>
      <c r="AF40" s="65">
        <v>0</v>
      </c>
      <c r="AG40" s="53" t="s">
        <v>192</v>
      </c>
      <c r="AH40" s="52" t="s">
        <v>219</v>
      </c>
      <c r="AI40" s="52" t="s">
        <v>219</v>
      </c>
      <c r="AJ40" s="52" t="s">
        <v>219</v>
      </c>
      <c r="AK40" s="52" t="s">
        <v>219</v>
      </c>
      <c r="AL40" s="52" t="s">
        <v>1024</v>
      </c>
      <c r="AM40" s="52" t="s">
        <v>1219</v>
      </c>
      <c r="AN40" s="52" t="s">
        <v>1220</v>
      </c>
      <c r="AO40" s="64" t="s">
        <v>219</v>
      </c>
      <c r="AP40" s="63" t="s">
        <v>1317</v>
      </c>
      <c r="AQ40" s="64" t="s">
        <v>217</v>
      </c>
      <c r="AR40" s="30" t="s">
        <v>219</v>
      </c>
    </row>
    <row r="41" spans="2:44" ht="21.75" customHeight="1" x14ac:dyDescent="0.45">
      <c r="B41" s="52" t="s">
        <v>99</v>
      </c>
      <c r="E41" s="53" t="s">
        <v>87</v>
      </c>
      <c r="F41" s="52" t="s">
        <v>1216</v>
      </c>
      <c r="H41" s="53" t="s">
        <v>109</v>
      </c>
      <c r="J41" s="76">
        <v>738</v>
      </c>
      <c r="L41" s="52" t="s">
        <v>1898</v>
      </c>
      <c r="M41" s="52" t="s">
        <v>1318</v>
      </c>
      <c r="N41" s="52" t="s">
        <v>1319</v>
      </c>
      <c r="O41" s="52" t="s">
        <v>1063</v>
      </c>
      <c r="P41" s="52" t="s">
        <v>352</v>
      </c>
      <c r="Q41" s="52" t="s">
        <v>354</v>
      </c>
      <c r="R41" s="52" t="s">
        <v>254</v>
      </c>
      <c r="S41" s="52" t="s">
        <v>257</v>
      </c>
      <c r="T41" s="52" t="s">
        <v>258</v>
      </c>
      <c r="U41" s="52" t="s">
        <v>255</v>
      </c>
      <c r="V41" s="52" t="s">
        <v>255</v>
      </c>
      <c r="W41" s="52" t="s">
        <v>255</v>
      </c>
      <c r="X41" s="52" t="s">
        <v>351</v>
      </c>
      <c r="Y41" s="52" t="s">
        <v>353</v>
      </c>
      <c r="Z41" s="52" t="s">
        <v>355</v>
      </c>
      <c r="AA41" s="61">
        <v>0.25</v>
      </c>
      <c r="AB41" s="52" t="s">
        <v>130</v>
      </c>
      <c r="AC41" s="63">
        <v>1</v>
      </c>
      <c r="AD41" s="52" t="s">
        <v>169</v>
      </c>
      <c r="AE41" s="53" t="s">
        <v>179</v>
      </c>
      <c r="AF41" s="65">
        <v>0</v>
      </c>
      <c r="AG41" s="53" t="s">
        <v>192</v>
      </c>
      <c r="AH41" s="52" t="s">
        <v>219</v>
      </c>
      <c r="AI41" s="52" t="s">
        <v>219</v>
      </c>
      <c r="AJ41" s="52" t="s">
        <v>219</v>
      </c>
      <c r="AK41" s="52" t="s">
        <v>219</v>
      </c>
      <c r="AL41" s="52" t="s">
        <v>1024</v>
      </c>
      <c r="AM41" s="52" t="s">
        <v>1219</v>
      </c>
      <c r="AN41" s="52" t="s">
        <v>1220</v>
      </c>
      <c r="AO41" s="64" t="s">
        <v>219</v>
      </c>
      <c r="AP41" s="63" t="s">
        <v>1320</v>
      </c>
      <c r="AQ41" s="64" t="s">
        <v>217</v>
      </c>
      <c r="AR41" s="30" t="s">
        <v>219</v>
      </c>
    </row>
    <row r="42" spans="2:44" ht="21.75" customHeight="1" x14ac:dyDescent="0.45">
      <c r="B42" s="52" t="s">
        <v>99</v>
      </c>
      <c r="E42" s="53" t="s">
        <v>87</v>
      </c>
      <c r="F42" s="52" t="s">
        <v>1216</v>
      </c>
      <c r="H42" s="53" t="s">
        <v>109</v>
      </c>
      <c r="J42" s="76">
        <v>739</v>
      </c>
      <c r="L42" s="52" t="s">
        <v>1899</v>
      </c>
      <c r="M42" s="52" t="s">
        <v>1321</v>
      </c>
      <c r="N42" s="52" t="s">
        <v>1322</v>
      </c>
      <c r="O42" s="52" t="s">
        <v>1063</v>
      </c>
      <c r="P42" s="52" t="s">
        <v>352</v>
      </c>
      <c r="Q42" s="52" t="s">
        <v>354</v>
      </c>
      <c r="R42" s="52" t="s">
        <v>254</v>
      </c>
      <c r="S42" s="52" t="s">
        <v>257</v>
      </c>
      <c r="T42" s="52" t="s">
        <v>258</v>
      </c>
      <c r="U42" s="52" t="s">
        <v>268</v>
      </c>
      <c r="V42" s="52" t="s">
        <v>268</v>
      </c>
      <c r="W42" s="52" t="s">
        <v>268</v>
      </c>
      <c r="X42" s="52" t="s">
        <v>356</v>
      </c>
      <c r="Y42" s="52" t="s">
        <v>357</v>
      </c>
      <c r="Z42" s="52" t="s">
        <v>358</v>
      </c>
      <c r="AA42" s="61">
        <v>0.5</v>
      </c>
      <c r="AB42" s="52" t="s">
        <v>130</v>
      </c>
      <c r="AC42" s="63">
        <v>1</v>
      </c>
      <c r="AD42" s="52" t="s">
        <v>169</v>
      </c>
      <c r="AE42" s="53" t="s">
        <v>179</v>
      </c>
      <c r="AF42" s="65">
        <v>0</v>
      </c>
      <c r="AG42" s="53" t="s">
        <v>192</v>
      </c>
      <c r="AH42" s="52" t="s">
        <v>219</v>
      </c>
      <c r="AI42" s="52" t="s">
        <v>219</v>
      </c>
      <c r="AJ42" s="52" t="s">
        <v>219</v>
      </c>
      <c r="AK42" s="52" t="s">
        <v>219</v>
      </c>
      <c r="AL42" s="52" t="s">
        <v>1024</v>
      </c>
      <c r="AM42" s="52" t="s">
        <v>1219</v>
      </c>
      <c r="AN42" s="52" t="s">
        <v>1220</v>
      </c>
      <c r="AO42" s="64" t="s">
        <v>219</v>
      </c>
      <c r="AP42" s="63" t="s">
        <v>1323</v>
      </c>
      <c r="AQ42" s="64" t="s">
        <v>217</v>
      </c>
      <c r="AR42" s="30" t="s">
        <v>219</v>
      </c>
    </row>
    <row r="43" spans="2:44" ht="21.75" customHeight="1" x14ac:dyDescent="0.45">
      <c r="B43" s="52" t="s">
        <v>99</v>
      </c>
      <c r="E43" s="53" t="s">
        <v>87</v>
      </c>
      <c r="F43" s="52" t="s">
        <v>1216</v>
      </c>
      <c r="H43" s="53" t="s">
        <v>109</v>
      </c>
      <c r="J43" s="76">
        <v>740</v>
      </c>
      <c r="L43" s="52" t="s">
        <v>1900</v>
      </c>
      <c r="M43" s="52" t="s">
        <v>1901</v>
      </c>
      <c r="N43" s="52" t="s">
        <v>1324</v>
      </c>
      <c r="O43" s="52" t="s">
        <v>1064</v>
      </c>
      <c r="P43" s="52" t="s">
        <v>1065</v>
      </c>
      <c r="Q43" s="52" t="s">
        <v>362</v>
      </c>
      <c r="R43" s="52" t="s">
        <v>254</v>
      </c>
      <c r="S43" s="52" t="s">
        <v>257</v>
      </c>
      <c r="T43" s="52" t="s">
        <v>258</v>
      </c>
      <c r="U43" s="52" t="s">
        <v>359</v>
      </c>
      <c r="V43" s="52" t="s">
        <v>359</v>
      </c>
      <c r="W43" s="52" t="s">
        <v>359</v>
      </c>
      <c r="X43" s="52" t="s">
        <v>360</v>
      </c>
      <c r="Y43" s="52" t="s">
        <v>361</v>
      </c>
      <c r="Z43" s="52" t="s">
        <v>363</v>
      </c>
      <c r="AA43" s="61">
        <v>0.4</v>
      </c>
      <c r="AB43" s="52" t="s">
        <v>130</v>
      </c>
      <c r="AC43" s="63">
        <v>1</v>
      </c>
      <c r="AD43" s="52" t="s">
        <v>169</v>
      </c>
      <c r="AE43" s="53" t="s">
        <v>179</v>
      </c>
      <c r="AF43" s="65">
        <v>0</v>
      </c>
      <c r="AG43" s="53" t="s">
        <v>192</v>
      </c>
      <c r="AH43" s="52" t="s">
        <v>219</v>
      </c>
      <c r="AI43" s="52" t="s">
        <v>219</v>
      </c>
      <c r="AJ43" s="52" t="s">
        <v>219</v>
      </c>
      <c r="AK43" s="52" t="s">
        <v>219</v>
      </c>
      <c r="AL43" s="52" t="s">
        <v>1024</v>
      </c>
      <c r="AM43" s="52" t="s">
        <v>1219</v>
      </c>
      <c r="AN43" s="52" t="s">
        <v>1220</v>
      </c>
      <c r="AO43" s="64" t="s">
        <v>219</v>
      </c>
      <c r="AP43" s="63" t="s">
        <v>1325</v>
      </c>
      <c r="AQ43" s="64" t="s">
        <v>217</v>
      </c>
      <c r="AR43" s="30" t="s">
        <v>219</v>
      </c>
    </row>
    <row r="44" spans="2:44" ht="21.75" customHeight="1" x14ac:dyDescent="0.45">
      <c r="B44" s="52" t="s">
        <v>99</v>
      </c>
      <c r="E44" s="53" t="s">
        <v>87</v>
      </c>
      <c r="F44" s="52" t="s">
        <v>1216</v>
      </c>
      <c r="H44" s="53" t="s">
        <v>109</v>
      </c>
      <c r="J44" s="76">
        <v>741</v>
      </c>
      <c r="L44" s="52" t="s">
        <v>1902</v>
      </c>
      <c r="M44" s="52" t="s">
        <v>1903</v>
      </c>
      <c r="N44" s="52" t="s">
        <v>1904</v>
      </c>
      <c r="O44" s="52" t="s">
        <v>1066</v>
      </c>
      <c r="P44" s="52" t="s">
        <v>1067</v>
      </c>
      <c r="Q44" s="52" t="s">
        <v>1068</v>
      </c>
      <c r="R44" s="52" t="s">
        <v>254</v>
      </c>
      <c r="S44" s="52" t="s">
        <v>257</v>
      </c>
      <c r="T44" s="52" t="s">
        <v>258</v>
      </c>
      <c r="U44" s="52" t="s">
        <v>273</v>
      </c>
      <c r="V44" s="52" t="s">
        <v>274</v>
      </c>
      <c r="W44" s="52" t="s">
        <v>275</v>
      </c>
      <c r="X44" s="52" t="s">
        <v>1066</v>
      </c>
      <c r="Y44" s="52" t="s">
        <v>1067</v>
      </c>
      <c r="Z44" s="52" t="s">
        <v>1068</v>
      </c>
      <c r="AA44" s="61">
        <v>1</v>
      </c>
      <c r="AB44" s="52" t="s">
        <v>137</v>
      </c>
      <c r="AC44" s="63">
        <v>1</v>
      </c>
      <c r="AD44" s="52" t="s">
        <v>169</v>
      </c>
      <c r="AE44" s="53" t="s">
        <v>179</v>
      </c>
      <c r="AF44" s="65">
        <v>0</v>
      </c>
      <c r="AG44" s="53" t="s">
        <v>192</v>
      </c>
      <c r="AH44" s="52" t="s">
        <v>219</v>
      </c>
      <c r="AI44" s="52" t="s">
        <v>219</v>
      </c>
      <c r="AJ44" s="52" t="s">
        <v>219</v>
      </c>
      <c r="AK44" s="52" t="s">
        <v>219</v>
      </c>
      <c r="AL44" s="52" t="s">
        <v>1024</v>
      </c>
      <c r="AM44" s="52" t="s">
        <v>1219</v>
      </c>
      <c r="AN44" s="52" t="s">
        <v>1220</v>
      </c>
      <c r="AO44" s="64" t="s">
        <v>219</v>
      </c>
      <c r="AP44" s="63" t="s">
        <v>1326</v>
      </c>
      <c r="AQ44" s="64" t="s">
        <v>217</v>
      </c>
      <c r="AR44" s="30" t="s">
        <v>219</v>
      </c>
    </row>
    <row r="45" spans="2:44" ht="21.75" customHeight="1" x14ac:dyDescent="0.45">
      <c r="B45" s="52" t="s">
        <v>99</v>
      </c>
      <c r="E45" s="53" t="s">
        <v>87</v>
      </c>
      <c r="F45" s="52" t="s">
        <v>1216</v>
      </c>
      <c r="H45" s="53" t="s">
        <v>109</v>
      </c>
      <c r="J45" s="76">
        <v>742</v>
      </c>
      <c r="L45" s="52" t="s">
        <v>1905</v>
      </c>
      <c r="M45" s="52" t="s">
        <v>1906</v>
      </c>
      <c r="N45" s="52" t="s">
        <v>1327</v>
      </c>
      <c r="O45" s="52" t="s">
        <v>1069</v>
      </c>
      <c r="P45" s="52" t="s">
        <v>1070</v>
      </c>
      <c r="Q45" s="52" t="s">
        <v>364</v>
      </c>
      <c r="R45" s="52" t="s">
        <v>254</v>
      </c>
      <c r="S45" s="52" t="s">
        <v>257</v>
      </c>
      <c r="T45" s="52" t="s">
        <v>258</v>
      </c>
      <c r="U45" s="52" t="s">
        <v>273</v>
      </c>
      <c r="V45" s="52" t="s">
        <v>274</v>
      </c>
      <c r="W45" s="52" t="s">
        <v>275</v>
      </c>
      <c r="X45" s="52" t="s">
        <v>1069</v>
      </c>
      <c r="Y45" s="52" t="s">
        <v>1070</v>
      </c>
      <c r="Z45" s="52" t="s">
        <v>364</v>
      </c>
      <c r="AA45" s="61">
        <v>1</v>
      </c>
      <c r="AB45" s="52" t="s">
        <v>137</v>
      </c>
      <c r="AC45" s="63">
        <v>1</v>
      </c>
      <c r="AD45" s="52" t="s">
        <v>169</v>
      </c>
      <c r="AE45" s="53" t="s">
        <v>179</v>
      </c>
      <c r="AF45" s="65">
        <v>0</v>
      </c>
      <c r="AG45" s="53" t="s">
        <v>192</v>
      </c>
      <c r="AH45" s="52" t="s">
        <v>219</v>
      </c>
      <c r="AI45" s="52" t="s">
        <v>219</v>
      </c>
      <c r="AJ45" s="52" t="s">
        <v>219</v>
      </c>
      <c r="AK45" s="52" t="s">
        <v>219</v>
      </c>
      <c r="AL45" s="52" t="s">
        <v>1024</v>
      </c>
      <c r="AM45" s="52" t="s">
        <v>1219</v>
      </c>
      <c r="AN45" s="52" t="s">
        <v>1220</v>
      </c>
      <c r="AO45" s="64" t="s">
        <v>219</v>
      </c>
      <c r="AP45" s="63" t="s">
        <v>1328</v>
      </c>
      <c r="AQ45" s="64" t="s">
        <v>217</v>
      </c>
      <c r="AR45" s="30" t="s">
        <v>219</v>
      </c>
    </row>
    <row r="46" spans="2:44" ht="21.75" customHeight="1" x14ac:dyDescent="0.45">
      <c r="B46" s="52" t="s">
        <v>99</v>
      </c>
      <c r="E46" s="53" t="s">
        <v>87</v>
      </c>
      <c r="F46" s="52" t="s">
        <v>1216</v>
      </c>
      <c r="H46" s="53" t="s">
        <v>109</v>
      </c>
      <c r="J46" s="76">
        <v>743</v>
      </c>
      <c r="L46" s="52" t="s">
        <v>1838</v>
      </c>
      <c r="M46" s="52" t="s">
        <v>1329</v>
      </c>
      <c r="N46" s="52" t="s">
        <v>1330</v>
      </c>
      <c r="O46" s="52" t="s">
        <v>1071</v>
      </c>
      <c r="P46" s="52" t="s">
        <v>365</v>
      </c>
      <c r="Q46" s="52" t="s">
        <v>366</v>
      </c>
      <c r="R46" s="52" t="s">
        <v>254</v>
      </c>
      <c r="S46" s="52" t="s">
        <v>257</v>
      </c>
      <c r="T46" s="52" t="s">
        <v>258</v>
      </c>
      <c r="U46" s="52" t="s">
        <v>273</v>
      </c>
      <c r="V46" s="52" t="s">
        <v>274</v>
      </c>
      <c r="W46" s="52" t="s">
        <v>275</v>
      </c>
      <c r="X46" s="52" t="s">
        <v>1071</v>
      </c>
      <c r="Y46" s="52" t="s">
        <v>365</v>
      </c>
      <c r="Z46" s="52" t="s">
        <v>366</v>
      </c>
      <c r="AA46" s="61">
        <v>1</v>
      </c>
      <c r="AB46" s="52" t="s">
        <v>137</v>
      </c>
      <c r="AC46" s="63">
        <v>1</v>
      </c>
      <c r="AD46" s="52" t="s">
        <v>169</v>
      </c>
      <c r="AE46" s="53" t="s">
        <v>179</v>
      </c>
      <c r="AF46" s="65">
        <v>0</v>
      </c>
      <c r="AG46" s="53" t="s">
        <v>192</v>
      </c>
      <c r="AH46" s="52" t="s">
        <v>219</v>
      </c>
      <c r="AI46" s="52" t="s">
        <v>219</v>
      </c>
      <c r="AJ46" s="52" t="s">
        <v>219</v>
      </c>
      <c r="AK46" s="52" t="s">
        <v>219</v>
      </c>
      <c r="AL46" s="52" t="s">
        <v>1024</v>
      </c>
      <c r="AM46" s="52" t="s">
        <v>1219</v>
      </c>
      <c r="AN46" s="52" t="s">
        <v>1220</v>
      </c>
      <c r="AO46" s="64" t="s">
        <v>219</v>
      </c>
      <c r="AP46" s="63" t="s">
        <v>1331</v>
      </c>
      <c r="AQ46" s="64" t="s">
        <v>217</v>
      </c>
      <c r="AR46" s="30" t="s">
        <v>219</v>
      </c>
    </row>
    <row r="47" spans="2:44" ht="21.75" customHeight="1" x14ac:dyDescent="0.45">
      <c r="B47" s="52" t="s">
        <v>99</v>
      </c>
      <c r="E47" s="53" t="s">
        <v>87</v>
      </c>
      <c r="F47" s="52" t="s">
        <v>1216</v>
      </c>
      <c r="H47" s="53" t="s">
        <v>109</v>
      </c>
      <c r="J47" s="76">
        <v>744</v>
      </c>
      <c r="L47" s="52" t="s">
        <v>1907</v>
      </c>
      <c r="M47" s="52" t="s">
        <v>1332</v>
      </c>
      <c r="N47" s="52" t="s">
        <v>1333</v>
      </c>
      <c r="O47" s="52" t="s">
        <v>1072</v>
      </c>
      <c r="P47" s="52" t="s">
        <v>367</v>
      </c>
      <c r="Q47" s="52" t="s">
        <v>368</v>
      </c>
      <c r="R47" s="52" t="s">
        <v>254</v>
      </c>
      <c r="S47" s="52" t="s">
        <v>257</v>
      </c>
      <c r="T47" s="52" t="s">
        <v>258</v>
      </c>
      <c r="U47" s="52" t="s">
        <v>273</v>
      </c>
      <c r="V47" s="52" t="s">
        <v>274</v>
      </c>
      <c r="W47" s="52" t="s">
        <v>275</v>
      </c>
      <c r="X47" s="52" t="s">
        <v>1072</v>
      </c>
      <c r="Y47" s="52" t="s">
        <v>367</v>
      </c>
      <c r="Z47" s="52" t="s">
        <v>368</v>
      </c>
      <c r="AA47" s="61">
        <v>1</v>
      </c>
      <c r="AB47" s="52" t="s">
        <v>137</v>
      </c>
      <c r="AC47" s="63">
        <v>1</v>
      </c>
      <c r="AD47" s="52" t="s">
        <v>169</v>
      </c>
      <c r="AE47" s="53" t="s">
        <v>179</v>
      </c>
      <c r="AF47" s="65">
        <v>0</v>
      </c>
      <c r="AG47" s="53" t="s">
        <v>192</v>
      </c>
      <c r="AH47" s="52" t="s">
        <v>219</v>
      </c>
      <c r="AI47" s="52" t="s">
        <v>219</v>
      </c>
      <c r="AJ47" s="52" t="s">
        <v>219</v>
      </c>
      <c r="AK47" s="52" t="s">
        <v>219</v>
      </c>
      <c r="AL47" s="52" t="s">
        <v>1024</v>
      </c>
      <c r="AM47" s="52" t="s">
        <v>1219</v>
      </c>
      <c r="AN47" s="52" t="s">
        <v>1220</v>
      </c>
      <c r="AO47" s="64" t="s">
        <v>219</v>
      </c>
      <c r="AP47" s="63" t="s">
        <v>1334</v>
      </c>
      <c r="AQ47" s="64" t="s">
        <v>217</v>
      </c>
      <c r="AR47" s="30" t="s">
        <v>219</v>
      </c>
    </row>
    <row r="48" spans="2:44" ht="21.75" customHeight="1" x14ac:dyDescent="0.45">
      <c r="B48" s="52" t="s">
        <v>99</v>
      </c>
      <c r="E48" s="53" t="s">
        <v>87</v>
      </c>
      <c r="F48" s="52" t="s">
        <v>1216</v>
      </c>
      <c r="H48" s="53" t="s">
        <v>109</v>
      </c>
      <c r="J48" s="76">
        <v>745</v>
      </c>
      <c r="L48" s="52" t="s">
        <v>1908</v>
      </c>
      <c r="M48" s="52" t="s">
        <v>1335</v>
      </c>
      <c r="N48" s="52" t="s">
        <v>1336</v>
      </c>
      <c r="O48" s="52" t="s">
        <v>1073</v>
      </c>
      <c r="P48" s="52" t="s">
        <v>369</v>
      </c>
      <c r="Q48" s="52" t="s">
        <v>370</v>
      </c>
      <c r="R48" s="52" t="s">
        <v>254</v>
      </c>
      <c r="S48" s="52" t="s">
        <v>257</v>
      </c>
      <c r="T48" s="52" t="s">
        <v>258</v>
      </c>
      <c r="U48" s="52" t="s">
        <v>273</v>
      </c>
      <c r="V48" s="52" t="s">
        <v>274</v>
      </c>
      <c r="W48" s="52" t="s">
        <v>275</v>
      </c>
      <c r="X48" s="52" t="s">
        <v>1073</v>
      </c>
      <c r="Y48" s="52" t="s">
        <v>369</v>
      </c>
      <c r="Z48" s="52" t="s">
        <v>370</v>
      </c>
      <c r="AA48" s="61">
        <v>1</v>
      </c>
      <c r="AB48" s="52" t="s">
        <v>137</v>
      </c>
      <c r="AC48" s="63">
        <v>1</v>
      </c>
      <c r="AD48" s="52" t="s">
        <v>169</v>
      </c>
      <c r="AE48" s="53" t="s">
        <v>179</v>
      </c>
      <c r="AF48" s="65">
        <v>0</v>
      </c>
      <c r="AG48" s="53" t="s">
        <v>192</v>
      </c>
      <c r="AH48" s="52" t="s">
        <v>219</v>
      </c>
      <c r="AI48" s="52" t="s">
        <v>219</v>
      </c>
      <c r="AJ48" s="52" t="s">
        <v>219</v>
      </c>
      <c r="AK48" s="52" t="s">
        <v>219</v>
      </c>
      <c r="AL48" s="52" t="s">
        <v>1024</v>
      </c>
      <c r="AM48" s="52" t="s">
        <v>1219</v>
      </c>
      <c r="AN48" s="52" t="s">
        <v>1220</v>
      </c>
      <c r="AO48" s="64" t="s">
        <v>219</v>
      </c>
      <c r="AP48" s="63" t="s">
        <v>1337</v>
      </c>
      <c r="AQ48" s="64" t="s">
        <v>217</v>
      </c>
      <c r="AR48" s="30" t="s">
        <v>219</v>
      </c>
    </row>
    <row r="49" spans="2:44" ht="21.75" customHeight="1" x14ac:dyDescent="0.45">
      <c r="B49" s="52" t="s">
        <v>99</v>
      </c>
      <c r="E49" s="53" t="s">
        <v>87</v>
      </c>
      <c r="F49" s="52" t="s">
        <v>1216</v>
      </c>
      <c r="H49" s="53" t="s">
        <v>109</v>
      </c>
      <c r="J49" s="76">
        <v>746</v>
      </c>
      <c r="L49" s="52" t="s">
        <v>1909</v>
      </c>
      <c r="M49" s="52" t="s">
        <v>1910</v>
      </c>
      <c r="N49" s="52" t="s">
        <v>1338</v>
      </c>
      <c r="O49" s="52" t="s">
        <v>1074</v>
      </c>
      <c r="P49" s="52" t="s">
        <v>1075</v>
      </c>
      <c r="Q49" s="52" t="s">
        <v>371</v>
      </c>
      <c r="R49" s="52" t="s">
        <v>254</v>
      </c>
      <c r="S49" s="52" t="s">
        <v>257</v>
      </c>
      <c r="T49" s="52" t="s">
        <v>258</v>
      </c>
      <c r="U49" s="52" t="s">
        <v>273</v>
      </c>
      <c r="V49" s="52" t="s">
        <v>274</v>
      </c>
      <c r="W49" s="52" t="s">
        <v>275</v>
      </c>
      <c r="X49" s="52" t="s">
        <v>1074</v>
      </c>
      <c r="Y49" s="52" t="s">
        <v>1075</v>
      </c>
      <c r="Z49" s="52" t="s">
        <v>371</v>
      </c>
      <c r="AA49" s="61">
        <v>1</v>
      </c>
      <c r="AB49" s="52" t="s">
        <v>137</v>
      </c>
      <c r="AC49" s="63">
        <v>1</v>
      </c>
      <c r="AD49" s="52" t="s">
        <v>169</v>
      </c>
      <c r="AE49" s="53" t="s">
        <v>179</v>
      </c>
      <c r="AF49" s="65">
        <v>0</v>
      </c>
      <c r="AG49" s="53" t="s">
        <v>192</v>
      </c>
      <c r="AH49" s="52" t="s">
        <v>219</v>
      </c>
      <c r="AI49" s="52" t="s">
        <v>219</v>
      </c>
      <c r="AJ49" s="52" t="s">
        <v>219</v>
      </c>
      <c r="AK49" s="52" t="s">
        <v>219</v>
      </c>
      <c r="AL49" s="52" t="s">
        <v>1024</v>
      </c>
      <c r="AM49" s="52" t="s">
        <v>1219</v>
      </c>
      <c r="AN49" s="52" t="s">
        <v>1220</v>
      </c>
      <c r="AO49" s="64" t="s">
        <v>219</v>
      </c>
      <c r="AP49" s="63" t="s">
        <v>1339</v>
      </c>
      <c r="AQ49" s="64" t="s">
        <v>217</v>
      </c>
      <c r="AR49" s="30" t="s">
        <v>219</v>
      </c>
    </row>
    <row r="50" spans="2:44" ht="21.75" customHeight="1" x14ac:dyDescent="0.45">
      <c r="B50" s="52" t="s">
        <v>99</v>
      </c>
      <c r="E50" s="53" t="s">
        <v>87</v>
      </c>
      <c r="F50" s="52" t="s">
        <v>1340</v>
      </c>
      <c r="H50" s="53" t="s">
        <v>109</v>
      </c>
      <c r="J50" s="76">
        <v>800</v>
      </c>
      <c r="L50" s="52" t="s">
        <v>1341</v>
      </c>
      <c r="M50" s="52" t="s">
        <v>1342</v>
      </c>
      <c r="N50" s="52" t="s">
        <v>1343</v>
      </c>
      <c r="O50" s="52" t="s">
        <v>372</v>
      </c>
      <c r="P50" s="52" t="s">
        <v>373</v>
      </c>
      <c r="Q50" s="52" t="s">
        <v>374</v>
      </c>
      <c r="R50" s="52" t="s">
        <v>254</v>
      </c>
      <c r="S50" s="52" t="s">
        <v>257</v>
      </c>
      <c r="T50" s="52" t="s">
        <v>258</v>
      </c>
      <c r="U50" s="52" t="s">
        <v>273</v>
      </c>
      <c r="V50" s="52" t="s">
        <v>274</v>
      </c>
      <c r="W50" s="52" t="s">
        <v>275</v>
      </c>
      <c r="X50" s="52" t="s">
        <v>372</v>
      </c>
      <c r="Y50" s="52" t="s">
        <v>373</v>
      </c>
      <c r="Z50" s="52" t="s">
        <v>374</v>
      </c>
      <c r="AA50" s="61">
        <v>1</v>
      </c>
      <c r="AB50" s="52" t="s">
        <v>137</v>
      </c>
      <c r="AC50" s="63">
        <v>1</v>
      </c>
      <c r="AD50" s="52" t="s">
        <v>169</v>
      </c>
      <c r="AE50" s="53" t="s">
        <v>179</v>
      </c>
      <c r="AF50" s="65">
        <v>0</v>
      </c>
      <c r="AG50" s="53" t="s">
        <v>192</v>
      </c>
      <c r="AH50" s="52" t="s">
        <v>219</v>
      </c>
      <c r="AI50" s="52" t="s">
        <v>219</v>
      </c>
      <c r="AJ50" s="52" t="s">
        <v>219</v>
      </c>
      <c r="AK50" s="52" t="s">
        <v>219</v>
      </c>
      <c r="AL50" s="52" t="s">
        <v>1024</v>
      </c>
      <c r="AM50" s="52" t="s">
        <v>1219</v>
      </c>
      <c r="AN50" s="52" t="s">
        <v>1220</v>
      </c>
      <c r="AO50" s="64" t="s">
        <v>219</v>
      </c>
      <c r="AP50" s="63" t="s">
        <v>1344</v>
      </c>
      <c r="AQ50" s="64" t="s">
        <v>217</v>
      </c>
      <c r="AR50" s="30" t="s">
        <v>219</v>
      </c>
    </row>
    <row r="51" spans="2:44" ht="21.75" customHeight="1" x14ac:dyDescent="0.45">
      <c r="B51" s="52" t="s">
        <v>99</v>
      </c>
      <c r="E51" s="53" t="s">
        <v>87</v>
      </c>
      <c r="F51" s="52" t="s">
        <v>1340</v>
      </c>
      <c r="H51" s="53" t="s">
        <v>109</v>
      </c>
      <c r="J51" s="76">
        <v>801</v>
      </c>
      <c r="L51" s="52" t="s">
        <v>1345</v>
      </c>
      <c r="M51" s="52" t="s">
        <v>1346</v>
      </c>
      <c r="N51" s="52" t="s">
        <v>1911</v>
      </c>
      <c r="O51" s="52" t="s">
        <v>377</v>
      </c>
      <c r="P51" s="52" t="s">
        <v>377</v>
      </c>
      <c r="Q51" s="52" t="s">
        <v>1076</v>
      </c>
      <c r="R51" s="52" t="s">
        <v>254</v>
      </c>
      <c r="S51" s="52" t="s">
        <v>257</v>
      </c>
      <c r="T51" s="52" t="s">
        <v>258</v>
      </c>
      <c r="U51" s="52" t="s">
        <v>273</v>
      </c>
      <c r="V51" s="52" t="s">
        <v>274</v>
      </c>
      <c r="W51" s="52" t="s">
        <v>275</v>
      </c>
      <c r="X51" s="52" t="s">
        <v>377</v>
      </c>
      <c r="Y51" s="52" t="s">
        <v>377</v>
      </c>
      <c r="Z51" s="52" t="s">
        <v>1076</v>
      </c>
      <c r="AA51" s="61">
        <v>1</v>
      </c>
      <c r="AB51" s="52" t="s">
        <v>137</v>
      </c>
      <c r="AC51" s="63">
        <v>1</v>
      </c>
      <c r="AD51" s="52" t="s">
        <v>169</v>
      </c>
      <c r="AE51" s="53" t="s">
        <v>179</v>
      </c>
      <c r="AF51" s="65">
        <v>0</v>
      </c>
      <c r="AG51" s="53" t="s">
        <v>192</v>
      </c>
      <c r="AH51" s="52" t="s">
        <v>219</v>
      </c>
      <c r="AI51" s="52" t="s">
        <v>219</v>
      </c>
      <c r="AJ51" s="52" t="s">
        <v>219</v>
      </c>
      <c r="AK51" s="52" t="s">
        <v>219</v>
      </c>
      <c r="AL51" s="52" t="s">
        <v>1024</v>
      </c>
      <c r="AM51" s="52" t="s">
        <v>1219</v>
      </c>
      <c r="AN51" s="52" t="s">
        <v>1220</v>
      </c>
      <c r="AO51" s="64" t="s">
        <v>219</v>
      </c>
      <c r="AP51" s="63" t="s">
        <v>1347</v>
      </c>
      <c r="AQ51" s="64" t="s">
        <v>217</v>
      </c>
      <c r="AR51" s="30" t="s">
        <v>219</v>
      </c>
    </row>
    <row r="52" spans="2:44" ht="21.75" customHeight="1" x14ac:dyDescent="0.45">
      <c r="B52" s="52" t="s">
        <v>99</v>
      </c>
      <c r="E52" s="53" t="s">
        <v>87</v>
      </c>
      <c r="F52" s="52" t="s">
        <v>1348</v>
      </c>
      <c r="H52" s="53" t="s">
        <v>109</v>
      </c>
      <c r="J52" s="76">
        <v>802</v>
      </c>
      <c r="L52" s="52" t="s">
        <v>1349</v>
      </c>
      <c r="M52" s="52" t="s">
        <v>1350</v>
      </c>
      <c r="N52" s="52" t="s">
        <v>1351</v>
      </c>
      <c r="O52" s="52" t="s">
        <v>336</v>
      </c>
      <c r="P52" s="52" t="s">
        <v>336</v>
      </c>
      <c r="Q52" s="52" t="s">
        <v>337</v>
      </c>
      <c r="R52" s="52" t="s">
        <v>254</v>
      </c>
      <c r="S52" s="52" t="s">
        <v>257</v>
      </c>
      <c r="T52" s="52" t="s">
        <v>258</v>
      </c>
      <c r="U52" s="52" t="s">
        <v>1154</v>
      </c>
      <c r="V52" s="52" t="s">
        <v>1154</v>
      </c>
      <c r="W52" s="52" t="s">
        <v>1154</v>
      </c>
      <c r="X52" s="52" t="s">
        <v>1155</v>
      </c>
      <c r="Y52" s="52" t="s">
        <v>1155</v>
      </c>
      <c r="Z52" s="52" t="s">
        <v>1156</v>
      </c>
      <c r="AA52" s="61">
        <v>1</v>
      </c>
      <c r="AB52" s="52" t="s">
        <v>130</v>
      </c>
      <c r="AC52" s="63">
        <v>100</v>
      </c>
      <c r="AD52" s="52" t="s">
        <v>168</v>
      </c>
      <c r="AE52" s="53" t="s">
        <v>179</v>
      </c>
      <c r="AF52" s="65">
        <v>0</v>
      </c>
      <c r="AG52" s="53" t="s">
        <v>192</v>
      </c>
      <c r="AH52" s="52" t="s">
        <v>219</v>
      </c>
      <c r="AI52" s="52" t="s">
        <v>219</v>
      </c>
      <c r="AJ52" s="52" t="s">
        <v>219</v>
      </c>
      <c r="AK52" s="52" t="s">
        <v>219</v>
      </c>
      <c r="AL52" s="52" t="s">
        <v>1024</v>
      </c>
      <c r="AM52" s="52" t="s">
        <v>1219</v>
      </c>
      <c r="AN52" s="52" t="s">
        <v>1220</v>
      </c>
      <c r="AO52" s="64" t="s">
        <v>219</v>
      </c>
      <c r="AP52" s="63" t="s">
        <v>1352</v>
      </c>
      <c r="AQ52" s="64" t="s">
        <v>217</v>
      </c>
      <c r="AR52" s="30" t="s">
        <v>219</v>
      </c>
    </row>
    <row r="53" spans="2:44" ht="21.75" customHeight="1" x14ac:dyDescent="0.45">
      <c r="B53" s="52" t="s">
        <v>99</v>
      </c>
      <c r="E53" s="53" t="s">
        <v>87</v>
      </c>
      <c r="F53" s="52" t="s">
        <v>1348</v>
      </c>
      <c r="H53" s="53" t="s">
        <v>109</v>
      </c>
      <c r="J53" s="76">
        <v>803</v>
      </c>
      <c r="L53" s="52" t="s">
        <v>1353</v>
      </c>
      <c r="M53" s="52" t="s">
        <v>1354</v>
      </c>
      <c r="N53" s="52" t="s">
        <v>1355</v>
      </c>
      <c r="O53" s="52" t="s">
        <v>336</v>
      </c>
      <c r="P53" s="52" t="s">
        <v>336</v>
      </c>
      <c r="Q53" s="52" t="s">
        <v>337</v>
      </c>
      <c r="R53" s="52" t="s">
        <v>254</v>
      </c>
      <c r="S53" s="52" t="s">
        <v>257</v>
      </c>
      <c r="T53" s="52" t="s">
        <v>258</v>
      </c>
      <c r="U53" s="52" t="s">
        <v>1157</v>
      </c>
      <c r="V53" s="52" t="s">
        <v>1159</v>
      </c>
      <c r="W53" s="52" t="s">
        <v>1161</v>
      </c>
      <c r="X53" s="52" t="s">
        <v>1158</v>
      </c>
      <c r="Y53" s="52" t="s">
        <v>1160</v>
      </c>
      <c r="Z53" s="52" t="s">
        <v>1162</v>
      </c>
      <c r="AA53" s="61">
        <v>1</v>
      </c>
      <c r="AB53" s="52" t="s">
        <v>137</v>
      </c>
      <c r="AC53" s="63">
        <v>1</v>
      </c>
      <c r="AD53" s="52" t="s">
        <v>169</v>
      </c>
      <c r="AE53" s="53" t="s">
        <v>179</v>
      </c>
      <c r="AF53" s="65">
        <v>0</v>
      </c>
      <c r="AG53" s="53" t="s">
        <v>192</v>
      </c>
      <c r="AH53" s="52" t="s">
        <v>219</v>
      </c>
      <c r="AI53" s="52" t="s">
        <v>219</v>
      </c>
      <c r="AJ53" s="52" t="s">
        <v>219</v>
      </c>
      <c r="AK53" s="52" t="s">
        <v>219</v>
      </c>
      <c r="AL53" s="52" t="s">
        <v>1024</v>
      </c>
      <c r="AM53" s="52" t="s">
        <v>1219</v>
      </c>
      <c r="AN53" s="52" t="s">
        <v>1220</v>
      </c>
      <c r="AO53" s="64" t="s">
        <v>219</v>
      </c>
      <c r="AP53" s="63" t="s">
        <v>1352</v>
      </c>
      <c r="AQ53" s="64" t="s">
        <v>217</v>
      </c>
      <c r="AR53" s="30" t="s">
        <v>219</v>
      </c>
    </row>
    <row r="54" spans="2:44" ht="21.75" customHeight="1" x14ac:dyDescent="0.45">
      <c r="B54" s="52" t="s">
        <v>99</v>
      </c>
      <c r="E54" s="53" t="s">
        <v>87</v>
      </c>
      <c r="F54" s="52" t="s">
        <v>1348</v>
      </c>
      <c r="H54" s="53" t="s">
        <v>109</v>
      </c>
      <c r="J54" s="76">
        <v>804</v>
      </c>
      <c r="L54" s="52" t="s">
        <v>1356</v>
      </c>
      <c r="M54" s="52" t="s">
        <v>1357</v>
      </c>
      <c r="N54" s="52" t="s">
        <v>1358</v>
      </c>
      <c r="O54" s="52" t="s">
        <v>378</v>
      </c>
      <c r="P54" s="52" t="s">
        <v>379</v>
      </c>
      <c r="Q54" s="52" t="s">
        <v>380</v>
      </c>
      <c r="R54" s="52" t="s">
        <v>254</v>
      </c>
      <c r="S54" s="52" t="s">
        <v>257</v>
      </c>
      <c r="T54" s="52" t="s">
        <v>258</v>
      </c>
      <c r="U54" s="52" t="s">
        <v>1154</v>
      </c>
      <c r="V54" s="52" t="s">
        <v>1154</v>
      </c>
      <c r="W54" s="52" t="s">
        <v>1154</v>
      </c>
      <c r="X54" s="52" t="s">
        <v>1163</v>
      </c>
      <c r="Y54" s="52" t="s">
        <v>1164</v>
      </c>
      <c r="Z54" s="52" t="s">
        <v>1165</v>
      </c>
      <c r="AA54" s="61">
        <v>1</v>
      </c>
      <c r="AB54" s="52" t="s">
        <v>130</v>
      </c>
      <c r="AC54" s="63">
        <v>100</v>
      </c>
      <c r="AD54" s="52" t="s">
        <v>168</v>
      </c>
      <c r="AE54" s="53" t="s">
        <v>179</v>
      </c>
      <c r="AF54" s="65">
        <v>0</v>
      </c>
      <c r="AG54" s="53" t="s">
        <v>192</v>
      </c>
      <c r="AH54" s="52" t="s">
        <v>219</v>
      </c>
      <c r="AI54" s="52" t="s">
        <v>219</v>
      </c>
      <c r="AJ54" s="52" t="s">
        <v>219</v>
      </c>
      <c r="AK54" s="52" t="s">
        <v>219</v>
      </c>
      <c r="AL54" s="52" t="s">
        <v>1024</v>
      </c>
      <c r="AM54" s="52" t="s">
        <v>1219</v>
      </c>
      <c r="AN54" s="52" t="s">
        <v>1220</v>
      </c>
      <c r="AO54" s="64" t="s">
        <v>219</v>
      </c>
      <c r="AP54" s="63" t="s">
        <v>1359</v>
      </c>
      <c r="AQ54" s="64" t="s">
        <v>217</v>
      </c>
      <c r="AR54" s="30" t="s">
        <v>219</v>
      </c>
    </row>
    <row r="55" spans="2:44" ht="21.75" customHeight="1" x14ac:dyDescent="0.45">
      <c r="B55" s="52" t="s">
        <v>99</v>
      </c>
      <c r="E55" s="53" t="s">
        <v>87</v>
      </c>
      <c r="F55" s="52" t="s">
        <v>1348</v>
      </c>
      <c r="H55" s="53" t="s">
        <v>109</v>
      </c>
      <c r="J55" s="76">
        <v>805</v>
      </c>
      <c r="L55" s="52" t="s">
        <v>1360</v>
      </c>
      <c r="M55" s="52" t="s">
        <v>1361</v>
      </c>
      <c r="N55" s="52" t="s">
        <v>1362</v>
      </c>
      <c r="O55" s="52" t="s">
        <v>378</v>
      </c>
      <c r="P55" s="52" t="s">
        <v>379</v>
      </c>
      <c r="Q55" s="52" t="s">
        <v>380</v>
      </c>
      <c r="R55" s="52" t="s">
        <v>254</v>
      </c>
      <c r="S55" s="52" t="s">
        <v>257</v>
      </c>
      <c r="T55" s="52" t="s">
        <v>258</v>
      </c>
      <c r="U55" s="52" t="s">
        <v>1157</v>
      </c>
      <c r="V55" s="52" t="s">
        <v>1159</v>
      </c>
      <c r="W55" s="52" t="s">
        <v>1161</v>
      </c>
      <c r="X55" s="52" t="s">
        <v>1166</v>
      </c>
      <c r="Y55" s="52" t="s">
        <v>1167</v>
      </c>
      <c r="Z55" s="52" t="s">
        <v>1168</v>
      </c>
      <c r="AA55" s="61">
        <v>1</v>
      </c>
      <c r="AB55" s="52" t="s">
        <v>137</v>
      </c>
      <c r="AC55" s="63">
        <v>1</v>
      </c>
      <c r="AD55" s="52" t="s">
        <v>169</v>
      </c>
      <c r="AE55" s="53" t="s">
        <v>179</v>
      </c>
      <c r="AF55" s="65">
        <v>0</v>
      </c>
      <c r="AG55" s="53" t="s">
        <v>192</v>
      </c>
      <c r="AH55" s="52" t="s">
        <v>219</v>
      </c>
      <c r="AI55" s="52" t="s">
        <v>219</v>
      </c>
      <c r="AJ55" s="52" t="s">
        <v>219</v>
      </c>
      <c r="AK55" s="52" t="s">
        <v>219</v>
      </c>
      <c r="AL55" s="52" t="s">
        <v>1024</v>
      </c>
      <c r="AM55" s="52" t="s">
        <v>1219</v>
      </c>
      <c r="AN55" s="52" t="s">
        <v>1220</v>
      </c>
      <c r="AO55" s="64" t="s">
        <v>219</v>
      </c>
      <c r="AP55" s="63" t="s">
        <v>1359</v>
      </c>
      <c r="AQ55" s="64" t="s">
        <v>217</v>
      </c>
      <c r="AR55" s="30" t="s">
        <v>219</v>
      </c>
    </row>
    <row r="56" spans="2:44" ht="21.75" customHeight="1" x14ac:dyDescent="0.45">
      <c r="B56" s="52" t="s">
        <v>99</v>
      </c>
      <c r="E56" s="53" t="s">
        <v>87</v>
      </c>
      <c r="F56" s="52" t="s">
        <v>1363</v>
      </c>
      <c r="H56" s="53" t="s">
        <v>109</v>
      </c>
      <c r="J56" s="76">
        <v>806</v>
      </c>
      <c r="L56" s="52" t="s">
        <v>1364</v>
      </c>
      <c r="M56" s="52" t="s">
        <v>1365</v>
      </c>
      <c r="N56" s="52" t="s">
        <v>1366</v>
      </c>
      <c r="O56" s="52" t="s">
        <v>382</v>
      </c>
      <c r="P56" s="52" t="s">
        <v>383</v>
      </c>
      <c r="Q56" s="52" t="s">
        <v>384</v>
      </c>
      <c r="R56" s="52" t="s">
        <v>254</v>
      </c>
      <c r="S56" s="52" t="s">
        <v>257</v>
      </c>
      <c r="T56" s="52" t="s">
        <v>258</v>
      </c>
      <c r="U56" s="52" t="s">
        <v>273</v>
      </c>
      <c r="V56" s="52" t="s">
        <v>274</v>
      </c>
      <c r="W56" s="52" t="s">
        <v>275</v>
      </c>
      <c r="X56" s="52" t="s">
        <v>382</v>
      </c>
      <c r="Y56" s="52" t="s">
        <v>383</v>
      </c>
      <c r="Z56" s="52" t="s">
        <v>384</v>
      </c>
      <c r="AA56" s="61">
        <v>1</v>
      </c>
      <c r="AB56" s="52" t="s">
        <v>137</v>
      </c>
      <c r="AC56" s="63">
        <v>1</v>
      </c>
      <c r="AD56" s="52" t="s">
        <v>169</v>
      </c>
      <c r="AE56" s="53" t="s">
        <v>179</v>
      </c>
      <c r="AF56" s="65">
        <v>0</v>
      </c>
      <c r="AG56" s="53" t="s">
        <v>192</v>
      </c>
      <c r="AH56" s="52" t="s">
        <v>219</v>
      </c>
      <c r="AI56" s="52" t="s">
        <v>219</v>
      </c>
      <c r="AJ56" s="52" t="s">
        <v>219</v>
      </c>
      <c r="AK56" s="52" t="s">
        <v>219</v>
      </c>
      <c r="AL56" s="52" t="s">
        <v>1024</v>
      </c>
      <c r="AM56" s="52" t="s">
        <v>1219</v>
      </c>
      <c r="AN56" s="52" t="s">
        <v>1220</v>
      </c>
      <c r="AO56" s="64" t="s">
        <v>219</v>
      </c>
      <c r="AP56" s="63" t="s">
        <v>1367</v>
      </c>
      <c r="AQ56" s="64" t="s">
        <v>217</v>
      </c>
      <c r="AR56" s="30" t="s">
        <v>219</v>
      </c>
    </row>
    <row r="57" spans="2:44" ht="21.75" customHeight="1" x14ac:dyDescent="0.45">
      <c r="B57" s="52" t="s">
        <v>99</v>
      </c>
      <c r="E57" s="53" t="s">
        <v>87</v>
      </c>
      <c r="F57" s="52" t="s">
        <v>1363</v>
      </c>
      <c r="H57" s="53" t="s">
        <v>109</v>
      </c>
      <c r="J57" s="76">
        <v>807</v>
      </c>
      <c r="L57" s="52" t="s">
        <v>1368</v>
      </c>
      <c r="M57" s="52" t="s">
        <v>1369</v>
      </c>
      <c r="N57" s="52" t="s">
        <v>1370</v>
      </c>
      <c r="O57" s="52" t="s">
        <v>386</v>
      </c>
      <c r="P57" s="52" t="s">
        <v>389</v>
      </c>
      <c r="Q57" s="52" t="s">
        <v>391</v>
      </c>
      <c r="R57" s="52" t="s">
        <v>254</v>
      </c>
      <c r="S57" s="52" t="s">
        <v>257</v>
      </c>
      <c r="T57" s="52" t="s">
        <v>258</v>
      </c>
      <c r="U57" s="52" t="s">
        <v>401</v>
      </c>
      <c r="V57" s="52" t="s">
        <v>401</v>
      </c>
      <c r="W57" s="52" t="s">
        <v>401</v>
      </c>
      <c r="X57" s="52" t="s">
        <v>1169</v>
      </c>
      <c r="Y57" s="52" t="s">
        <v>1170</v>
      </c>
      <c r="Z57" s="52" t="s">
        <v>1171</v>
      </c>
      <c r="AA57" s="61">
        <v>0.5</v>
      </c>
      <c r="AB57" s="52" t="s">
        <v>133</v>
      </c>
      <c r="AC57" s="63">
        <v>1</v>
      </c>
      <c r="AD57" s="52" t="s">
        <v>169</v>
      </c>
      <c r="AE57" s="53" t="s">
        <v>179</v>
      </c>
      <c r="AF57" s="65">
        <v>0</v>
      </c>
      <c r="AG57" s="53" t="s">
        <v>192</v>
      </c>
      <c r="AH57" s="52" t="s">
        <v>219</v>
      </c>
      <c r="AI57" s="52" t="s">
        <v>219</v>
      </c>
      <c r="AJ57" s="52" t="s">
        <v>219</v>
      </c>
      <c r="AK57" s="52" t="s">
        <v>219</v>
      </c>
      <c r="AL57" s="52" t="s">
        <v>1024</v>
      </c>
      <c r="AM57" s="52" t="s">
        <v>1219</v>
      </c>
      <c r="AN57" s="52" t="s">
        <v>1220</v>
      </c>
      <c r="AO57" s="64" t="s">
        <v>219</v>
      </c>
      <c r="AP57" s="63" t="s">
        <v>1371</v>
      </c>
      <c r="AQ57" s="64" t="s">
        <v>217</v>
      </c>
      <c r="AR57" s="30" t="s">
        <v>219</v>
      </c>
    </row>
    <row r="58" spans="2:44" ht="21.75" customHeight="1" x14ac:dyDescent="0.45">
      <c r="B58" s="52" t="s">
        <v>99</v>
      </c>
      <c r="E58" s="53" t="s">
        <v>87</v>
      </c>
      <c r="F58" s="52" t="s">
        <v>1363</v>
      </c>
      <c r="H58" s="53" t="s">
        <v>109</v>
      </c>
      <c r="J58" s="76">
        <v>808</v>
      </c>
      <c r="L58" s="52" t="s">
        <v>1372</v>
      </c>
      <c r="M58" s="52" t="s">
        <v>1373</v>
      </c>
      <c r="N58" s="52" t="s">
        <v>1374</v>
      </c>
      <c r="O58" s="52" t="s">
        <v>386</v>
      </c>
      <c r="P58" s="52" t="s">
        <v>389</v>
      </c>
      <c r="Q58" s="52" t="s">
        <v>391</v>
      </c>
      <c r="R58" s="52" t="s">
        <v>254</v>
      </c>
      <c r="S58" s="52" t="s">
        <v>257</v>
      </c>
      <c r="T58" s="52" t="s">
        <v>258</v>
      </c>
      <c r="U58" s="52" t="s">
        <v>387</v>
      </c>
      <c r="V58" s="52" t="s">
        <v>387</v>
      </c>
      <c r="W58" s="52" t="s">
        <v>387</v>
      </c>
      <c r="X58" s="52" t="s">
        <v>388</v>
      </c>
      <c r="Y58" s="52" t="s">
        <v>390</v>
      </c>
      <c r="Z58" s="52" t="s">
        <v>392</v>
      </c>
      <c r="AA58" s="61">
        <v>1</v>
      </c>
      <c r="AB58" s="52" t="s">
        <v>133</v>
      </c>
      <c r="AC58" s="63">
        <v>1</v>
      </c>
      <c r="AD58" s="52" t="s">
        <v>169</v>
      </c>
      <c r="AE58" s="53" t="s">
        <v>179</v>
      </c>
      <c r="AF58" s="65">
        <v>0</v>
      </c>
      <c r="AG58" s="53" t="s">
        <v>192</v>
      </c>
      <c r="AH58" s="52" t="s">
        <v>219</v>
      </c>
      <c r="AI58" s="52" t="s">
        <v>219</v>
      </c>
      <c r="AJ58" s="52" t="s">
        <v>219</v>
      </c>
      <c r="AK58" s="52" t="s">
        <v>219</v>
      </c>
      <c r="AL58" s="52" t="s">
        <v>1024</v>
      </c>
      <c r="AM58" s="52" t="s">
        <v>1219</v>
      </c>
      <c r="AN58" s="52" t="s">
        <v>1220</v>
      </c>
      <c r="AO58" s="64" t="s">
        <v>219</v>
      </c>
      <c r="AP58" s="63" t="s">
        <v>1371</v>
      </c>
      <c r="AQ58" s="64" t="s">
        <v>217</v>
      </c>
      <c r="AR58" s="30" t="s">
        <v>219</v>
      </c>
    </row>
    <row r="59" spans="2:44" ht="21.75" customHeight="1" x14ac:dyDescent="0.45">
      <c r="B59" s="52" t="s">
        <v>99</v>
      </c>
      <c r="E59" s="53" t="s">
        <v>87</v>
      </c>
      <c r="F59" s="52" t="s">
        <v>1375</v>
      </c>
      <c r="H59" s="53" t="s">
        <v>109</v>
      </c>
      <c r="J59" s="76">
        <v>809</v>
      </c>
      <c r="L59" s="52" t="s">
        <v>1912</v>
      </c>
      <c r="M59" s="52" t="s">
        <v>1913</v>
      </c>
      <c r="N59" s="52" t="s">
        <v>1914</v>
      </c>
      <c r="O59" s="52" t="s">
        <v>1077</v>
      </c>
      <c r="P59" s="52" t="s">
        <v>1078</v>
      </c>
      <c r="Q59" s="52" t="s">
        <v>1079</v>
      </c>
      <c r="R59" s="52" t="s">
        <v>254</v>
      </c>
      <c r="S59" s="52" t="s">
        <v>257</v>
      </c>
      <c r="T59" s="52" t="s">
        <v>258</v>
      </c>
      <c r="U59" s="52" t="s">
        <v>268</v>
      </c>
      <c r="V59" s="52" t="s">
        <v>268</v>
      </c>
      <c r="W59" s="52" t="s">
        <v>268</v>
      </c>
      <c r="X59" s="52" t="s">
        <v>393</v>
      </c>
      <c r="Y59" s="52" t="s">
        <v>394</v>
      </c>
      <c r="Z59" s="52" t="s">
        <v>395</v>
      </c>
      <c r="AA59" s="61">
        <v>0.5</v>
      </c>
      <c r="AB59" s="52" t="s">
        <v>131</v>
      </c>
      <c r="AC59" s="63">
        <v>1</v>
      </c>
      <c r="AD59" s="52" t="s">
        <v>169</v>
      </c>
      <c r="AE59" s="53" t="s">
        <v>179</v>
      </c>
      <c r="AF59" s="65">
        <v>0</v>
      </c>
      <c r="AG59" s="53" t="s">
        <v>192</v>
      </c>
      <c r="AH59" s="52" t="s">
        <v>219</v>
      </c>
      <c r="AI59" s="52" t="s">
        <v>219</v>
      </c>
      <c r="AJ59" s="52" t="s">
        <v>219</v>
      </c>
      <c r="AK59" s="52" t="s">
        <v>219</v>
      </c>
      <c r="AL59" s="52" t="s">
        <v>1024</v>
      </c>
      <c r="AM59" s="52" t="s">
        <v>1219</v>
      </c>
      <c r="AN59" s="52" t="s">
        <v>1220</v>
      </c>
      <c r="AO59" s="64" t="s">
        <v>219</v>
      </c>
      <c r="AP59" s="63" t="s">
        <v>1376</v>
      </c>
      <c r="AQ59" s="64" t="s">
        <v>217</v>
      </c>
      <c r="AR59" s="30" t="s">
        <v>219</v>
      </c>
    </row>
    <row r="60" spans="2:44" ht="21.75" customHeight="1" x14ac:dyDescent="0.45">
      <c r="B60" s="52" t="s">
        <v>99</v>
      </c>
      <c r="E60" s="53" t="s">
        <v>87</v>
      </c>
      <c r="F60" s="52" t="s">
        <v>1375</v>
      </c>
      <c r="H60" s="53" t="s">
        <v>109</v>
      </c>
      <c r="J60" s="76">
        <v>810</v>
      </c>
      <c r="L60" s="52" t="s">
        <v>1915</v>
      </c>
      <c r="M60" s="52" t="s">
        <v>1916</v>
      </c>
      <c r="N60" s="52" t="s">
        <v>1917</v>
      </c>
      <c r="O60" s="52" t="s">
        <v>1077</v>
      </c>
      <c r="P60" s="52" t="s">
        <v>1078</v>
      </c>
      <c r="Q60" s="52" t="s">
        <v>1079</v>
      </c>
      <c r="R60" s="52" t="s">
        <v>254</v>
      </c>
      <c r="S60" s="52" t="s">
        <v>257</v>
      </c>
      <c r="T60" s="52" t="s">
        <v>258</v>
      </c>
      <c r="U60" s="52" t="s">
        <v>307</v>
      </c>
      <c r="V60" s="52" t="s">
        <v>307</v>
      </c>
      <c r="W60" s="52" t="s">
        <v>307</v>
      </c>
      <c r="X60" s="52" t="s">
        <v>398</v>
      </c>
      <c r="Y60" s="52" t="s">
        <v>399</v>
      </c>
      <c r="Z60" s="52" t="s">
        <v>400</v>
      </c>
      <c r="AA60" s="61">
        <v>1</v>
      </c>
      <c r="AB60" s="52" t="s">
        <v>131</v>
      </c>
      <c r="AC60" s="63">
        <v>1</v>
      </c>
      <c r="AD60" s="52" t="s">
        <v>169</v>
      </c>
      <c r="AE60" s="53" t="s">
        <v>179</v>
      </c>
      <c r="AF60" s="65">
        <v>0</v>
      </c>
      <c r="AG60" s="53" t="s">
        <v>192</v>
      </c>
      <c r="AH60" s="52" t="s">
        <v>219</v>
      </c>
      <c r="AI60" s="52" t="s">
        <v>219</v>
      </c>
      <c r="AJ60" s="52" t="s">
        <v>219</v>
      </c>
      <c r="AK60" s="52" t="s">
        <v>219</v>
      </c>
      <c r="AL60" s="52" t="s">
        <v>1024</v>
      </c>
      <c r="AM60" s="52" t="s">
        <v>1219</v>
      </c>
      <c r="AN60" s="52" t="s">
        <v>1220</v>
      </c>
      <c r="AO60" s="64" t="s">
        <v>219</v>
      </c>
      <c r="AP60" s="63" t="s">
        <v>1376</v>
      </c>
      <c r="AQ60" s="64" t="s">
        <v>217</v>
      </c>
      <c r="AR60" s="30" t="s">
        <v>219</v>
      </c>
    </row>
    <row r="61" spans="2:44" ht="21.75" customHeight="1" x14ac:dyDescent="0.45">
      <c r="B61" s="52" t="s">
        <v>99</v>
      </c>
      <c r="E61" s="53" t="s">
        <v>87</v>
      </c>
      <c r="F61" s="52" t="s">
        <v>1377</v>
      </c>
      <c r="H61" s="53" t="s">
        <v>109</v>
      </c>
      <c r="J61" s="76">
        <v>811</v>
      </c>
      <c r="L61" s="52" t="s">
        <v>1918</v>
      </c>
      <c r="M61" s="52" t="s">
        <v>1378</v>
      </c>
      <c r="N61" s="52" t="s">
        <v>1379</v>
      </c>
      <c r="O61" s="52" t="s">
        <v>1080</v>
      </c>
      <c r="P61" s="52" t="s">
        <v>403</v>
      </c>
      <c r="Q61" s="52" t="s">
        <v>405</v>
      </c>
      <c r="R61" s="52" t="s">
        <v>254</v>
      </c>
      <c r="S61" s="52" t="s">
        <v>257</v>
      </c>
      <c r="T61" s="52" t="s">
        <v>258</v>
      </c>
      <c r="U61" s="52" t="s">
        <v>401</v>
      </c>
      <c r="V61" s="52" t="s">
        <v>401</v>
      </c>
      <c r="W61" s="52" t="s">
        <v>401</v>
      </c>
      <c r="X61" s="52" t="s">
        <v>402</v>
      </c>
      <c r="Y61" s="52" t="s">
        <v>404</v>
      </c>
      <c r="Z61" s="52" t="s">
        <v>406</v>
      </c>
      <c r="AA61" s="61">
        <v>0.5</v>
      </c>
      <c r="AB61" s="52" t="s">
        <v>133</v>
      </c>
      <c r="AC61" s="63">
        <v>1</v>
      </c>
      <c r="AD61" s="52" t="s">
        <v>169</v>
      </c>
      <c r="AE61" s="53" t="s">
        <v>179</v>
      </c>
      <c r="AF61" s="65">
        <v>0</v>
      </c>
      <c r="AG61" s="53" t="s">
        <v>192</v>
      </c>
      <c r="AH61" s="52" t="s">
        <v>219</v>
      </c>
      <c r="AI61" s="52" t="s">
        <v>219</v>
      </c>
      <c r="AJ61" s="52" t="s">
        <v>219</v>
      </c>
      <c r="AK61" s="52" t="s">
        <v>219</v>
      </c>
      <c r="AL61" s="52" t="s">
        <v>1024</v>
      </c>
      <c r="AM61" s="52" t="s">
        <v>1219</v>
      </c>
      <c r="AN61" s="52" t="s">
        <v>1220</v>
      </c>
      <c r="AO61" s="64" t="s">
        <v>219</v>
      </c>
      <c r="AP61" s="63" t="s">
        <v>1380</v>
      </c>
      <c r="AQ61" s="64" t="s">
        <v>217</v>
      </c>
      <c r="AR61" s="30" t="s">
        <v>219</v>
      </c>
    </row>
    <row r="62" spans="2:44" ht="21.75" customHeight="1" x14ac:dyDescent="0.45">
      <c r="B62" s="52" t="s">
        <v>99</v>
      </c>
      <c r="E62" s="53" t="s">
        <v>87</v>
      </c>
      <c r="F62" s="52" t="s">
        <v>1377</v>
      </c>
      <c r="H62" s="53" t="s">
        <v>109</v>
      </c>
      <c r="J62" s="76">
        <v>812</v>
      </c>
      <c r="L62" s="52" t="s">
        <v>1919</v>
      </c>
      <c r="M62" s="52" t="s">
        <v>1381</v>
      </c>
      <c r="N62" s="52" t="s">
        <v>1382</v>
      </c>
      <c r="O62" s="52" t="s">
        <v>1080</v>
      </c>
      <c r="P62" s="52" t="s">
        <v>403</v>
      </c>
      <c r="Q62" s="52" t="s">
        <v>405</v>
      </c>
      <c r="R62" s="52" t="s">
        <v>254</v>
      </c>
      <c r="S62" s="52" t="s">
        <v>257</v>
      </c>
      <c r="T62" s="52" t="s">
        <v>258</v>
      </c>
      <c r="U62" s="52" t="s">
        <v>387</v>
      </c>
      <c r="V62" s="52" t="s">
        <v>387</v>
      </c>
      <c r="W62" s="52" t="s">
        <v>387</v>
      </c>
      <c r="X62" s="52" t="s">
        <v>408</v>
      </c>
      <c r="Y62" s="52" t="s">
        <v>409</v>
      </c>
      <c r="Z62" s="52" t="s">
        <v>410</v>
      </c>
      <c r="AA62" s="61">
        <v>1</v>
      </c>
      <c r="AB62" s="52" t="s">
        <v>133</v>
      </c>
      <c r="AC62" s="63">
        <v>1</v>
      </c>
      <c r="AD62" s="52" t="s">
        <v>169</v>
      </c>
      <c r="AE62" s="53" t="s">
        <v>179</v>
      </c>
      <c r="AF62" s="65">
        <v>0</v>
      </c>
      <c r="AG62" s="53" t="s">
        <v>192</v>
      </c>
      <c r="AH62" s="52" t="s">
        <v>219</v>
      </c>
      <c r="AI62" s="52" t="s">
        <v>219</v>
      </c>
      <c r="AJ62" s="52" t="s">
        <v>219</v>
      </c>
      <c r="AK62" s="52" t="s">
        <v>219</v>
      </c>
      <c r="AL62" s="52" t="s">
        <v>1024</v>
      </c>
      <c r="AM62" s="52" t="s">
        <v>1219</v>
      </c>
      <c r="AN62" s="52" t="s">
        <v>1220</v>
      </c>
      <c r="AO62" s="64" t="s">
        <v>219</v>
      </c>
      <c r="AP62" s="63" t="s">
        <v>1380</v>
      </c>
      <c r="AQ62" s="64" t="s">
        <v>217</v>
      </c>
      <c r="AR62" s="30" t="s">
        <v>219</v>
      </c>
    </row>
    <row r="63" spans="2:44" ht="21.75" customHeight="1" x14ac:dyDescent="0.45">
      <c r="B63" s="52" t="s">
        <v>99</v>
      </c>
      <c r="E63" s="53" t="s">
        <v>87</v>
      </c>
      <c r="F63" s="52" t="s">
        <v>1383</v>
      </c>
      <c r="H63" s="53" t="s">
        <v>109</v>
      </c>
      <c r="J63" s="76">
        <v>813</v>
      </c>
      <c r="L63" s="52" t="s">
        <v>1384</v>
      </c>
      <c r="M63" s="52" t="s">
        <v>1385</v>
      </c>
      <c r="N63" s="52" t="s">
        <v>1386</v>
      </c>
      <c r="O63" s="52" t="s">
        <v>411</v>
      </c>
      <c r="P63" s="52" t="s">
        <v>412</v>
      </c>
      <c r="Q63" s="52" t="s">
        <v>413</v>
      </c>
      <c r="R63" s="52" t="s">
        <v>254</v>
      </c>
      <c r="S63" s="52" t="s">
        <v>257</v>
      </c>
      <c r="T63" s="52" t="s">
        <v>258</v>
      </c>
      <c r="U63" s="52" t="s">
        <v>273</v>
      </c>
      <c r="V63" s="52" t="s">
        <v>274</v>
      </c>
      <c r="W63" s="52" t="s">
        <v>275</v>
      </c>
      <c r="X63" s="52" t="s">
        <v>411</v>
      </c>
      <c r="Y63" s="52" t="s">
        <v>412</v>
      </c>
      <c r="Z63" s="52" t="s">
        <v>413</v>
      </c>
      <c r="AA63" s="61">
        <v>1</v>
      </c>
      <c r="AB63" s="52" t="s">
        <v>137</v>
      </c>
      <c r="AC63" s="63">
        <v>1</v>
      </c>
      <c r="AD63" s="52" t="s">
        <v>169</v>
      </c>
      <c r="AE63" s="53" t="s">
        <v>179</v>
      </c>
      <c r="AF63" s="65">
        <v>0</v>
      </c>
      <c r="AG63" s="53" t="s">
        <v>192</v>
      </c>
      <c r="AH63" s="52" t="s">
        <v>219</v>
      </c>
      <c r="AI63" s="52" t="s">
        <v>219</v>
      </c>
      <c r="AJ63" s="52" t="s">
        <v>219</v>
      </c>
      <c r="AK63" s="52" t="s">
        <v>219</v>
      </c>
      <c r="AL63" s="52" t="s">
        <v>1024</v>
      </c>
      <c r="AM63" s="52" t="s">
        <v>1219</v>
      </c>
      <c r="AN63" s="52" t="s">
        <v>1220</v>
      </c>
      <c r="AO63" s="64" t="s">
        <v>219</v>
      </c>
      <c r="AP63" s="63" t="s">
        <v>1387</v>
      </c>
      <c r="AQ63" s="64" t="s">
        <v>217</v>
      </c>
      <c r="AR63" s="30" t="s">
        <v>219</v>
      </c>
    </row>
    <row r="64" spans="2:44" ht="21.75" customHeight="1" x14ac:dyDescent="0.45">
      <c r="B64" s="52" t="s">
        <v>99</v>
      </c>
      <c r="E64" s="53" t="s">
        <v>87</v>
      </c>
      <c r="F64" s="52" t="s">
        <v>1388</v>
      </c>
      <c r="H64" s="53" t="s">
        <v>109</v>
      </c>
      <c r="J64" s="76">
        <v>814</v>
      </c>
      <c r="L64" s="52" t="s">
        <v>1389</v>
      </c>
      <c r="M64" s="52" t="s">
        <v>1390</v>
      </c>
      <c r="N64" s="52" t="s">
        <v>1391</v>
      </c>
      <c r="O64" s="52" t="s">
        <v>415</v>
      </c>
      <c r="P64" s="52" t="s">
        <v>418</v>
      </c>
      <c r="Q64" s="52" t="s">
        <v>420</v>
      </c>
      <c r="R64" s="52" t="s">
        <v>254</v>
      </c>
      <c r="S64" s="52" t="s">
        <v>257</v>
      </c>
      <c r="T64" s="52" t="s">
        <v>258</v>
      </c>
      <c r="U64" s="52" t="s">
        <v>416</v>
      </c>
      <c r="V64" s="52" t="s">
        <v>416</v>
      </c>
      <c r="W64" s="52" t="s">
        <v>416</v>
      </c>
      <c r="X64" s="52" t="s">
        <v>417</v>
      </c>
      <c r="Y64" s="52" t="s">
        <v>419</v>
      </c>
      <c r="Z64" s="52" t="s">
        <v>421</v>
      </c>
      <c r="AA64" s="61">
        <v>0.1</v>
      </c>
      <c r="AB64" s="52" t="s">
        <v>130</v>
      </c>
      <c r="AC64" s="63">
        <v>1</v>
      </c>
      <c r="AD64" s="52" t="s">
        <v>169</v>
      </c>
      <c r="AE64" s="53" t="s">
        <v>179</v>
      </c>
      <c r="AF64" s="65">
        <v>0</v>
      </c>
      <c r="AG64" s="53" t="s">
        <v>192</v>
      </c>
      <c r="AH64" s="52" t="s">
        <v>219</v>
      </c>
      <c r="AI64" s="52" t="s">
        <v>219</v>
      </c>
      <c r="AJ64" s="52" t="s">
        <v>219</v>
      </c>
      <c r="AK64" s="52" t="s">
        <v>219</v>
      </c>
      <c r="AL64" s="52" t="s">
        <v>1024</v>
      </c>
      <c r="AM64" s="52" t="s">
        <v>1219</v>
      </c>
      <c r="AN64" s="52" t="s">
        <v>1220</v>
      </c>
      <c r="AO64" s="64" t="s">
        <v>219</v>
      </c>
      <c r="AP64" s="63" t="s">
        <v>1392</v>
      </c>
      <c r="AQ64" s="64" t="s">
        <v>217</v>
      </c>
      <c r="AR64" s="30" t="s">
        <v>219</v>
      </c>
    </row>
    <row r="65" spans="2:44" ht="21.75" customHeight="1" x14ac:dyDescent="0.45">
      <c r="B65" s="52" t="s">
        <v>99</v>
      </c>
      <c r="E65" s="53" t="s">
        <v>87</v>
      </c>
      <c r="F65" s="52" t="s">
        <v>1388</v>
      </c>
      <c r="H65" s="53" t="s">
        <v>109</v>
      </c>
      <c r="J65" s="76">
        <v>815</v>
      </c>
      <c r="L65" s="52" t="s">
        <v>1393</v>
      </c>
      <c r="M65" s="52" t="s">
        <v>1394</v>
      </c>
      <c r="N65" s="52" t="s">
        <v>1395</v>
      </c>
      <c r="O65" s="52" t="s">
        <v>415</v>
      </c>
      <c r="P65" s="52" t="s">
        <v>418</v>
      </c>
      <c r="Q65" s="52" t="s">
        <v>420</v>
      </c>
      <c r="R65" s="52" t="s">
        <v>254</v>
      </c>
      <c r="S65" s="52" t="s">
        <v>257</v>
      </c>
      <c r="T65" s="52" t="s">
        <v>258</v>
      </c>
      <c r="U65" s="52" t="s">
        <v>255</v>
      </c>
      <c r="V65" s="52" t="s">
        <v>255</v>
      </c>
      <c r="W65" s="52" t="s">
        <v>255</v>
      </c>
      <c r="X65" s="52" t="s">
        <v>423</v>
      </c>
      <c r="Y65" s="52" t="s">
        <v>424</v>
      </c>
      <c r="Z65" s="52" t="s">
        <v>425</v>
      </c>
      <c r="AA65" s="61">
        <v>0.25</v>
      </c>
      <c r="AB65" s="52" t="s">
        <v>130</v>
      </c>
      <c r="AC65" s="63">
        <v>1</v>
      </c>
      <c r="AD65" s="52" t="s">
        <v>169</v>
      </c>
      <c r="AE65" s="53" t="s">
        <v>179</v>
      </c>
      <c r="AF65" s="65">
        <v>0</v>
      </c>
      <c r="AG65" s="53" t="s">
        <v>192</v>
      </c>
      <c r="AH65" s="52" t="s">
        <v>219</v>
      </c>
      <c r="AI65" s="52" t="s">
        <v>219</v>
      </c>
      <c r="AJ65" s="52" t="s">
        <v>219</v>
      </c>
      <c r="AK65" s="52" t="s">
        <v>219</v>
      </c>
      <c r="AL65" s="52" t="s">
        <v>1024</v>
      </c>
      <c r="AM65" s="52" t="s">
        <v>1219</v>
      </c>
      <c r="AN65" s="52" t="s">
        <v>1220</v>
      </c>
      <c r="AO65" s="64" t="s">
        <v>219</v>
      </c>
      <c r="AP65" s="63" t="s">
        <v>1392</v>
      </c>
      <c r="AQ65" s="64" t="s">
        <v>217</v>
      </c>
      <c r="AR65" s="30" t="s">
        <v>219</v>
      </c>
    </row>
    <row r="66" spans="2:44" ht="21.75" customHeight="1" x14ac:dyDescent="0.45">
      <c r="B66" s="52" t="s">
        <v>99</v>
      </c>
      <c r="E66" s="53" t="s">
        <v>87</v>
      </c>
      <c r="F66" s="52" t="s">
        <v>1388</v>
      </c>
      <c r="H66" s="53" t="s">
        <v>109</v>
      </c>
      <c r="J66" s="76">
        <v>816</v>
      </c>
      <c r="L66" s="52" t="s">
        <v>1396</v>
      </c>
      <c r="M66" s="52" t="s">
        <v>1397</v>
      </c>
      <c r="N66" s="52" t="s">
        <v>1398</v>
      </c>
      <c r="O66" s="52" t="s">
        <v>426</v>
      </c>
      <c r="P66" s="52" t="s">
        <v>427</v>
      </c>
      <c r="Q66" s="52" t="s">
        <v>428</v>
      </c>
      <c r="R66" s="52" t="s">
        <v>254</v>
      </c>
      <c r="S66" s="52" t="s">
        <v>257</v>
      </c>
      <c r="T66" s="52" t="s">
        <v>258</v>
      </c>
      <c r="U66" s="52" t="s">
        <v>273</v>
      </c>
      <c r="V66" s="52" t="s">
        <v>274</v>
      </c>
      <c r="W66" s="52" t="s">
        <v>275</v>
      </c>
      <c r="X66" s="52" t="s">
        <v>426</v>
      </c>
      <c r="Y66" s="52" t="s">
        <v>427</v>
      </c>
      <c r="Z66" s="52" t="s">
        <v>428</v>
      </c>
      <c r="AA66" s="61">
        <v>1</v>
      </c>
      <c r="AB66" s="52" t="s">
        <v>137</v>
      </c>
      <c r="AC66" s="63">
        <v>1</v>
      </c>
      <c r="AD66" s="52" t="s">
        <v>169</v>
      </c>
      <c r="AE66" s="53" t="s">
        <v>179</v>
      </c>
      <c r="AF66" s="65">
        <v>0</v>
      </c>
      <c r="AG66" s="53" t="s">
        <v>192</v>
      </c>
      <c r="AH66" s="52" t="s">
        <v>219</v>
      </c>
      <c r="AI66" s="52" t="s">
        <v>219</v>
      </c>
      <c r="AJ66" s="52" t="s">
        <v>219</v>
      </c>
      <c r="AK66" s="52" t="s">
        <v>219</v>
      </c>
      <c r="AL66" s="52" t="s">
        <v>1024</v>
      </c>
      <c r="AM66" s="52" t="s">
        <v>1219</v>
      </c>
      <c r="AN66" s="52" t="s">
        <v>1220</v>
      </c>
      <c r="AO66" s="64" t="s">
        <v>219</v>
      </c>
      <c r="AP66" s="63" t="s">
        <v>1399</v>
      </c>
      <c r="AQ66" s="64" t="s">
        <v>217</v>
      </c>
      <c r="AR66" s="30" t="s">
        <v>219</v>
      </c>
    </row>
    <row r="67" spans="2:44" ht="21.75" customHeight="1" x14ac:dyDescent="0.45">
      <c r="B67" s="52" t="s">
        <v>99</v>
      </c>
      <c r="E67" s="53" t="s">
        <v>87</v>
      </c>
      <c r="F67" s="52" t="s">
        <v>1388</v>
      </c>
      <c r="H67" s="53" t="s">
        <v>109</v>
      </c>
      <c r="J67" s="76">
        <v>817</v>
      </c>
      <c r="L67" s="52" t="s">
        <v>1920</v>
      </c>
      <c r="M67" s="52" t="s">
        <v>1400</v>
      </c>
      <c r="N67" s="52" t="s">
        <v>1921</v>
      </c>
      <c r="O67" s="52" t="s">
        <v>1081</v>
      </c>
      <c r="P67" s="52" t="s">
        <v>430</v>
      </c>
      <c r="Q67" s="52" t="s">
        <v>1082</v>
      </c>
      <c r="R67" s="52" t="s">
        <v>254</v>
      </c>
      <c r="S67" s="52" t="s">
        <v>257</v>
      </c>
      <c r="T67" s="52" t="s">
        <v>258</v>
      </c>
      <c r="U67" s="52" t="s">
        <v>255</v>
      </c>
      <c r="V67" s="52" t="s">
        <v>255</v>
      </c>
      <c r="W67" s="52" t="s">
        <v>255</v>
      </c>
      <c r="X67" s="52" t="s">
        <v>429</v>
      </c>
      <c r="Y67" s="52" t="s">
        <v>431</v>
      </c>
      <c r="Z67" s="52" t="s">
        <v>432</v>
      </c>
      <c r="AA67" s="61">
        <v>0.25</v>
      </c>
      <c r="AB67" s="52" t="s">
        <v>130</v>
      </c>
      <c r="AC67" s="63">
        <v>1</v>
      </c>
      <c r="AD67" s="52" t="s">
        <v>169</v>
      </c>
      <c r="AE67" s="53" t="s">
        <v>179</v>
      </c>
      <c r="AF67" s="65">
        <v>0</v>
      </c>
      <c r="AG67" s="53" t="s">
        <v>192</v>
      </c>
      <c r="AH67" s="52" t="s">
        <v>219</v>
      </c>
      <c r="AI67" s="52" t="s">
        <v>219</v>
      </c>
      <c r="AJ67" s="52" t="s">
        <v>219</v>
      </c>
      <c r="AK67" s="52" t="s">
        <v>219</v>
      </c>
      <c r="AL67" s="52" t="s">
        <v>1024</v>
      </c>
      <c r="AM67" s="52" t="s">
        <v>1219</v>
      </c>
      <c r="AN67" s="52" t="s">
        <v>1220</v>
      </c>
      <c r="AO67" s="64" t="s">
        <v>219</v>
      </c>
      <c r="AP67" s="63" t="s">
        <v>1401</v>
      </c>
      <c r="AQ67" s="64" t="s">
        <v>217</v>
      </c>
      <c r="AR67" s="30" t="s">
        <v>219</v>
      </c>
    </row>
    <row r="68" spans="2:44" ht="21.75" customHeight="1" x14ac:dyDescent="0.45">
      <c r="B68" s="52" t="s">
        <v>99</v>
      </c>
      <c r="E68" s="53" t="s">
        <v>87</v>
      </c>
      <c r="F68" s="52" t="s">
        <v>1388</v>
      </c>
      <c r="H68" s="53" t="s">
        <v>109</v>
      </c>
      <c r="J68" s="76">
        <v>818</v>
      </c>
      <c r="L68" s="52" t="s">
        <v>1922</v>
      </c>
      <c r="M68" s="52" t="s">
        <v>1402</v>
      </c>
      <c r="N68" s="52" t="s">
        <v>1923</v>
      </c>
      <c r="O68" s="52" t="s">
        <v>1081</v>
      </c>
      <c r="P68" s="52" t="s">
        <v>430</v>
      </c>
      <c r="Q68" s="52" t="s">
        <v>1082</v>
      </c>
      <c r="R68" s="52" t="s">
        <v>254</v>
      </c>
      <c r="S68" s="52" t="s">
        <v>257</v>
      </c>
      <c r="T68" s="52" t="s">
        <v>258</v>
      </c>
      <c r="U68" s="52" t="s">
        <v>268</v>
      </c>
      <c r="V68" s="52" t="s">
        <v>268</v>
      </c>
      <c r="W68" s="52" t="s">
        <v>268</v>
      </c>
      <c r="X68" s="52" t="s">
        <v>433</v>
      </c>
      <c r="Y68" s="52" t="s">
        <v>434</v>
      </c>
      <c r="Z68" s="52" t="s">
        <v>435</v>
      </c>
      <c r="AA68" s="61">
        <v>0.5</v>
      </c>
      <c r="AB68" s="52" t="s">
        <v>130</v>
      </c>
      <c r="AC68" s="63">
        <v>1</v>
      </c>
      <c r="AD68" s="52" t="s">
        <v>169</v>
      </c>
      <c r="AE68" s="53" t="s">
        <v>179</v>
      </c>
      <c r="AF68" s="65">
        <v>0</v>
      </c>
      <c r="AG68" s="53" t="s">
        <v>192</v>
      </c>
      <c r="AH68" s="52" t="s">
        <v>219</v>
      </c>
      <c r="AI68" s="52" t="s">
        <v>219</v>
      </c>
      <c r="AJ68" s="52" t="s">
        <v>219</v>
      </c>
      <c r="AK68" s="52" t="s">
        <v>219</v>
      </c>
      <c r="AL68" s="52" t="s">
        <v>1024</v>
      </c>
      <c r="AM68" s="52" t="s">
        <v>1219</v>
      </c>
      <c r="AN68" s="52" t="s">
        <v>1220</v>
      </c>
      <c r="AO68" s="64" t="s">
        <v>219</v>
      </c>
      <c r="AP68" s="63" t="s">
        <v>1403</v>
      </c>
      <c r="AQ68" s="64" t="s">
        <v>217</v>
      </c>
      <c r="AR68" s="30" t="s">
        <v>219</v>
      </c>
    </row>
    <row r="69" spans="2:44" ht="21.75" customHeight="1" x14ac:dyDescent="0.45">
      <c r="B69" s="52" t="s">
        <v>99</v>
      </c>
      <c r="E69" s="53" t="s">
        <v>87</v>
      </c>
      <c r="F69" s="52" t="s">
        <v>1388</v>
      </c>
      <c r="H69" s="53" t="s">
        <v>109</v>
      </c>
      <c r="J69" s="76">
        <v>819</v>
      </c>
      <c r="L69" s="52" t="s">
        <v>1404</v>
      </c>
      <c r="M69" s="52" t="s">
        <v>1924</v>
      </c>
      <c r="N69" s="52" t="s">
        <v>1925</v>
      </c>
      <c r="O69" s="52" t="s">
        <v>436</v>
      </c>
      <c r="P69" s="52" t="s">
        <v>1083</v>
      </c>
      <c r="Q69" s="52" t="s">
        <v>1084</v>
      </c>
      <c r="R69" s="52" t="s">
        <v>254</v>
      </c>
      <c r="S69" s="52" t="s">
        <v>257</v>
      </c>
      <c r="T69" s="52" t="s">
        <v>258</v>
      </c>
      <c r="U69" s="52" t="s">
        <v>437</v>
      </c>
      <c r="V69" s="52" t="s">
        <v>437</v>
      </c>
      <c r="W69" s="52" t="s">
        <v>437</v>
      </c>
      <c r="X69" s="52" t="s">
        <v>438</v>
      </c>
      <c r="Y69" s="52" t="s">
        <v>439</v>
      </c>
      <c r="Z69" s="52" t="s">
        <v>440</v>
      </c>
      <c r="AA69" s="61">
        <v>0.15</v>
      </c>
      <c r="AB69" s="52" t="s">
        <v>130</v>
      </c>
      <c r="AC69" s="63">
        <v>1</v>
      </c>
      <c r="AD69" s="52" t="s">
        <v>169</v>
      </c>
      <c r="AE69" s="53" t="s">
        <v>179</v>
      </c>
      <c r="AF69" s="65">
        <v>0</v>
      </c>
      <c r="AG69" s="53" t="s">
        <v>192</v>
      </c>
      <c r="AH69" s="52" t="s">
        <v>219</v>
      </c>
      <c r="AI69" s="52" t="s">
        <v>219</v>
      </c>
      <c r="AJ69" s="52" t="s">
        <v>219</v>
      </c>
      <c r="AK69" s="52" t="s">
        <v>219</v>
      </c>
      <c r="AL69" s="52" t="s">
        <v>1024</v>
      </c>
      <c r="AM69" s="52" t="s">
        <v>1219</v>
      </c>
      <c r="AN69" s="52" t="s">
        <v>1220</v>
      </c>
      <c r="AO69" s="64" t="s">
        <v>219</v>
      </c>
      <c r="AP69" s="63" t="s">
        <v>1405</v>
      </c>
      <c r="AQ69" s="64" t="s">
        <v>217</v>
      </c>
      <c r="AR69" s="30" t="s">
        <v>219</v>
      </c>
    </row>
    <row r="70" spans="2:44" ht="21.75" customHeight="1" x14ac:dyDescent="0.45">
      <c r="B70" s="52" t="s">
        <v>99</v>
      </c>
      <c r="E70" s="53" t="s">
        <v>87</v>
      </c>
      <c r="F70" s="52" t="s">
        <v>1388</v>
      </c>
      <c r="H70" s="53" t="s">
        <v>109</v>
      </c>
      <c r="J70" s="76">
        <v>820</v>
      </c>
      <c r="L70" s="52" t="s">
        <v>1406</v>
      </c>
      <c r="M70" s="52" t="s">
        <v>1926</v>
      </c>
      <c r="N70" s="52" t="s">
        <v>1927</v>
      </c>
      <c r="O70" s="52" t="s">
        <v>436</v>
      </c>
      <c r="P70" s="52" t="s">
        <v>1083</v>
      </c>
      <c r="Q70" s="52" t="s">
        <v>1084</v>
      </c>
      <c r="R70" s="52" t="s">
        <v>254</v>
      </c>
      <c r="S70" s="52" t="s">
        <v>257</v>
      </c>
      <c r="T70" s="52" t="s">
        <v>258</v>
      </c>
      <c r="U70" s="52" t="s">
        <v>255</v>
      </c>
      <c r="V70" s="52" t="s">
        <v>255</v>
      </c>
      <c r="W70" s="52" t="s">
        <v>255</v>
      </c>
      <c r="X70" s="52" t="s">
        <v>441</v>
      </c>
      <c r="Y70" s="52" t="s">
        <v>442</v>
      </c>
      <c r="Z70" s="52" t="s">
        <v>443</v>
      </c>
      <c r="AA70" s="61">
        <v>0.25</v>
      </c>
      <c r="AB70" s="52" t="s">
        <v>130</v>
      </c>
      <c r="AC70" s="63">
        <v>1</v>
      </c>
      <c r="AD70" s="52" t="s">
        <v>169</v>
      </c>
      <c r="AE70" s="53" t="s">
        <v>179</v>
      </c>
      <c r="AF70" s="65">
        <v>0</v>
      </c>
      <c r="AG70" s="53" t="s">
        <v>192</v>
      </c>
      <c r="AH70" s="52" t="s">
        <v>219</v>
      </c>
      <c r="AI70" s="52" t="s">
        <v>219</v>
      </c>
      <c r="AJ70" s="52" t="s">
        <v>219</v>
      </c>
      <c r="AK70" s="52" t="s">
        <v>219</v>
      </c>
      <c r="AL70" s="52" t="s">
        <v>1024</v>
      </c>
      <c r="AM70" s="52" t="s">
        <v>1219</v>
      </c>
      <c r="AN70" s="52" t="s">
        <v>1220</v>
      </c>
      <c r="AO70" s="64" t="s">
        <v>219</v>
      </c>
      <c r="AP70" s="63" t="s">
        <v>1405</v>
      </c>
      <c r="AQ70" s="64" t="s">
        <v>217</v>
      </c>
      <c r="AR70" s="30" t="s">
        <v>219</v>
      </c>
    </row>
    <row r="71" spans="2:44" ht="21.75" customHeight="1" x14ac:dyDescent="0.45">
      <c r="B71" s="52" t="s">
        <v>99</v>
      </c>
      <c r="E71" s="53" t="s">
        <v>87</v>
      </c>
      <c r="F71" s="52" t="s">
        <v>1388</v>
      </c>
      <c r="H71" s="53" t="s">
        <v>109</v>
      </c>
      <c r="J71" s="76">
        <v>821</v>
      </c>
      <c r="L71" s="52" t="s">
        <v>1407</v>
      </c>
      <c r="M71" s="52" t="s">
        <v>1928</v>
      </c>
      <c r="N71" s="52" t="s">
        <v>1929</v>
      </c>
      <c r="O71" s="52" t="s">
        <v>436</v>
      </c>
      <c r="P71" s="52" t="s">
        <v>1083</v>
      </c>
      <c r="Q71" s="52" t="s">
        <v>1084</v>
      </c>
      <c r="R71" s="52" t="s">
        <v>254</v>
      </c>
      <c r="S71" s="52" t="s">
        <v>257</v>
      </c>
      <c r="T71" s="52" t="s">
        <v>258</v>
      </c>
      <c r="U71" s="52" t="s">
        <v>444</v>
      </c>
      <c r="V71" s="52" t="s">
        <v>444</v>
      </c>
      <c r="W71" s="52" t="s">
        <v>444</v>
      </c>
      <c r="X71" s="52" t="s">
        <v>445</v>
      </c>
      <c r="Y71" s="52" t="s">
        <v>446</v>
      </c>
      <c r="Z71" s="52" t="s">
        <v>447</v>
      </c>
      <c r="AA71" s="61">
        <v>0.35</v>
      </c>
      <c r="AB71" s="52" t="s">
        <v>130</v>
      </c>
      <c r="AC71" s="63">
        <v>1</v>
      </c>
      <c r="AD71" s="52" t="s">
        <v>169</v>
      </c>
      <c r="AE71" s="53" t="s">
        <v>179</v>
      </c>
      <c r="AF71" s="65">
        <v>0</v>
      </c>
      <c r="AG71" s="53" t="s">
        <v>192</v>
      </c>
      <c r="AH71" s="52" t="s">
        <v>219</v>
      </c>
      <c r="AI71" s="52" t="s">
        <v>219</v>
      </c>
      <c r="AJ71" s="52" t="s">
        <v>219</v>
      </c>
      <c r="AK71" s="52" t="s">
        <v>219</v>
      </c>
      <c r="AL71" s="52" t="s">
        <v>1024</v>
      </c>
      <c r="AM71" s="52" t="s">
        <v>1219</v>
      </c>
      <c r="AN71" s="52" t="s">
        <v>1220</v>
      </c>
      <c r="AO71" s="64" t="s">
        <v>219</v>
      </c>
      <c r="AP71" s="63" t="s">
        <v>1405</v>
      </c>
      <c r="AQ71" s="64" t="s">
        <v>217</v>
      </c>
      <c r="AR71" s="30" t="s">
        <v>219</v>
      </c>
    </row>
    <row r="72" spans="2:44" ht="21.75" customHeight="1" x14ac:dyDescent="0.45">
      <c r="B72" s="52" t="s">
        <v>99</v>
      </c>
      <c r="E72" s="53" t="s">
        <v>87</v>
      </c>
      <c r="F72" s="52" t="s">
        <v>1388</v>
      </c>
      <c r="H72" s="53" t="s">
        <v>109</v>
      </c>
      <c r="J72" s="76">
        <v>822</v>
      </c>
      <c r="L72" s="52" t="s">
        <v>1408</v>
      </c>
      <c r="M72" s="52" t="s">
        <v>1930</v>
      </c>
      <c r="N72" s="52" t="s">
        <v>1931</v>
      </c>
      <c r="O72" s="52" t="s">
        <v>436</v>
      </c>
      <c r="P72" s="52" t="s">
        <v>1083</v>
      </c>
      <c r="Q72" s="52" t="s">
        <v>1084</v>
      </c>
      <c r="R72" s="52" t="s">
        <v>254</v>
      </c>
      <c r="S72" s="52" t="s">
        <v>257</v>
      </c>
      <c r="T72" s="52" t="s">
        <v>258</v>
      </c>
      <c r="U72" s="52" t="s">
        <v>448</v>
      </c>
      <c r="V72" s="52" t="s">
        <v>448</v>
      </c>
      <c r="W72" s="52" t="s">
        <v>448</v>
      </c>
      <c r="X72" s="52" t="s">
        <v>449</v>
      </c>
      <c r="Y72" s="52" t="s">
        <v>450</v>
      </c>
      <c r="Z72" s="52" t="s">
        <v>451</v>
      </c>
      <c r="AA72" s="61">
        <v>0.45</v>
      </c>
      <c r="AB72" s="52" t="s">
        <v>130</v>
      </c>
      <c r="AC72" s="63">
        <v>1</v>
      </c>
      <c r="AD72" s="52" t="s">
        <v>169</v>
      </c>
      <c r="AE72" s="53" t="s">
        <v>179</v>
      </c>
      <c r="AF72" s="65">
        <v>0</v>
      </c>
      <c r="AG72" s="53" t="s">
        <v>192</v>
      </c>
      <c r="AH72" s="52" t="s">
        <v>219</v>
      </c>
      <c r="AI72" s="52" t="s">
        <v>219</v>
      </c>
      <c r="AJ72" s="52" t="s">
        <v>219</v>
      </c>
      <c r="AK72" s="52" t="s">
        <v>219</v>
      </c>
      <c r="AL72" s="52" t="s">
        <v>1024</v>
      </c>
      <c r="AM72" s="52" t="s">
        <v>1219</v>
      </c>
      <c r="AN72" s="52" t="s">
        <v>1220</v>
      </c>
      <c r="AO72" s="64" t="s">
        <v>219</v>
      </c>
      <c r="AP72" s="63" t="s">
        <v>1405</v>
      </c>
      <c r="AQ72" s="64" t="s">
        <v>217</v>
      </c>
      <c r="AR72" s="30" t="s">
        <v>219</v>
      </c>
    </row>
    <row r="73" spans="2:44" ht="21.75" customHeight="1" x14ac:dyDescent="0.45">
      <c r="B73" s="52" t="s">
        <v>99</v>
      </c>
      <c r="E73" s="53" t="s">
        <v>87</v>
      </c>
      <c r="F73" s="52" t="s">
        <v>1409</v>
      </c>
      <c r="H73" s="53" t="s">
        <v>109</v>
      </c>
      <c r="J73" s="76">
        <v>823</v>
      </c>
      <c r="L73" s="52" t="s">
        <v>1410</v>
      </c>
      <c r="M73" s="52" t="s">
        <v>1411</v>
      </c>
      <c r="N73" s="52" t="s">
        <v>1412</v>
      </c>
      <c r="O73" s="52" t="s">
        <v>1172</v>
      </c>
      <c r="P73" s="52" t="s">
        <v>1173</v>
      </c>
      <c r="Q73" s="52" t="s">
        <v>1174</v>
      </c>
      <c r="R73" s="52" t="s">
        <v>254</v>
      </c>
      <c r="S73" s="52" t="s">
        <v>257</v>
      </c>
      <c r="T73" s="52" t="s">
        <v>258</v>
      </c>
      <c r="U73" s="52" t="s">
        <v>273</v>
      </c>
      <c r="V73" s="52" t="s">
        <v>274</v>
      </c>
      <c r="W73" s="52" t="s">
        <v>275</v>
      </c>
      <c r="X73" s="52" t="s">
        <v>1172</v>
      </c>
      <c r="Y73" s="52" t="s">
        <v>1173</v>
      </c>
      <c r="Z73" s="52" t="s">
        <v>1174</v>
      </c>
      <c r="AA73" s="61">
        <v>1</v>
      </c>
      <c r="AB73" s="52" t="s">
        <v>137</v>
      </c>
      <c r="AC73" s="63">
        <v>1</v>
      </c>
      <c r="AD73" s="52" t="s">
        <v>169</v>
      </c>
      <c r="AE73" s="53" t="s">
        <v>179</v>
      </c>
      <c r="AF73" s="65">
        <v>0</v>
      </c>
      <c r="AG73" s="53" t="s">
        <v>192</v>
      </c>
      <c r="AH73" s="52" t="s">
        <v>219</v>
      </c>
      <c r="AI73" s="52" t="s">
        <v>219</v>
      </c>
      <c r="AJ73" s="52" t="s">
        <v>219</v>
      </c>
      <c r="AK73" s="52" t="s">
        <v>219</v>
      </c>
      <c r="AL73" s="52" t="s">
        <v>1024</v>
      </c>
      <c r="AM73" s="52" t="s">
        <v>1219</v>
      </c>
      <c r="AN73" s="52" t="s">
        <v>1220</v>
      </c>
      <c r="AO73" s="64" t="s">
        <v>219</v>
      </c>
      <c r="AP73" s="63" t="s">
        <v>1413</v>
      </c>
      <c r="AQ73" s="64" t="s">
        <v>217</v>
      </c>
      <c r="AR73" s="30" t="s">
        <v>219</v>
      </c>
    </row>
    <row r="74" spans="2:44" ht="21.75" customHeight="1" x14ac:dyDescent="0.45">
      <c r="B74" s="52" t="s">
        <v>99</v>
      </c>
      <c r="E74" s="53" t="s">
        <v>87</v>
      </c>
      <c r="F74" s="52" t="s">
        <v>1414</v>
      </c>
      <c r="H74" s="53" t="s">
        <v>109</v>
      </c>
      <c r="J74" s="76">
        <v>824</v>
      </c>
      <c r="L74" s="52" t="s">
        <v>1415</v>
      </c>
      <c r="M74" s="52" t="s">
        <v>1416</v>
      </c>
      <c r="N74" s="52" t="s">
        <v>1417</v>
      </c>
      <c r="O74" s="52" t="s">
        <v>453</v>
      </c>
      <c r="P74" s="52" t="s">
        <v>456</v>
      </c>
      <c r="Q74" s="52" t="s">
        <v>459</v>
      </c>
      <c r="R74" s="52" t="s">
        <v>254</v>
      </c>
      <c r="S74" s="52" t="s">
        <v>257</v>
      </c>
      <c r="T74" s="52" t="s">
        <v>258</v>
      </c>
      <c r="U74" s="52" t="s">
        <v>454</v>
      </c>
      <c r="V74" s="52" t="s">
        <v>457</v>
      </c>
      <c r="W74" s="52" t="s">
        <v>460</v>
      </c>
      <c r="X74" s="52" t="s">
        <v>455</v>
      </c>
      <c r="Y74" s="52" t="s">
        <v>458</v>
      </c>
      <c r="Z74" s="52" t="s">
        <v>461</v>
      </c>
      <c r="AA74" s="61">
        <v>4</v>
      </c>
      <c r="AB74" s="52" t="s">
        <v>137</v>
      </c>
      <c r="AC74" s="63">
        <v>1</v>
      </c>
      <c r="AD74" s="52" t="s">
        <v>169</v>
      </c>
      <c r="AE74" s="53" t="s">
        <v>179</v>
      </c>
      <c r="AF74" s="65">
        <v>0</v>
      </c>
      <c r="AG74" s="53" t="s">
        <v>192</v>
      </c>
      <c r="AH74" s="52" t="s">
        <v>219</v>
      </c>
      <c r="AI74" s="52" t="s">
        <v>219</v>
      </c>
      <c r="AJ74" s="52" t="s">
        <v>219</v>
      </c>
      <c r="AK74" s="52" t="s">
        <v>219</v>
      </c>
      <c r="AL74" s="52" t="s">
        <v>1024</v>
      </c>
      <c r="AM74" s="52" t="s">
        <v>1219</v>
      </c>
      <c r="AN74" s="52" t="s">
        <v>1220</v>
      </c>
      <c r="AO74" s="64" t="s">
        <v>219</v>
      </c>
      <c r="AP74" s="63" t="s">
        <v>1418</v>
      </c>
      <c r="AQ74" s="64" t="s">
        <v>217</v>
      </c>
      <c r="AR74" s="30" t="s">
        <v>219</v>
      </c>
    </row>
    <row r="75" spans="2:44" ht="21.75" customHeight="1" x14ac:dyDescent="0.45">
      <c r="B75" s="52" t="s">
        <v>99</v>
      </c>
      <c r="E75" s="53" t="s">
        <v>87</v>
      </c>
      <c r="F75" s="52" t="s">
        <v>1414</v>
      </c>
      <c r="H75" s="53" t="s">
        <v>109</v>
      </c>
      <c r="J75" s="76">
        <v>825</v>
      </c>
      <c r="L75" s="52" t="s">
        <v>1932</v>
      </c>
      <c r="M75" s="52" t="s">
        <v>1419</v>
      </c>
      <c r="N75" s="52" t="s">
        <v>1420</v>
      </c>
      <c r="O75" s="52" t="s">
        <v>1086</v>
      </c>
      <c r="P75" s="52" t="s">
        <v>456</v>
      </c>
      <c r="Q75" s="52" t="s">
        <v>459</v>
      </c>
      <c r="R75" s="52" t="s">
        <v>254</v>
      </c>
      <c r="S75" s="52" t="s">
        <v>257</v>
      </c>
      <c r="T75" s="52" t="s">
        <v>258</v>
      </c>
      <c r="U75" s="52" t="s">
        <v>463</v>
      </c>
      <c r="V75" s="52" t="s">
        <v>465</v>
      </c>
      <c r="W75" s="52" t="s">
        <v>467</v>
      </c>
      <c r="X75" s="52" t="s">
        <v>464</v>
      </c>
      <c r="Y75" s="52" t="s">
        <v>466</v>
      </c>
      <c r="Z75" s="52" t="s">
        <v>468</v>
      </c>
      <c r="AA75" s="61">
        <v>10</v>
      </c>
      <c r="AB75" s="52" t="s">
        <v>137</v>
      </c>
      <c r="AC75" s="63">
        <v>1</v>
      </c>
      <c r="AD75" s="52" t="s">
        <v>169</v>
      </c>
      <c r="AE75" s="53" t="s">
        <v>179</v>
      </c>
      <c r="AF75" s="65">
        <v>0</v>
      </c>
      <c r="AG75" s="53" t="s">
        <v>192</v>
      </c>
      <c r="AH75" s="52" t="s">
        <v>219</v>
      </c>
      <c r="AI75" s="52" t="s">
        <v>219</v>
      </c>
      <c r="AJ75" s="52" t="s">
        <v>219</v>
      </c>
      <c r="AK75" s="52" t="s">
        <v>219</v>
      </c>
      <c r="AL75" s="52" t="s">
        <v>1024</v>
      </c>
      <c r="AM75" s="52" t="s">
        <v>1219</v>
      </c>
      <c r="AN75" s="52" t="s">
        <v>1220</v>
      </c>
      <c r="AO75" s="64" t="s">
        <v>219</v>
      </c>
      <c r="AP75" s="63" t="s">
        <v>1421</v>
      </c>
      <c r="AQ75" s="64" t="s">
        <v>217</v>
      </c>
      <c r="AR75" s="30" t="s">
        <v>219</v>
      </c>
    </row>
    <row r="76" spans="2:44" ht="21.75" customHeight="1" x14ac:dyDescent="0.45">
      <c r="B76" s="52" t="s">
        <v>99</v>
      </c>
      <c r="E76" s="53" t="s">
        <v>87</v>
      </c>
      <c r="F76" s="52" t="s">
        <v>1414</v>
      </c>
      <c r="H76" s="53" t="s">
        <v>109</v>
      </c>
      <c r="J76" s="76">
        <v>826</v>
      </c>
      <c r="L76" s="52" t="s">
        <v>1933</v>
      </c>
      <c r="M76" s="52" t="s">
        <v>1422</v>
      </c>
      <c r="N76" s="52" t="s">
        <v>1423</v>
      </c>
      <c r="O76" s="52" t="s">
        <v>1086</v>
      </c>
      <c r="P76" s="52" t="s">
        <v>470</v>
      </c>
      <c r="Q76" s="52" t="s">
        <v>472</v>
      </c>
      <c r="R76" s="52" t="s">
        <v>254</v>
      </c>
      <c r="S76" s="52" t="s">
        <v>257</v>
      </c>
      <c r="T76" s="52" t="s">
        <v>258</v>
      </c>
      <c r="U76" s="52" t="s">
        <v>273</v>
      </c>
      <c r="V76" s="52" t="s">
        <v>274</v>
      </c>
      <c r="W76" s="52" t="s">
        <v>275</v>
      </c>
      <c r="X76" s="52" t="s">
        <v>469</v>
      </c>
      <c r="Y76" s="52" t="s">
        <v>471</v>
      </c>
      <c r="Z76" s="52" t="s">
        <v>473</v>
      </c>
      <c r="AA76" s="61">
        <v>1</v>
      </c>
      <c r="AB76" s="52" t="s">
        <v>137</v>
      </c>
      <c r="AC76" s="63">
        <v>1</v>
      </c>
      <c r="AD76" s="52" t="s">
        <v>169</v>
      </c>
      <c r="AE76" s="53" t="s">
        <v>179</v>
      </c>
      <c r="AF76" s="65">
        <v>0</v>
      </c>
      <c r="AG76" s="53" t="s">
        <v>192</v>
      </c>
      <c r="AH76" s="52" t="s">
        <v>219</v>
      </c>
      <c r="AI76" s="52" t="s">
        <v>219</v>
      </c>
      <c r="AJ76" s="52" t="s">
        <v>219</v>
      </c>
      <c r="AK76" s="52" t="s">
        <v>219</v>
      </c>
      <c r="AL76" s="52" t="s">
        <v>1024</v>
      </c>
      <c r="AM76" s="52" t="s">
        <v>1219</v>
      </c>
      <c r="AN76" s="52" t="s">
        <v>1220</v>
      </c>
      <c r="AO76" s="64" t="s">
        <v>219</v>
      </c>
      <c r="AP76" s="63" t="s">
        <v>1424</v>
      </c>
      <c r="AQ76" s="64" t="s">
        <v>217</v>
      </c>
      <c r="AR76" s="30" t="s">
        <v>219</v>
      </c>
    </row>
    <row r="77" spans="2:44" ht="21.75" customHeight="1" x14ac:dyDescent="0.45">
      <c r="B77" s="52" t="s">
        <v>99</v>
      </c>
      <c r="E77" s="53" t="s">
        <v>87</v>
      </c>
      <c r="F77" s="52" t="s">
        <v>1414</v>
      </c>
      <c r="H77" s="53" t="s">
        <v>109</v>
      </c>
      <c r="J77" s="76">
        <v>827</v>
      </c>
      <c r="L77" s="52" t="s">
        <v>1934</v>
      </c>
      <c r="M77" s="52" t="s">
        <v>1425</v>
      </c>
      <c r="N77" s="52" t="s">
        <v>1426</v>
      </c>
      <c r="O77" s="52" t="s">
        <v>1086</v>
      </c>
      <c r="P77" s="52" t="s">
        <v>456</v>
      </c>
      <c r="Q77" s="52" t="s">
        <v>459</v>
      </c>
      <c r="R77" s="52" t="s">
        <v>254</v>
      </c>
      <c r="S77" s="52" t="s">
        <v>257</v>
      </c>
      <c r="T77" s="52" t="s">
        <v>258</v>
      </c>
      <c r="U77" s="52" t="s">
        <v>474</v>
      </c>
      <c r="V77" s="52" t="s">
        <v>476</v>
      </c>
      <c r="W77" s="52" t="s">
        <v>478</v>
      </c>
      <c r="X77" s="52" t="s">
        <v>475</v>
      </c>
      <c r="Y77" s="52" t="s">
        <v>477</v>
      </c>
      <c r="Z77" s="52" t="s">
        <v>479</v>
      </c>
      <c r="AA77" s="61">
        <v>6</v>
      </c>
      <c r="AB77" s="52" t="s">
        <v>137</v>
      </c>
      <c r="AC77" s="63">
        <v>1</v>
      </c>
      <c r="AD77" s="52" t="s">
        <v>169</v>
      </c>
      <c r="AE77" s="53" t="s">
        <v>179</v>
      </c>
      <c r="AF77" s="65">
        <v>0</v>
      </c>
      <c r="AG77" s="53" t="s">
        <v>192</v>
      </c>
      <c r="AH77" s="52" t="s">
        <v>219</v>
      </c>
      <c r="AI77" s="52" t="s">
        <v>219</v>
      </c>
      <c r="AJ77" s="52" t="s">
        <v>219</v>
      </c>
      <c r="AK77" s="52" t="s">
        <v>219</v>
      </c>
      <c r="AL77" s="52" t="s">
        <v>1024</v>
      </c>
      <c r="AM77" s="52" t="s">
        <v>1219</v>
      </c>
      <c r="AN77" s="52" t="s">
        <v>1220</v>
      </c>
      <c r="AO77" s="64" t="s">
        <v>219</v>
      </c>
      <c r="AP77" s="63" t="s">
        <v>1427</v>
      </c>
      <c r="AQ77" s="64" t="s">
        <v>217</v>
      </c>
      <c r="AR77" s="30" t="s">
        <v>219</v>
      </c>
    </row>
    <row r="78" spans="2:44" ht="21.75" customHeight="1" x14ac:dyDescent="0.45">
      <c r="B78" s="52" t="s">
        <v>99</v>
      </c>
      <c r="E78" s="53" t="s">
        <v>87</v>
      </c>
      <c r="F78" s="52" t="s">
        <v>1414</v>
      </c>
      <c r="H78" s="53" t="s">
        <v>109</v>
      </c>
      <c r="J78" s="76">
        <v>828</v>
      </c>
      <c r="L78" s="52" t="s">
        <v>1428</v>
      </c>
      <c r="M78" s="52" t="s">
        <v>1935</v>
      </c>
      <c r="N78" s="52" t="s">
        <v>1429</v>
      </c>
      <c r="O78" s="52" t="s">
        <v>480</v>
      </c>
      <c r="P78" s="52" t="s">
        <v>1087</v>
      </c>
      <c r="Q78" s="52" t="s">
        <v>483</v>
      </c>
      <c r="R78" s="52" t="s">
        <v>254</v>
      </c>
      <c r="S78" s="52" t="s">
        <v>257</v>
      </c>
      <c r="T78" s="52" t="s">
        <v>258</v>
      </c>
      <c r="U78" s="52" t="s">
        <v>474</v>
      </c>
      <c r="V78" s="52" t="s">
        <v>476</v>
      </c>
      <c r="W78" s="52" t="s">
        <v>478</v>
      </c>
      <c r="X78" s="52" t="s">
        <v>481</v>
      </c>
      <c r="Y78" s="52" t="s">
        <v>482</v>
      </c>
      <c r="Z78" s="52" t="s">
        <v>484</v>
      </c>
      <c r="AA78" s="61">
        <v>6</v>
      </c>
      <c r="AB78" s="52" t="s">
        <v>137</v>
      </c>
      <c r="AC78" s="63">
        <v>1</v>
      </c>
      <c r="AD78" s="52" t="s">
        <v>169</v>
      </c>
      <c r="AE78" s="53" t="s">
        <v>179</v>
      </c>
      <c r="AF78" s="65">
        <v>0</v>
      </c>
      <c r="AG78" s="53" t="s">
        <v>192</v>
      </c>
      <c r="AH78" s="52" t="s">
        <v>219</v>
      </c>
      <c r="AI78" s="52" t="s">
        <v>219</v>
      </c>
      <c r="AJ78" s="52" t="s">
        <v>219</v>
      </c>
      <c r="AK78" s="52" t="s">
        <v>219</v>
      </c>
      <c r="AL78" s="52" t="s">
        <v>1024</v>
      </c>
      <c r="AM78" s="52" t="s">
        <v>1219</v>
      </c>
      <c r="AN78" s="52" t="s">
        <v>1220</v>
      </c>
      <c r="AO78" s="64" t="s">
        <v>219</v>
      </c>
      <c r="AP78" s="63" t="s">
        <v>1430</v>
      </c>
      <c r="AQ78" s="64" t="s">
        <v>217</v>
      </c>
      <c r="AR78" s="30" t="s">
        <v>219</v>
      </c>
    </row>
    <row r="79" spans="2:44" ht="21.75" customHeight="1" x14ac:dyDescent="0.45">
      <c r="B79" s="52" t="s">
        <v>99</v>
      </c>
      <c r="C79"/>
      <c r="D79"/>
      <c r="E79" s="53" t="s">
        <v>87</v>
      </c>
      <c r="F79" s="52" t="s">
        <v>1414</v>
      </c>
      <c r="G79" s="30"/>
      <c r="H79" s="53" t="s">
        <v>109</v>
      </c>
      <c r="J79" s="76">
        <v>829</v>
      </c>
      <c r="L79" s="52" t="s">
        <v>1936</v>
      </c>
      <c r="M79" s="52" t="s">
        <v>1431</v>
      </c>
      <c r="N79" s="52" t="s">
        <v>1432</v>
      </c>
      <c r="O79" s="52" t="s">
        <v>1088</v>
      </c>
      <c r="P79" s="52" t="s">
        <v>486</v>
      </c>
      <c r="Q79" s="52" t="s">
        <v>488</v>
      </c>
      <c r="R79" s="52" t="s">
        <v>254</v>
      </c>
      <c r="S79" s="52" t="s">
        <v>257</v>
      </c>
      <c r="T79" s="52" t="s">
        <v>258</v>
      </c>
      <c r="U79" s="52" t="s">
        <v>273</v>
      </c>
      <c r="V79" s="52" t="s">
        <v>274</v>
      </c>
      <c r="W79" s="52" t="s">
        <v>275</v>
      </c>
      <c r="X79" s="52" t="s">
        <v>485</v>
      </c>
      <c r="Y79" s="52" t="s">
        <v>487</v>
      </c>
      <c r="Z79" s="52" t="s">
        <v>489</v>
      </c>
      <c r="AA79" s="61">
        <v>1</v>
      </c>
      <c r="AB79" s="52" t="s">
        <v>137</v>
      </c>
      <c r="AC79" s="63">
        <v>1</v>
      </c>
      <c r="AD79" s="52" t="s">
        <v>169</v>
      </c>
      <c r="AE79" s="53" t="s">
        <v>179</v>
      </c>
      <c r="AF79" s="65">
        <v>0</v>
      </c>
      <c r="AG79" s="53" t="s">
        <v>192</v>
      </c>
      <c r="AH79" s="52" t="s">
        <v>219</v>
      </c>
      <c r="AI79" s="52" t="s">
        <v>219</v>
      </c>
      <c r="AJ79" s="52" t="s">
        <v>219</v>
      </c>
      <c r="AK79" s="52" t="s">
        <v>219</v>
      </c>
      <c r="AL79" s="52" t="s">
        <v>1024</v>
      </c>
      <c r="AM79" s="52" t="s">
        <v>1219</v>
      </c>
      <c r="AN79" s="52" t="s">
        <v>1220</v>
      </c>
      <c r="AO79" s="64" t="s">
        <v>219</v>
      </c>
      <c r="AP79" s="63" t="s">
        <v>1433</v>
      </c>
      <c r="AQ79" s="64" t="s">
        <v>217</v>
      </c>
      <c r="AR79" s="30" t="s">
        <v>219</v>
      </c>
    </row>
    <row r="80" spans="2:44" ht="21.75" customHeight="1" x14ac:dyDescent="0.45">
      <c r="B80" s="52" t="s">
        <v>99</v>
      </c>
      <c r="C80"/>
      <c r="D80"/>
      <c r="E80" s="53" t="s">
        <v>87</v>
      </c>
      <c r="F80" s="52" t="s">
        <v>1414</v>
      </c>
      <c r="G80" s="30"/>
      <c r="H80" s="53" t="s">
        <v>109</v>
      </c>
      <c r="J80" s="76">
        <v>830</v>
      </c>
      <c r="L80" s="52" t="s">
        <v>1434</v>
      </c>
      <c r="M80" s="52" t="s">
        <v>1435</v>
      </c>
      <c r="N80" s="52" t="s">
        <v>1436</v>
      </c>
      <c r="O80" s="52" t="s">
        <v>490</v>
      </c>
      <c r="P80" s="52" t="s">
        <v>493</v>
      </c>
      <c r="Q80" s="52" t="s">
        <v>496</v>
      </c>
      <c r="R80" s="52" t="s">
        <v>254</v>
      </c>
      <c r="S80" s="52" t="s">
        <v>257</v>
      </c>
      <c r="T80" s="52" t="s">
        <v>258</v>
      </c>
      <c r="U80" s="52" t="s">
        <v>491</v>
      </c>
      <c r="V80" s="52" t="s">
        <v>494</v>
      </c>
      <c r="W80" s="52" t="s">
        <v>497</v>
      </c>
      <c r="X80" s="52" t="s">
        <v>492</v>
      </c>
      <c r="Y80" s="52" t="s">
        <v>495</v>
      </c>
      <c r="Z80" s="52" t="s">
        <v>498</v>
      </c>
      <c r="AA80" s="61">
        <v>8</v>
      </c>
      <c r="AB80" s="52" t="s">
        <v>137</v>
      </c>
      <c r="AC80" s="63">
        <v>1</v>
      </c>
      <c r="AD80" s="52" t="s">
        <v>169</v>
      </c>
      <c r="AE80" s="53" t="s">
        <v>179</v>
      </c>
      <c r="AF80" s="65">
        <v>0</v>
      </c>
      <c r="AG80" s="53" t="s">
        <v>192</v>
      </c>
      <c r="AH80" s="52" t="s">
        <v>219</v>
      </c>
      <c r="AI80" s="52" t="s">
        <v>219</v>
      </c>
      <c r="AJ80" s="52" t="s">
        <v>219</v>
      </c>
      <c r="AK80" s="52" t="s">
        <v>219</v>
      </c>
      <c r="AL80" s="52" t="s">
        <v>1024</v>
      </c>
      <c r="AM80" s="52" t="s">
        <v>1219</v>
      </c>
      <c r="AN80" s="52" t="s">
        <v>1220</v>
      </c>
      <c r="AO80" s="64" t="s">
        <v>219</v>
      </c>
      <c r="AP80" s="63" t="s">
        <v>1437</v>
      </c>
      <c r="AQ80" s="64" t="s">
        <v>217</v>
      </c>
      <c r="AR80" s="30" t="s">
        <v>219</v>
      </c>
    </row>
    <row r="81" spans="2:44" ht="21.75" customHeight="1" x14ac:dyDescent="0.45">
      <c r="B81" s="52" t="s">
        <v>99</v>
      </c>
      <c r="E81" s="53" t="s">
        <v>87</v>
      </c>
      <c r="F81" s="52" t="s">
        <v>1414</v>
      </c>
      <c r="H81" s="53" t="s">
        <v>109</v>
      </c>
      <c r="J81" s="76">
        <v>831</v>
      </c>
      <c r="L81" s="52" t="s">
        <v>1438</v>
      </c>
      <c r="M81" s="52" t="s">
        <v>1439</v>
      </c>
      <c r="N81" s="52" t="s">
        <v>1440</v>
      </c>
      <c r="O81" s="52" t="s">
        <v>490</v>
      </c>
      <c r="P81" s="52" t="s">
        <v>493</v>
      </c>
      <c r="Q81" s="52" t="s">
        <v>496</v>
      </c>
      <c r="R81" s="52" t="s">
        <v>254</v>
      </c>
      <c r="S81" s="52" t="s">
        <v>257</v>
      </c>
      <c r="T81" s="52" t="s">
        <v>258</v>
      </c>
      <c r="U81" s="52" t="s">
        <v>474</v>
      </c>
      <c r="V81" s="52" t="s">
        <v>476</v>
      </c>
      <c r="W81" s="52" t="s">
        <v>478</v>
      </c>
      <c r="X81" s="52" t="s">
        <v>499</v>
      </c>
      <c r="Y81" s="52" t="s">
        <v>500</v>
      </c>
      <c r="Z81" s="52" t="s">
        <v>501</v>
      </c>
      <c r="AA81" s="61">
        <v>6</v>
      </c>
      <c r="AB81" s="52" t="s">
        <v>137</v>
      </c>
      <c r="AC81" s="63">
        <v>1</v>
      </c>
      <c r="AD81" s="52" t="s">
        <v>169</v>
      </c>
      <c r="AE81" s="53" t="s">
        <v>179</v>
      </c>
      <c r="AF81" s="65">
        <v>0</v>
      </c>
      <c r="AG81" s="53" t="s">
        <v>192</v>
      </c>
      <c r="AH81" s="52" t="s">
        <v>219</v>
      </c>
      <c r="AI81" s="52" t="s">
        <v>219</v>
      </c>
      <c r="AJ81" s="52" t="s">
        <v>219</v>
      </c>
      <c r="AK81" s="52" t="s">
        <v>219</v>
      </c>
      <c r="AL81" s="52" t="s">
        <v>1024</v>
      </c>
      <c r="AM81" s="52" t="s">
        <v>1219</v>
      </c>
      <c r="AN81" s="52" t="s">
        <v>1220</v>
      </c>
      <c r="AO81" s="64" t="s">
        <v>219</v>
      </c>
      <c r="AP81" s="63" t="s">
        <v>1437</v>
      </c>
      <c r="AQ81" s="64" t="s">
        <v>217</v>
      </c>
      <c r="AR81" s="30" t="s">
        <v>219</v>
      </c>
    </row>
    <row r="82" spans="2:44" ht="21.75" customHeight="1" x14ac:dyDescent="0.45">
      <c r="B82" s="52" t="s">
        <v>99</v>
      </c>
      <c r="E82" s="53" t="s">
        <v>87</v>
      </c>
      <c r="F82" s="52" t="s">
        <v>1414</v>
      </c>
      <c r="H82" s="53" t="s">
        <v>109</v>
      </c>
      <c r="J82" s="76">
        <v>832</v>
      </c>
      <c r="L82" s="52" t="s">
        <v>1441</v>
      </c>
      <c r="M82" s="52" t="s">
        <v>1442</v>
      </c>
      <c r="N82" s="52" t="s">
        <v>1443</v>
      </c>
      <c r="O82" s="52" t="s">
        <v>490</v>
      </c>
      <c r="P82" s="52" t="s">
        <v>493</v>
      </c>
      <c r="Q82" s="52" t="s">
        <v>496</v>
      </c>
      <c r="R82" s="52" t="s">
        <v>254</v>
      </c>
      <c r="S82" s="52" t="s">
        <v>257</v>
      </c>
      <c r="T82" s="52" t="s">
        <v>258</v>
      </c>
      <c r="U82" s="52" t="s">
        <v>273</v>
      </c>
      <c r="V82" s="52" t="s">
        <v>274</v>
      </c>
      <c r="W82" s="52" t="s">
        <v>275</v>
      </c>
      <c r="X82" s="52" t="s">
        <v>502</v>
      </c>
      <c r="Y82" s="52" t="s">
        <v>493</v>
      </c>
      <c r="Z82" s="52" t="s">
        <v>496</v>
      </c>
      <c r="AA82" s="61">
        <v>1</v>
      </c>
      <c r="AB82" s="52" t="s">
        <v>137</v>
      </c>
      <c r="AC82" s="63">
        <v>1</v>
      </c>
      <c r="AD82" s="52" t="s">
        <v>169</v>
      </c>
      <c r="AE82" s="53" t="s">
        <v>179</v>
      </c>
      <c r="AF82" s="65">
        <v>0</v>
      </c>
      <c r="AG82" s="53" t="s">
        <v>192</v>
      </c>
      <c r="AH82" s="52" t="s">
        <v>219</v>
      </c>
      <c r="AI82" s="52" t="s">
        <v>219</v>
      </c>
      <c r="AJ82" s="52" t="s">
        <v>219</v>
      </c>
      <c r="AK82" s="52" t="s">
        <v>219</v>
      </c>
      <c r="AL82" s="52" t="s">
        <v>1024</v>
      </c>
      <c r="AM82" s="52" t="s">
        <v>1219</v>
      </c>
      <c r="AN82" s="52" t="s">
        <v>1220</v>
      </c>
      <c r="AO82" s="64" t="s">
        <v>219</v>
      </c>
      <c r="AP82" s="63" t="s">
        <v>1437</v>
      </c>
      <c r="AQ82" s="64" t="s">
        <v>217</v>
      </c>
      <c r="AR82" s="30" t="s">
        <v>219</v>
      </c>
    </row>
    <row r="83" spans="2:44" ht="21.75" customHeight="1" x14ac:dyDescent="0.45">
      <c r="B83" s="52" t="s">
        <v>99</v>
      </c>
      <c r="E83" s="53" t="s">
        <v>87</v>
      </c>
      <c r="F83" s="52" t="s">
        <v>1444</v>
      </c>
      <c r="H83" s="53" t="s">
        <v>109</v>
      </c>
      <c r="J83" s="76">
        <v>833</v>
      </c>
      <c r="L83" s="52" t="s">
        <v>1937</v>
      </c>
      <c r="M83" s="52" t="s">
        <v>1445</v>
      </c>
      <c r="N83" s="52" t="s">
        <v>1446</v>
      </c>
      <c r="O83" s="52" t="s">
        <v>1089</v>
      </c>
      <c r="P83" s="52" t="s">
        <v>504</v>
      </c>
      <c r="Q83" s="52" t="s">
        <v>505</v>
      </c>
      <c r="R83" s="52" t="s">
        <v>254</v>
      </c>
      <c r="S83" s="52" t="s">
        <v>257</v>
      </c>
      <c r="T83" s="52" t="s">
        <v>258</v>
      </c>
      <c r="U83" s="52" t="s">
        <v>273</v>
      </c>
      <c r="V83" s="52" t="s">
        <v>274</v>
      </c>
      <c r="W83" s="52" t="s">
        <v>275</v>
      </c>
      <c r="X83" s="52" t="s">
        <v>1089</v>
      </c>
      <c r="Y83" s="52" t="s">
        <v>504</v>
      </c>
      <c r="Z83" s="52" t="s">
        <v>505</v>
      </c>
      <c r="AA83" s="61">
        <v>1</v>
      </c>
      <c r="AB83" s="52" t="s">
        <v>130</v>
      </c>
      <c r="AC83" s="63">
        <v>100</v>
      </c>
      <c r="AD83" s="52" t="s">
        <v>168</v>
      </c>
      <c r="AE83" s="53" t="s">
        <v>179</v>
      </c>
      <c r="AF83" s="65">
        <v>0</v>
      </c>
      <c r="AG83" s="53" t="s">
        <v>192</v>
      </c>
      <c r="AH83" s="52" t="s">
        <v>219</v>
      </c>
      <c r="AI83" s="52" t="s">
        <v>219</v>
      </c>
      <c r="AJ83" s="52" t="s">
        <v>219</v>
      </c>
      <c r="AK83" s="52" t="s">
        <v>219</v>
      </c>
      <c r="AL83" s="52" t="s">
        <v>1024</v>
      </c>
      <c r="AM83" s="52" t="s">
        <v>1219</v>
      </c>
      <c r="AN83" s="52" t="s">
        <v>1220</v>
      </c>
      <c r="AO83" s="64" t="s">
        <v>219</v>
      </c>
      <c r="AP83" s="63" t="s">
        <v>1447</v>
      </c>
      <c r="AQ83" s="64" t="s">
        <v>217</v>
      </c>
      <c r="AR83" s="30" t="s">
        <v>219</v>
      </c>
    </row>
    <row r="84" spans="2:44" ht="21.75" customHeight="1" x14ac:dyDescent="0.45">
      <c r="B84" s="52" t="s">
        <v>99</v>
      </c>
      <c r="E84" s="53" t="s">
        <v>87</v>
      </c>
      <c r="F84" s="52" t="s">
        <v>1448</v>
      </c>
      <c r="H84" s="53" t="s">
        <v>109</v>
      </c>
      <c r="J84" s="76">
        <v>834</v>
      </c>
      <c r="L84" s="52" t="s">
        <v>1449</v>
      </c>
      <c r="M84" s="52" t="s">
        <v>1450</v>
      </c>
      <c r="N84" s="52" t="s">
        <v>1451</v>
      </c>
      <c r="O84" s="52" t="s">
        <v>508</v>
      </c>
      <c r="P84" s="52" t="s">
        <v>509</v>
      </c>
      <c r="Q84" s="52" t="s">
        <v>510</v>
      </c>
      <c r="R84" s="52" t="s">
        <v>254</v>
      </c>
      <c r="S84" s="52" t="s">
        <v>257</v>
      </c>
      <c r="T84" s="52" t="s">
        <v>258</v>
      </c>
      <c r="U84" s="52" t="s">
        <v>273</v>
      </c>
      <c r="V84" s="52" t="s">
        <v>274</v>
      </c>
      <c r="W84" s="52" t="s">
        <v>275</v>
      </c>
      <c r="X84" s="52" t="s">
        <v>508</v>
      </c>
      <c r="Y84" s="52" t="s">
        <v>509</v>
      </c>
      <c r="Z84" s="52" t="s">
        <v>510</v>
      </c>
      <c r="AA84" s="61">
        <v>1</v>
      </c>
      <c r="AB84" s="52" t="s">
        <v>130</v>
      </c>
      <c r="AC84" s="63">
        <v>100</v>
      </c>
      <c r="AD84" s="52" t="s">
        <v>168</v>
      </c>
      <c r="AE84" s="53" t="s">
        <v>179</v>
      </c>
      <c r="AF84" s="65">
        <v>0</v>
      </c>
      <c r="AG84" s="53" t="s">
        <v>192</v>
      </c>
      <c r="AH84" s="52" t="s">
        <v>219</v>
      </c>
      <c r="AI84" s="52" t="s">
        <v>219</v>
      </c>
      <c r="AJ84" s="52" t="s">
        <v>219</v>
      </c>
      <c r="AK84" s="52" t="s">
        <v>219</v>
      </c>
      <c r="AL84" s="52" t="s">
        <v>1024</v>
      </c>
      <c r="AM84" s="52" t="s">
        <v>1219</v>
      </c>
      <c r="AN84" s="52" t="s">
        <v>1220</v>
      </c>
      <c r="AO84" s="64" t="s">
        <v>219</v>
      </c>
      <c r="AP84" s="63" t="s">
        <v>1452</v>
      </c>
      <c r="AQ84" s="64" t="s">
        <v>217</v>
      </c>
      <c r="AR84" s="30" t="s">
        <v>219</v>
      </c>
    </row>
    <row r="85" spans="2:44" ht="21.75" customHeight="1" x14ac:dyDescent="0.45">
      <c r="B85" s="52" t="s">
        <v>99</v>
      </c>
      <c r="E85" s="53" t="s">
        <v>87</v>
      </c>
      <c r="F85" s="52" t="s">
        <v>1453</v>
      </c>
      <c r="H85" s="53" t="s">
        <v>109</v>
      </c>
      <c r="J85" s="76">
        <v>835</v>
      </c>
      <c r="L85" s="52" t="s">
        <v>1454</v>
      </c>
      <c r="M85" s="52" t="s">
        <v>1455</v>
      </c>
      <c r="N85" s="52" t="s">
        <v>1456</v>
      </c>
      <c r="O85" s="52" t="s">
        <v>512</v>
      </c>
      <c r="P85" s="52" t="s">
        <v>513</v>
      </c>
      <c r="Q85" s="52" t="s">
        <v>514</v>
      </c>
      <c r="R85" s="52" t="s">
        <v>254</v>
      </c>
      <c r="S85" s="52" t="s">
        <v>257</v>
      </c>
      <c r="T85" s="52" t="s">
        <v>258</v>
      </c>
      <c r="U85" s="52" t="s">
        <v>1154</v>
      </c>
      <c r="V85" s="52" t="s">
        <v>1154</v>
      </c>
      <c r="W85" s="52" t="s">
        <v>1154</v>
      </c>
      <c r="X85" s="52" t="s">
        <v>1175</v>
      </c>
      <c r="Y85" s="52" t="s">
        <v>1176</v>
      </c>
      <c r="Z85" s="52" t="s">
        <v>1177</v>
      </c>
      <c r="AA85" s="61">
        <v>1</v>
      </c>
      <c r="AB85" s="52" t="s">
        <v>130</v>
      </c>
      <c r="AC85" s="63">
        <v>100</v>
      </c>
      <c r="AD85" s="52" t="s">
        <v>168</v>
      </c>
      <c r="AE85" s="53" t="s">
        <v>179</v>
      </c>
      <c r="AF85" s="65">
        <v>0</v>
      </c>
      <c r="AG85" s="53" t="s">
        <v>192</v>
      </c>
      <c r="AH85" s="52" t="s">
        <v>219</v>
      </c>
      <c r="AI85" s="52" t="s">
        <v>219</v>
      </c>
      <c r="AJ85" s="52" t="s">
        <v>219</v>
      </c>
      <c r="AK85" s="52" t="s">
        <v>219</v>
      </c>
      <c r="AL85" s="52" t="s">
        <v>1024</v>
      </c>
      <c r="AM85" s="52" t="s">
        <v>1219</v>
      </c>
      <c r="AN85" s="52" t="s">
        <v>1220</v>
      </c>
      <c r="AO85" s="64" t="s">
        <v>219</v>
      </c>
      <c r="AP85" s="63" t="s">
        <v>1457</v>
      </c>
      <c r="AQ85" s="64" t="s">
        <v>217</v>
      </c>
      <c r="AR85" s="30" t="s">
        <v>219</v>
      </c>
    </row>
    <row r="86" spans="2:44" ht="21.75" customHeight="1" x14ac:dyDescent="0.45">
      <c r="B86" s="52" t="s">
        <v>99</v>
      </c>
      <c r="E86" s="53" t="s">
        <v>87</v>
      </c>
      <c r="F86" s="52" t="s">
        <v>1453</v>
      </c>
      <c r="H86" s="53" t="s">
        <v>109</v>
      </c>
      <c r="J86" s="76">
        <v>836</v>
      </c>
      <c r="L86" s="52" t="s">
        <v>1458</v>
      </c>
      <c r="M86" s="52" t="s">
        <v>1459</v>
      </c>
      <c r="N86" s="52" t="s">
        <v>1460</v>
      </c>
      <c r="O86" s="52" t="s">
        <v>512</v>
      </c>
      <c r="P86" s="52" t="s">
        <v>513</v>
      </c>
      <c r="Q86" s="52" t="s">
        <v>514</v>
      </c>
      <c r="R86" s="52" t="s">
        <v>254</v>
      </c>
      <c r="S86" s="52" t="s">
        <v>257</v>
      </c>
      <c r="T86" s="52" t="s">
        <v>258</v>
      </c>
      <c r="U86" s="52" t="s">
        <v>1157</v>
      </c>
      <c r="V86" s="52" t="s">
        <v>1159</v>
      </c>
      <c r="W86" s="52" t="s">
        <v>1161</v>
      </c>
      <c r="X86" s="52" t="s">
        <v>1178</v>
      </c>
      <c r="Y86" s="52" t="s">
        <v>1179</v>
      </c>
      <c r="Z86" s="52" t="s">
        <v>1180</v>
      </c>
      <c r="AA86" s="61">
        <v>1</v>
      </c>
      <c r="AB86" s="52" t="s">
        <v>137</v>
      </c>
      <c r="AC86" s="63">
        <v>1</v>
      </c>
      <c r="AD86" s="52" t="s">
        <v>169</v>
      </c>
      <c r="AE86" s="53" t="s">
        <v>179</v>
      </c>
      <c r="AF86" s="65">
        <v>0</v>
      </c>
      <c r="AG86" s="53" t="s">
        <v>192</v>
      </c>
      <c r="AH86" s="52" t="s">
        <v>219</v>
      </c>
      <c r="AI86" s="52" t="s">
        <v>219</v>
      </c>
      <c r="AJ86" s="52" t="s">
        <v>219</v>
      </c>
      <c r="AK86" s="52" t="s">
        <v>219</v>
      </c>
      <c r="AL86" s="52" t="s">
        <v>1024</v>
      </c>
      <c r="AM86" s="52" t="s">
        <v>1219</v>
      </c>
      <c r="AN86" s="52" t="s">
        <v>1220</v>
      </c>
      <c r="AO86" s="64" t="s">
        <v>219</v>
      </c>
      <c r="AP86" s="63" t="s">
        <v>1457</v>
      </c>
      <c r="AQ86" s="64" t="s">
        <v>217</v>
      </c>
      <c r="AR86" s="30" t="s">
        <v>219</v>
      </c>
    </row>
    <row r="87" spans="2:44" ht="21.75" customHeight="1" x14ac:dyDescent="0.45">
      <c r="B87" s="52" t="s">
        <v>99</v>
      </c>
      <c r="E87" s="53" t="s">
        <v>87</v>
      </c>
      <c r="F87" s="52" t="s">
        <v>1453</v>
      </c>
      <c r="H87" s="53" t="s">
        <v>109</v>
      </c>
      <c r="J87" s="76">
        <v>837</v>
      </c>
      <c r="L87" s="52" t="s">
        <v>1461</v>
      </c>
      <c r="M87" s="52" t="s">
        <v>1462</v>
      </c>
      <c r="N87" s="52" t="s">
        <v>1463</v>
      </c>
      <c r="O87" s="52" t="s">
        <v>611</v>
      </c>
      <c r="P87" s="52" t="s">
        <v>517</v>
      </c>
      <c r="Q87" s="52" t="s">
        <v>518</v>
      </c>
      <c r="R87" s="52" t="s">
        <v>254</v>
      </c>
      <c r="S87" s="52" t="s">
        <v>257</v>
      </c>
      <c r="T87" s="52" t="s">
        <v>258</v>
      </c>
      <c r="U87" s="52" t="s">
        <v>1154</v>
      </c>
      <c r="V87" s="52" t="s">
        <v>1154</v>
      </c>
      <c r="W87" s="52" t="s">
        <v>1154</v>
      </c>
      <c r="X87" s="52" t="s">
        <v>1181</v>
      </c>
      <c r="Y87" s="52" t="s">
        <v>1182</v>
      </c>
      <c r="Z87" s="52" t="s">
        <v>1183</v>
      </c>
      <c r="AA87" s="61">
        <v>1</v>
      </c>
      <c r="AB87" s="52" t="s">
        <v>130</v>
      </c>
      <c r="AC87" s="63">
        <v>100</v>
      </c>
      <c r="AD87" s="52" t="s">
        <v>168</v>
      </c>
      <c r="AE87" s="53" t="s">
        <v>179</v>
      </c>
      <c r="AF87" s="65">
        <v>0</v>
      </c>
      <c r="AG87" s="53" t="s">
        <v>192</v>
      </c>
      <c r="AH87" s="52" t="s">
        <v>219</v>
      </c>
      <c r="AI87" s="52" t="s">
        <v>219</v>
      </c>
      <c r="AJ87" s="52" t="s">
        <v>219</v>
      </c>
      <c r="AK87" s="52" t="s">
        <v>219</v>
      </c>
      <c r="AL87" s="52" t="s">
        <v>1024</v>
      </c>
      <c r="AM87" s="52" t="s">
        <v>1219</v>
      </c>
      <c r="AN87" s="52" t="s">
        <v>1220</v>
      </c>
      <c r="AO87" s="64" t="s">
        <v>219</v>
      </c>
      <c r="AP87" s="63" t="s">
        <v>1464</v>
      </c>
      <c r="AQ87" s="64" t="s">
        <v>217</v>
      </c>
      <c r="AR87" s="30" t="s">
        <v>219</v>
      </c>
    </row>
    <row r="88" spans="2:44" ht="21.75" customHeight="1" x14ac:dyDescent="0.45">
      <c r="B88" s="52" t="s">
        <v>99</v>
      </c>
      <c r="E88" s="53" t="s">
        <v>87</v>
      </c>
      <c r="F88" s="52" t="s">
        <v>1453</v>
      </c>
      <c r="H88" s="53" t="s">
        <v>109</v>
      </c>
      <c r="J88" s="76">
        <v>838</v>
      </c>
      <c r="L88" s="52" t="s">
        <v>1465</v>
      </c>
      <c r="M88" s="52" t="s">
        <v>1466</v>
      </c>
      <c r="N88" s="52" t="s">
        <v>1467</v>
      </c>
      <c r="O88" s="52" t="s">
        <v>611</v>
      </c>
      <c r="P88" s="52" t="s">
        <v>517</v>
      </c>
      <c r="Q88" s="52" t="s">
        <v>518</v>
      </c>
      <c r="R88" s="52" t="s">
        <v>254</v>
      </c>
      <c r="S88" s="52" t="s">
        <v>257</v>
      </c>
      <c r="T88" s="52" t="s">
        <v>258</v>
      </c>
      <c r="U88" s="52" t="s">
        <v>1157</v>
      </c>
      <c r="V88" s="52" t="s">
        <v>1159</v>
      </c>
      <c r="W88" s="52" t="s">
        <v>1161</v>
      </c>
      <c r="X88" s="52" t="s">
        <v>1184</v>
      </c>
      <c r="Y88" s="52" t="s">
        <v>1185</v>
      </c>
      <c r="Z88" s="52" t="s">
        <v>1186</v>
      </c>
      <c r="AA88" s="61">
        <v>1</v>
      </c>
      <c r="AB88" s="52" t="s">
        <v>137</v>
      </c>
      <c r="AC88" s="63">
        <v>1</v>
      </c>
      <c r="AD88" s="52" t="s">
        <v>169</v>
      </c>
      <c r="AE88" s="53" t="s">
        <v>179</v>
      </c>
      <c r="AF88" s="65">
        <v>0</v>
      </c>
      <c r="AG88" s="53" t="s">
        <v>192</v>
      </c>
      <c r="AH88" s="52" t="s">
        <v>219</v>
      </c>
      <c r="AI88" s="52" t="s">
        <v>219</v>
      </c>
      <c r="AJ88" s="52" t="s">
        <v>219</v>
      </c>
      <c r="AK88" s="52" t="s">
        <v>219</v>
      </c>
      <c r="AL88" s="52" t="s">
        <v>1024</v>
      </c>
      <c r="AM88" s="52" t="s">
        <v>1219</v>
      </c>
      <c r="AN88" s="52" t="s">
        <v>1220</v>
      </c>
      <c r="AO88" s="64" t="s">
        <v>219</v>
      </c>
      <c r="AP88" s="63" t="s">
        <v>1464</v>
      </c>
      <c r="AQ88" s="64" t="s">
        <v>217</v>
      </c>
      <c r="AR88" s="30" t="s">
        <v>219</v>
      </c>
    </row>
    <row r="89" spans="2:44" ht="21.75" customHeight="1" x14ac:dyDescent="0.45">
      <c r="B89" s="52" t="s">
        <v>99</v>
      </c>
      <c r="E89" s="53" t="s">
        <v>87</v>
      </c>
      <c r="F89" s="52" t="s">
        <v>1468</v>
      </c>
      <c r="H89" s="53" t="s">
        <v>109</v>
      </c>
      <c r="J89" s="76">
        <v>839</v>
      </c>
      <c r="L89" s="52" t="s">
        <v>1469</v>
      </c>
      <c r="M89" s="52" t="s">
        <v>1470</v>
      </c>
      <c r="N89" s="52" t="s">
        <v>1471</v>
      </c>
      <c r="O89" s="52" t="s">
        <v>519</v>
      </c>
      <c r="P89" s="52" t="s">
        <v>522</v>
      </c>
      <c r="Q89" s="52" t="s">
        <v>519</v>
      </c>
      <c r="R89" s="52" t="s">
        <v>254</v>
      </c>
      <c r="S89" s="52" t="s">
        <v>257</v>
      </c>
      <c r="T89" s="52" t="s">
        <v>258</v>
      </c>
      <c r="U89" s="52" t="s">
        <v>520</v>
      </c>
      <c r="V89" s="52" t="s">
        <v>523</v>
      </c>
      <c r="W89" s="52" t="s">
        <v>524</v>
      </c>
      <c r="X89" s="52" t="s">
        <v>521</v>
      </c>
      <c r="Y89" s="52" t="s">
        <v>519</v>
      </c>
      <c r="Z89" s="52" t="s">
        <v>525</v>
      </c>
      <c r="AA89" s="61">
        <v>2</v>
      </c>
      <c r="AB89" s="52" t="s">
        <v>137</v>
      </c>
      <c r="AC89" s="63">
        <v>1</v>
      </c>
      <c r="AD89" s="52" t="s">
        <v>169</v>
      </c>
      <c r="AE89" s="53" t="s">
        <v>179</v>
      </c>
      <c r="AF89" s="65">
        <v>0</v>
      </c>
      <c r="AG89" s="53" t="s">
        <v>192</v>
      </c>
      <c r="AH89" s="52" t="s">
        <v>219</v>
      </c>
      <c r="AI89" s="52" t="s">
        <v>219</v>
      </c>
      <c r="AJ89" s="52" t="s">
        <v>219</v>
      </c>
      <c r="AK89" s="52" t="s">
        <v>219</v>
      </c>
      <c r="AL89" s="52" t="s">
        <v>1024</v>
      </c>
      <c r="AM89" s="52" t="s">
        <v>1219</v>
      </c>
      <c r="AN89" s="52" t="s">
        <v>1220</v>
      </c>
      <c r="AO89" s="64" t="s">
        <v>219</v>
      </c>
      <c r="AP89" s="63" t="s">
        <v>1472</v>
      </c>
      <c r="AQ89" s="64" t="s">
        <v>217</v>
      </c>
      <c r="AR89" s="30" t="s">
        <v>219</v>
      </c>
    </row>
    <row r="90" spans="2:44" ht="21.75" customHeight="1" x14ac:dyDescent="0.45">
      <c r="B90" s="52" t="s">
        <v>99</v>
      </c>
      <c r="E90" s="53" t="s">
        <v>87</v>
      </c>
      <c r="F90" s="52" t="s">
        <v>1468</v>
      </c>
      <c r="H90" s="53" t="s">
        <v>109</v>
      </c>
      <c r="J90" s="76">
        <v>840</v>
      </c>
      <c r="L90" s="52" t="s">
        <v>1473</v>
      </c>
      <c r="M90" s="52" t="s">
        <v>1474</v>
      </c>
      <c r="N90" s="52" t="s">
        <v>1475</v>
      </c>
      <c r="O90" s="52" t="s">
        <v>527</v>
      </c>
      <c r="P90" s="52" t="s">
        <v>527</v>
      </c>
      <c r="Q90" s="52" t="s">
        <v>527</v>
      </c>
      <c r="R90" s="52" t="s">
        <v>254</v>
      </c>
      <c r="S90" s="52" t="s">
        <v>257</v>
      </c>
      <c r="T90" s="52" t="s">
        <v>258</v>
      </c>
      <c r="U90" s="52" t="s">
        <v>359</v>
      </c>
      <c r="V90" s="52" t="s">
        <v>359</v>
      </c>
      <c r="W90" s="52" t="s">
        <v>359</v>
      </c>
      <c r="X90" s="52" t="s">
        <v>528</v>
      </c>
      <c r="Y90" s="52" t="s">
        <v>528</v>
      </c>
      <c r="Z90" s="52" t="s">
        <v>528</v>
      </c>
      <c r="AA90" s="61">
        <v>0.4</v>
      </c>
      <c r="AB90" s="52" t="s">
        <v>130</v>
      </c>
      <c r="AC90" s="63">
        <v>100</v>
      </c>
      <c r="AD90" s="52" t="s">
        <v>169</v>
      </c>
      <c r="AE90" s="53" t="s">
        <v>179</v>
      </c>
      <c r="AF90" s="65">
        <v>0</v>
      </c>
      <c r="AG90" s="53" t="s">
        <v>192</v>
      </c>
      <c r="AH90" s="52" t="s">
        <v>219</v>
      </c>
      <c r="AI90" s="52" t="s">
        <v>219</v>
      </c>
      <c r="AJ90" s="52" t="s">
        <v>219</v>
      </c>
      <c r="AK90" s="52" t="s">
        <v>219</v>
      </c>
      <c r="AL90" s="52" t="s">
        <v>1024</v>
      </c>
      <c r="AM90" s="52" t="s">
        <v>1219</v>
      </c>
      <c r="AN90" s="52" t="s">
        <v>1220</v>
      </c>
      <c r="AO90" s="64" t="s">
        <v>219</v>
      </c>
      <c r="AP90" s="63" t="s">
        <v>1476</v>
      </c>
      <c r="AQ90" s="64" t="s">
        <v>217</v>
      </c>
      <c r="AR90" s="30" t="s">
        <v>219</v>
      </c>
    </row>
    <row r="91" spans="2:44" ht="21.75" customHeight="1" x14ac:dyDescent="0.45">
      <c r="B91" s="52" t="s">
        <v>99</v>
      </c>
      <c r="E91" s="53" t="s">
        <v>87</v>
      </c>
      <c r="F91" s="52" t="s">
        <v>1468</v>
      </c>
      <c r="H91" s="53" t="s">
        <v>109</v>
      </c>
      <c r="J91" s="76">
        <v>841</v>
      </c>
      <c r="L91" s="52" t="s">
        <v>1477</v>
      </c>
      <c r="M91" s="52" t="s">
        <v>1478</v>
      </c>
      <c r="N91" s="52" t="s">
        <v>1479</v>
      </c>
      <c r="O91" s="52" t="s">
        <v>527</v>
      </c>
      <c r="P91" s="52" t="s">
        <v>527</v>
      </c>
      <c r="Q91" s="52" t="s">
        <v>527</v>
      </c>
      <c r="R91" s="52" t="s">
        <v>254</v>
      </c>
      <c r="S91" s="52" t="s">
        <v>257</v>
      </c>
      <c r="T91" s="52" t="s">
        <v>258</v>
      </c>
      <c r="U91" s="52" t="s">
        <v>529</v>
      </c>
      <c r="V91" s="52" t="s">
        <v>529</v>
      </c>
      <c r="W91" s="52" t="s">
        <v>529</v>
      </c>
      <c r="X91" s="52" t="s">
        <v>530</v>
      </c>
      <c r="Y91" s="52" t="s">
        <v>530</v>
      </c>
      <c r="Z91" s="52" t="s">
        <v>530</v>
      </c>
      <c r="AA91" s="61">
        <v>0.6</v>
      </c>
      <c r="AB91" s="52" t="s">
        <v>130</v>
      </c>
      <c r="AC91" s="63">
        <v>100</v>
      </c>
      <c r="AD91" s="52" t="s">
        <v>169</v>
      </c>
      <c r="AE91" s="53" t="s">
        <v>179</v>
      </c>
      <c r="AF91" s="65">
        <v>0</v>
      </c>
      <c r="AG91" s="53" t="s">
        <v>192</v>
      </c>
      <c r="AH91" s="52" t="s">
        <v>219</v>
      </c>
      <c r="AI91" s="52" t="s">
        <v>219</v>
      </c>
      <c r="AJ91" s="52" t="s">
        <v>219</v>
      </c>
      <c r="AK91" s="52" t="s">
        <v>219</v>
      </c>
      <c r="AL91" s="52" t="s">
        <v>1024</v>
      </c>
      <c r="AM91" s="52" t="s">
        <v>1219</v>
      </c>
      <c r="AN91" s="52" t="s">
        <v>1220</v>
      </c>
      <c r="AO91" s="64" t="s">
        <v>219</v>
      </c>
      <c r="AP91" s="63" t="s">
        <v>1480</v>
      </c>
      <c r="AQ91" s="64" t="s">
        <v>217</v>
      </c>
      <c r="AR91" s="30" t="s">
        <v>219</v>
      </c>
    </row>
    <row r="92" spans="2:44" ht="21.75" customHeight="1" x14ac:dyDescent="0.45">
      <c r="B92" s="52" t="s">
        <v>99</v>
      </c>
      <c r="E92" s="53" t="s">
        <v>87</v>
      </c>
      <c r="F92" s="52" t="s">
        <v>1468</v>
      </c>
      <c r="H92" s="53" t="s">
        <v>109</v>
      </c>
      <c r="J92" s="76">
        <v>842</v>
      </c>
      <c r="L92" s="52" t="s">
        <v>1481</v>
      </c>
      <c r="M92" s="52" t="s">
        <v>1482</v>
      </c>
      <c r="N92" s="52" t="s">
        <v>1483</v>
      </c>
      <c r="O92" s="52" t="s">
        <v>527</v>
      </c>
      <c r="P92" s="52" t="s">
        <v>527</v>
      </c>
      <c r="Q92" s="52" t="s">
        <v>527</v>
      </c>
      <c r="R92" s="52" t="s">
        <v>254</v>
      </c>
      <c r="S92" s="52" t="s">
        <v>257</v>
      </c>
      <c r="T92" s="52" t="s">
        <v>258</v>
      </c>
      <c r="U92" s="52" t="s">
        <v>531</v>
      </c>
      <c r="V92" s="52" t="s">
        <v>531</v>
      </c>
      <c r="W92" s="52" t="s">
        <v>531</v>
      </c>
      <c r="X92" s="52" t="s">
        <v>532</v>
      </c>
      <c r="Y92" s="52" t="s">
        <v>532</v>
      </c>
      <c r="Z92" s="52" t="s">
        <v>532</v>
      </c>
      <c r="AA92" s="61">
        <v>0.8</v>
      </c>
      <c r="AB92" s="52" t="s">
        <v>130</v>
      </c>
      <c r="AC92" s="63">
        <v>100</v>
      </c>
      <c r="AD92" s="52" t="s">
        <v>169</v>
      </c>
      <c r="AE92" s="53" t="s">
        <v>179</v>
      </c>
      <c r="AF92" s="65">
        <v>0</v>
      </c>
      <c r="AG92" s="53" t="s">
        <v>192</v>
      </c>
      <c r="AH92" s="52" t="s">
        <v>219</v>
      </c>
      <c r="AI92" s="52" t="s">
        <v>219</v>
      </c>
      <c r="AJ92" s="52" t="s">
        <v>219</v>
      </c>
      <c r="AK92" s="52" t="s">
        <v>219</v>
      </c>
      <c r="AL92" s="52" t="s">
        <v>1024</v>
      </c>
      <c r="AM92" s="52" t="s">
        <v>1219</v>
      </c>
      <c r="AN92" s="52" t="s">
        <v>1220</v>
      </c>
      <c r="AO92" s="64" t="s">
        <v>219</v>
      </c>
      <c r="AP92" s="63" t="s">
        <v>1484</v>
      </c>
      <c r="AQ92" s="64" t="s">
        <v>217</v>
      </c>
      <c r="AR92" s="30" t="s">
        <v>219</v>
      </c>
    </row>
    <row r="93" spans="2:44" ht="21.75" customHeight="1" x14ac:dyDescent="0.45">
      <c r="B93" s="52" t="s">
        <v>99</v>
      </c>
      <c r="E93" s="53" t="s">
        <v>87</v>
      </c>
      <c r="F93" s="52" t="s">
        <v>1468</v>
      </c>
      <c r="H93" s="53" t="s">
        <v>109</v>
      </c>
      <c r="J93" s="76">
        <v>843</v>
      </c>
      <c r="L93" s="52" t="s">
        <v>1485</v>
      </c>
      <c r="M93" s="52" t="s">
        <v>1938</v>
      </c>
      <c r="N93" s="52" t="s">
        <v>1486</v>
      </c>
      <c r="O93" s="52" t="s">
        <v>533</v>
      </c>
      <c r="P93" s="52" t="s">
        <v>1090</v>
      </c>
      <c r="Q93" s="52" t="s">
        <v>536</v>
      </c>
      <c r="R93" s="52" t="s">
        <v>254</v>
      </c>
      <c r="S93" s="52" t="s">
        <v>257</v>
      </c>
      <c r="T93" s="52" t="s">
        <v>258</v>
      </c>
      <c r="U93" s="52" t="s">
        <v>520</v>
      </c>
      <c r="V93" s="52" t="s">
        <v>523</v>
      </c>
      <c r="W93" s="52" t="s">
        <v>524</v>
      </c>
      <c r="X93" s="52" t="s">
        <v>534</v>
      </c>
      <c r="Y93" s="52" t="s">
        <v>535</v>
      </c>
      <c r="Z93" s="52" t="s">
        <v>537</v>
      </c>
      <c r="AA93" s="61">
        <v>2</v>
      </c>
      <c r="AB93" s="52" t="s">
        <v>130</v>
      </c>
      <c r="AC93" s="63">
        <v>100</v>
      </c>
      <c r="AD93" s="52" t="s">
        <v>168</v>
      </c>
      <c r="AE93" s="53" t="s">
        <v>179</v>
      </c>
      <c r="AF93" s="65">
        <v>0</v>
      </c>
      <c r="AG93" s="53" t="s">
        <v>192</v>
      </c>
      <c r="AH93" s="52" t="s">
        <v>219</v>
      </c>
      <c r="AI93" s="52" t="s">
        <v>219</v>
      </c>
      <c r="AJ93" s="52" t="s">
        <v>219</v>
      </c>
      <c r="AK93" s="52" t="s">
        <v>219</v>
      </c>
      <c r="AL93" s="52" t="s">
        <v>1024</v>
      </c>
      <c r="AM93" s="52" t="s">
        <v>1219</v>
      </c>
      <c r="AN93" s="52" t="s">
        <v>1220</v>
      </c>
      <c r="AO93" s="64" t="s">
        <v>219</v>
      </c>
      <c r="AP93" s="63" t="s">
        <v>1487</v>
      </c>
      <c r="AQ93" s="64" t="s">
        <v>217</v>
      </c>
      <c r="AR93" s="30" t="s">
        <v>219</v>
      </c>
    </row>
    <row r="94" spans="2:44" ht="21.75" customHeight="1" x14ac:dyDescent="0.45">
      <c r="B94" s="52" t="s">
        <v>99</v>
      </c>
      <c r="E94" s="53" t="s">
        <v>87</v>
      </c>
      <c r="F94" s="52" t="s">
        <v>1468</v>
      </c>
      <c r="H94" s="53" t="s">
        <v>109</v>
      </c>
      <c r="J94" s="76">
        <v>844</v>
      </c>
      <c r="L94" s="52" t="s">
        <v>1488</v>
      </c>
      <c r="M94" s="52" t="s">
        <v>1939</v>
      </c>
      <c r="N94" s="52" t="s">
        <v>1940</v>
      </c>
      <c r="O94" s="52" t="s">
        <v>538</v>
      </c>
      <c r="P94" s="52" t="s">
        <v>1091</v>
      </c>
      <c r="Q94" s="52" t="s">
        <v>1091</v>
      </c>
      <c r="R94" s="52" t="s">
        <v>254</v>
      </c>
      <c r="S94" s="52" t="s">
        <v>257</v>
      </c>
      <c r="T94" s="52" t="s">
        <v>258</v>
      </c>
      <c r="U94" s="52" t="s">
        <v>273</v>
      </c>
      <c r="V94" s="52" t="s">
        <v>274</v>
      </c>
      <c r="W94" s="52" t="s">
        <v>275</v>
      </c>
      <c r="X94" s="52" t="s">
        <v>538</v>
      </c>
      <c r="Y94" s="52" t="s">
        <v>1091</v>
      </c>
      <c r="Z94" s="52" t="s">
        <v>1091</v>
      </c>
      <c r="AA94" s="61">
        <v>1</v>
      </c>
      <c r="AB94" s="52" t="s">
        <v>130</v>
      </c>
      <c r="AC94" s="63">
        <v>100</v>
      </c>
      <c r="AD94" s="52" t="s">
        <v>168</v>
      </c>
      <c r="AE94" s="53" t="s">
        <v>179</v>
      </c>
      <c r="AF94" s="65">
        <v>0</v>
      </c>
      <c r="AG94" s="53" t="s">
        <v>192</v>
      </c>
      <c r="AH94" s="52" t="s">
        <v>219</v>
      </c>
      <c r="AI94" s="52" t="s">
        <v>219</v>
      </c>
      <c r="AJ94" s="52" t="s">
        <v>219</v>
      </c>
      <c r="AK94" s="52" t="s">
        <v>219</v>
      </c>
      <c r="AL94" s="52" t="s">
        <v>1024</v>
      </c>
      <c r="AM94" s="52" t="s">
        <v>1219</v>
      </c>
      <c r="AN94" s="52" t="s">
        <v>1220</v>
      </c>
      <c r="AO94" s="64" t="s">
        <v>219</v>
      </c>
      <c r="AP94" s="63" t="s">
        <v>1489</v>
      </c>
      <c r="AQ94" s="64" t="s">
        <v>217</v>
      </c>
      <c r="AR94" s="30" t="s">
        <v>219</v>
      </c>
    </row>
    <row r="95" spans="2:44" ht="21.75" customHeight="1" x14ac:dyDescent="0.45">
      <c r="B95" s="52" t="s">
        <v>99</v>
      </c>
      <c r="E95" s="53" t="s">
        <v>87</v>
      </c>
      <c r="F95" s="52" t="s">
        <v>1468</v>
      </c>
      <c r="H95" s="53" t="s">
        <v>109</v>
      </c>
      <c r="J95" s="76">
        <v>845</v>
      </c>
      <c r="L95" s="52" t="s">
        <v>1490</v>
      </c>
      <c r="M95" s="52" t="s">
        <v>1491</v>
      </c>
      <c r="N95" s="52" t="s">
        <v>1492</v>
      </c>
      <c r="O95" s="52" t="s">
        <v>539</v>
      </c>
      <c r="P95" s="52" t="s">
        <v>540</v>
      </c>
      <c r="Q95" s="52" t="s">
        <v>541</v>
      </c>
      <c r="R95" s="52" t="s">
        <v>254</v>
      </c>
      <c r="S95" s="52" t="s">
        <v>257</v>
      </c>
      <c r="T95" s="52" t="s">
        <v>258</v>
      </c>
      <c r="U95" s="52" t="s">
        <v>1154</v>
      </c>
      <c r="V95" s="52" t="s">
        <v>1154</v>
      </c>
      <c r="W95" s="52" t="s">
        <v>1154</v>
      </c>
      <c r="X95" s="52" t="s">
        <v>1187</v>
      </c>
      <c r="Y95" s="52" t="s">
        <v>1188</v>
      </c>
      <c r="Z95" s="52" t="s">
        <v>1189</v>
      </c>
      <c r="AA95" s="61">
        <v>1</v>
      </c>
      <c r="AB95" s="52" t="s">
        <v>130</v>
      </c>
      <c r="AC95" s="63">
        <v>100</v>
      </c>
      <c r="AD95" s="52" t="s">
        <v>168</v>
      </c>
      <c r="AE95" s="53" t="s">
        <v>179</v>
      </c>
      <c r="AF95" s="65">
        <v>0</v>
      </c>
      <c r="AG95" s="53" t="s">
        <v>192</v>
      </c>
      <c r="AH95" s="52" t="s">
        <v>219</v>
      </c>
      <c r="AI95" s="52" t="s">
        <v>219</v>
      </c>
      <c r="AJ95" s="52" t="s">
        <v>219</v>
      </c>
      <c r="AK95" s="52" t="s">
        <v>219</v>
      </c>
      <c r="AL95" s="52" t="s">
        <v>1024</v>
      </c>
      <c r="AM95" s="52" t="s">
        <v>1219</v>
      </c>
      <c r="AN95" s="52" t="s">
        <v>1220</v>
      </c>
      <c r="AO95" s="64" t="s">
        <v>219</v>
      </c>
      <c r="AP95" s="63" t="s">
        <v>1493</v>
      </c>
      <c r="AQ95" s="64" t="s">
        <v>217</v>
      </c>
      <c r="AR95" s="30" t="s">
        <v>219</v>
      </c>
    </row>
    <row r="96" spans="2:44" ht="21.75" customHeight="1" x14ac:dyDescent="0.45">
      <c r="B96" s="52" t="s">
        <v>99</v>
      </c>
      <c r="E96" s="53" t="s">
        <v>87</v>
      </c>
      <c r="F96" s="52" t="s">
        <v>1468</v>
      </c>
      <c r="H96" s="53" t="s">
        <v>109</v>
      </c>
      <c r="J96" s="76">
        <v>846</v>
      </c>
      <c r="L96" s="52" t="s">
        <v>1494</v>
      </c>
      <c r="M96" s="52" t="s">
        <v>1839</v>
      </c>
      <c r="N96" s="52" t="s">
        <v>1495</v>
      </c>
      <c r="O96" s="52" t="s">
        <v>539</v>
      </c>
      <c r="P96" s="52" t="s">
        <v>540</v>
      </c>
      <c r="Q96" s="52" t="s">
        <v>541</v>
      </c>
      <c r="R96" s="52" t="s">
        <v>254</v>
      </c>
      <c r="S96" s="52" t="s">
        <v>257</v>
      </c>
      <c r="T96" s="52" t="s">
        <v>258</v>
      </c>
      <c r="U96" s="52" t="s">
        <v>1157</v>
      </c>
      <c r="V96" s="52" t="s">
        <v>1159</v>
      </c>
      <c r="W96" s="52" t="s">
        <v>1161</v>
      </c>
      <c r="X96" s="52" t="s">
        <v>1190</v>
      </c>
      <c r="Y96" s="52" t="s">
        <v>1191</v>
      </c>
      <c r="Z96" s="52" t="s">
        <v>1192</v>
      </c>
      <c r="AA96" s="61">
        <v>1</v>
      </c>
      <c r="AB96" s="52" t="s">
        <v>137</v>
      </c>
      <c r="AC96" s="63">
        <v>1</v>
      </c>
      <c r="AD96" s="52" t="s">
        <v>169</v>
      </c>
      <c r="AE96" s="53" t="s">
        <v>179</v>
      </c>
      <c r="AF96" s="65">
        <v>0</v>
      </c>
      <c r="AG96" s="53" t="s">
        <v>192</v>
      </c>
      <c r="AH96" s="52" t="s">
        <v>219</v>
      </c>
      <c r="AI96" s="52" t="s">
        <v>219</v>
      </c>
      <c r="AJ96" s="52" t="s">
        <v>219</v>
      </c>
      <c r="AK96" s="52" t="s">
        <v>219</v>
      </c>
      <c r="AL96" s="52" t="s">
        <v>1024</v>
      </c>
      <c r="AM96" s="52" t="s">
        <v>1219</v>
      </c>
      <c r="AN96" s="52" t="s">
        <v>1220</v>
      </c>
      <c r="AO96" s="64" t="s">
        <v>219</v>
      </c>
      <c r="AP96" s="63" t="s">
        <v>1493</v>
      </c>
      <c r="AQ96" s="64" t="s">
        <v>217</v>
      </c>
      <c r="AR96" s="30" t="s">
        <v>219</v>
      </c>
    </row>
    <row r="97" spans="2:44" ht="21.75" customHeight="1" x14ac:dyDescent="0.45">
      <c r="B97" s="52" t="s">
        <v>99</v>
      </c>
      <c r="E97" s="53" t="s">
        <v>87</v>
      </c>
      <c r="F97" s="52" t="s">
        <v>1468</v>
      </c>
      <c r="H97" s="53" t="s">
        <v>109</v>
      </c>
      <c r="J97" s="76">
        <v>847</v>
      </c>
      <c r="L97" s="52" t="s">
        <v>1496</v>
      </c>
      <c r="M97" s="52" t="s">
        <v>1941</v>
      </c>
      <c r="N97" s="52" t="s">
        <v>1497</v>
      </c>
      <c r="O97" s="52" t="s">
        <v>542</v>
      </c>
      <c r="P97" s="52" t="s">
        <v>1092</v>
      </c>
      <c r="Q97" s="52" t="s">
        <v>543</v>
      </c>
      <c r="R97" s="52" t="s">
        <v>254</v>
      </c>
      <c r="S97" s="52" t="s">
        <v>257</v>
      </c>
      <c r="T97" s="52" t="s">
        <v>258</v>
      </c>
      <c r="U97" s="52" t="s">
        <v>1154</v>
      </c>
      <c r="V97" s="52" t="s">
        <v>1154</v>
      </c>
      <c r="W97" s="52" t="s">
        <v>1154</v>
      </c>
      <c r="X97" s="52" t="s">
        <v>1193</v>
      </c>
      <c r="Y97" s="52" t="s">
        <v>1194</v>
      </c>
      <c r="Z97" s="52" t="s">
        <v>1195</v>
      </c>
      <c r="AA97" s="61">
        <v>1</v>
      </c>
      <c r="AB97" s="52" t="s">
        <v>130</v>
      </c>
      <c r="AC97" s="63">
        <v>100</v>
      </c>
      <c r="AD97" s="52" t="s">
        <v>168</v>
      </c>
      <c r="AE97" s="53" t="s">
        <v>179</v>
      </c>
      <c r="AF97" s="65">
        <v>0</v>
      </c>
      <c r="AG97" s="53" t="s">
        <v>192</v>
      </c>
      <c r="AH97" s="52" t="s">
        <v>219</v>
      </c>
      <c r="AI97" s="52" t="s">
        <v>219</v>
      </c>
      <c r="AJ97" s="52" t="s">
        <v>219</v>
      </c>
      <c r="AK97" s="52" t="s">
        <v>219</v>
      </c>
      <c r="AL97" s="52" t="s">
        <v>1024</v>
      </c>
      <c r="AM97" s="52" t="s">
        <v>1219</v>
      </c>
      <c r="AN97" s="52" t="s">
        <v>1220</v>
      </c>
      <c r="AO97" s="64" t="s">
        <v>219</v>
      </c>
      <c r="AP97" s="63" t="s">
        <v>1498</v>
      </c>
      <c r="AQ97" s="64" t="s">
        <v>217</v>
      </c>
      <c r="AR97" s="30" t="s">
        <v>219</v>
      </c>
    </row>
    <row r="98" spans="2:44" ht="21.75" customHeight="1" x14ac:dyDescent="0.45">
      <c r="B98" s="52" t="s">
        <v>99</v>
      </c>
      <c r="E98" s="53" t="s">
        <v>87</v>
      </c>
      <c r="F98" s="52" t="s">
        <v>1468</v>
      </c>
      <c r="H98" s="53" t="s">
        <v>109</v>
      </c>
      <c r="J98" s="76">
        <v>848</v>
      </c>
      <c r="L98" s="52" t="s">
        <v>1499</v>
      </c>
      <c r="M98" s="52" t="s">
        <v>1942</v>
      </c>
      <c r="N98" s="52" t="s">
        <v>1500</v>
      </c>
      <c r="O98" s="52" t="s">
        <v>542</v>
      </c>
      <c r="P98" s="52" t="s">
        <v>1092</v>
      </c>
      <c r="Q98" s="52" t="s">
        <v>543</v>
      </c>
      <c r="R98" s="52" t="s">
        <v>254</v>
      </c>
      <c r="S98" s="52" t="s">
        <v>257</v>
      </c>
      <c r="T98" s="52" t="s">
        <v>258</v>
      </c>
      <c r="U98" s="52" t="s">
        <v>1157</v>
      </c>
      <c r="V98" s="52" t="s">
        <v>1159</v>
      </c>
      <c r="W98" s="52" t="s">
        <v>1161</v>
      </c>
      <c r="X98" s="52" t="s">
        <v>1196</v>
      </c>
      <c r="Y98" s="52" t="s">
        <v>1197</v>
      </c>
      <c r="Z98" s="52" t="s">
        <v>1198</v>
      </c>
      <c r="AA98" s="61">
        <v>1</v>
      </c>
      <c r="AB98" s="52" t="s">
        <v>137</v>
      </c>
      <c r="AC98" s="63">
        <v>1</v>
      </c>
      <c r="AD98" s="52" t="s">
        <v>169</v>
      </c>
      <c r="AE98" s="53" t="s">
        <v>179</v>
      </c>
      <c r="AF98" s="65">
        <v>0</v>
      </c>
      <c r="AG98" s="53" t="s">
        <v>192</v>
      </c>
      <c r="AH98" s="52" t="s">
        <v>219</v>
      </c>
      <c r="AI98" s="52" t="s">
        <v>219</v>
      </c>
      <c r="AJ98" s="52" t="s">
        <v>219</v>
      </c>
      <c r="AK98" s="52" t="s">
        <v>219</v>
      </c>
      <c r="AL98" s="52" t="s">
        <v>1024</v>
      </c>
      <c r="AM98" s="52" t="s">
        <v>1219</v>
      </c>
      <c r="AN98" s="52" t="s">
        <v>1220</v>
      </c>
      <c r="AO98" s="64" t="s">
        <v>219</v>
      </c>
      <c r="AP98" s="63" t="s">
        <v>1498</v>
      </c>
      <c r="AQ98" s="64" t="s">
        <v>217</v>
      </c>
      <c r="AR98" s="30" t="s">
        <v>219</v>
      </c>
    </row>
    <row r="99" spans="2:44" ht="21.75" customHeight="1" x14ac:dyDescent="0.45">
      <c r="B99" s="52" t="s">
        <v>99</v>
      </c>
      <c r="E99" s="53" t="s">
        <v>87</v>
      </c>
      <c r="F99" s="52" t="s">
        <v>1468</v>
      </c>
      <c r="H99" s="53" t="s">
        <v>109</v>
      </c>
      <c r="J99" s="76">
        <v>849</v>
      </c>
      <c r="L99" s="52" t="s">
        <v>1501</v>
      </c>
      <c r="M99" s="52" t="s">
        <v>1943</v>
      </c>
      <c r="N99" s="52" t="s">
        <v>1502</v>
      </c>
      <c r="O99" s="52" t="s">
        <v>544</v>
      </c>
      <c r="P99" s="52" t="s">
        <v>1093</v>
      </c>
      <c r="Q99" s="52" t="s">
        <v>545</v>
      </c>
      <c r="R99" s="52" t="s">
        <v>254</v>
      </c>
      <c r="S99" s="52" t="s">
        <v>257</v>
      </c>
      <c r="T99" s="52" t="s">
        <v>258</v>
      </c>
      <c r="U99" s="52" t="s">
        <v>273</v>
      </c>
      <c r="V99" s="52" t="s">
        <v>274</v>
      </c>
      <c r="W99" s="52" t="s">
        <v>275</v>
      </c>
      <c r="X99" s="52" t="s">
        <v>544</v>
      </c>
      <c r="Y99" s="52" t="s">
        <v>1093</v>
      </c>
      <c r="Z99" s="52" t="s">
        <v>545</v>
      </c>
      <c r="AA99" s="61">
        <v>1</v>
      </c>
      <c r="AB99" s="52" t="s">
        <v>130</v>
      </c>
      <c r="AC99" s="63">
        <v>100</v>
      </c>
      <c r="AD99" s="52" t="s">
        <v>168</v>
      </c>
      <c r="AE99" s="53" t="s">
        <v>179</v>
      </c>
      <c r="AF99" s="65">
        <v>0</v>
      </c>
      <c r="AG99" s="53" t="s">
        <v>192</v>
      </c>
      <c r="AH99" s="52" t="s">
        <v>219</v>
      </c>
      <c r="AI99" s="52" t="s">
        <v>219</v>
      </c>
      <c r="AJ99" s="52" t="s">
        <v>219</v>
      </c>
      <c r="AK99" s="52" t="s">
        <v>219</v>
      </c>
      <c r="AL99" s="52" t="s">
        <v>1024</v>
      </c>
      <c r="AM99" s="52" t="s">
        <v>1219</v>
      </c>
      <c r="AN99" s="52" t="s">
        <v>1220</v>
      </c>
      <c r="AO99" s="64" t="s">
        <v>219</v>
      </c>
      <c r="AP99" s="63" t="s">
        <v>1503</v>
      </c>
      <c r="AQ99" s="64" t="s">
        <v>217</v>
      </c>
      <c r="AR99" s="30" t="s">
        <v>219</v>
      </c>
    </row>
    <row r="100" spans="2:44" ht="21.75" customHeight="1" x14ac:dyDescent="0.45">
      <c r="B100" s="52" t="s">
        <v>99</v>
      </c>
      <c r="E100" s="53" t="s">
        <v>87</v>
      </c>
      <c r="F100" s="52" t="s">
        <v>1468</v>
      </c>
      <c r="H100" s="53" t="s">
        <v>109</v>
      </c>
      <c r="J100" s="76">
        <v>850</v>
      </c>
      <c r="L100" s="52" t="s">
        <v>1504</v>
      </c>
      <c r="M100" s="52" t="s">
        <v>1944</v>
      </c>
      <c r="N100" s="52" t="s">
        <v>1505</v>
      </c>
      <c r="O100" s="52" t="s">
        <v>546</v>
      </c>
      <c r="P100" s="52" t="s">
        <v>1094</v>
      </c>
      <c r="Q100" s="52" t="s">
        <v>546</v>
      </c>
      <c r="R100" s="52" t="s">
        <v>254</v>
      </c>
      <c r="S100" s="52" t="s">
        <v>257</v>
      </c>
      <c r="T100" s="52" t="s">
        <v>258</v>
      </c>
      <c r="U100" s="52" t="s">
        <v>273</v>
      </c>
      <c r="V100" s="52" t="s">
        <v>274</v>
      </c>
      <c r="W100" s="52" t="s">
        <v>275</v>
      </c>
      <c r="X100" s="52" t="s">
        <v>546</v>
      </c>
      <c r="Y100" s="52" t="s">
        <v>1094</v>
      </c>
      <c r="Z100" s="52" t="s">
        <v>546</v>
      </c>
      <c r="AA100" s="61">
        <v>1</v>
      </c>
      <c r="AB100" s="52" t="s">
        <v>130</v>
      </c>
      <c r="AC100" s="63">
        <v>100</v>
      </c>
      <c r="AD100" s="52" t="s">
        <v>168</v>
      </c>
      <c r="AE100" s="53" t="s">
        <v>179</v>
      </c>
      <c r="AF100" s="65">
        <v>0</v>
      </c>
      <c r="AG100" s="53" t="s">
        <v>192</v>
      </c>
      <c r="AH100" s="52" t="s">
        <v>219</v>
      </c>
      <c r="AI100" s="52" t="s">
        <v>219</v>
      </c>
      <c r="AJ100" s="52" t="s">
        <v>219</v>
      </c>
      <c r="AK100" s="52" t="s">
        <v>219</v>
      </c>
      <c r="AL100" s="52" t="s">
        <v>1024</v>
      </c>
      <c r="AM100" s="52" t="s">
        <v>1219</v>
      </c>
      <c r="AN100" s="52" t="s">
        <v>1220</v>
      </c>
      <c r="AO100" s="64" t="s">
        <v>219</v>
      </c>
      <c r="AP100" s="63" t="s">
        <v>1506</v>
      </c>
      <c r="AQ100" s="64" t="s">
        <v>217</v>
      </c>
      <c r="AR100" s="30" t="s">
        <v>219</v>
      </c>
    </row>
    <row r="101" spans="2:44" ht="21.75" customHeight="1" x14ac:dyDescent="0.45">
      <c r="B101" s="52" t="s">
        <v>99</v>
      </c>
      <c r="E101" s="53" t="s">
        <v>87</v>
      </c>
      <c r="F101" s="52" t="s">
        <v>1468</v>
      </c>
      <c r="H101" s="53" t="s">
        <v>109</v>
      </c>
      <c r="J101" s="76">
        <v>851</v>
      </c>
      <c r="L101" s="52" t="s">
        <v>1507</v>
      </c>
      <c r="M101" s="52" t="s">
        <v>1508</v>
      </c>
      <c r="N101" s="52" t="s">
        <v>1509</v>
      </c>
      <c r="O101" s="52" t="s">
        <v>547</v>
      </c>
      <c r="P101" s="52" t="s">
        <v>547</v>
      </c>
      <c r="Q101" s="52" t="s">
        <v>547</v>
      </c>
      <c r="R101" s="52" t="s">
        <v>254</v>
      </c>
      <c r="S101" s="52" t="s">
        <v>257</v>
      </c>
      <c r="T101" s="52" t="s">
        <v>258</v>
      </c>
      <c r="U101" s="52" t="s">
        <v>273</v>
      </c>
      <c r="V101" s="52" t="s">
        <v>274</v>
      </c>
      <c r="W101" s="52" t="s">
        <v>275</v>
      </c>
      <c r="X101" s="52" t="s">
        <v>547</v>
      </c>
      <c r="Y101" s="52" t="s">
        <v>547</v>
      </c>
      <c r="Z101" s="52" t="s">
        <v>547</v>
      </c>
      <c r="AA101" s="61">
        <v>1</v>
      </c>
      <c r="AB101" s="52" t="s">
        <v>137</v>
      </c>
      <c r="AC101" s="63">
        <v>1</v>
      </c>
      <c r="AD101" s="52" t="s">
        <v>169</v>
      </c>
      <c r="AE101" s="53" t="s">
        <v>179</v>
      </c>
      <c r="AF101" s="65">
        <v>0</v>
      </c>
      <c r="AG101" s="53" t="s">
        <v>192</v>
      </c>
      <c r="AH101" s="52" t="s">
        <v>219</v>
      </c>
      <c r="AI101" s="52" t="s">
        <v>219</v>
      </c>
      <c r="AJ101" s="52" t="s">
        <v>219</v>
      </c>
      <c r="AK101" s="52" t="s">
        <v>219</v>
      </c>
      <c r="AL101" s="52" t="s">
        <v>1024</v>
      </c>
      <c r="AM101" s="52" t="s">
        <v>1219</v>
      </c>
      <c r="AN101" s="52" t="s">
        <v>1220</v>
      </c>
      <c r="AO101" s="64" t="s">
        <v>219</v>
      </c>
      <c r="AP101" s="63" t="s">
        <v>1510</v>
      </c>
      <c r="AQ101" s="64" t="s">
        <v>217</v>
      </c>
      <c r="AR101" s="30" t="s">
        <v>219</v>
      </c>
    </row>
    <row r="102" spans="2:44" ht="21.75" customHeight="1" x14ac:dyDescent="0.45">
      <c r="B102" s="52" t="s">
        <v>99</v>
      </c>
      <c r="E102" s="53" t="s">
        <v>87</v>
      </c>
      <c r="F102" s="52" t="s">
        <v>1511</v>
      </c>
      <c r="H102" s="53" t="s">
        <v>109</v>
      </c>
      <c r="J102" s="76">
        <v>852</v>
      </c>
      <c r="L102" s="52" t="s">
        <v>1945</v>
      </c>
      <c r="M102" s="52" t="s">
        <v>1946</v>
      </c>
      <c r="N102" s="52" t="s">
        <v>1947</v>
      </c>
      <c r="O102" s="52" t="s">
        <v>1095</v>
      </c>
      <c r="P102" s="52" t="s">
        <v>1096</v>
      </c>
      <c r="Q102" s="52" t="s">
        <v>1097</v>
      </c>
      <c r="R102" s="52" t="s">
        <v>254</v>
      </c>
      <c r="S102" s="52" t="s">
        <v>257</v>
      </c>
      <c r="T102" s="52" t="s">
        <v>258</v>
      </c>
      <c r="U102" s="52" t="s">
        <v>416</v>
      </c>
      <c r="V102" s="52" t="s">
        <v>416</v>
      </c>
      <c r="W102" s="52" t="s">
        <v>416</v>
      </c>
      <c r="X102" s="52" t="s">
        <v>548</v>
      </c>
      <c r="Y102" s="52" t="s">
        <v>549</v>
      </c>
      <c r="Z102" s="52" t="s">
        <v>550</v>
      </c>
      <c r="AA102" s="61">
        <v>0.1</v>
      </c>
      <c r="AB102" s="52" t="s">
        <v>130</v>
      </c>
      <c r="AC102" s="63">
        <v>100</v>
      </c>
      <c r="AD102" s="52" t="s">
        <v>169</v>
      </c>
      <c r="AE102" s="53" t="s">
        <v>179</v>
      </c>
      <c r="AF102" s="65">
        <v>0</v>
      </c>
      <c r="AG102" s="53" t="s">
        <v>192</v>
      </c>
      <c r="AH102" s="52" t="s">
        <v>219</v>
      </c>
      <c r="AI102" s="52" t="s">
        <v>219</v>
      </c>
      <c r="AJ102" s="52" t="s">
        <v>219</v>
      </c>
      <c r="AK102" s="52" t="s">
        <v>219</v>
      </c>
      <c r="AL102" s="52" t="s">
        <v>1024</v>
      </c>
      <c r="AM102" s="52" t="s">
        <v>1219</v>
      </c>
      <c r="AN102" s="52" t="s">
        <v>1220</v>
      </c>
      <c r="AO102" s="64" t="s">
        <v>219</v>
      </c>
      <c r="AP102" s="63" t="s">
        <v>1512</v>
      </c>
      <c r="AQ102" s="64" t="s">
        <v>217</v>
      </c>
      <c r="AR102" s="30" t="s">
        <v>219</v>
      </c>
    </row>
    <row r="103" spans="2:44" ht="21.75" customHeight="1" x14ac:dyDescent="0.45">
      <c r="B103" s="52" t="s">
        <v>99</v>
      </c>
      <c r="E103" s="53" t="s">
        <v>87</v>
      </c>
      <c r="F103" s="52" t="s">
        <v>1511</v>
      </c>
      <c r="H103" s="53" t="s">
        <v>109</v>
      </c>
      <c r="J103" s="76">
        <v>853</v>
      </c>
      <c r="L103" s="52" t="s">
        <v>1948</v>
      </c>
      <c r="M103" s="52" t="s">
        <v>1513</v>
      </c>
      <c r="N103" s="52" t="s">
        <v>1949</v>
      </c>
      <c r="O103" s="52" t="s">
        <v>1095</v>
      </c>
      <c r="P103" s="52" t="s">
        <v>554</v>
      </c>
      <c r="Q103" s="52" t="s">
        <v>1097</v>
      </c>
      <c r="R103" s="52" t="s">
        <v>254</v>
      </c>
      <c r="S103" s="52" t="s">
        <v>257</v>
      </c>
      <c r="T103" s="52" t="s">
        <v>258</v>
      </c>
      <c r="U103" s="52" t="s">
        <v>552</v>
      </c>
      <c r="V103" s="52" t="s">
        <v>552</v>
      </c>
      <c r="W103" s="52" t="s">
        <v>552</v>
      </c>
      <c r="X103" s="52" t="s">
        <v>553</v>
      </c>
      <c r="Y103" s="52" t="s">
        <v>555</v>
      </c>
      <c r="Z103" s="52" t="s">
        <v>556</v>
      </c>
      <c r="AA103" s="61">
        <v>0.2</v>
      </c>
      <c r="AB103" s="52" t="s">
        <v>130</v>
      </c>
      <c r="AC103" s="63">
        <v>100</v>
      </c>
      <c r="AD103" s="52" t="s">
        <v>169</v>
      </c>
      <c r="AE103" s="53" t="s">
        <v>179</v>
      </c>
      <c r="AF103" s="65">
        <v>0</v>
      </c>
      <c r="AG103" s="53" t="s">
        <v>192</v>
      </c>
      <c r="AH103" s="52" t="s">
        <v>219</v>
      </c>
      <c r="AI103" s="52" t="s">
        <v>219</v>
      </c>
      <c r="AJ103" s="52" t="s">
        <v>219</v>
      </c>
      <c r="AK103" s="52" t="s">
        <v>219</v>
      </c>
      <c r="AL103" s="52" t="s">
        <v>1024</v>
      </c>
      <c r="AM103" s="52" t="s">
        <v>1219</v>
      </c>
      <c r="AN103" s="52" t="s">
        <v>1220</v>
      </c>
      <c r="AO103" s="64" t="s">
        <v>219</v>
      </c>
      <c r="AP103" s="63" t="s">
        <v>1514</v>
      </c>
      <c r="AQ103" s="64" t="s">
        <v>217</v>
      </c>
      <c r="AR103" s="30" t="s">
        <v>219</v>
      </c>
    </row>
    <row r="104" spans="2:44" ht="21.75" customHeight="1" x14ac:dyDescent="0.45">
      <c r="B104" s="52" t="s">
        <v>99</v>
      </c>
      <c r="E104" s="53" t="s">
        <v>87</v>
      </c>
      <c r="F104" s="52" t="s">
        <v>1511</v>
      </c>
      <c r="H104" s="53" t="s">
        <v>109</v>
      </c>
      <c r="J104" s="76">
        <v>854</v>
      </c>
      <c r="L104" s="52" t="s">
        <v>1950</v>
      </c>
      <c r="M104" s="52" t="s">
        <v>1515</v>
      </c>
      <c r="N104" s="52" t="s">
        <v>1951</v>
      </c>
      <c r="O104" s="52" t="s">
        <v>1095</v>
      </c>
      <c r="P104" s="52" t="s">
        <v>554</v>
      </c>
      <c r="Q104" s="52" t="s">
        <v>1097</v>
      </c>
      <c r="R104" s="52" t="s">
        <v>254</v>
      </c>
      <c r="S104" s="52" t="s">
        <v>257</v>
      </c>
      <c r="T104" s="52" t="s">
        <v>258</v>
      </c>
      <c r="U104" s="52" t="s">
        <v>255</v>
      </c>
      <c r="V104" s="52" t="s">
        <v>255</v>
      </c>
      <c r="W104" s="52" t="s">
        <v>255</v>
      </c>
      <c r="X104" s="52" t="s">
        <v>557</v>
      </c>
      <c r="Y104" s="52" t="s">
        <v>558</v>
      </c>
      <c r="Z104" s="52" t="s">
        <v>559</v>
      </c>
      <c r="AA104" s="61">
        <v>0.25</v>
      </c>
      <c r="AB104" s="52" t="s">
        <v>130</v>
      </c>
      <c r="AC104" s="63">
        <v>100</v>
      </c>
      <c r="AD104" s="52" t="s">
        <v>169</v>
      </c>
      <c r="AE104" s="53" t="s">
        <v>179</v>
      </c>
      <c r="AF104" s="65">
        <v>0</v>
      </c>
      <c r="AG104" s="53" t="s">
        <v>192</v>
      </c>
      <c r="AH104" s="52" t="s">
        <v>219</v>
      </c>
      <c r="AI104" s="52" t="s">
        <v>219</v>
      </c>
      <c r="AJ104" s="52" t="s">
        <v>219</v>
      </c>
      <c r="AK104" s="52" t="s">
        <v>219</v>
      </c>
      <c r="AL104" s="52" t="s">
        <v>1024</v>
      </c>
      <c r="AM104" s="52" t="s">
        <v>1219</v>
      </c>
      <c r="AN104" s="52" t="s">
        <v>1220</v>
      </c>
      <c r="AO104" s="64" t="s">
        <v>219</v>
      </c>
      <c r="AP104" s="63" t="s">
        <v>1516</v>
      </c>
      <c r="AQ104" s="64" t="s">
        <v>217</v>
      </c>
      <c r="AR104" s="30" t="s">
        <v>219</v>
      </c>
    </row>
    <row r="105" spans="2:44" ht="21.75" customHeight="1" x14ac:dyDescent="0.45">
      <c r="B105" s="52" t="s">
        <v>99</v>
      </c>
      <c r="E105" s="53" t="s">
        <v>87</v>
      </c>
      <c r="F105" s="52" t="s">
        <v>1511</v>
      </c>
      <c r="H105" s="53" t="s">
        <v>109</v>
      </c>
      <c r="J105" s="76">
        <v>855</v>
      </c>
      <c r="L105" s="52" t="s">
        <v>1517</v>
      </c>
      <c r="M105" s="52" t="s">
        <v>1518</v>
      </c>
      <c r="N105" s="52" t="s">
        <v>1519</v>
      </c>
      <c r="O105" s="52" t="s">
        <v>560</v>
      </c>
      <c r="P105" s="52" t="s">
        <v>563</v>
      </c>
      <c r="Q105" s="52" t="s">
        <v>565</v>
      </c>
      <c r="R105" s="52" t="s">
        <v>254</v>
      </c>
      <c r="S105" s="52" t="s">
        <v>257</v>
      </c>
      <c r="T105" s="52" t="s">
        <v>258</v>
      </c>
      <c r="U105" s="52" t="s">
        <v>561</v>
      </c>
      <c r="V105" s="52" t="s">
        <v>561</v>
      </c>
      <c r="W105" s="52" t="s">
        <v>561</v>
      </c>
      <c r="X105" s="52" t="s">
        <v>562</v>
      </c>
      <c r="Y105" s="52" t="s">
        <v>564</v>
      </c>
      <c r="Z105" s="52" t="s">
        <v>566</v>
      </c>
      <c r="AA105" s="61">
        <v>0.2</v>
      </c>
      <c r="AB105" s="52" t="s">
        <v>134</v>
      </c>
      <c r="AC105" s="63">
        <v>100</v>
      </c>
      <c r="AD105" s="52" t="s">
        <v>169</v>
      </c>
      <c r="AE105" s="53" t="s">
        <v>179</v>
      </c>
      <c r="AF105" s="65">
        <v>0</v>
      </c>
      <c r="AG105" s="53" t="s">
        <v>192</v>
      </c>
      <c r="AH105" s="52" t="s">
        <v>219</v>
      </c>
      <c r="AI105" s="52" t="s">
        <v>219</v>
      </c>
      <c r="AJ105" s="52" t="s">
        <v>219</v>
      </c>
      <c r="AK105" s="52" t="s">
        <v>219</v>
      </c>
      <c r="AL105" s="52" t="s">
        <v>1024</v>
      </c>
      <c r="AM105" s="52" t="s">
        <v>1219</v>
      </c>
      <c r="AN105" s="52" t="s">
        <v>1220</v>
      </c>
      <c r="AO105" s="64" t="s">
        <v>219</v>
      </c>
      <c r="AP105" s="63" t="s">
        <v>1520</v>
      </c>
      <c r="AQ105" s="64" t="s">
        <v>217</v>
      </c>
      <c r="AR105" s="30" t="s">
        <v>219</v>
      </c>
    </row>
    <row r="106" spans="2:44" ht="21.75" customHeight="1" x14ac:dyDescent="0.45">
      <c r="B106" s="52" t="s">
        <v>99</v>
      </c>
      <c r="E106" s="53" t="s">
        <v>87</v>
      </c>
      <c r="F106" s="52" t="s">
        <v>1511</v>
      </c>
      <c r="H106" s="53" t="s">
        <v>109</v>
      </c>
      <c r="J106" s="76">
        <v>856</v>
      </c>
      <c r="L106" s="52" t="s">
        <v>1521</v>
      </c>
      <c r="M106" s="52" t="s">
        <v>1522</v>
      </c>
      <c r="N106" s="52" t="s">
        <v>1523</v>
      </c>
      <c r="O106" s="52" t="s">
        <v>560</v>
      </c>
      <c r="P106" s="52" t="s">
        <v>563</v>
      </c>
      <c r="Q106" s="52" t="s">
        <v>565</v>
      </c>
      <c r="R106" s="52" t="s">
        <v>254</v>
      </c>
      <c r="S106" s="52" t="s">
        <v>257</v>
      </c>
      <c r="T106" s="52" t="s">
        <v>258</v>
      </c>
      <c r="U106" s="52" t="s">
        <v>567</v>
      </c>
      <c r="V106" s="52" t="s">
        <v>567</v>
      </c>
      <c r="W106" s="52" t="s">
        <v>567</v>
      </c>
      <c r="X106" s="52" t="s">
        <v>568</v>
      </c>
      <c r="Y106" s="52" t="s">
        <v>569</v>
      </c>
      <c r="Z106" s="52" t="s">
        <v>570</v>
      </c>
      <c r="AA106" s="61">
        <v>0.25</v>
      </c>
      <c r="AB106" s="52" t="s">
        <v>134</v>
      </c>
      <c r="AC106" s="63">
        <v>100</v>
      </c>
      <c r="AD106" s="52" t="s">
        <v>169</v>
      </c>
      <c r="AE106" s="53" t="s">
        <v>179</v>
      </c>
      <c r="AF106" s="65">
        <v>0</v>
      </c>
      <c r="AG106" s="53" t="s">
        <v>192</v>
      </c>
      <c r="AH106" s="52" t="s">
        <v>219</v>
      </c>
      <c r="AI106" s="52" t="s">
        <v>219</v>
      </c>
      <c r="AJ106" s="52" t="s">
        <v>219</v>
      </c>
      <c r="AK106" s="52" t="s">
        <v>219</v>
      </c>
      <c r="AL106" s="52" t="s">
        <v>1024</v>
      </c>
      <c r="AM106" s="52" t="s">
        <v>1219</v>
      </c>
      <c r="AN106" s="52" t="s">
        <v>1220</v>
      </c>
      <c r="AO106" s="64" t="s">
        <v>219</v>
      </c>
      <c r="AP106" s="63" t="s">
        <v>1524</v>
      </c>
      <c r="AQ106" s="64" t="s">
        <v>217</v>
      </c>
      <c r="AR106" s="30" t="s">
        <v>219</v>
      </c>
    </row>
    <row r="107" spans="2:44" ht="21.75" customHeight="1" x14ac:dyDescent="0.45">
      <c r="B107" s="52" t="s">
        <v>99</v>
      </c>
      <c r="E107" s="53" t="s">
        <v>87</v>
      </c>
      <c r="F107" s="52" t="s">
        <v>1511</v>
      </c>
      <c r="H107" s="53" t="s">
        <v>109</v>
      </c>
      <c r="J107" s="76">
        <v>857</v>
      </c>
      <c r="L107" s="52" t="s">
        <v>1525</v>
      </c>
      <c r="M107" s="52" t="s">
        <v>1526</v>
      </c>
      <c r="N107" s="52" t="s">
        <v>1527</v>
      </c>
      <c r="O107" s="52" t="s">
        <v>571</v>
      </c>
      <c r="P107" s="52" t="s">
        <v>574</v>
      </c>
      <c r="Q107" s="52" t="s">
        <v>574</v>
      </c>
      <c r="R107" s="52" t="s">
        <v>254</v>
      </c>
      <c r="S107" s="52" t="s">
        <v>257</v>
      </c>
      <c r="T107" s="52" t="s">
        <v>258</v>
      </c>
      <c r="U107" s="52" t="s">
        <v>572</v>
      </c>
      <c r="V107" s="52" t="s">
        <v>572</v>
      </c>
      <c r="W107" s="52" t="s">
        <v>572</v>
      </c>
      <c r="X107" s="52" t="s">
        <v>573</v>
      </c>
      <c r="Y107" s="52" t="s">
        <v>575</v>
      </c>
      <c r="Z107" s="52" t="s">
        <v>575</v>
      </c>
      <c r="AA107" s="61">
        <v>0.13</v>
      </c>
      <c r="AB107" s="52" t="s">
        <v>130</v>
      </c>
      <c r="AC107" s="63">
        <v>100</v>
      </c>
      <c r="AD107" s="52" t="s">
        <v>169</v>
      </c>
      <c r="AE107" s="53" t="s">
        <v>179</v>
      </c>
      <c r="AF107" s="65">
        <v>0</v>
      </c>
      <c r="AG107" s="53" t="s">
        <v>192</v>
      </c>
      <c r="AH107" s="52" t="s">
        <v>219</v>
      </c>
      <c r="AI107" s="52" t="s">
        <v>219</v>
      </c>
      <c r="AJ107" s="52" t="s">
        <v>219</v>
      </c>
      <c r="AK107" s="52" t="s">
        <v>219</v>
      </c>
      <c r="AL107" s="52" t="s">
        <v>1024</v>
      </c>
      <c r="AM107" s="52" t="s">
        <v>1219</v>
      </c>
      <c r="AN107" s="52" t="s">
        <v>1220</v>
      </c>
      <c r="AO107" s="64" t="s">
        <v>219</v>
      </c>
      <c r="AP107" s="63" t="s">
        <v>1528</v>
      </c>
      <c r="AQ107" s="64" t="s">
        <v>217</v>
      </c>
      <c r="AR107" s="30" t="s">
        <v>219</v>
      </c>
    </row>
    <row r="108" spans="2:44" ht="21.75" customHeight="1" x14ac:dyDescent="0.45">
      <c r="B108" s="52" t="s">
        <v>99</v>
      </c>
      <c r="E108" s="53" t="s">
        <v>87</v>
      </c>
      <c r="F108" s="52" t="s">
        <v>1511</v>
      </c>
      <c r="H108" s="53" t="s">
        <v>109</v>
      </c>
      <c r="J108" s="76">
        <v>858</v>
      </c>
      <c r="L108" s="52" t="s">
        <v>1529</v>
      </c>
      <c r="M108" s="52" t="s">
        <v>1530</v>
      </c>
      <c r="N108" s="52" t="s">
        <v>1531</v>
      </c>
      <c r="O108" s="52" t="s">
        <v>571</v>
      </c>
      <c r="P108" s="52" t="s">
        <v>574</v>
      </c>
      <c r="Q108" s="52" t="s">
        <v>574</v>
      </c>
      <c r="R108" s="52" t="s">
        <v>254</v>
      </c>
      <c r="S108" s="52" t="s">
        <v>257</v>
      </c>
      <c r="T108" s="52" t="s">
        <v>258</v>
      </c>
      <c r="U108" s="52" t="s">
        <v>437</v>
      </c>
      <c r="V108" s="52" t="s">
        <v>437</v>
      </c>
      <c r="W108" s="52" t="s">
        <v>437</v>
      </c>
      <c r="X108" s="52" t="s">
        <v>576</v>
      </c>
      <c r="Y108" s="52" t="s">
        <v>577</v>
      </c>
      <c r="Z108" s="52" t="s">
        <v>577</v>
      </c>
      <c r="AA108" s="61">
        <v>0.15</v>
      </c>
      <c r="AB108" s="52" t="s">
        <v>130</v>
      </c>
      <c r="AC108" s="63">
        <v>100</v>
      </c>
      <c r="AD108" s="52" t="s">
        <v>169</v>
      </c>
      <c r="AE108" s="53" t="s">
        <v>179</v>
      </c>
      <c r="AF108" s="65">
        <v>0</v>
      </c>
      <c r="AG108" s="53" t="s">
        <v>192</v>
      </c>
      <c r="AH108" s="52" t="s">
        <v>219</v>
      </c>
      <c r="AI108" s="52" t="s">
        <v>219</v>
      </c>
      <c r="AJ108" s="52" t="s">
        <v>219</v>
      </c>
      <c r="AK108" s="52" t="s">
        <v>219</v>
      </c>
      <c r="AL108" s="52" t="s">
        <v>1024</v>
      </c>
      <c r="AM108" s="52" t="s">
        <v>1219</v>
      </c>
      <c r="AN108" s="52" t="s">
        <v>1220</v>
      </c>
      <c r="AO108" s="64" t="s">
        <v>219</v>
      </c>
      <c r="AP108" s="63" t="s">
        <v>1528</v>
      </c>
      <c r="AQ108" s="64" t="s">
        <v>217</v>
      </c>
      <c r="AR108" s="30" t="s">
        <v>219</v>
      </c>
    </row>
    <row r="109" spans="2:44" ht="21.75" customHeight="1" x14ac:dyDescent="0.45">
      <c r="B109" s="52" t="s">
        <v>99</v>
      </c>
      <c r="E109" s="53" t="s">
        <v>87</v>
      </c>
      <c r="F109" s="52" t="s">
        <v>1511</v>
      </c>
      <c r="H109" s="53" t="s">
        <v>109</v>
      </c>
      <c r="J109" s="76">
        <v>859</v>
      </c>
      <c r="L109" s="52" t="s">
        <v>1532</v>
      </c>
      <c r="M109" s="52" t="s">
        <v>1533</v>
      </c>
      <c r="N109" s="52" t="s">
        <v>1534</v>
      </c>
      <c r="O109" s="52" t="s">
        <v>571</v>
      </c>
      <c r="P109" s="52" t="s">
        <v>574</v>
      </c>
      <c r="Q109" s="52" t="s">
        <v>574</v>
      </c>
      <c r="R109" s="52" t="s">
        <v>254</v>
      </c>
      <c r="S109" s="52" t="s">
        <v>257</v>
      </c>
      <c r="T109" s="52" t="s">
        <v>258</v>
      </c>
      <c r="U109" s="52" t="s">
        <v>578</v>
      </c>
      <c r="V109" s="52" t="s">
        <v>578</v>
      </c>
      <c r="W109" s="52" t="s">
        <v>578</v>
      </c>
      <c r="X109" s="52" t="s">
        <v>579</v>
      </c>
      <c r="Y109" s="52" t="s">
        <v>580</v>
      </c>
      <c r="Z109" s="52" t="s">
        <v>580</v>
      </c>
      <c r="AA109" s="61">
        <v>0.18</v>
      </c>
      <c r="AB109" s="52" t="s">
        <v>130</v>
      </c>
      <c r="AC109" s="63">
        <v>100</v>
      </c>
      <c r="AD109" s="52" t="s">
        <v>169</v>
      </c>
      <c r="AE109" s="53" t="s">
        <v>179</v>
      </c>
      <c r="AF109" s="65">
        <v>0</v>
      </c>
      <c r="AG109" s="53" t="s">
        <v>192</v>
      </c>
      <c r="AH109" s="52" t="s">
        <v>219</v>
      </c>
      <c r="AI109" s="52" t="s">
        <v>219</v>
      </c>
      <c r="AJ109" s="52" t="s">
        <v>219</v>
      </c>
      <c r="AK109" s="52" t="s">
        <v>219</v>
      </c>
      <c r="AL109" s="52" t="s">
        <v>1024</v>
      </c>
      <c r="AM109" s="52" t="s">
        <v>1219</v>
      </c>
      <c r="AN109" s="52" t="s">
        <v>1220</v>
      </c>
      <c r="AO109" s="64" t="s">
        <v>219</v>
      </c>
      <c r="AP109" s="63" t="s">
        <v>1528</v>
      </c>
      <c r="AQ109" s="64" t="s">
        <v>217</v>
      </c>
      <c r="AR109" s="30" t="s">
        <v>219</v>
      </c>
    </row>
    <row r="110" spans="2:44" ht="21.75" customHeight="1" x14ac:dyDescent="0.45">
      <c r="B110" s="52" t="s">
        <v>99</v>
      </c>
      <c r="E110" s="53" t="s">
        <v>87</v>
      </c>
      <c r="F110" s="52" t="s">
        <v>1511</v>
      </c>
      <c r="H110" s="53" t="s">
        <v>109</v>
      </c>
      <c r="J110" s="76">
        <v>860</v>
      </c>
      <c r="L110" s="52" t="s">
        <v>1535</v>
      </c>
      <c r="M110" s="52" t="s">
        <v>1536</v>
      </c>
      <c r="N110" s="52" t="s">
        <v>1537</v>
      </c>
      <c r="O110" s="52" t="s">
        <v>571</v>
      </c>
      <c r="P110" s="52" t="s">
        <v>574</v>
      </c>
      <c r="Q110" s="52" t="s">
        <v>574</v>
      </c>
      <c r="R110" s="52" t="s">
        <v>254</v>
      </c>
      <c r="S110" s="52" t="s">
        <v>257</v>
      </c>
      <c r="T110" s="52" t="s">
        <v>258</v>
      </c>
      <c r="U110" s="52" t="s">
        <v>552</v>
      </c>
      <c r="V110" s="52" t="s">
        <v>552</v>
      </c>
      <c r="W110" s="52" t="s">
        <v>552</v>
      </c>
      <c r="X110" s="52" t="s">
        <v>581</v>
      </c>
      <c r="Y110" s="52" t="s">
        <v>582</v>
      </c>
      <c r="Z110" s="52" t="s">
        <v>582</v>
      </c>
      <c r="AA110" s="61">
        <v>0.2</v>
      </c>
      <c r="AB110" s="52" t="s">
        <v>130</v>
      </c>
      <c r="AC110" s="63">
        <v>100</v>
      </c>
      <c r="AD110" s="52" t="s">
        <v>169</v>
      </c>
      <c r="AE110" s="53" t="s">
        <v>179</v>
      </c>
      <c r="AF110" s="65">
        <v>0</v>
      </c>
      <c r="AG110" s="53" t="s">
        <v>192</v>
      </c>
      <c r="AH110" s="52" t="s">
        <v>219</v>
      </c>
      <c r="AI110" s="52" t="s">
        <v>219</v>
      </c>
      <c r="AJ110" s="52" t="s">
        <v>219</v>
      </c>
      <c r="AK110" s="52" t="s">
        <v>219</v>
      </c>
      <c r="AL110" s="52" t="s">
        <v>1024</v>
      </c>
      <c r="AM110" s="52" t="s">
        <v>1219</v>
      </c>
      <c r="AN110" s="52" t="s">
        <v>1220</v>
      </c>
      <c r="AO110" s="64" t="s">
        <v>219</v>
      </c>
      <c r="AP110" s="63" t="s">
        <v>1528</v>
      </c>
      <c r="AQ110" s="64" t="s">
        <v>217</v>
      </c>
      <c r="AR110" s="30" t="s">
        <v>219</v>
      </c>
    </row>
    <row r="111" spans="2:44" ht="21.75" customHeight="1" x14ac:dyDescent="0.45">
      <c r="B111" s="52" t="s">
        <v>99</v>
      </c>
      <c r="E111" s="53" t="s">
        <v>87</v>
      </c>
      <c r="F111" s="52" t="s">
        <v>1511</v>
      </c>
      <c r="H111" s="53" t="s">
        <v>109</v>
      </c>
      <c r="J111" s="76">
        <v>861</v>
      </c>
      <c r="L111" s="52" t="s">
        <v>1538</v>
      </c>
      <c r="M111" s="52" t="s">
        <v>1539</v>
      </c>
      <c r="N111" s="52" t="s">
        <v>1540</v>
      </c>
      <c r="O111" s="52" t="s">
        <v>571</v>
      </c>
      <c r="P111" s="52" t="s">
        <v>574</v>
      </c>
      <c r="Q111" s="52" t="s">
        <v>574</v>
      </c>
      <c r="R111" s="52" t="s">
        <v>254</v>
      </c>
      <c r="S111" s="52" t="s">
        <v>257</v>
      </c>
      <c r="T111" s="52" t="s">
        <v>258</v>
      </c>
      <c r="U111" s="52" t="s">
        <v>255</v>
      </c>
      <c r="V111" s="52" t="s">
        <v>255</v>
      </c>
      <c r="W111" s="52" t="s">
        <v>255</v>
      </c>
      <c r="X111" s="52" t="s">
        <v>583</v>
      </c>
      <c r="Y111" s="52" t="s">
        <v>584</v>
      </c>
      <c r="Z111" s="52" t="s">
        <v>584</v>
      </c>
      <c r="AA111" s="61">
        <v>0.25</v>
      </c>
      <c r="AB111" s="52" t="s">
        <v>130</v>
      </c>
      <c r="AC111" s="63">
        <v>100</v>
      </c>
      <c r="AD111" s="52" t="s">
        <v>169</v>
      </c>
      <c r="AE111" s="53" t="s">
        <v>179</v>
      </c>
      <c r="AF111" s="65">
        <v>0</v>
      </c>
      <c r="AG111" s="53" t="s">
        <v>192</v>
      </c>
      <c r="AH111" s="52" t="s">
        <v>219</v>
      </c>
      <c r="AI111" s="52" t="s">
        <v>219</v>
      </c>
      <c r="AJ111" s="52" t="s">
        <v>219</v>
      </c>
      <c r="AK111" s="52" t="s">
        <v>219</v>
      </c>
      <c r="AL111" s="52" t="s">
        <v>1024</v>
      </c>
      <c r="AM111" s="52" t="s">
        <v>1219</v>
      </c>
      <c r="AN111" s="52" t="s">
        <v>1220</v>
      </c>
      <c r="AO111" s="64" t="s">
        <v>219</v>
      </c>
      <c r="AP111" s="63" t="s">
        <v>1528</v>
      </c>
      <c r="AQ111" s="64" t="s">
        <v>217</v>
      </c>
      <c r="AR111" s="30" t="s">
        <v>219</v>
      </c>
    </row>
    <row r="112" spans="2:44" ht="21.75" customHeight="1" x14ac:dyDescent="0.45">
      <c r="B112" s="52" t="s">
        <v>99</v>
      </c>
      <c r="E112" s="53" t="s">
        <v>87</v>
      </c>
      <c r="F112" s="52" t="s">
        <v>1511</v>
      </c>
      <c r="H112" s="53" t="s">
        <v>109</v>
      </c>
      <c r="J112" s="76">
        <v>862</v>
      </c>
      <c r="L112" s="52" t="s">
        <v>1541</v>
      </c>
      <c r="M112" s="52" t="s">
        <v>1542</v>
      </c>
      <c r="N112" s="52" t="s">
        <v>1543</v>
      </c>
      <c r="O112" s="52" t="s">
        <v>571</v>
      </c>
      <c r="P112" s="52" t="s">
        <v>574</v>
      </c>
      <c r="Q112" s="52" t="s">
        <v>574</v>
      </c>
      <c r="R112" s="52" t="s">
        <v>254</v>
      </c>
      <c r="S112" s="52" t="s">
        <v>257</v>
      </c>
      <c r="T112" s="52" t="s">
        <v>258</v>
      </c>
      <c r="U112" s="52" t="s">
        <v>359</v>
      </c>
      <c r="V112" s="52" t="s">
        <v>359</v>
      </c>
      <c r="W112" s="52" t="s">
        <v>359</v>
      </c>
      <c r="X112" s="52" t="s">
        <v>585</v>
      </c>
      <c r="Y112" s="52" t="s">
        <v>586</v>
      </c>
      <c r="Z112" s="52" t="s">
        <v>586</v>
      </c>
      <c r="AA112" s="61">
        <v>0.4</v>
      </c>
      <c r="AB112" s="52" t="s">
        <v>130</v>
      </c>
      <c r="AC112" s="63">
        <v>100</v>
      </c>
      <c r="AD112" s="52" t="s">
        <v>169</v>
      </c>
      <c r="AE112" s="53" t="s">
        <v>179</v>
      </c>
      <c r="AF112" s="65">
        <v>0</v>
      </c>
      <c r="AG112" s="53" t="s">
        <v>192</v>
      </c>
      <c r="AH112" s="52" t="s">
        <v>219</v>
      </c>
      <c r="AI112" s="52" t="s">
        <v>219</v>
      </c>
      <c r="AJ112" s="52" t="s">
        <v>219</v>
      </c>
      <c r="AK112" s="52" t="s">
        <v>219</v>
      </c>
      <c r="AL112" s="52" t="s">
        <v>1024</v>
      </c>
      <c r="AM112" s="52" t="s">
        <v>1219</v>
      </c>
      <c r="AN112" s="52" t="s">
        <v>1220</v>
      </c>
      <c r="AO112" s="64" t="s">
        <v>219</v>
      </c>
      <c r="AP112" s="63" t="s">
        <v>1544</v>
      </c>
      <c r="AQ112" s="64" t="s">
        <v>217</v>
      </c>
      <c r="AR112" s="30" t="s">
        <v>219</v>
      </c>
    </row>
    <row r="113" spans="2:44" ht="21.75" customHeight="1" x14ac:dyDescent="0.45">
      <c r="B113" s="52" t="s">
        <v>99</v>
      </c>
      <c r="E113" s="53" t="s">
        <v>87</v>
      </c>
      <c r="F113" s="52" t="s">
        <v>1511</v>
      </c>
      <c r="H113" s="53" t="s">
        <v>109</v>
      </c>
      <c r="J113" s="76">
        <v>863</v>
      </c>
      <c r="L113" s="52" t="s">
        <v>1545</v>
      </c>
      <c r="M113" s="52" t="s">
        <v>1546</v>
      </c>
      <c r="N113" s="52" t="s">
        <v>1547</v>
      </c>
      <c r="O113" s="52" t="s">
        <v>571</v>
      </c>
      <c r="P113" s="52" t="s">
        <v>574</v>
      </c>
      <c r="Q113" s="52" t="s">
        <v>574</v>
      </c>
      <c r="R113" s="52" t="s">
        <v>254</v>
      </c>
      <c r="S113" s="52" t="s">
        <v>257</v>
      </c>
      <c r="T113" s="52" t="s">
        <v>258</v>
      </c>
      <c r="U113" s="52" t="s">
        <v>268</v>
      </c>
      <c r="V113" s="52" t="s">
        <v>268</v>
      </c>
      <c r="W113" s="52" t="s">
        <v>268</v>
      </c>
      <c r="X113" s="52" t="s">
        <v>587</v>
      </c>
      <c r="Y113" s="52" t="s">
        <v>588</v>
      </c>
      <c r="Z113" s="52" t="s">
        <v>588</v>
      </c>
      <c r="AA113" s="61">
        <v>0.5</v>
      </c>
      <c r="AB113" s="52" t="s">
        <v>130</v>
      </c>
      <c r="AC113" s="63">
        <v>100</v>
      </c>
      <c r="AD113" s="52" t="s">
        <v>169</v>
      </c>
      <c r="AE113" s="53" t="s">
        <v>179</v>
      </c>
      <c r="AF113" s="65">
        <v>0</v>
      </c>
      <c r="AG113" s="53" t="s">
        <v>192</v>
      </c>
      <c r="AH113" s="52" t="s">
        <v>219</v>
      </c>
      <c r="AI113" s="52" t="s">
        <v>219</v>
      </c>
      <c r="AJ113" s="52" t="s">
        <v>219</v>
      </c>
      <c r="AK113" s="52" t="s">
        <v>219</v>
      </c>
      <c r="AL113" s="52" t="s">
        <v>1024</v>
      </c>
      <c r="AM113" s="52" t="s">
        <v>1219</v>
      </c>
      <c r="AN113" s="52" t="s">
        <v>1220</v>
      </c>
      <c r="AO113" s="64" t="s">
        <v>219</v>
      </c>
      <c r="AP113" s="63" t="s">
        <v>1544</v>
      </c>
      <c r="AQ113" s="64" t="s">
        <v>217</v>
      </c>
      <c r="AR113" s="30" t="s">
        <v>219</v>
      </c>
    </row>
    <row r="114" spans="2:44" ht="21.75" customHeight="1" x14ac:dyDescent="0.45">
      <c r="B114" s="52" t="s">
        <v>99</v>
      </c>
      <c r="E114" s="53" t="s">
        <v>87</v>
      </c>
      <c r="F114" s="52" t="s">
        <v>1511</v>
      </c>
      <c r="H114" s="53" t="s">
        <v>109</v>
      </c>
      <c r="J114" s="76">
        <v>864</v>
      </c>
      <c r="L114" s="52" t="s">
        <v>1952</v>
      </c>
      <c r="M114" s="52" t="s">
        <v>1548</v>
      </c>
      <c r="N114" s="52" t="s">
        <v>1549</v>
      </c>
      <c r="O114" s="52" t="s">
        <v>1098</v>
      </c>
      <c r="P114" s="52" t="s">
        <v>591</v>
      </c>
      <c r="Q114" s="52" t="s">
        <v>593</v>
      </c>
      <c r="R114" s="52" t="s">
        <v>254</v>
      </c>
      <c r="S114" s="52" t="s">
        <v>257</v>
      </c>
      <c r="T114" s="52" t="s">
        <v>258</v>
      </c>
      <c r="U114" s="52" t="s">
        <v>589</v>
      </c>
      <c r="V114" s="52" t="s">
        <v>589</v>
      </c>
      <c r="W114" s="52" t="s">
        <v>589</v>
      </c>
      <c r="X114" s="52" t="s">
        <v>590</v>
      </c>
      <c r="Y114" s="52" t="s">
        <v>592</v>
      </c>
      <c r="Z114" s="52" t="s">
        <v>594</v>
      </c>
      <c r="AA114" s="61">
        <v>0.04</v>
      </c>
      <c r="AB114" s="52" t="s">
        <v>130</v>
      </c>
      <c r="AC114" s="63">
        <v>100</v>
      </c>
      <c r="AD114" s="52" t="s">
        <v>169</v>
      </c>
      <c r="AE114" s="53" t="s">
        <v>179</v>
      </c>
      <c r="AF114" s="65">
        <v>0</v>
      </c>
      <c r="AG114" s="53" t="s">
        <v>192</v>
      </c>
      <c r="AH114" s="52" t="s">
        <v>219</v>
      </c>
      <c r="AI114" s="52" t="s">
        <v>219</v>
      </c>
      <c r="AJ114" s="52" t="s">
        <v>219</v>
      </c>
      <c r="AK114" s="52" t="s">
        <v>219</v>
      </c>
      <c r="AL114" s="52" t="s">
        <v>1024</v>
      </c>
      <c r="AM114" s="52" t="s">
        <v>1219</v>
      </c>
      <c r="AN114" s="52" t="s">
        <v>1220</v>
      </c>
      <c r="AO114" s="64" t="s">
        <v>219</v>
      </c>
      <c r="AP114" s="63" t="s">
        <v>1550</v>
      </c>
      <c r="AQ114" s="64" t="s">
        <v>217</v>
      </c>
      <c r="AR114" s="30" t="s">
        <v>219</v>
      </c>
    </row>
    <row r="115" spans="2:44" ht="21.75" customHeight="1" x14ac:dyDescent="0.45">
      <c r="B115" s="52" t="s">
        <v>99</v>
      </c>
      <c r="E115" s="53" t="s">
        <v>87</v>
      </c>
      <c r="F115" s="52" t="s">
        <v>1511</v>
      </c>
      <c r="H115" s="53" t="s">
        <v>109</v>
      </c>
      <c r="J115" s="76">
        <v>865</v>
      </c>
      <c r="L115" s="52" t="s">
        <v>1953</v>
      </c>
      <c r="M115" s="52" t="s">
        <v>1551</v>
      </c>
      <c r="N115" s="52" t="s">
        <v>1552</v>
      </c>
      <c r="O115" s="52" t="s">
        <v>1098</v>
      </c>
      <c r="P115" s="52" t="s">
        <v>591</v>
      </c>
      <c r="Q115" s="52" t="s">
        <v>593</v>
      </c>
      <c r="R115" s="52" t="s">
        <v>254</v>
      </c>
      <c r="S115" s="52" t="s">
        <v>257</v>
      </c>
      <c r="T115" s="52" t="s">
        <v>258</v>
      </c>
      <c r="U115" s="52" t="s">
        <v>595</v>
      </c>
      <c r="V115" s="52" t="s">
        <v>595</v>
      </c>
      <c r="W115" s="52" t="s">
        <v>595</v>
      </c>
      <c r="X115" s="52" t="s">
        <v>596</v>
      </c>
      <c r="Y115" s="52" t="s">
        <v>597</v>
      </c>
      <c r="Z115" s="52" t="s">
        <v>598</v>
      </c>
      <c r="AA115" s="61">
        <v>0.06</v>
      </c>
      <c r="AB115" s="52" t="s">
        <v>130</v>
      </c>
      <c r="AC115" s="63">
        <v>100</v>
      </c>
      <c r="AD115" s="52" t="s">
        <v>169</v>
      </c>
      <c r="AE115" s="53" t="s">
        <v>179</v>
      </c>
      <c r="AF115" s="65">
        <v>0</v>
      </c>
      <c r="AG115" s="53" t="s">
        <v>192</v>
      </c>
      <c r="AH115" s="52" t="s">
        <v>219</v>
      </c>
      <c r="AI115" s="52" t="s">
        <v>219</v>
      </c>
      <c r="AJ115" s="52" t="s">
        <v>219</v>
      </c>
      <c r="AK115" s="52" t="s">
        <v>219</v>
      </c>
      <c r="AL115" s="52" t="s">
        <v>1024</v>
      </c>
      <c r="AM115" s="52" t="s">
        <v>1219</v>
      </c>
      <c r="AN115" s="52" t="s">
        <v>1220</v>
      </c>
      <c r="AO115" s="64" t="s">
        <v>219</v>
      </c>
      <c r="AP115" s="63" t="s">
        <v>1550</v>
      </c>
      <c r="AQ115" s="64" t="s">
        <v>217</v>
      </c>
      <c r="AR115" s="30" t="s">
        <v>219</v>
      </c>
    </row>
    <row r="116" spans="2:44" ht="21.75" customHeight="1" x14ac:dyDescent="0.45">
      <c r="B116" s="52" t="s">
        <v>99</v>
      </c>
      <c r="E116" s="53" t="s">
        <v>87</v>
      </c>
      <c r="F116" s="52" t="s">
        <v>1511</v>
      </c>
      <c r="H116" s="53" t="s">
        <v>109</v>
      </c>
      <c r="J116" s="76">
        <v>866</v>
      </c>
      <c r="L116" s="52" t="s">
        <v>1954</v>
      </c>
      <c r="M116" s="52" t="s">
        <v>1553</v>
      </c>
      <c r="N116" s="52" t="s">
        <v>1554</v>
      </c>
      <c r="O116" s="52" t="s">
        <v>1098</v>
      </c>
      <c r="P116" s="52" t="s">
        <v>591</v>
      </c>
      <c r="Q116" s="52" t="s">
        <v>593</v>
      </c>
      <c r="R116" s="52" t="s">
        <v>254</v>
      </c>
      <c r="S116" s="52" t="s">
        <v>257</v>
      </c>
      <c r="T116" s="52" t="s">
        <v>258</v>
      </c>
      <c r="U116" s="52" t="s">
        <v>416</v>
      </c>
      <c r="V116" s="52" t="s">
        <v>416</v>
      </c>
      <c r="W116" s="52" t="s">
        <v>416</v>
      </c>
      <c r="X116" s="52" t="s">
        <v>599</v>
      </c>
      <c r="Y116" s="52" t="s">
        <v>600</v>
      </c>
      <c r="Z116" s="52" t="s">
        <v>601</v>
      </c>
      <c r="AA116" s="61">
        <v>0.1</v>
      </c>
      <c r="AB116" s="52" t="s">
        <v>130</v>
      </c>
      <c r="AC116" s="63">
        <v>100</v>
      </c>
      <c r="AD116" s="52" t="s">
        <v>169</v>
      </c>
      <c r="AE116" s="53" t="s">
        <v>179</v>
      </c>
      <c r="AF116" s="65">
        <v>0</v>
      </c>
      <c r="AG116" s="53" t="s">
        <v>192</v>
      </c>
      <c r="AH116" s="52" t="s">
        <v>219</v>
      </c>
      <c r="AI116" s="52" t="s">
        <v>219</v>
      </c>
      <c r="AJ116" s="52" t="s">
        <v>219</v>
      </c>
      <c r="AK116" s="52" t="s">
        <v>219</v>
      </c>
      <c r="AL116" s="52" t="s">
        <v>1024</v>
      </c>
      <c r="AM116" s="52" t="s">
        <v>1219</v>
      </c>
      <c r="AN116" s="52" t="s">
        <v>1220</v>
      </c>
      <c r="AO116" s="64" t="s">
        <v>219</v>
      </c>
      <c r="AP116" s="63" t="s">
        <v>1550</v>
      </c>
      <c r="AQ116" s="64" t="s">
        <v>217</v>
      </c>
      <c r="AR116" s="30" t="s">
        <v>219</v>
      </c>
    </row>
    <row r="117" spans="2:44" ht="21.75" customHeight="1" x14ac:dyDescent="0.45">
      <c r="B117" s="52" t="s">
        <v>99</v>
      </c>
      <c r="E117" s="53" t="s">
        <v>87</v>
      </c>
      <c r="F117" s="52" t="s">
        <v>1511</v>
      </c>
      <c r="H117" s="53" t="s">
        <v>109</v>
      </c>
      <c r="J117" s="76">
        <v>867</v>
      </c>
      <c r="L117" s="52" t="s">
        <v>1555</v>
      </c>
      <c r="M117" s="52" t="s">
        <v>1556</v>
      </c>
      <c r="N117" s="52" t="s">
        <v>1840</v>
      </c>
      <c r="O117" s="52" t="s">
        <v>602</v>
      </c>
      <c r="P117" s="52" t="s">
        <v>603</v>
      </c>
      <c r="Q117" s="52" t="s">
        <v>604</v>
      </c>
      <c r="R117" s="52" t="s">
        <v>254</v>
      </c>
      <c r="S117" s="52" t="s">
        <v>257</v>
      </c>
      <c r="T117" s="52" t="s">
        <v>258</v>
      </c>
      <c r="U117" s="52" t="s">
        <v>1157</v>
      </c>
      <c r="V117" s="52" t="s">
        <v>1159</v>
      </c>
      <c r="W117" s="52" t="s">
        <v>1161</v>
      </c>
      <c r="X117" s="52" t="s">
        <v>1199</v>
      </c>
      <c r="Y117" s="52" t="s">
        <v>1200</v>
      </c>
      <c r="Z117" s="52" t="s">
        <v>1201</v>
      </c>
      <c r="AA117" s="61">
        <v>1</v>
      </c>
      <c r="AB117" s="52" t="s">
        <v>137</v>
      </c>
      <c r="AC117" s="63">
        <v>1</v>
      </c>
      <c r="AD117" s="52" t="s">
        <v>169</v>
      </c>
      <c r="AE117" s="53" t="s">
        <v>179</v>
      </c>
      <c r="AF117" s="65">
        <v>0</v>
      </c>
      <c r="AG117" s="53" t="s">
        <v>192</v>
      </c>
      <c r="AH117" s="52" t="s">
        <v>219</v>
      </c>
      <c r="AI117" s="52" t="s">
        <v>219</v>
      </c>
      <c r="AJ117" s="52" t="s">
        <v>219</v>
      </c>
      <c r="AK117" s="52" t="s">
        <v>219</v>
      </c>
      <c r="AL117" s="52" t="s">
        <v>1024</v>
      </c>
      <c r="AM117" s="52" t="s">
        <v>1219</v>
      </c>
      <c r="AN117" s="52" t="s">
        <v>1220</v>
      </c>
      <c r="AO117" s="64" t="s">
        <v>219</v>
      </c>
      <c r="AP117" s="63" t="s">
        <v>1557</v>
      </c>
      <c r="AQ117" s="64" t="s">
        <v>217</v>
      </c>
      <c r="AR117" s="30" t="s">
        <v>219</v>
      </c>
    </row>
    <row r="118" spans="2:44" ht="21.75" customHeight="1" x14ac:dyDescent="0.45">
      <c r="B118" s="52" t="s">
        <v>99</v>
      </c>
      <c r="E118" s="53" t="s">
        <v>87</v>
      </c>
      <c r="F118" s="52" t="s">
        <v>1558</v>
      </c>
      <c r="H118" s="53" t="s">
        <v>109</v>
      </c>
      <c r="J118" s="76">
        <v>868</v>
      </c>
      <c r="L118" s="52" t="s">
        <v>1559</v>
      </c>
      <c r="M118" s="52" t="s">
        <v>1955</v>
      </c>
      <c r="N118" s="52" t="s">
        <v>1956</v>
      </c>
      <c r="O118" s="52" t="s">
        <v>605</v>
      </c>
      <c r="P118" s="52" t="s">
        <v>1099</v>
      </c>
      <c r="Q118" s="52" t="s">
        <v>1100</v>
      </c>
      <c r="R118" s="52" t="s">
        <v>254</v>
      </c>
      <c r="S118" s="52" t="s">
        <v>257</v>
      </c>
      <c r="T118" s="52" t="s">
        <v>258</v>
      </c>
      <c r="U118" s="52" t="s">
        <v>1154</v>
      </c>
      <c r="V118" s="52" t="s">
        <v>1154</v>
      </c>
      <c r="W118" s="52" t="s">
        <v>1154</v>
      </c>
      <c r="X118" s="52" t="s">
        <v>1202</v>
      </c>
      <c r="Y118" s="52" t="s">
        <v>1203</v>
      </c>
      <c r="Z118" s="52" t="s">
        <v>1204</v>
      </c>
      <c r="AA118" s="61">
        <v>1</v>
      </c>
      <c r="AB118" s="52" t="s">
        <v>130</v>
      </c>
      <c r="AC118" s="63">
        <v>100</v>
      </c>
      <c r="AD118" s="52" t="s">
        <v>168</v>
      </c>
      <c r="AE118" s="53" t="s">
        <v>179</v>
      </c>
      <c r="AF118" s="65">
        <v>0</v>
      </c>
      <c r="AG118" s="53" t="s">
        <v>192</v>
      </c>
      <c r="AH118" s="52" t="s">
        <v>219</v>
      </c>
      <c r="AI118" s="52" t="s">
        <v>219</v>
      </c>
      <c r="AJ118" s="52" t="s">
        <v>219</v>
      </c>
      <c r="AK118" s="52" t="s">
        <v>219</v>
      </c>
      <c r="AL118" s="52" t="s">
        <v>1024</v>
      </c>
      <c r="AM118" s="52" t="s">
        <v>1219</v>
      </c>
      <c r="AN118" s="52" t="s">
        <v>1220</v>
      </c>
      <c r="AO118" s="64" t="s">
        <v>219</v>
      </c>
      <c r="AP118" s="63" t="s">
        <v>1560</v>
      </c>
      <c r="AQ118" s="64" t="s">
        <v>217</v>
      </c>
      <c r="AR118" s="30" t="s">
        <v>219</v>
      </c>
    </row>
    <row r="119" spans="2:44" ht="21.75" customHeight="1" x14ac:dyDescent="0.45">
      <c r="B119" s="52" t="s">
        <v>99</v>
      </c>
      <c r="E119" s="53" t="s">
        <v>87</v>
      </c>
      <c r="F119" s="52" t="s">
        <v>1558</v>
      </c>
      <c r="H119" s="53" t="s">
        <v>109</v>
      </c>
      <c r="J119" s="76">
        <v>869</v>
      </c>
      <c r="L119" s="52" t="s">
        <v>1561</v>
      </c>
      <c r="M119" s="52" t="s">
        <v>1957</v>
      </c>
      <c r="N119" s="52" t="s">
        <v>1958</v>
      </c>
      <c r="O119" s="52" t="s">
        <v>605</v>
      </c>
      <c r="P119" s="52" t="s">
        <v>1099</v>
      </c>
      <c r="Q119" s="52" t="s">
        <v>1100</v>
      </c>
      <c r="R119" s="52" t="s">
        <v>254</v>
      </c>
      <c r="S119" s="52" t="s">
        <v>257</v>
      </c>
      <c r="T119" s="52" t="s">
        <v>258</v>
      </c>
      <c r="U119" s="52" t="s">
        <v>1157</v>
      </c>
      <c r="V119" s="52" t="s">
        <v>1159</v>
      </c>
      <c r="W119" s="52" t="s">
        <v>1161</v>
      </c>
      <c r="X119" s="52" t="s">
        <v>1205</v>
      </c>
      <c r="Y119" s="52" t="s">
        <v>1206</v>
      </c>
      <c r="Z119" s="52" t="s">
        <v>1207</v>
      </c>
      <c r="AA119" s="61">
        <v>1</v>
      </c>
      <c r="AB119" s="52" t="s">
        <v>137</v>
      </c>
      <c r="AC119" s="63">
        <v>1</v>
      </c>
      <c r="AD119" s="52" t="s">
        <v>169</v>
      </c>
      <c r="AE119" s="53" t="s">
        <v>179</v>
      </c>
      <c r="AF119" s="65">
        <v>0</v>
      </c>
      <c r="AG119" s="53" t="s">
        <v>192</v>
      </c>
      <c r="AH119" s="52" t="s">
        <v>219</v>
      </c>
      <c r="AI119" s="52" t="s">
        <v>219</v>
      </c>
      <c r="AJ119" s="52" t="s">
        <v>219</v>
      </c>
      <c r="AK119" s="52" t="s">
        <v>219</v>
      </c>
      <c r="AL119" s="52" t="s">
        <v>1024</v>
      </c>
      <c r="AM119" s="52" t="s">
        <v>1219</v>
      </c>
      <c r="AN119" s="52" t="s">
        <v>1220</v>
      </c>
      <c r="AO119" s="64" t="s">
        <v>219</v>
      </c>
      <c r="AP119" s="63" t="s">
        <v>1560</v>
      </c>
      <c r="AQ119" s="64" t="s">
        <v>217</v>
      </c>
      <c r="AR119" s="30" t="s">
        <v>219</v>
      </c>
    </row>
    <row r="120" spans="2:44" ht="21.75" customHeight="1" x14ac:dyDescent="0.45">
      <c r="B120" s="52" t="s">
        <v>99</v>
      </c>
      <c r="E120" s="53" t="s">
        <v>87</v>
      </c>
      <c r="F120" s="52" t="s">
        <v>1562</v>
      </c>
      <c r="H120" s="53" t="s">
        <v>109</v>
      </c>
      <c r="J120" s="76">
        <v>870</v>
      </c>
      <c r="L120" s="52" t="s">
        <v>1959</v>
      </c>
      <c r="M120" s="52" t="s">
        <v>1960</v>
      </c>
      <c r="N120" s="52" t="s">
        <v>1563</v>
      </c>
      <c r="O120" s="52" t="s">
        <v>1101</v>
      </c>
      <c r="P120" s="52" t="s">
        <v>1102</v>
      </c>
      <c r="Q120" s="52" t="s">
        <v>609</v>
      </c>
      <c r="R120" s="52" t="s">
        <v>254</v>
      </c>
      <c r="S120" s="52" t="s">
        <v>257</v>
      </c>
      <c r="T120" s="52" t="s">
        <v>258</v>
      </c>
      <c r="U120" s="52" t="s">
        <v>520</v>
      </c>
      <c r="V120" s="52" t="s">
        <v>523</v>
      </c>
      <c r="W120" s="52" t="s">
        <v>524</v>
      </c>
      <c r="X120" s="52" t="s">
        <v>607</v>
      </c>
      <c r="Y120" s="52" t="s">
        <v>608</v>
      </c>
      <c r="Z120" s="52" t="s">
        <v>610</v>
      </c>
      <c r="AA120" s="61">
        <v>2</v>
      </c>
      <c r="AB120" s="52" t="s">
        <v>130</v>
      </c>
      <c r="AC120" s="63">
        <v>100</v>
      </c>
      <c r="AD120" s="52" t="s">
        <v>168</v>
      </c>
      <c r="AE120" s="53" t="s">
        <v>179</v>
      </c>
      <c r="AF120" s="65">
        <v>0</v>
      </c>
      <c r="AG120" s="53" t="s">
        <v>192</v>
      </c>
      <c r="AH120" s="52" t="s">
        <v>219</v>
      </c>
      <c r="AI120" s="52" t="s">
        <v>219</v>
      </c>
      <c r="AJ120" s="52" t="s">
        <v>219</v>
      </c>
      <c r="AK120" s="52" t="s">
        <v>219</v>
      </c>
      <c r="AL120" s="52" t="s">
        <v>1024</v>
      </c>
      <c r="AM120" s="52" t="s">
        <v>1219</v>
      </c>
      <c r="AN120" s="52" t="s">
        <v>1220</v>
      </c>
      <c r="AO120" s="64" t="s">
        <v>219</v>
      </c>
      <c r="AP120" s="63" t="s">
        <v>1564</v>
      </c>
      <c r="AQ120" s="64" t="s">
        <v>217</v>
      </c>
      <c r="AR120" s="30" t="s">
        <v>219</v>
      </c>
    </row>
    <row r="121" spans="2:44" ht="21.75" customHeight="1" x14ac:dyDescent="0.45">
      <c r="B121" s="52" t="s">
        <v>99</v>
      </c>
      <c r="E121" s="53" t="s">
        <v>87</v>
      </c>
      <c r="F121" s="52" t="s">
        <v>1562</v>
      </c>
      <c r="H121" s="53" t="s">
        <v>109</v>
      </c>
      <c r="J121" s="76">
        <v>871</v>
      </c>
      <c r="L121" s="52" t="s">
        <v>1961</v>
      </c>
      <c r="M121" s="52" t="s">
        <v>1962</v>
      </c>
      <c r="N121" s="52" t="s">
        <v>1963</v>
      </c>
      <c r="O121" s="52" t="s">
        <v>1103</v>
      </c>
      <c r="P121" s="52" t="s">
        <v>1104</v>
      </c>
      <c r="Q121" s="52" t="s">
        <v>1103</v>
      </c>
      <c r="R121" s="52" t="s">
        <v>254</v>
      </c>
      <c r="S121" s="52" t="s">
        <v>257</v>
      </c>
      <c r="T121" s="52" t="s">
        <v>258</v>
      </c>
      <c r="U121" s="52" t="s">
        <v>520</v>
      </c>
      <c r="V121" s="52" t="s">
        <v>523</v>
      </c>
      <c r="W121" s="52" t="s">
        <v>524</v>
      </c>
      <c r="X121" s="52" t="s">
        <v>612</v>
      </c>
      <c r="Y121" s="52" t="s">
        <v>613</v>
      </c>
      <c r="Z121" s="52" t="s">
        <v>614</v>
      </c>
      <c r="AA121" s="61">
        <v>2</v>
      </c>
      <c r="AB121" s="52" t="s">
        <v>130</v>
      </c>
      <c r="AC121" s="63">
        <v>100</v>
      </c>
      <c r="AD121" s="52" t="s">
        <v>168</v>
      </c>
      <c r="AE121" s="53" t="s">
        <v>179</v>
      </c>
      <c r="AF121" s="65">
        <v>0</v>
      </c>
      <c r="AG121" s="53" t="s">
        <v>192</v>
      </c>
      <c r="AH121" s="52" t="s">
        <v>219</v>
      </c>
      <c r="AI121" s="52" t="s">
        <v>219</v>
      </c>
      <c r="AJ121" s="52" t="s">
        <v>219</v>
      </c>
      <c r="AK121" s="52" t="s">
        <v>219</v>
      </c>
      <c r="AL121" s="52" t="s">
        <v>1024</v>
      </c>
      <c r="AM121" s="52" t="s">
        <v>1219</v>
      </c>
      <c r="AN121" s="52" t="s">
        <v>1220</v>
      </c>
      <c r="AO121" s="64" t="s">
        <v>219</v>
      </c>
      <c r="AP121" s="63" t="s">
        <v>1565</v>
      </c>
      <c r="AQ121" s="64" t="s">
        <v>217</v>
      </c>
      <c r="AR121" s="30" t="s">
        <v>219</v>
      </c>
    </row>
    <row r="122" spans="2:44" ht="21.75" customHeight="1" x14ac:dyDescent="0.45">
      <c r="B122" s="52" t="s">
        <v>99</v>
      </c>
      <c r="E122" s="53" t="s">
        <v>87</v>
      </c>
      <c r="F122" s="52" t="s">
        <v>1562</v>
      </c>
      <c r="H122" s="53" t="s">
        <v>109</v>
      </c>
      <c r="J122" s="76">
        <v>872</v>
      </c>
      <c r="L122" s="52" t="s">
        <v>1964</v>
      </c>
      <c r="M122" s="52" t="s">
        <v>1965</v>
      </c>
      <c r="N122" s="52" t="s">
        <v>1966</v>
      </c>
      <c r="O122" s="52" t="s">
        <v>1105</v>
      </c>
      <c r="P122" s="52" t="s">
        <v>1106</v>
      </c>
      <c r="Q122" s="52" t="s">
        <v>1107</v>
      </c>
      <c r="R122" s="52" t="s">
        <v>254</v>
      </c>
      <c r="S122" s="52" t="s">
        <v>257</v>
      </c>
      <c r="T122" s="52" t="s">
        <v>258</v>
      </c>
      <c r="U122" s="52" t="s">
        <v>520</v>
      </c>
      <c r="V122" s="52" t="s">
        <v>523</v>
      </c>
      <c r="W122" s="52" t="s">
        <v>524</v>
      </c>
      <c r="X122" s="52" t="s">
        <v>615</v>
      </c>
      <c r="Y122" s="52" t="s">
        <v>616</v>
      </c>
      <c r="Z122" s="52" t="s">
        <v>617</v>
      </c>
      <c r="AA122" s="61">
        <v>2</v>
      </c>
      <c r="AB122" s="52" t="s">
        <v>130</v>
      </c>
      <c r="AC122" s="63">
        <v>100</v>
      </c>
      <c r="AD122" s="52" t="s">
        <v>168</v>
      </c>
      <c r="AE122" s="53" t="s">
        <v>179</v>
      </c>
      <c r="AF122" s="65">
        <v>0</v>
      </c>
      <c r="AG122" s="53" t="s">
        <v>192</v>
      </c>
      <c r="AH122" s="52" t="s">
        <v>219</v>
      </c>
      <c r="AI122" s="52" t="s">
        <v>219</v>
      </c>
      <c r="AJ122" s="52" t="s">
        <v>219</v>
      </c>
      <c r="AK122" s="52" t="s">
        <v>219</v>
      </c>
      <c r="AL122" s="52" t="s">
        <v>1024</v>
      </c>
      <c r="AM122" s="52" t="s">
        <v>1219</v>
      </c>
      <c r="AN122" s="52" t="s">
        <v>1220</v>
      </c>
      <c r="AO122" s="64" t="s">
        <v>219</v>
      </c>
      <c r="AP122" s="63" t="s">
        <v>1566</v>
      </c>
      <c r="AQ122" s="64" t="s">
        <v>217</v>
      </c>
      <c r="AR122" s="30" t="s">
        <v>219</v>
      </c>
    </row>
    <row r="123" spans="2:44" ht="21.75" customHeight="1" x14ac:dyDescent="0.45">
      <c r="B123" s="52" t="s">
        <v>99</v>
      </c>
      <c r="E123" s="53" t="s">
        <v>87</v>
      </c>
      <c r="F123" s="52" t="s">
        <v>1562</v>
      </c>
      <c r="H123" s="53" t="s">
        <v>109</v>
      </c>
      <c r="J123" s="76">
        <v>873</v>
      </c>
      <c r="L123" s="52" t="s">
        <v>1967</v>
      </c>
      <c r="M123" s="52" t="s">
        <v>1841</v>
      </c>
      <c r="N123" s="52" t="s">
        <v>1567</v>
      </c>
      <c r="O123" s="52" t="s">
        <v>1108</v>
      </c>
      <c r="P123" s="52" t="s">
        <v>619</v>
      </c>
      <c r="Q123" s="52" t="s">
        <v>621</v>
      </c>
      <c r="R123" s="52" t="s">
        <v>254</v>
      </c>
      <c r="S123" s="52" t="s">
        <v>257</v>
      </c>
      <c r="T123" s="52" t="s">
        <v>258</v>
      </c>
      <c r="U123" s="52" t="s">
        <v>520</v>
      </c>
      <c r="V123" s="52" t="s">
        <v>523</v>
      </c>
      <c r="W123" s="52" t="s">
        <v>524</v>
      </c>
      <c r="X123" s="52" t="s">
        <v>618</v>
      </c>
      <c r="Y123" s="52" t="s">
        <v>620</v>
      </c>
      <c r="Z123" s="52" t="s">
        <v>622</v>
      </c>
      <c r="AA123" s="61">
        <v>2</v>
      </c>
      <c r="AB123" s="52" t="s">
        <v>130</v>
      </c>
      <c r="AC123" s="63">
        <v>100</v>
      </c>
      <c r="AD123" s="52" t="s">
        <v>168</v>
      </c>
      <c r="AE123" s="53" t="s">
        <v>179</v>
      </c>
      <c r="AF123" s="65">
        <v>0</v>
      </c>
      <c r="AG123" s="53" t="s">
        <v>192</v>
      </c>
      <c r="AH123" s="52" t="s">
        <v>219</v>
      </c>
      <c r="AI123" s="52" t="s">
        <v>219</v>
      </c>
      <c r="AJ123" s="52" t="s">
        <v>219</v>
      </c>
      <c r="AK123" s="52" t="s">
        <v>219</v>
      </c>
      <c r="AL123" s="52" t="s">
        <v>1024</v>
      </c>
      <c r="AM123" s="52" t="s">
        <v>1219</v>
      </c>
      <c r="AN123" s="52" t="s">
        <v>1220</v>
      </c>
      <c r="AO123" s="64" t="s">
        <v>219</v>
      </c>
      <c r="AP123" s="63" t="s">
        <v>1568</v>
      </c>
      <c r="AQ123" s="64" t="s">
        <v>217</v>
      </c>
      <c r="AR123" s="30" t="s">
        <v>219</v>
      </c>
    </row>
    <row r="124" spans="2:44" ht="21.75" customHeight="1" x14ac:dyDescent="0.45">
      <c r="B124" s="52" t="s">
        <v>99</v>
      </c>
      <c r="E124" s="53" t="s">
        <v>87</v>
      </c>
      <c r="F124" s="52" t="s">
        <v>1562</v>
      </c>
      <c r="H124" s="53" t="s">
        <v>109</v>
      </c>
      <c r="J124" s="76">
        <v>874</v>
      </c>
      <c r="L124" s="52" t="s">
        <v>1968</v>
      </c>
      <c r="M124" s="52" t="s">
        <v>1842</v>
      </c>
      <c r="N124" s="52" t="s">
        <v>1569</v>
      </c>
      <c r="O124" s="52" t="s">
        <v>1109</v>
      </c>
      <c r="P124" s="52" t="s">
        <v>624</v>
      </c>
      <c r="Q124" s="52" t="s">
        <v>626</v>
      </c>
      <c r="R124" s="52" t="s">
        <v>254</v>
      </c>
      <c r="S124" s="52" t="s">
        <v>257</v>
      </c>
      <c r="T124" s="52" t="s">
        <v>258</v>
      </c>
      <c r="U124" s="52" t="s">
        <v>520</v>
      </c>
      <c r="V124" s="52" t="s">
        <v>523</v>
      </c>
      <c r="W124" s="52" t="s">
        <v>524</v>
      </c>
      <c r="X124" s="52" t="s">
        <v>623</v>
      </c>
      <c r="Y124" s="52" t="s">
        <v>625</v>
      </c>
      <c r="Z124" s="52" t="s">
        <v>627</v>
      </c>
      <c r="AA124" s="61">
        <v>2</v>
      </c>
      <c r="AB124" s="52" t="s">
        <v>130</v>
      </c>
      <c r="AC124" s="63">
        <v>100</v>
      </c>
      <c r="AD124" s="52" t="s">
        <v>168</v>
      </c>
      <c r="AE124" s="53" t="s">
        <v>179</v>
      </c>
      <c r="AF124" s="65">
        <v>0</v>
      </c>
      <c r="AG124" s="53" t="s">
        <v>192</v>
      </c>
      <c r="AH124" s="52" t="s">
        <v>219</v>
      </c>
      <c r="AI124" s="52" t="s">
        <v>219</v>
      </c>
      <c r="AJ124" s="52" t="s">
        <v>219</v>
      </c>
      <c r="AK124" s="52" t="s">
        <v>219</v>
      </c>
      <c r="AL124" s="52" t="s">
        <v>1024</v>
      </c>
      <c r="AM124" s="52" t="s">
        <v>1219</v>
      </c>
      <c r="AN124" s="52" t="s">
        <v>1220</v>
      </c>
      <c r="AO124" s="64" t="s">
        <v>219</v>
      </c>
      <c r="AP124" s="63" t="s">
        <v>1570</v>
      </c>
      <c r="AQ124" s="64" t="s">
        <v>217</v>
      </c>
      <c r="AR124" s="30" t="s">
        <v>219</v>
      </c>
    </row>
    <row r="125" spans="2:44" ht="21.75" customHeight="1" x14ac:dyDescent="0.45">
      <c r="B125" s="52" t="s">
        <v>99</v>
      </c>
      <c r="E125" s="53" t="s">
        <v>87</v>
      </c>
      <c r="F125" s="52" t="s">
        <v>1562</v>
      </c>
      <c r="H125" s="53" t="s">
        <v>109</v>
      </c>
      <c r="J125" s="76">
        <v>875</v>
      </c>
      <c r="L125" s="52" t="s">
        <v>1969</v>
      </c>
      <c r="M125" s="52" t="s">
        <v>1571</v>
      </c>
      <c r="N125" s="52" t="s">
        <v>1970</v>
      </c>
      <c r="O125" s="52" t="s">
        <v>1110</v>
      </c>
      <c r="P125" s="52" t="s">
        <v>629</v>
      </c>
      <c r="Q125" s="52" t="s">
        <v>1111</v>
      </c>
      <c r="R125" s="52" t="s">
        <v>254</v>
      </c>
      <c r="S125" s="52" t="s">
        <v>257</v>
      </c>
      <c r="T125" s="52" t="s">
        <v>258</v>
      </c>
      <c r="U125" s="52" t="s">
        <v>520</v>
      </c>
      <c r="V125" s="52" t="s">
        <v>523</v>
      </c>
      <c r="W125" s="52" t="s">
        <v>524</v>
      </c>
      <c r="X125" s="52" t="s">
        <v>628</v>
      </c>
      <c r="Y125" s="52" t="s">
        <v>630</v>
      </c>
      <c r="Z125" s="52" t="s">
        <v>631</v>
      </c>
      <c r="AA125" s="61">
        <v>2</v>
      </c>
      <c r="AB125" s="52" t="s">
        <v>130</v>
      </c>
      <c r="AC125" s="63">
        <v>100</v>
      </c>
      <c r="AD125" s="52" t="s">
        <v>168</v>
      </c>
      <c r="AE125" s="53" t="s">
        <v>179</v>
      </c>
      <c r="AF125" s="65">
        <v>0</v>
      </c>
      <c r="AG125" s="53" t="s">
        <v>192</v>
      </c>
      <c r="AH125" s="52" t="s">
        <v>219</v>
      </c>
      <c r="AI125" s="52" t="s">
        <v>219</v>
      </c>
      <c r="AJ125" s="52" t="s">
        <v>219</v>
      </c>
      <c r="AK125" s="52" t="s">
        <v>219</v>
      </c>
      <c r="AL125" s="52" t="s">
        <v>1024</v>
      </c>
      <c r="AM125" s="52" t="s">
        <v>1219</v>
      </c>
      <c r="AN125" s="52" t="s">
        <v>1220</v>
      </c>
      <c r="AO125" s="64" t="s">
        <v>219</v>
      </c>
      <c r="AP125" s="63" t="s">
        <v>1572</v>
      </c>
      <c r="AQ125" s="64" t="s">
        <v>217</v>
      </c>
      <c r="AR125" s="30" t="s">
        <v>219</v>
      </c>
    </row>
    <row r="126" spans="2:44" ht="21.75" customHeight="1" x14ac:dyDescent="0.45">
      <c r="B126" s="52" t="s">
        <v>99</v>
      </c>
      <c r="E126" s="53" t="s">
        <v>87</v>
      </c>
      <c r="F126" s="52" t="s">
        <v>1573</v>
      </c>
      <c r="H126" s="53" t="s">
        <v>109</v>
      </c>
      <c r="J126" s="76">
        <v>876</v>
      </c>
      <c r="L126" s="52" t="s">
        <v>1574</v>
      </c>
      <c r="M126" s="52" t="s">
        <v>1575</v>
      </c>
      <c r="N126" s="52" t="s">
        <v>1576</v>
      </c>
      <c r="O126" s="52" t="s">
        <v>191</v>
      </c>
      <c r="P126" s="52" t="s">
        <v>199</v>
      </c>
      <c r="Q126" s="52" t="s">
        <v>205</v>
      </c>
      <c r="R126" s="52" t="s">
        <v>254</v>
      </c>
      <c r="S126" s="52" t="s">
        <v>257</v>
      </c>
      <c r="T126" s="52" t="s">
        <v>258</v>
      </c>
      <c r="U126" s="52" t="s">
        <v>632</v>
      </c>
      <c r="V126" s="52" t="s">
        <v>632</v>
      </c>
      <c r="W126" s="52" t="s">
        <v>632</v>
      </c>
      <c r="X126" s="52" t="s">
        <v>633</v>
      </c>
      <c r="Y126" s="52" t="s">
        <v>634</v>
      </c>
      <c r="Z126" s="52" t="s">
        <v>635</v>
      </c>
      <c r="AA126" s="61">
        <v>1.5</v>
      </c>
      <c r="AB126" s="52" t="s">
        <v>128</v>
      </c>
      <c r="AC126" s="63">
        <v>10</v>
      </c>
      <c r="AD126" s="52" t="s">
        <v>169</v>
      </c>
      <c r="AE126" s="53" t="s">
        <v>179</v>
      </c>
      <c r="AF126" s="65">
        <v>0</v>
      </c>
      <c r="AG126" s="53" t="s">
        <v>192</v>
      </c>
      <c r="AH126" s="52" t="s">
        <v>219</v>
      </c>
      <c r="AI126" s="52" t="s">
        <v>219</v>
      </c>
      <c r="AJ126" s="52" t="s">
        <v>219</v>
      </c>
      <c r="AK126" s="52" t="s">
        <v>219</v>
      </c>
      <c r="AL126" s="52" t="s">
        <v>1024</v>
      </c>
      <c r="AM126" s="52" t="s">
        <v>1219</v>
      </c>
      <c r="AN126" s="52" t="s">
        <v>1220</v>
      </c>
      <c r="AO126" s="64" t="s">
        <v>219</v>
      </c>
      <c r="AP126" s="63" t="s">
        <v>1577</v>
      </c>
      <c r="AQ126" s="64" t="s">
        <v>217</v>
      </c>
      <c r="AR126" s="30" t="s">
        <v>219</v>
      </c>
    </row>
    <row r="127" spans="2:44" ht="21.75" customHeight="1" x14ac:dyDescent="0.45">
      <c r="B127" s="52" t="s">
        <v>99</v>
      </c>
      <c r="E127" s="53" t="s">
        <v>87</v>
      </c>
      <c r="F127" s="52" t="s">
        <v>1573</v>
      </c>
      <c r="H127" s="53" t="s">
        <v>109</v>
      </c>
      <c r="J127" s="76">
        <v>877</v>
      </c>
      <c r="L127" s="52" t="s">
        <v>1578</v>
      </c>
      <c r="M127" s="52" t="s">
        <v>1579</v>
      </c>
      <c r="N127" s="52" t="s">
        <v>1580</v>
      </c>
      <c r="O127" s="52" t="s">
        <v>191</v>
      </c>
      <c r="P127" s="52" t="s">
        <v>199</v>
      </c>
      <c r="Q127" s="52" t="s">
        <v>205</v>
      </c>
      <c r="R127" s="52" t="s">
        <v>254</v>
      </c>
      <c r="S127" s="52" t="s">
        <v>257</v>
      </c>
      <c r="T127" s="52" t="s">
        <v>258</v>
      </c>
      <c r="U127" s="52" t="s">
        <v>637</v>
      </c>
      <c r="V127" s="52" t="s">
        <v>637</v>
      </c>
      <c r="W127" s="52" t="s">
        <v>637</v>
      </c>
      <c r="X127" s="52" t="s">
        <v>638</v>
      </c>
      <c r="Y127" s="52" t="s">
        <v>639</v>
      </c>
      <c r="Z127" s="52" t="s">
        <v>640</v>
      </c>
      <c r="AA127" s="61">
        <v>1</v>
      </c>
      <c r="AB127" s="52" t="s">
        <v>128</v>
      </c>
      <c r="AC127" s="63">
        <v>10</v>
      </c>
      <c r="AD127" s="52" t="s">
        <v>169</v>
      </c>
      <c r="AE127" s="53" t="s">
        <v>179</v>
      </c>
      <c r="AF127" s="65">
        <v>0</v>
      </c>
      <c r="AG127" s="53" t="s">
        <v>192</v>
      </c>
      <c r="AH127" s="52" t="s">
        <v>219</v>
      </c>
      <c r="AI127" s="52" t="s">
        <v>219</v>
      </c>
      <c r="AJ127" s="52" t="s">
        <v>219</v>
      </c>
      <c r="AK127" s="52" t="s">
        <v>219</v>
      </c>
      <c r="AL127" s="52" t="s">
        <v>1024</v>
      </c>
      <c r="AM127" s="52" t="s">
        <v>1219</v>
      </c>
      <c r="AN127" s="52" t="s">
        <v>1220</v>
      </c>
      <c r="AO127" s="64" t="s">
        <v>219</v>
      </c>
      <c r="AP127" s="63" t="s">
        <v>1577</v>
      </c>
      <c r="AQ127" s="64" t="s">
        <v>217</v>
      </c>
      <c r="AR127" s="30" t="s">
        <v>219</v>
      </c>
    </row>
    <row r="128" spans="2:44" ht="21.75" customHeight="1" x14ac:dyDescent="0.45">
      <c r="B128" s="52" t="s">
        <v>99</v>
      </c>
      <c r="E128" s="53" t="s">
        <v>87</v>
      </c>
      <c r="F128" s="52" t="s">
        <v>1573</v>
      </c>
      <c r="H128" s="53" t="s">
        <v>109</v>
      </c>
      <c r="J128" s="76">
        <v>878</v>
      </c>
      <c r="L128" s="52" t="s">
        <v>1581</v>
      </c>
      <c r="M128" s="52" t="s">
        <v>1582</v>
      </c>
      <c r="N128" s="52" t="s">
        <v>1583</v>
      </c>
      <c r="O128" s="52" t="s">
        <v>191</v>
      </c>
      <c r="P128" s="52" t="s">
        <v>199</v>
      </c>
      <c r="Q128" s="52" t="s">
        <v>205</v>
      </c>
      <c r="R128" s="52" t="s">
        <v>254</v>
      </c>
      <c r="S128" s="52" t="s">
        <v>257</v>
      </c>
      <c r="T128" s="52" t="s">
        <v>258</v>
      </c>
      <c r="U128" s="52" t="s">
        <v>641</v>
      </c>
      <c r="V128" s="52" t="s">
        <v>641</v>
      </c>
      <c r="W128" s="52" t="s">
        <v>641</v>
      </c>
      <c r="X128" s="52" t="s">
        <v>642</v>
      </c>
      <c r="Y128" s="52" t="s">
        <v>643</v>
      </c>
      <c r="Z128" s="52" t="s">
        <v>644</v>
      </c>
      <c r="AA128" s="61">
        <v>0.25</v>
      </c>
      <c r="AB128" s="52" t="s">
        <v>128</v>
      </c>
      <c r="AC128" s="63">
        <v>10</v>
      </c>
      <c r="AD128" s="52" t="s">
        <v>169</v>
      </c>
      <c r="AE128" s="53" t="s">
        <v>179</v>
      </c>
      <c r="AF128" s="65">
        <v>0</v>
      </c>
      <c r="AG128" s="53" t="s">
        <v>192</v>
      </c>
      <c r="AH128" s="52" t="s">
        <v>219</v>
      </c>
      <c r="AI128" s="52" t="s">
        <v>219</v>
      </c>
      <c r="AJ128" s="52" t="s">
        <v>219</v>
      </c>
      <c r="AK128" s="52" t="s">
        <v>219</v>
      </c>
      <c r="AL128" s="52" t="s">
        <v>1024</v>
      </c>
      <c r="AM128" s="52" t="s">
        <v>1219</v>
      </c>
      <c r="AN128" s="52" t="s">
        <v>1220</v>
      </c>
      <c r="AO128" s="64" t="s">
        <v>219</v>
      </c>
      <c r="AP128" s="63" t="s">
        <v>1577</v>
      </c>
      <c r="AQ128" s="64" t="s">
        <v>217</v>
      </c>
      <c r="AR128" s="30" t="s">
        <v>219</v>
      </c>
    </row>
    <row r="129" spans="2:44" ht="21.75" customHeight="1" x14ac:dyDescent="0.45">
      <c r="B129" s="52" t="s">
        <v>99</v>
      </c>
      <c r="E129" s="53" t="s">
        <v>87</v>
      </c>
      <c r="F129" s="52" t="s">
        <v>1573</v>
      </c>
      <c r="H129" s="53" t="s">
        <v>109</v>
      </c>
      <c r="J129" s="76">
        <v>879</v>
      </c>
      <c r="L129" s="52" t="s">
        <v>1584</v>
      </c>
      <c r="M129" s="52" t="s">
        <v>1585</v>
      </c>
      <c r="N129" s="52" t="s">
        <v>1586</v>
      </c>
      <c r="O129" s="52" t="s">
        <v>191</v>
      </c>
      <c r="P129" s="52" t="s">
        <v>199</v>
      </c>
      <c r="Q129" s="52" t="s">
        <v>205</v>
      </c>
      <c r="R129" s="52" t="s">
        <v>254</v>
      </c>
      <c r="S129" s="52" t="s">
        <v>257</v>
      </c>
      <c r="T129" s="52" t="s">
        <v>258</v>
      </c>
      <c r="U129" s="52" t="s">
        <v>645</v>
      </c>
      <c r="V129" s="52" t="s">
        <v>645</v>
      </c>
      <c r="W129" s="52" t="s">
        <v>645</v>
      </c>
      <c r="X129" s="52" t="s">
        <v>646</v>
      </c>
      <c r="Y129" s="52" t="s">
        <v>647</v>
      </c>
      <c r="Z129" s="52" t="s">
        <v>648</v>
      </c>
      <c r="AA129" s="61">
        <v>3.3000000000000003</v>
      </c>
      <c r="AB129" s="52" t="s">
        <v>128</v>
      </c>
      <c r="AC129" s="63">
        <v>10</v>
      </c>
      <c r="AD129" s="52" t="s">
        <v>169</v>
      </c>
      <c r="AE129" s="53" t="s">
        <v>179</v>
      </c>
      <c r="AF129" s="65">
        <v>0</v>
      </c>
      <c r="AG129" s="53" t="s">
        <v>192</v>
      </c>
      <c r="AH129" s="52" t="s">
        <v>219</v>
      </c>
      <c r="AI129" s="52" t="s">
        <v>219</v>
      </c>
      <c r="AJ129" s="52" t="s">
        <v>219</v>
      </c>
      <c r="AK129" s="52" t="s">
        <v>219</v>
      </c>
      <c r="AL129" s="52" t="s">
        <v>1024</v>
      </c>
      <c r="AM129" s="52" t="s">
        <v>1219</v>
      </c>
      <c r="AN129" s="52" t="s">
        <v>1220</v>
      </c>
      <c r="AO129" s="64" t="s">
        <v>219</v>
      </c>
      <c r="AP129" s="63" t="s">
        <v>1587</v>
      </c>
      <c r="AQ129" s="64" t="s">
        <v>217</v>
      </c>
      <c r="AR129" s="30" t="s">
        <v>219</v>
      </c>
    </row>
    <row r="130" spans="2:44" ht="21.75" customHeight="1" x14ac:dyDescent="0.45">
      <c r="B130" s="52" t="s">
        <v>99</v>
      </c>
      <c r="E130" s="53" t="s">
        <v>87</v>
      </c>
      <c r="F130" s="52" t="s">
        <v>1573</v>
      </c>
      <c r="H130" s="53" t="s">
        <v>109</v>
      </c>
      <c r="J130" s="76">
        <v>880</v>
      </c>
      <c r="L130" s="52" t="s">
        <v>1588</v>
      </c>
      <c r="M130" s="52" t="s">
        <v>1589</v>
      </c>
      <c r="N130" s="52" t="s">
        <v>1590</v>
      </c>
      <c r="O130" s="52" t="s">
        <v>191</v>
      </c>
      <c r="P130" s="52" t="s">
        <v>199</v>
      </c>
      <c r="Q130" s="52" t="s">
        <v>205</v>
      </c>
      <c r="R130" s="52" t="s">
        <v>254</v>
      </c>
      <c r="S130" s="52" t="s">
        <v>257</v>
      </c>
      <c r="T130" s="52" t="s">
        <v>258</v>
      </c>
      <c r="U130" s="52" t="s">
        <v>649</v>
      </c>
      <c r="V130" s="52" t="s">
        <v>649</v>
      </c>
      <c r="W130" s="52" t="s">
        <v>649</v>
      </c>
      <c r="X130" s="52" t="s">
        <v>650</v>
      </c>
      <c r="Y130" s="52" t="s">
        <v>651</v>
      </c>
      <c r="Z130" s="52" t="s">
        <v>652</v>
      </c>
      <c r="AA130" s="61">
        <v>1.98</v>
      </c>
      <c r="AB130" s="52" t="s">
        <v>128</v>
      </c>
      <c r="AC130" s="63">
        <v>10</v>
      </c>
      <c r="AD130" s="52" t="s">
        <v>169</v>
      </c>
      <c r="AE130" s="53" t="s">
        <v>179</v>
      </c>
      <c r="AF130" s="65">
        <v>0</v>
      </c>
      <c r="AG130" s="53" t="s">
        <v>192</v>
      </c>
      <c r="AH130" s="52" t="s">
        <v>219</v>
      </c>
      <c r="AI130" s="52" t="s">
        <v>219</v>
      </c>
      <c r="AJ130" s="52" t="s">
        <v>219</v>
      </c>
      <c r="AK130" s="52" t="s">
        <v>219</v>
      </c>
      <c r="AL130" s="52" t="s">
        <v>1024</v>
      </c>
      <c r="AM130" s="52" t="s">
        <v>1219</v>
      </c>
      <c r="AN130" s="52" t="s">
        <v>1220</v>
      </c>
      <c r="AO130" s="64" t="s">
        <v>219</v>
      </c>
      <c r="AP130" s="63" t="s">
        <v>1587</v>
      </c>
      <c r="AQ130" s="64" t="s">
        <v>217</v>
      </c>
      <c r="AR130" s="30" t="s">
        <v>219</v>
      </c>
    </row>
    <row r="131" spans="2:44" ht="21.75" customHeight="1" x14ac:dyDescent="0.45">
      <c r="B131" s="52" t="s">
        <v>99</v>
      </c>
      <c r="E131" s="53" t="s">
        <v>87</v>
      </c>
      <c r="F131" s="52" t="s">
        <v>1573</v>
      </c>
      <c r="H131" s="53" t="s">
        <v>109</v>
      </c>
      <c r="J131" s="76">
        <v>881</v>
      </c>
      <c r="L131" s="52" t="s">
        <v>1591</v>
      </c>
      <c r="M131" s="52" t="s">
        <v>1592</v>
      </c>
      <c r="N131" s="52" t="s">
        <v>1593</v>
      </c>
      <c r="O131" s="52" t="s">
        <v>191</v>
      </c>
      <c r="P131" s="52" t="s">
        <v>199</v>
      </c>
      <c r="Q131" s="52" t="s">
        <v>205</v>
      </c>
      <c r="R131" s="52" t="s">
        <v>254</v>
      </c>
      <c r="S131" s="52" t="s">
        <v>257</v>
      </c>
      <c r="T131" s="52" t="s">
        <v>258</v>
      </c>
      <c r="U131" s="52" t="s">
        <v>653</v>
      </c>
      <c r="V131" s="52" t="s">
        <v>653</v>
      </c>
      <c r="W131" s="52" t="s">
        <v>653</v>
      </c>
      <c r="X131" s="52" t="s">
        <v>654</v>
      </c>
      <c r="Y131" s="52" t="s">
        <v>655</v>
      </c>
      <c r="Z131" s="52" t="s">
        <v>656</v>
      </c>
      <c r="AA131" s="61">
        <v>1.32</v>
      </c>
      <c r="AB131" s="52" t="s">
        <v>128</v>
      </c>
      <c r="AC131" s="63">
        <v>10</v>
      </c>
      <c r="AD131" s="52" t="s">
        <v>169</v>
      </c>
      <c r="AE131" s="53" t="s">
        <v>179</v>
      </c>
      <c r="AF131" s="65">
        <v>0</v>
      </c>
      <c r="AG131" s="53" t="s">
        <v>192</v>
      </c>
      <c r="AH131" s="52" t="s">
        <v>219</v>
      </c>
      <c r="AI131" s="52" t="s">
        <v>219</v>
      </c>
      <c r="AJ131" s="52" t="s">
        <v>219</v>
      </c>
      <c r="AK131" s="52" t="s">
        <v>219</v>
      </c>
      <c r="AL131" s="52" t="s">
        <v>1024</v>
      </c>
      <c r="AM131" s="52" t="s">
        <v>1219</v>
      </c>
      <c r="AN131" s="52" t="s">
        <v>1220</v>
      </c>
      <c r="AO131" s="64" t="s">
        <v>219</v>
      </c>
      <c r="AP131" s="63" t="s">
        <v>1587</v>
      </c>
      <c r="AQ131" s="64" t="s">
        <v>217</v>
      </c>
      <c r="AR131" s="30" t="s">
        <v>219</v>
      </c>
    </row>
    <row r="132" spans="2:44" ht="21.75" customHeight="1" x14ac:dyDescent="0.45">
      <c r="B132" s="52" t="s">
        <v>99</v>
      </c>
      <c r="E132" s="53" t="s">
        <v>87</v>
      </c>
      <c r="F132" s="52" t="s">
        <v>1573</v>
      </c>
      <c r="H132" s="53" t="s">
        <v>109</v>
      </c>
      <c r="J132" s="76">
        <v>882</v>
      </c>
      <c r="L132" s="52" t="s">
        <v>1594</v>
      </c>
      <c r="M132" s="52" t="s">
        <v>1595</v>
      </c>
      <c r="N132" s="52" t="s">
        <v>1596</v>
      </c>
      <c r="O132" s="52" t="s">
        <v>191</v>
      </c>
      <c r="P132" s="52" t="s">
        <v>199</v>
      </c>
      <c r="Q132" s="52" t="s">
        <v>205</v>
      </c>
      <c r="R132" s="52" t="s">
        <v>254</v>
      </c>
      <c r="S132" s="52" t="s">
        <v>257</v>
      </c>
      <c r="T132" s="52" t="s">
        <v>258</v>
      </c>
      <c r="U132" s="52" t="s">
        <v>657</v>
      </c>
      <c r="V132" s="52" t="s">
        <v>657</v>
      </c>
      <c r="W132" s="52" t="s">
        <v>657</v>
      </c>
      <c r="X132" s="52" t="s">
        <v>658</v>
      </c>
      <c r="Y132" s="52" t="s">
        <v>659</v>
      </c>
      <c r="Z132" s="52" t="s">
        <v>660</v>
      </c>
      <c r="AA132" s="61">
        <v>0.99</v>
      </c>
      <c r="AB132" s="52" t="s">
        <v>128</v>
      </c>
      <c r="AC132" s="63">
        <v>10</v>
      </c>
      <c r="AD132" s="52" t="s">
        <v>169</v>
      </c>
      <c r="AE132" s="53" t="s">
        <v>179</v>
      </c>
      <c r="AF132" s="65">
        <v>0</v>
      </c>
      <c r="AG132" s="53" t="s">
        <v>192</v>
      </c>
      <c r="AH132" s="52" t="s">
        <v>219</v>
      </c>
      <c r="AI132" s="52" t="s">
        <v>219</v>
      </c>
      <c r="AJ132" s="52" t="s">
        <v>219</v>
      </c>
      <c r="AK132" s="52" t="s">
        <v>219</v>
      </c>
      <c r="AL132" s="52" t="s">
        <v>1024</v>
      </c>
      <c r="AM132" s="52" t="s">
        <v>1219</v>
      </c>
      <c r="AN132" s="52" t="s">
        <v>1220</v>
      </c>
      <c r="AO132" s="64" t="s">
        <v>219</v>
      </c>
      <c r="AP132" s="63" t="s">
        <v>1587</v>
      </c>
      <c r="AQ132" s="64" t="s">
        <v>217</v>
      </c>
      <c r="AR132" s="30" t="s">
        <v>219</v>
      </c>
    </row>
    <row r="133" spans="2:44" ht="21.75" customHeight="1" x14ac:dyDescent="0.45">
      <c r="B133" s="52" t="s">
        <v>99</v>
      </c>
      <c r="E133" s="53" t="s">
        <v>87</v>
      </c>
      <c r="F133" s="52" t="s">
        <v>1573</v>
      </c>
      <c r="H133" s="53" t="s">
        <v>109</v>
      </c>
      <c r="J133" s="76">
        <v>883</v>
      </c>
      <c r="L133" s="52" t="s">
        <v>1597</v>
      </c>
      <c r="M133" s="52" t="s">
        <v>1598</v>
      </c>
      <c r="N133" s="52" t="s">
        <v>1599</v>
      </c>
      <c r="O133" s="52" t="s">
        <v>191</v>
      </c>
      <c r="P133" s="52" t="s">
        <v>199</v>
      </c>
      <c r="Q133" s="52" t="s">
        <v>205</v>
      </c>
      <c r="R133" s="52" t="s">
        <v>254</v>
      </c>
      <c r="S133" s="52" t="s">
        <v>257</v>
      </c>
      <c r="T133" s="52" t="s">
        <v>258</v>
      </c>
      <c r="U133" s="52" t="s">
        <v>661</v>
      </c>
      <c r="V133" s="52" t="s">
        <v>661</v>
      </c>
      <c r="W133" s="52" t="s">
        <v>661</v>
      </c>
      <c r="X133" s="52" t="s">
        <v>662</v>
      </c>
      <c r="Y133" s="52" t="s">
        <v>663</v>
      </c>
      <c r="Z133" s="52" t="s">
        <v>664</v>
      </c>
      <c r="AA133" s="61">
        <v>0.33</v>
      </c>
      <c r="AB133" s="52" t="s">
        <v>128</v>
      </c>
      <c r="AC133" s="63">
        <v>10</v>
      </c>
      <c r="AD133" s="52" t="s">
        <v>169</v>
      </c>
      <c r="AE133" s="53" t="s">
        <v>179</v>
      </c>
      <c r="AF133" s="65">
        <v>0</v>
      </c>
      <c r="AG133" s="53" t="s">
        <v>192</v>
      </c>
      <c r="AH133" s="52" t="s">
        <v>219</v>
      </c>
      <c r="AI133" s="52" t="s">
        <v>219</v>
      </c>
      <c r="AJ133" s="52" t="s">
        <v>219</v>
      </c>
      <c r="AK133" s="52" t="s">
        <v>219</v>
      </c>
      <c r="AL133" s="52" t="s">
        <v>1024</v>
      </c>
      <c r="AM133" s="52" t="s">
        <v>1219</v>
      </c>
      <c r="AN133" s="52" t="s">
        <v>1220</v>
      </c>
      <c r="AO133" s="64" t="s">
        <v>219</v>
      </c>
      <c r="AP133" s="63" t="s">
        <v>1587</v>
      </c>
      <c r="AQ133" s="64" t="s">
        <v>217</v>
      </c>
      <c r="AR133" s="30" t="s">
        <v>219</v>
      </c>
    </row>
    <row r="134" spans="2:44" ht="21.75" customHeight="1" x14ac:dyDescent="0.45">
      <c r="B134" s="52" t="s">
        <v>99</v>
      </c>
      <c r="E134" s="53" t="s">
        <v>87</v>
      </c>
      <c r="F134" s="52" t="s">
        <v>1573</v>
      </c>
      <c r="H134" s="53" t="s">
        <v>109</v>
      </c>
      <c r="J134" s="76">
        <v>884</v>
      </c>
      <c r="L134" s="52" t="s">
        <v>1600</v>
      </c>
      <c r="M134" s="52" t="s">
        <v>1601</v>
      </c>
      <c r="N134" s="52" t="s">
        <v>1602</v>
      </c>
      <c r="O134" s="52" t="s">
        <v>191</v>
      </c>
      <c r="P134" s="52" t="s">
        <v>199</v>
      </c>
      <c r="Q134" s="52" t="s">
        <v>205</v>
      </c>
      <c r="R134" s="52" t="s">
        <v>254</v>
      </c>
      <c r="S134" s="52" t="s">
        <v>257</v>
      </c>
      <c r="T134" s="52" t="s">
        <v>258</v>
      </c>
      <c r="U134" s="52" t="s">
        <v>665</v>
      </c>
      <c r="V134" s="52" t="s">
        <v>665</v>
      </c>
      <c r="W134" s="52" t="s">
        <v>665</v>
      </c>
      <c r="X134" s="52" t="s">
        <v>666</v>
      </c>
      <c r="Y134" s="52" t="s">
        <v>667</v>
      </c>
      <c r="Z134" s="52" t="s">
        <v>668</v>
      </c>
      <c r="AA134" s="61">
        <v>3</v>
      </c>
      <c r="AB134" s="52" t="s">
        <v>128</v>
      </c>
      <c r="AC134" s="63">
        <v>10</v>
      </c>
      <c r="AD134" s="52" t="s">
        <v>169</v>
      </c>
      <c r="AE134" s="53" t="s">
        <v>179</v>
      </c>
      <c r="AF134" s="65">
        <v>0</v>
      </c>
      <c r="AG134" s="53" t="s">
        <v>192</v>
      </c>
      <c r="AH134" s="52" t="s">
        <v>219</v>
      </c>
      <c r="AI134" s="52" t="s">
        <v>219</v>
      </c>
      <c r="AJ134" s="52" t="s">
        <v>219</v>
      </c>
      <c r="AK134" s="52" t="s">
        <v>219</v>
      </c>
      <c r="AL134" s="52" t="s">
        <v>1024</v>
      </c>
      <c r="AM134" s="52" t="s">
        <v>1219</v>
      </c>
      <c r="AN134" s="52" t="s">
        <v>1220</v>
      </c>
      <c r="AO134" s="64" t="s">
        <v>219</v>
      </c>
      <c r="AP134" s="63" t="s">
        <v>1577</v>
      </c>
      <c r="AQ134" s="64" t="s">
        <v>217</v>
      </c>
      <c r="AR134" s="30" t="s">
        <v>219</v>
      </c>
    </row>
    <row r="135" spans="2:44" ht="21.75" customHeight="1" x14ac:dyDescent="0.45">
      <c r="B135" s="52" t="s">
        <v>99</v>
      </c>
      <c r="E135" s="53" t="s">
        <v>87</v>
      </c>
      <c r="F135" s="52" t="s">
        <v>1573</v>
      </c>
      <c r="H135" s="53" t="s">
        <v>109</v>
      </c>
      <c r="J135" s="76">
        <v>885</v>
      </c>
      <c r="L135" s="52" t="s">
        <v>1603</v>
      </c>
      <c r="M135" s="52" t="s">
        <v>1604</v>
      </c>
      <c r="N135" s="52" t="s">
        <v>1605</v>
      </c>
      <c r="O135" s="52" t="s">
        <v>191</v>
      </c>
      <c r="P135" s="52" t="s">
        <v>199</v>
      </c>
      <c r="Q135" s="52" t="s">
        <v>205</v>
      </c>
      <c r="R135" s="52" t="s">
        <v>254</v>
      </c>
      <c r="S135" s="52" t="s">
        <v>257</v>
      </c>
      <c r="T135" s="52" t="s">
        <v>258</v>
      </c>
      <c r="U135" s="52" t="s">
        <v>669</v>
      </c>
      <c r="V135" s="52" t="s">
        <v>669</v>
      </c>
      <c r="W135" s="52" t="s">
        <v>669</v>
      </c>
      <c r="X135" s="52" t="s">
        <v>670</v>
      </c>
      <c r="Y135" s="52" t="s">
        <v>671</v>
      </c>
      <c r="Z135" s="52" t="s">
        <v>672</v>
      </c>
      <c r="AA135" s="61">
        <v>2</v>
      </c>
      <c r="AB135" s="52" t="s">
        <v>128</v>
      </c>
      <c r="AC135" s="63">
        <v>10</v>
      </c>
      <c r="AD135" s="52" t="s">
        <v>169</v>
      </c>
      <c r="AE135" s="53" t="s">
        <v>179</v>
      </c>
      <c r="AF135" s="65">
        <v>0</v>
      </c>
      <c r="AG135" s="53" t="s">
        <v>192</v>
      </c>
      <c r="AH135" s="52" t="s">
        <v>219</v>
      </c>
      <c r="AI135" s="52" t="s">
        <v>219</v>
      </c>
      <c r="AJ135" s="52" t="s">
        <v>219</v>
      </c>
      <c r="AK135" s="52" t="s">
        <v>219</v>
      </c>
      <c r="AL135" s="52" t="s">
        <v>1024</v>
      </c>
      <c r="AM135" s="52" t="s">
        <v>1219</v>
      </c>
      <c r="AN135" s="52" t="s">
        <v>1220</v>
      </c>
      <c r="AO135" s="64" t="s">
        <v>219</v>
      </c>
      <c r="AP135" s="63" t="s">
        <v>1577</v>
      </c>
      <c r="AQ135" s="64" t="s">
        <v>217</v>
      </c>
      <c r="AR135" s="30" t="s">
        <v>219</v>
      </c>
    </row>
    <row r="136" spans="2:44" ht="21.75" customHeight="1" x14ac:dyDescent="0.45">
      <c r="B136" s="52" t="s">
        <v>99</v>
      </c>
      <c r="E136" s="53" t="s">
        <v>87</v>
      </c>
      <c r="F136" s="52" t="s">
        <v>1573</v>
      </c>
      <c r="H136" s="53" t="s">
        <v>109</v>
      </c>
      <c r="J136" s="76">
        <v>886</v>
      </c>
      <c r="L136" s="52" t="s">
        <v>1606</v>
      </c>
      <c r="M136" s="52" t="s">
        <v>1607</v>
      </c>
      <c r="N136" s="52" t="s">
        <v>1608</v>
      </c>
      <c r="O136" s="52" t="s">
        <v>191</v>
      </c>
      <c r="P136" s="52" t="s">
        <v>199</v>
      </c>
      <c r="Q136" s="52" t="s">
        <v>205</v>
      </c>
      <c r="R136" s="52" t="s">
        <v>254</v>
      </c>
      <c r="S136" s="52" t="s">
        <v>257</v>
      </c>
      <c r="T136" s="52" t="s">
        <v>258</v>
      </c>
      <c r="U136" s="52" t="s">
        <v>673</v>
      </c>
      <c r="V136" s="52" t="s">
        <v>673</v>
      </c>
      <c r="W136" s="52" t="s">
        <v>673</v>
      </c>
      <c r="X136" s="52" t="s">
        <v>674</v>
      </c>
      <c r="Y136" s="52" t="s">
        <v>675</v>
      </c>
      <c r="Z136" s="52" t="s">
        <v>676</v>
      </c>
      <c r="AA136" s="61">
        <v>0.5</v>
      </c>
      <c r="AB136" s="52" t="s">
        <v>128</v>
      </c>
      <c r="AC136" s="63">
        <v>10</v>
      </c>
      <c r="AD136" s="52" t="s">
        <v>169</v>
      </c>
      <c r="AE136" s="53" t="s">
        <v>179</v>
      </c>
      <c r="AF136" s="65">
        <v>0</v>
      </c>
      <c r="AG136" s="53" t="s">
        <v>192</v>
      </c>
      <c r="AH136" s="52" t="s">
        <v>219</v>
      </c>
      <c r="AI136" s="52" t="s">
        <v>219</v>
      </c>
      <c r="AJ136" s="52" t="s">
        <v>219</v>
      </c>
      <c r="AK136" s="52" t="s">
        <v>219</v>
      </c>
      <c r="AL136" s="52" t="s">
        <v>1024</v>
      </c>
      <c r="AM136" s="52" t="s">
        <v>1219</v>
      </c>
      <c r="AN136" s="52" t="s">
        <v>1220</v>
      </c>
      <c r="AO136" s="64" t="s">
        <v>219</v>
      </c>
      <c r="AP136" s="63" t="s">
        <v>1577</v>
      </c>
      <c r="AQ136" s="64" t="s">
        <v>217</v>
      </c>
      <c r="AR136" s="30" t="s">
        <v>219</v>
      </c>
    </row>
    <row r="137" spans="2:44" ht="21.75" customHeight="1" x14ac:dyDescent="0.45">
      <c r="B137" s="52" t="s">
        <v>99</v>
      </c>
      <c r="E137" s="53" t="s">
        <v>87</v>
      </c>
      <c r="F137" s="52" t="s">
        <v>1573</v>
      </c>
      <c r="H137" s="53" t="s">
        <v>109</v>
      </c>
      <c r="J137" s="76">
        <v>887</v>
      </c>
      <c r="L137" s="52" t="s">
        <v>1609</v>
      </c>
      <c r="M137" s="52" t="s">
        <v>1610</v>
      </c>
      <c r="N137" s="52" t="s">
        <v>1611</v>
      </c>
      <c r="O137" s="52" t="s">
        <v>191</v>
      </c>
      <c r="P137" s="52" t="s">
        <v>199</v>
      </c>
      <c r="Q137" s="52" t="s">
        <v>205</v>
      </c>
      <c r="R137" s="52" t="s">
        <v>254</v>
      </c>
      <c r="S137" s="52" t="s">
        <v>257</v>
      </c>
      <c r="T137" s="52" t="s">
        <v>258</v>
      </c>
      <c r="U137" s="52" t="s">
        <v>677</v>
      </c>
      <c r="V137" s="52" t="s">
        <v>677</v>
      </c>
      <c r="W137" s="52" t="s">
        <v>677</v>
      </c>
      <c r="X137" s="52" t="s">
        <v>678</v>
      </c>
      <c r="Y137" s="52" t="s">
        <v>679</v>
      </c>
      <c r="Z137" s="52" t="s">
        <v>680</v>
      </c>
      <c r="AA137" s="61">
        <v>0.75</v>
      </c>
      <c r="AB137" s="52" t="s">
        <v>128</v>
      </c>
      <c r="AC137" s="63">
        <v>10</v>
      </c>
      <c r="AD137" s="52" t="s">
        <v>169</v>
      </c>
      <c r="AE137" s="53" t="s">
        <v>179</v>
      </c>
      <c r="AF137" s="65">
        <v>0</v>
      </c>
      <c r="AG137" s="53" t="s">
        <v>192</v>
      </c>
      <c r="AH137" s="52" t="s">
        <v>219</v>
      </c>
      <c r="AI137" s="52" t="s">
        <v>219</v>
      </c>
      <c r="AJ137" s="52" t="s">
        <v>219</v>
      </c>
      <c r="AK137" s="52" t="s">
        <v>219</v>
      </c>
      <c r="AL137" s="52" t="s">
        <v>1024</v>
      </c>
      <c r="AM137" s="52" t="s">
        <v>1219</v>
      </c>
      <c r="AN137" s="52" t="s">
        <v>1220</v>
      </c>
      <c r="AO137" s="64" t="s">
        <v>219</v>
      </c>
      <c r="AP137" s="63" t="s">
        <v>1577</v>
      </c>
      <c r="AQ137" s="64" t="s">
        <v>217</v>
      </c>
      <c r="AR137" s="30" t="s">
        <v>219</v>
      </c>
    </row>
    <row r="138" spans="2:44" ht="21.75" customHeight="1" x14ac:dyDescent="0.45">
      <c r="B138" s="52" t="s">
        <v>99</v>
      </c>
      <c r="E138" s="53" t="s">
        <v>87</v>
      </c>
      <c r="F138" s="52" t="s">
        <v>1612</v>
      </c>
      <c r="H138" s="53" t="s">
        <v>109</v>
      </c>
      <c r="J138" s="76">
        <v>888</v>
      </c>
      <c r="L138" s="52" t="s">
        <v>1971</v>
      </c>
      <c r="M138" s="52" t="s">
        <v>1972</v>
      </c>
      <c r="N138" s="52" t="s">
        <v>1973</v>
      </c>
      <c r="O138" s="52" t="s">
        <v>1112</v>
      </c>
      <c r="P138" s="52" t="s">
        <v>1114</v>
      </c>
      <c r="Q138" s="52" t="s">
        <v>1116</v>
      </c>
      <c r="R138" s="52" t="s">
        <v>254</v>
      </c>
      <c r="S138" s="52" t="s">
        <v>257</v>
      </c>
      <c r="T138" s="52" t="s">
        <v>258</v>
      </c>
      <c r="U138" s="52" t="s">
        <v>255</v>
      </c>
      <c r="V138" s="52" t="s">
        <v>255</v>
      </c>
      <c r="W138" s="52" t="s">
        <v>255</v>
      </c>
      <c r="X138" s="52" t="s">
        <v>1113</v>
      </c>
      <c r="Y138" s="52" t="s">
        <v>1115</v>
      </c>
      <c r="Z138" s="52" t="s">
        <v>1117</v>
      </c>
      <c r="AA138" s="61">
        <v>0.25</v>
      </c>
      <c r="AB138" s="52" t="s">
        <v>130</v>
      </c>
      <c r="AC138" s="63">
        <v>100</v>
      </c>
      <c r="AD138" s="52" t="s">
        <v>169</v>
      </c>
      <c r="AE138" s="53" t="s">
        <v>179</v>
      </c>
      <c r="AF138" s="65">
        <v>0</v>
      </c>
      <c r="AG138" s="53" t="s">
        <v>192</v>
      </c>
      <c r="AH138" s="52" t="s">
        <v>219</v>
      </c>
      <c r="AI138" s="52" t="s">
        <v>219</v>
      </c>
      <c r="AJ138" s="52" t="s">
        <v>219</v>
      </c>
      <c r="AK138" s="52" t="s">
        <v>219</v>
      </c>
      <c r="AL138" s="52" t="s">
        <v>1024</v>
      </c>
      <c r="AM138" s="52" t="s">
        <v>1219</v>
      </c>
      <c r="AN138" s="52" t="s">
        <v>1220</v>
      </c>
      <c r="AO138" s="64" t="s">
        <v>219</v>
      </c>
      <c r="AP138" s="63" t="s">
        <v>1613</v>
      </c>
      <c r="AQ138" s="64" t="s">
        <v>217</v>
      </c>
      <c r="AR138" s="30" t="s">
        <v>219</v>
      </c>
    </row>
    <row r="139" spans="2:44" ht="21.75" customHeight="1" x14ac:dyDescent="0.45">
      <c r="B139" s="52" t="s">
        <v>99</v>
      </c>
      <c r="E139" s="53" t="s">
        <v>87</v>
      </c>
      <c r="F139" s="52" t="s">
        <v>1612</v>
      </c>
      <c r="H139" s="53" t="s">
        <v>109</v>
      </c>
      <c r="J139" s="76">
        <v>889</v>
      </c>
      <c r="L139" s="52" t="s">
        <v>1974</v>
      </c>
      <c r="M139" s="52" t="s">
        <v>1975</v>
      </c>
      <c r="N139" s="52" t="s">
        <v>1976</v>
      </c>
      <c r="O139" s="52" t="s">
        <v>1112</v>
      </c>
      <c r="P139" s="52" t="s">
        <v>1114</v>
      </c>
      <c r="Q139" s="52" t="s">
        <v>1116</v>
      </c>
      <c r="R139" s="52" t="s">
        <v>254</v>
      </c>
      <c r="S139" s="52" t="s">
        <v>257</v>
      </c>
      <c r="T139" s="52" t="s">
        <v>258</v>
      </c>
      <c r="U139" s="52" t="s">
        <v>268</v>
      </c>
      <c r="V139" s="52" t="s">
        <v>268</v>
      </c>
      <c r="W139" s="52" t="s">
        <v>268</v>
      </c>
      <c r="X139" s="52" t="s">
        <v>1118</v>
      </c>
      <c r="Y139" s="52" t="s">
        <v>1119</v>
      </c>
      <c r="Z139" s="52" t="s">
        <v>1120</v>
      </c>
      <c r="AA139" s="61">
        <v>0.5</v>
      </c>
      <c r="AB139" s="52" t="s">
        <v>130</v>
      </c>
      <c r="AC139" s="63">
        <v>100</v>
      </c>
      <c r="AD139" s="52" t="s">
        <v>169</v>
      </c>
      <c r="AE139" s="53" t="s">
        <v>179</v>
      </c>
      <c r="AF139" s="65">
        <v>0</v>
      </c>
      <c r="AG139" s="53" t="s">
        <v>192</v>
      </c>
      <c r="AH139" s="52" t="s">
        <v>219</v>
      </c>
      <c r="AI139" s="52" t="s">
        <v>219</v>
      </c>
      <c r="AJ139" s="52" t="s">
        <v>219</v>
      </c>
      <c r="AK139" s="52" t="s">
        <v>219</v>
      </c>
      <c r="AL139" s="52" t="s">
        <v>1024</v>
      </c>
      <c r="AM139" s="52" t="s">
        <v>1219</v>
      </c>
      <c r="AN139" s="52" t="s">
        <v>1220</v>
      </c>
      <c r="AO139" s="64" t="s">
        <v>219</v>
      </c>
      <c r="AP139" s="63" t="s">
        <v>1613</v>
      </c>
      <c r="AQ139" s="64" t="s">
        <v>217</v>
      </c>
      <c r="AR139" s="30" t="s">
        <v>219</v>
      </c>
    </row>
    <row r="140" spans="2:44" ht="21.75" customHeight="1" x14ac:dyDescent="0.45">
      <c r="B140" s="52" t="s">
        <v>99</v>
      </c>
      <c r="E140" s="53" t="s">
        <v>87</v>
      </c>
      <c r="F140" s="52" t="s">
        <v>1612</v>
      </c>
      <c r="H140" s="53" t="s">
        <v>109</v>
      </c>
      <c r="J140" s="76">
        <v>890</v>
      </c>
      <c r="L140" s="52" t="s">
        <v>1977</v>
      </c>
      <c r="M140" s="52" t="s">
        <v>1978</v>
      </c>
      <c r="N140" s="52" t="s">
        <v>1979</v>
      </c>
      <c r="O140" s="52" t="s">
        <v>1112</v>
      </c>
      <c r="P140" s="52" t="s">
        <v>1114</v>
      </c>
      <c r="Q140" s="52" t="s">
        <v>1116</v>
      </c>
      <c r="R140" s="52" t="s">
        <v>254</v>
      </c>
      <c r="S140" s="52" t="s">
        <v>257</v>
      </c>
      <c r="T140" s="52" t="s">
        <v>258</v>
      </c>
      <c r="U140" s="52" t="s">
        <v>307</v>
      </c>
      <c r="V140" s="52" t="s">
        <v>307</v>
      </c>
      <c r="W140" s="52" t="s">
        <v>307</v>
      </c>
      <c r="X140" s="52" t="s">
        <v>1121</v>
      </c>
      <c r="Y140" s="52" t="s">
        <v>1122</v>
      </c>
      <c r="Z140" s="52" t="s">
        <v>1123</v>
      </c>
      <c r="AA140" s="61">
        <v>1</v>
      </c>
      <c r="AB140" s="52" t="s">
        <v>130</v>
      </c>
      <c r="AC140" s="63">
        <v>100</v>
      </c>
      <c r="AD140" s="52" t="s">
        <v>169</v>
      </c>
      <c r="AE140" s="53" t="s">
        <v>179</v>
      </c>
      <c r="AF140" s="65">
        <v>0</v>
      </c>
      <c r="AG140" s="53" t="s">
        <v>192</v>
      </c>
      <c r="AH140" s="52" t="s">
        <v>219</v>
      </c>
      <c r="AI140" s="52" t="s">
        <v>219</v>
      </c>
      <c r="AJ140" s="52" t="s">
        <v>219</v>
      </c>
      <c r="AK140" s="52" t="s">
        <v>219</v>
      </c>
      <c r="AL140" s="52" t="s">
        <v>1024</v>
      </c>
      <c r="AM140" s="52" t="s">
        <v>1219</v>
      </c>
      <c r="AN140" s="52" t="s">
        <v>1220</v>
      </c>
      <c r="AO140" s="64" t="s">
        <v>219</v>
      </c>
      <c r="AP140" s="63" t="s">
        <v>1613</v>
      </c>
      <c r="AQ140" s="64" t="s">
        <v>217</v>
      </c>
      <c r="AR140" s="30" t="s">
        <v>219</v>
      </c>
    </row>
    <row r="141" spans="2:44" ht="21.75" customHeight="1" x14ac:dyDescent="0.45">
      <c r="B141" s="52" t="s">
        <v>99</v>
      </c>
      <c r="E141" s="53" t="s">
        <v>87</v>
      </c>
      <c r="F141" s="52" t="s">
        <v>1612</v>
      </c>
      <c r="H141" s="53" t="s">
        <v>109</v>
      </c>
      <c r="J141" s="76">
        <v>891</v>
      </c>
      <c r="L141" s="52" t="s">
        <v>1614</v>
      </c>
      <c r="M141" s="52" t="s">
        <v>1615</v>
      </c>
      <c r="N141" s="52" t="s">
        <v>1616</v>
      </c>
      <c r="O141" s="52" t="s">
        <v>1124</v>
      </c>
      <c r="P141" s="52" t="s">
        <v>1125</v>
      </c>
      <c r="Q141" s="52" t="s">
        <v>1208</v>
      </c>
      <c r="R141" s="52" t="s">
        <v>254</v>
      </c>
      <c r="S141" s="52" t="s">
        <v>257</v>
      </c>
      <c r="T141" s="52" t="s">
        <v>258</v>
      </c>
      <c r="U141" s="52" t="s">
        <v>273</v>
      </c>
      <c r="V141" s="52" t="s">
        <v>274</v>
      </c>
      <c r="W141" s="52" t="s">
        <v>275</v>
      </c>
      <c r="X141" s="52" t="s">
        <v>1124</v>
      </c>
      <c r="Y141" s="52" t="s">
        <v>1125</v>
      </c>
      <c r="Z141" s="52" t="s">
        <v>1208</v>
      </c>
      <c r="AA141" s="61">
        <v>1</v>
      </c>
      <c r="AB141" s="52" t="s">
        <v>128</v>
      </c>
      <c r="AC141" s="63">
        <v>10</v>
      </c>
      <c r="AD141" s="52" t="s">
        <v>169</v>
      </c>
      <c r="AE141" s="53" t="s">
        <v>179</v>
      </c>
      <c r="AF141" s="65">
        <v>0</v>
      </c>
      <c r="AG141" s="53" t="s">
        <v>192</v>
      </c>
      <c r="AH141" s="52" t="s">
        <v>219</v>
      </c>
      <c r="AI141" s="52" t="s">
        <v>219</v>
      </c>
      <c r="AJ141" s="52" t="s">
        <v>219</v>
      </c>
      <c r="AK141" s="52" t="s">
        <v>219</v>
      </c>
      <c r="AL141" s="52" t="s">
        <v>1024</v>
      </c>
      <c r="AM141" s="52" t="s">
        <v>1219</v>
      </c>
      <c r="AN141" s="52" t="s">
        <v>1220</v>
      </c>
      <c r="AO141" s="64" t="s">
        <v>219</v>
      </c>
      <c r="AP141" s="63" t="s">
        <v>1617</v>
      </c>
      <c r="AQ141" s="64" t="s">
        <v>217</v>
      </c>
      <c r="AR141" s="30" t="s">
        <v>219</v>
      </c>
    </row>
    <row r="142" spans="2:44" ht="21.75" customHeight="1" x14ac:dyDescent="0.45">
      <c r="B142" s="52" t="s">
        <v>99</v>
      </c>
      <c r="E142" s="53" t="s">
        <v>87</v>
      </c>
      <c r="F142" s="52" t="s">
        <v>1612</v>
      </c>
      <c r="H142" s="53" t="s">
        <v>109</v>
      </c>
      <c r="J142" s="76">
        <v>892</v>
      </c>
      <c r="L142" s="52" t="s">
        <v>1843</v>
      </c>
      <c r="M142" s="52" t="s">
        <v>1618</v>
      </c>
      <c r="N142" s="52" t="s">
        <v>1619</v>
      </c>
      <c r="O142" s="52" t="s">
        <v>1126</v>
      </c>
      <c r="P142" s="52" t="s">
        <v>1127</v>
      </c>
      <c r="Q142" s="52" t="s">
        <v>1209</v>
      </c>
      <c r="R142" s="52" t="s">
        <v>254</v>
      </c>
      <c r="S142" s="52" t="s">
        <v>257</v>
      </c>
      <c r="T142" s="52" t="s">
        <v>258</v>
      </c>
      <c r="U142" s="52" t="s">
        <v>273</v>
      </c>
      <c r="V142" s="52" t="s">
        <v>274</v>
      </c>
      <c r="W142" s="52" t="s">
        <v>275</v>
      </c>
      <c r="X142" s="52" t="s">
        <v>1126</v>
      </c>
      <c r="Y142" s="52" t="s">
        <v>1127</v>
      </c>
      <c r="Z142" s="52" t="s">
        <v>1209</v>
      </c>
      <c r="AA142" s="61">
        <v>1</v>
      </c>
      <c r="AB142" s="52" t="s">
        <v>128</v>
      </c>
      <c r="AC142" s="63">
        <v>10</v>
      </c>
      <c r="AD142" s="52" t="s">
        <v>169</v>
      </c>
      <c r="AE142" s="53" t="s">
        <v>179</v>
      </c>
      <c r="AF142" s="65">
        <v>0</v>
      </c>
      <c r="AG142" s="53" t="s">
        <v>192</v>
      </c>
      <c r="AH142" s="52" t="s">
        <v>219</v>
      </c>
      <c r="AI142" s="52" t="s">
        <v>219</v>
      </c>
      <c r="AJ142" s="52" t="s">
        <v>219</v>
      </c>
      <c r="AK142" s="52" t="s">
        <v>219</v>
      </c>
      <c r="AL142" s="52" t="s">
        <v>1024</v>
      </c>
      <c r="AM142" s="52" t="s">
        <v>1219</v>
      </c>
      <c r="AN142" s="52" t="s">
        <v>1220</v>
      </c>
      <c r="AO142" s="64" t="s">
        <v>219</v>
      </c>
      <c r="AP142" s="63" t="s">
        <v>1617</v>
      </c>
      <c r="AQ142" s="64" t="s">
        <v>217</v>
      </c>
      <c r="AR142" s="30" t="s">
        <v>219</v>
      </c>
    </row>
    <row r="143" spans="2:44" ht="21.75" customHeight="1" x14ac:dyDescent="0.45">
      <c r="B143" s="52" t="s">
        <v>99</v>
      </c>
      <c r="E143" s="53" t="s">
        <v>87</v>
      </c>
      <c r="F143" s="52" t="s">
        <v>1612</v>
      </c>
      <c r="H143" s="53" t="s">
        <v>109</v>
      </c>
      <c r="J143" s="76">
        <v>893</v>
      </c>
      <c r="L143" s="52" t="s">
        <v>1620</v>
      </c>
      <c r="M143" s="52" t="s">
        <v>1621</v>
      </c>
      <c r="N143" s="52" t="s">
        <v>1622</v>
      </c>
      <c r="O143" s="52" t="s">
        <v>1128</v>
      </c>
      <c r="P143" s="52" t="s">
        <v>1129</v>
      </c>
      <c r="Q143" s="52" t="s">
        <v>1210</v>
      </c>
      <c r="R143" s="52" t="s">
        <v>254</v>
      </c>
      <c r="S143" s="52" t="s">
        <v>257</v>
      </c>
      <c r="T143" s="52" t="s">
        <v>258</v>
      </c>
      <c r="U143" s="52" t="s">
        <v>273</v>
      </c>
      <c r="V143" s="52" t="s">
        <v>274</v>
      </c>
      <c r="W143" s="52" t="s">
        <v>275</v>
      </c>
      <c r="X143" s="52" t="s">
        <v>1128</v>
      </c>
      <c r="Y143" s="52" t="s">
        <v>1129</v>
      </c>
      <c r="Z143" s="52" t="s">
        <v>1210</v>
      </c>
      <c r="AA143" s="61">
        <v>1</v>
      </c>
      <c r="AB143" s="52" t="s">
        <v>128</v>
      </c>
      <c r="AC143" s="63">
        <v>10</v>
      </c>
      <c r="AD143" s="52" t="s">
        <v>169</v>
      </c>
      <c r="AE143" s="53" t="s">
        <v>179</v>
      </c>
      <c r="AF143" s="65">
        <v>0</v>
      </c>
      <c r="AG143" s="53" t="s">
        <v>192</v>
      </c>
      <c r="AH143" s="52" t="s">
        <v>219</v>
      </c>
      <c r="AI143" s="52" t="s">
        <v>219</v>
      </c>
      <c r="AJ143" s="52" t="s">
        <v>219</v>
      </c>
      <c r="AK143" s="52" t="s">
        <v>219</v>
      </c>
      <c r="AL143" s="52" t="s">
        <v>1024</v>
      </c>
      <c r="AM143" s="52" t="s">
        <v>1219</v>
      </c>
      <c r="AN143" s="52" t="s">
        <v>1220</v>
      </c>
      <c r="AO143" s="64" t="s">
        <v>219</v>
      </c>
      <c r="AP143" s="63" t="s">
        <v>1617</v>
      </c>
      <c r="AQ143" s="64" t="s">
        <v>217</v>
      </c>
      <c r="AR143" s="30" t="s">
        <v>219</v>
      </c>
    </row>
    <row r="144" spans="2:44" ht="21.75" customHeight="1" x14ac:dyDescent="0.45">
      <c r="B144" s="52" t="s">
        <v>99</v>
      </c>
      <c r="E144" s="53" t="s">
        <v>87</v>
      </c>
      <c r="F144" s="52" t="s">
        <v>1623</v>
      </c>
      <c r="H144" s="53" t="s">
        <v>109</v>
      </c>
      <c r="J144" s="76">
        <v>894</v>
      </c>
      <c r="L144" s="52" t="s">
        <v>1624</v>
      </c>
      <c r="M144" s="52" t="s">
        <v>1625</v>
      </c>
      <c r="N144" s="52" t="s">
        <v>1626</v>
      </c>
      <c r="O144" s="52" t="s">
        <v>683</v>
      </c>
      <c r="P144" s="52" t="s">
        <v>685</v>
      </c>
      <c r="Q144" s="52" t="s">
        <v>687</v>
      </c>
      <c r="R144" s="52" t="s">
        <v>254</v>
      </c>
      <c r="S144" s="52" t="s">
        <v>257</v>
      </c>
      <c r="T144" s="52" t="s">
        <v>258</v>
      </c>
      <c r="U144" s="52" t="s">
        <v>387</v>
      </c>
      <c r="V144" s="52" t="s">
        <v>387</v>
      </c>
      <c r="W144" s="52" t="s">
        <v>387</v>
      </c>
      <c r="X144" s="52" t="s">
        <v>684</v>
      </c>
      <c r="Y144" s="52" t="s">
        <v>686</v>
      </c>
      <c r="Z144" s="52" t="s">
        <v>688</v>
      </c>
      <c r="AA144" s="61">
        <v>1</v>
      </c>
      <c r="AB144" s="52" t="s">
        <v>128</v>
      </c>
      <c r="AC144" s="63">
        <v>10</v>
      </c>
      <c r="AD144" s="52" t="s">
        <v>169</v>
      </c>
      <c r="AE144" s="53" t="s">
        <v>179</v>
      </c>
      <c r="AF144" s="65">
        <v>0</v>
      </c>
      <c r="AG144" s="53" t="s">
        <v>192</v>
      </c>
      <c r="AH144" s="52" t="s">
        <v>219</v>
      </c>
      <c r="AI144" s="52" t="s">
        <v>219</v>
      </c>
      <c r="AJ144" s="52" t="s">
        <v>219</v>
      </c>
      <c r="AK144" s="52" t="s">
        <v>219</v>
      </c>
      <c r="AL144" s="52" t="s">
        <v>1024</v>
      </c>
      <c r="AM144" s="52" t="s">
        <v>1219</v>
      </c>
      <c r="AN144" s="52" t="s">
        <v>1220</v>
      </c>
      <c r="AO144" s="64" t="s">
        <v>219</v>
      </c>
      <c r="AP144" s="63" t="s">
        <v>1627</v>
      </c>
      <c r="AQ144" s="64" t="s">
        <v>217</v>
      </c>
      <c r="AR144" s="30" t="s">
        <v>219</v>
      </c>
    </row>
    <row r="145" spans="2:44" ht="21.75" customHeight="1" x14ac:dyDescent="0.45">
      <c r="B145" s="52" t="s">
        <v>99</v>
      </c>
      <c r="E145" s="53" t="s">
        <v>87</v>
      </c>
      <c r="F145" s="52" t="s">
        <v>1623</v>
      </c>
      <c r="H145" s="53" t="s">
        <v>109</v>
      </c>
      <c r="J145" s="76">
        <v>895</v>
      </c>
      <c r="L145" s="52" t="s">
        <v>1628</v>
      </c>
      <c r="M145" s="52" t="s">
        <v>1629</v>
      </c>
      <c r="N145" s="52" t="s">
        <v>1630</v>
      </c>
      <c r="O145" s="52" t="s">
        <v>683</v>
      </c>
      <c r="P145" s="52" t="s">
        <v>685</v>
      </c>
      <c r="Q145" s="52" t="s">
        <v>687</v>
      </c>
      <c r="R145" s="52" t="s">
        <v>254</v>
      </c>
      <c r="S145" s="52" t="s">
        <v>257</v>
      </c>
      <c r="T145" s="52" t="s">
        <v>258</v>
      </c>
      <c r="U145" s="52" t="s">
        <v>673</v>
      </c>
      <c r="V145" s="52" t="s">
        <v>673</v>
      </c>
      <c r="W145" s="52" t="s">
        <v>673</v>
      </c>
      <c r="X145" s="52" t="s">
        <v>689</v>
      </c>
      <c r="Y145" s="52" t="s">
        <v>690</v>
      </c>
      <c r="Z145" s="52" t="s">
        <v>691</v>
      </c>
      <c r="AA145" s="61">
        <v>0.5</v>
      </c>
      <c r="AB145" s="52" t="s">
        <v>128</v>
      </c>
      <c r="AC145" s="63">
        <v>10</v>
      </c>
      <c r="AD145" s="52" t="s">
        <v>169</v>
      </c>
      <c r="AE145" s="53" t="s">
        <v>179</v>
      </c>
      <c r="AF145" s="65">
        <v>0</v>
      </c>
      <c r="AG145" s="53" t="s">
        <v>192</v>
      </c>
      <c r="AH145" s="52" t="s">
        <v>219</v>
      </c>
      <c r="AI145" s="52" t="s">
        <v>219</v>
      </c>
      <c r="AJ145" s="52" t="s">
        <v>219</v>
      </c>
      <c r="AK145" s="52" t="s">
        <v>219</v>
      </c>
      <c r="AL145" s="52" t="s">
        <v>1024</v>
      </c>
      <c r="AM145" s="52" t="s">
        <v>1219</v>
      </c>
      <c r="AN145" s="52" t="s">
        <v>1220</v>
      </c>
      <c r="AO145" s="64" t="s">
        <v>219</v>
      </c>
      <c r="AP145" s="63" t="s">
        <v>1631</v>
      </c>
      <c r="AQ145" s="64" t="s">
        <v>217</v>
      </c>
      <c r="AR145" s="30" t="s">
        <v>219</v>
      </c>
    </row>
    <row r="146" spans="2:44" ht="21.75" customHeight="1" x14ac:dyDescent="0.45">
      <c r="B146" s="52" t="s">
        <v>99</v>
      </c>
      <c r="E146" s="53" t="s">
        <v>87</v>
      </c>
      <c r="F146" s="52" t="s">
        <v>1623</v>
      </c>
      <c r="H146" s="53" t="s">
        <v>109</v>
      </c>
      <c r="J146" s="76">
        <v>896</v>
      </c>
      <c r="L146" s="52" t="s">
        <v>1632</v>
      </c>
      <c r="M146" s="52" t="s">
        <v>1633</v>
      </c>
      <c r="N146" s="52" t="s">
        <v>1634</v>
      </c>
      <c r="O146" s="52" t="s">
        <v>692</v>
      </c>
      <c r="P146" s="52" t="s">
        <v>692</v>
      </c>
      <c r="Q146" s="52" t="s">
        <v>692</v>
      </c>
      <c r="R146" s="52" t="s">
        <v>254</v>
      </c>
      <c r="S146" s="52" t="s">
        <v>257</v>
      </c>
      <c r="T146" s="52" t="s">
        <v>258</v>
      </c>
      <c r="U146" s="52" t="s">
        <v>387</v>
      </c>
      <c r="V146" s="52" t="s">
        <v>387</v>
      </c>
      <c r="W146" s="52" t="s">
        <v>387</v>
      </c>
      <c r="X146" s="52" t="s">
        <v>693</v>
      </c>
      <c r="Y146" s="52" t="s">
        <v>693</v>
      </c>
      <c r="Z146" s="52" t="s">
        <v>693</v>
      </c>
      <c r="AA146" s="61">
        <v>1</v>
      </c>
      <c r="AB146" s="52" t="s">
        <v>128</v>
      </c>
      <c r="AC146" s="63">
        <v>10</v>
      </c>
      <c r="AD146" s="52" t="s">
        <v>169</v>
      </c>
      <c r="AE146" s="53" t="s">
        <v>179</v>
      </c>
      <c r="AF146" s="65">
        <v>0</v>
      </c>
      <c r="AG146" s="53" t="s">
        <v>192</v>
      </c>
      <c r="AH146" s="52" t="s">
        <v>219</v>
      </c>
      <c r="AI146" s="52" t="s">
        <v>219</v>
      </c>
      <c r="AJ146" s="52" t="s">
        <v>219</v>
      </c>
      <c r="AK146" s="52" t="s">
        <v>219</v>
      </c>
      <c r="AL146" s="52" t="s">
        <v>1024</v>
      </c>
      <c r="AM146" s="52" t="s">
        <v>1219</v>
      </c>
      <c r="AN146" s="52" t="s">
        <v>1220</v>
      </c>
      <c r="AO146" s="64" t="s">
        <v>219</v>
      </c>
      <c r="AP146" s="63" t="s">
        <v>1635</v>
      </c>
      <c r="AQ146" s="64" t="s">
        <v>217</v>
      </c>
      <c r="AR146" s="30" t="s">
        <v>219</v>
      </c>
    </row>
    <row r="147" spans="2:44" ht="21.75" customHeight="1" x14ac:dyDescent="0.45">
      <c r="B147" s="52" t="s">
        <v>99</v>
      </c>
      <c r="E147" s="53" t="s">
        <v>87</v>
      </c>
      <c r="F147" s="52" t="s">
        <v>1623</v>
      </c>
      <c r="H147" s="53" t="s">
        <v>109</v>
      </c>
      <c r="J147" s="76">
        <v>897</v>
      </c>
      <c r="L147" s="52" t="s">
        <v>1636</v>
      </c>
      <c r="M147" s="52" t="s">
        <v>1637</v>
      </c>
      <c r="N147" s="52" t="s">
        <v>1638</v>
      </c>
      <c r="O147" s="52" t="s">
        <v>692</v>
      </c>
      <c r="P147" s="52" t="s">
        <v>692</v>
      </c>
      <c r="Q147" s="52" t="s">
        <v>692</v>
      </c>
      <c r="R147" s="52" t="s">
        <v>254</v>
      </c>
      <c r="S147" s="52" t="s">
        <v>257</v>
      </c>
      <c r="T147" s="52" t="s">
        <v>258</v>
      </c>
      <c r="U147" s="52" t="s">
        <v>673</v>
      </c>
      <c r="V147" s="52" t="s">
        <v>673</v>
      </c>
      <c r="W147" s="52" t="s">
        <v>673</v>
      </c>
      <c r="X147" s="52" t="s">
        <v>694</v>
      </c>
      <c r="Y147" s="52" t="s">
        <v>694</v>
      </c>
      <c r="Z147" s="52" t="s">
        <v>694</v>
      </c>
      <c r="AA147" s="61">
        <v>0.5</v>
      </c>
      <c r="AB147" s="52" t="s">
        <v>128</v>
      </c>
      <c r="AC147" s="63">
        <v>10</v>
      </c>
      <c r="AD147" s="52" t="s">
        <v>169</v>
      </c>
      <c r="AE147" s="53" t="s">
        <v>179</v>
      </c>
      <c r="AF147" s="65">
        <v>0</v>
      </c>
      <c r="AG147" s="53" t="s">
        <v>192</v>
      </c>
      <c r="AH147" s="52" t="s">
        <v>219</v>
      </c>
      <c r="AI147" s="52" t="s">
        <v>219</v>
      </c>
      <c r="AJ147" s="52" t="s">
        <v>219</v>
      </c>
      <c r="AK147" s="52" t="s">
        <v>219</v>
      </c>
      <c r="AL147" s="52" t="s">
        <v>1024</v>
      </c>
      <c r="AM147" s="52" t="s">
        <v>1219</v>
      </c>
      <c r="AN147" s="52" t="s">
        <v>1220</v>
      </c>
      <c r="AO147" s="64" t="s">
        <v>219</v>
      </c>
      <c r="AP147" s="63" t="s">
        <v>1639</v>
      </c>
      <c r="AQ147" s="64" t="s">
        <v>217</v>
      </c>
      <c r="AR147" s="30" t="s">
        <v>219</v>
      </c>
    </row>
    <row r="148" spans="2:44" ht="21.75" customHeight="1" x14ac:dyDescent="0.45">
      <c r="B148" s="52" t="s">
        <v>99</v>
      </c>
      <c r="E148" s="53" t="s">
        <v>87</v>
      </c>
      <c r="F148" s="52" t="s">
        <v>1623</v>
      </c>
      <c r="H148" s="53" t="s">
        <v>109</v>
      </c>
      <c r="J148" s="76">
        <v>898</v>
      </c>
      <c r="L148" s="52" t="s">
        <v>1640</v>
      </c>
      <c r="M148" s="52" t="s">
        <v>1641</v>
      </c>
      <c r="N148" s="52" t="s">
        <v>1642</v>
      </c>
      <c r="O148" s="52" t="s">
        <v>692</v>
      </c>
      <c r="P148" s="52" t="s">
        <v>692</v>
      </c>
      <c r="Q148" s="52" t="s">
        <v>692</v>
      </c>
      <c r="R148" s="52" t="s">
        <v>254</v>
      </c>
      <c r="S148" s="52" t="s">
        <v>257</v>
      </c>
      <c r="T148" s="52" t="s">
        <v>258</v>
      </c>
      <c r="U148" s="52" t="s">
        <v>695</v>
      </c>
      <c r="V148" s="52" t="s">
        <v>695</v>
      </c>
      <c r="W148" s="52" t="s">
        <v>695</v>
      </c>
      <c r="X148" s="52" t="s">
        <v>696</v>
      </c>
      <c r="Y148" s="52" t="s">
        <v>696</v>
      </c>
      <c r="Z148" s="52" t="s">
        <v>696</v>
      </c>
      <c r="AA148" s="61">
        <v>0.7</v>
      </c>
      <c r="AB148" s="52" t="s">
        <v>128</v>
      </c>
      <c r="AC148" s="63">
        <v>10</v>
      </c>
      <c r="AD148" s="52" t="s">
        <v>169</v>
      </c>
      <c r="AE148" s="53" t="s">
        <v>179</v>
      </c>
      <c r="AF148" s="65">
        <v>0</v>
      </c>
      <c r="AG148" s="53" t="s">
        <v>192</v>
      </c>
      <c r="AH148" s="52" t="s">
        <v>219</v>
      </c>
      <c r="AI148" s="52" t="s">
        <v>219</v>
      </c>
      <c r="AJ148" s="52" t="s">
        <v>219</v>
      </c>
      <c r="AK148" s="52" t="s">
        <v>219</v>
      </c>
      <c r="AL148" s="52" t="s">
        <v>1024</v>
      </c>
      <c r="AM148" s="52" t="s">
        <v>1219</v>
      </c>
      <c r="AN148" s="52" t="s">
        <v>1220</v>
      </c>
      <c r="AO148" s="64" t="s">
        <v>219</v>
      </c>
      <c r="AP148" s="63" t="s">
        <v>1643</v>
      </c>
      <c r="AQ148" s="64" t="s">
        <v>217</v>
      </c>
      <c r="AR148" s="30" t="s">
        <v>219</v>
      </c>
    </row>
    <row r="149" spans="2:44" ht="21.75" customHeight="1" x14ac:dyDescent="0.45">
      <c r="B149" s="52" t="s">
        <v>99</v>
      </c>
      <c r="E149" s="53" t="s">
        <v>87</v>
      </c>
      <c r="F149" s="52" t="s">
        <v>1623</v>
      </c>
      <c r="H149" s="53" t="s">
        <v>109</v>
      </c>
      <c r="J149" s="76">
        <v>899</v>
      </c>
      <c r="L149" s="52" t="s">
        <v>1644</v>
      </c>
      <c r="M149" s="52" t="s">
        <v>1645</v>
      </c>
      <c r="N149" s="52" t="s">
        <v>1646</v>
      </c>
      <c r="O149" s="52" t="s">
        <v>697</v>
      </c>
      <c r="P149" s="52" t="s">
        <v>697</v>
      </c>
      <c r="Q149" s="52" t="s">
        <v>697</v>
      </c>
      <c r="R149" s="52" t="s">
        <v>254</v>
      </c>
      <c r="S149" s="52" t="s">
        <v>257</v>
      </c>
      <c r="T149" s="52" t="s">
        <v>258</v>
      </c>
      <c r="U149" s="52" t="s">
        <v>387</v>
      </c>
      <c r="V149" s="52" t="s">
        <v>387</v>
      </c>
      <c r="W149" s="52" t="s">
        <v>387</v>
      </c>
      <c r="X149" s="52" t="s">
        <v>698</v>
      </c>
      <c r="Y149" s="52" t="s">
        <v>698</v>
      </c>
      <c r="Z149" s="52" t="s">
        <v>698</v>
      </c>
      <c r="AA149" s="61">
        <v>1</v>
      </c>
      <c r="AB149" s="52" t="s">
        <v>128</v>
      </c>
      <c r="AC149" s="63">
        <v>10</v>
      </c>
      <c r="AD149" s="52" t="s">
        <v>169</v>
      </c>
      <c r="AE149" s="53" t="s">
        <v>179</v>
      </c>
      <c r="AF149" s="65">
        <v>0</v>
      </c>
      <c r="AG149" s="53" t="s">
        <v>192</v>
      </c>
      <c r="AH149" s="52" t="s">
        <v>219</v>
      </c>
      <c r="AI149" s="52" t="s">
        <v>219</v>
      </c>
      <c r="AJ149" s="52" t="s">
        <v>219</v>
      </c>
      <c r="AK149" s="52" t="s">
        <v>219</v>
      </c>
      <c r="AL149" s="52" t="s">
        <v>1024</v>
      </c>
      <c r="AM149" s="52" t="s">
        <v>1219</v>
      </c>
      <c r="AN149" s="52" t="s">
        <v>1220</v>
      </c>
      <c r="AO149" s="64" t="s">
        <v>219</v>
      </c>
      <c r="AP149" s="63" t="s">
        <v>1647</v>
      </c>
      <c r="AQ149" s="64" t="s">
        <v>217</v>
      </c>
      <c r="AR149" s="30" t="s">
        <v>219</v>
      </c>
    </row>
    <row r="150" spans="2:44" ht="21.75" customHeight="1" x14ac:dyDescent="0.45">
      <c r="B150" s="52" t="s">
        <v>99</v>
      </c>
      <c r="E150" s="53" t="s">
        <v>87</v>
      </c>
      <c r="F150" s="52" t="s">
        <v>1623</v>
      </c>
      <c r="H150" s="53" t="s">
        <v>109</v>
      </c>
      <c r="J150" s="76">
        <v>900</v>
      </c>
      <c r="L150" s="52" t="s">
        <v>1648</v>
      </c>
      <c r="M150" s="52" t="s">
        <v>1649</v>
      </c>
      <c r="N150" s="52" t="s">
        <v>1650</v>
      </c>
      <c r="O150" s="52" t="s">
        <v>699</v>
      </c>
      <c r="P150" s="52" t="s">
        <v>699</v>
      </c>
      <c r="Q150" s="52" t="s">
        <v>699</v>
      </c>
      <c r="R150" s="52" t="s">
        <v>254</v>
      </c>
      <c r="S150" s="52" t="s">
        <v>257</v>
      </c>
      <c r="T150" s="52" t="s">
        <v>258</v>
      </c>
      <c r="U150" s="52" t="s">
        <v>387</v>
      </c>
      <c r="V150" s="52" t="s">
        <v>387</v>
      </c>
      <c r="W150" s="52" t="s">
        <v>387</v>
      </c>
      <c r="X150" s="52" t="s">
        <v>700</v>
      </c>
      <c r="Y150" s="52" t="s">
        <v>700</v>
      </c>
      <c r="Z150" s="52" t="s">
        <v>700</v>
      </c>
      <c r="AA150" s="61">
        <v>1</v>
      </c>
      <c r="AB150" s="52" t="s">
        <v>128</v>
      </c>
      <c r="AC150" s="63">
        <v>10</v>
      </c>
      <c r="AD150" s="52" t="s">
        <v>169</v>
      </c>
      <c r="AE150" s="53" t="s">
        <v>179</v>
      </c>
      <c r="AF150" s="65">
        <v>0</v>
      </c>
      <c r="AG150" s="53" t="s">
        <v>192</v>
      </c>
      <c r="AH150" s="52" t="s">
        <v>219</v>
      </c>
      <c r="AI150" s="52" t="s">
        <v>219</v>
      </c>
      <c r="AJ150" s="52" t="s">
        <v>219</v>
      </c>
      <c r="AK150" s="52" t="s">
        <v>219</v>
      </c>
      <c r="AL150" s="52" t="s">
        <v>1024</v>
      </c>
      <c r="AM150" s="52" t="s">
        <v>1219</v>
      </c>
      <c r="AN150" s="52" t="s">
        <v>1220</v>
      </c>
      <c r="AO150" s="64" t="s">
        <v>219</v>
      </c>
      <c r="AP150" s="63" t="s">
        <v>1651</v>
      </c>
      <c r="AQ150" s="64" t="s">
        <v>217</v>
      </c>
      <c r="AR150" s="30" t="s">
        <v>219</v>
      </c>
    </row>
    <row r="151" spans="2:44" ht="21.75" customHeight="1" x14ac:dyDescent="0.45">
      <c r="B151" s="52" t="s">
        <v>99</v>
      </c>
      <c r="E151" s="53" t="s">
        <v>87</v>
      </c>
      <c r="F151" s="52" t="s">
        <v>1623</v>
      </c>
      <c r="H151" s="53" t="s">
        <v>109</v>
      </c>
      <c r="J151" s="76">
        <v>901</v>
      </c>
      <c r="L151" s="52" t="s">
        <v>1652</v>
      </c>
      <c r="M151" s="52" t="s">
        <v>1653</v>
      </c>
      <c r="N151" s="52" t="s">
        <v>1654</v>
      </c>
      <c r="O151" s="52" t="s">
        <v>699</v>
      </c>
      <c r="P151" s="52" t="s">
        <v>699</v>
      </c>
      <c r="Q151" s="52" t="s">
        <v>699</v>
      </c>
      <c r="R151" s="52" t="s">
        <v>254</v>
      </c>
      <c r="S151" s="52" t="s">
        <v>257</v>
      </c>
      <c r="T151" s="52" t="s">
        <v>258</v>
      </c>
      <c r="U151" s="52" t="s">
        <v>673</v>
      </c>
      <c r="V151" s="52" t="s">
        <v>673</v>
      </c>
      <c r="W151" s="52" t="s">
        <v>673</v>
      </c>
      <c r="X151" s="52" t="s">
        <v>701</v>
      </c>
      <c r="Y151" s="52" t="s">
        <v>701</v>
      </c>
      <c r="Z151" s="52" t="s">
        <v>701</v>
      </c>
      <c r="AA151" s="61">
        <v>0.5</v>
      </c>
      <c r="AB151" s="52" t="s">
        <v>128</v>
      </c>
      <c r="AC151" s="63">
        <v>10</v>
      </c>
      <c r="AD151" s="52" t="s">
        <v>169</v>
      </c>
      <c r="AE151" s="53" t="s">
        <v>179</v>
      </c>
      <c r="AF151" s="65">
        <v>0</v>
      </c>
      <c r="AG151" s="53" t="s">
        <v>192</v>
      </c>
      <c r="AH151" s="52" t="s">
        <v>219</v>
      </c>
      <c r="AI151" s="52" t="s">
        <v>219</v>
      </c>
      <c r="AJ151" s="52" t="s">
        <v>219</v>
      </c>
      <c r="AK151" s="52" t="s">
        <v>219</v>
      </c>
      <c r="AL151" s="52" t="s">
        <v>1024</v>
      </c>
      <c r="AM151" s="52" t="s">
        <v>1219</v>
      </c>
      <c r="AN151" s="52" t="s">
        <v>1220</v>
      </c>
      <c r="AO151" s="64" t="s">
        <v>219</v>
      </c>
      <c r="AP151" s="63" t="s">
        <v>1655</v>
      </c>
      <c r="AQ151" s="64" t="s">
        <v>217</v>
      </c>
      <c r="AR151" s="30" t="s">
        <v>219</v>
      </c>
    </row>
    <row r="152" spans="2:44" ht="21.75" customHeight="1" x14ac:dyDescent="0.45">
      <c r="B152" s="52" t="s">
        <v>99</v>
      </c>
      <c r="E152" s="53" t="s">
        <v>87</v>
      </c>
      <c r="F152" s="52" t="s">
        <v>1623</v>
      </c>
      <c r="H152" s="53" t="s">
        <v>109</v>
      </c>
      <c r="J152" s="76">
        <v>902</v>
      </c>
      <c r="L152" s="52" t="s">
        <v>1656</v>
      </c>
      <c r="M152" s="52" t="s">
        <v>1657</v>
      </c>
      <c r="N152" s="52" t="s">
        <v>1658</v>
      </c>
      <c r="O152" s="52" t="s">
        <v>699</v>
      </c>
      <c r="P152" s="52" t="s">
        <v>699</v>
      </c>
      <c r="Q152" s="52" t="s">
        <v>699</v>
      </c>
      <c r="R152" s="52" t="s">
        <v>254</v>
      </c>
      <c r="S152" s="52" t="s">
        <v>257</v>
      </c>
      <c r="T152" s="52" t="s">
        <v>258</v>
      </c>
      <c r="U152" s="52" t="s">
        <v>695</v>
      </c>
      <c r="V152" s="52" t="s">
        <v>695</v>
      </c>
      <c r="W152" s="52" t="s">
        <v>695</v>
      </c>
      <c r="X152" s="52" t="s">
        <v>702</v>
      </c>
      <c r="Y152" s="52" t="s">
        <v>702</v>
      </c>
      <c r="Z152" s="52" t="s">
        <v>702</v>
      </c>
      <c r="AA152" s="61">
        <v>0.7</v>
      </c>
      <c r="AB152" s="52" t="s">
        <v>128</v>
      </c>
      <c r="AC152" s="63">
        <v>10</v>
      </c>
      <c r="AD152" s="52" t="s">
        <v>169</v>
      </c>
      <c r="AE152" s="53" t="s">
        <v>179</v>
      </c>
      <c r="AF152" s="65">
        <v>0</v>
      </c>
      <c r="AG152" s="53" t="s">
        <v>192</v>
      </c>
      <c r="AH152" s="52" t="s">
        <v>219</v>
      </c>
      <c r="AI152" s="52" t="s">
        <v>219</v>
      </c>
      <c r="AJ152" s="52" t="s">
        <v>219</v>
      </c>
      <c r="AK152" s="52" t="s">
        <v>219</v>
      </c>
      <c r="AL152" s="52" t="s">
        <v>1024</v>
      </c>
      <c r="AM152" s="52" t="s">
        <v>1219</v>
      </c>
      <c r="AN152" s="52" t="s">
        <v>1220</v>
      </c>
      <c r="AO152" s="64" t="s">
        <v>219</v>
      </c>
      <c r="AP152" s="63" t="s">
        <v>1659</v>
      </c>
      <c r="AQ152" s="64" t="s">
        <v>217</v>
      </c>
      <c r="AR152" s="30" t="s">
        <v>219</v>
      </c>
    </row>
    <row r="153" spans="2:44" ht="21.75" customHeight="1" x14ac:dyDescent="0.45">
      <c r="B153" s="52" t="s">
        <v>99</v>
      </c>
      <c r="E153" s="53" t="s">
        <v>87</v>
      </c>
      <c r="F153" s="52" t="s">
        <v>1660</v>
      </c>
      <c r="H153" s="53" t="s">
        <v>109</v>
      </c>
      <c r="J153" s="76">
        <v>903</v>
      </c>
      <c r="L153" s="52" t="s">
        <v>1661</v>
      </c>
      <c r="M153" s="52" t="s">
        <v>1662</v>
      </c>
      <c r="N153" s="52" t="s">
        <v>1663</v>
      </c>
      <c r="O153" s="52" t="s">
        <v>703</v>
      </c>
      <c r="P153" s="52" t="s">
        <v>705</v>
      </c>
      <c r="Q153" s="52" t="s">
        <v>707</v>
      </c>
      <c r="R153" s="52" t="s">
        <v>254</v>
      </c>
      <c r="S153" s="52" t="s">
        <v>257</v>
      </c>
      <c r="T153" s="52" t="s">
        <v>258</v>
      </c>
      <c r="U153" s="52" t="s">
        <v>661</v>
      </c>
      <c r="V153" s="52" t="s">
        <v>661</v>
      </c>
      <c r="W153" s="52" t="s">
        <v>661</v>
      </c>
      <c r="X153" s="52" t="s">
        <v>704</v>
      </c>
      <c r="Y153" s="52" t="s">
        <v>706</v>
      </c>
      <c r="Z153" s="52" t="s">
        <v>708</v>
      </c>
      <c r="AA153" s="61">
        <v>0.33</v>
      </c>
      <c r="AB153" s="52" t="s">
        <v>133</v>
      </c>
      <c r="AC153" s="63">
        <v>1</v>
      </c>
      <c r="AD153" s="52" t="s">
        <v>169</v>
      </c>
      <c r="AE153" s="53" t="s">
        <v>179</v>
      </c>
      <c r="AF153" s="65">
        <v>0</v>
      </c>
      <c r="AG153" s="53" t="s">
        <v>192</v>
      </c>
      <c r="AH153" s="52" t="s">
        <v>219</v>
      </c>
      <c r="AI153" s="52" t="s">
        <v>219</v>
      </c>
      <c r="AJ153" s="52" t="s">
        <v>219</v>
      </c>
      <c r="AK153" s="52" t="s">
        <v>219</v>
      </c>
      <c r="AL153" s="52" t="s">
        <v>1024</v>
      </c>
      <c r="AM153" s="52" t="s">
        <v>1219</v>
      </c>
      <c r="AN153" s="52" t="s">
        <v>1220</v>
      </c>
      <c r="AO153" s="64" t="s">
        <v>219</v>
      </c>
      <c r="AP153" s="63" t="s">
        <v>1664</v>
      </c>
      <c r="AQ153" s="64" t="s">
        <v>217</v>
      </c>
      <c r="AR153" s="30" t="s">
        <v>219</v>
      </c>
    </row>
    <row r="154" spans="2:44" ht="21.75" customHeight="1" x14ac:dyDescent="0.45">
      <c r="B154" s="52" t="s">
        <v>99</v>
      </c>
      <c r="E154" s="53" t="s">
        <v>87</v>
      </c>
      <c r="F154" s="52" t="s">
        <v>1660</v>
      </c>
      <c r="H154" s="53" t="s">
        <v>109</v>
      </c>
      <c r="J154" s="76">
        <v>904</v>
      </c>
      <c r="L154" s="52" t="s">
        <v>1665</v>
      </c>
      <c r="M154" s="52" t="s">
        <v>1666</v>
      </c>
      <c r="N154" s="52" t="s">
        <v>1667</v>
      </c>
      <c r="O154" s="52" t="s">
        <v>703</v>
      </c>
      <c r="P154" s="52" t="s">
        <v>705</v>
      </c>
      <c r="Q154" s="52" t="s">
        <v>707</v>
      </c>
      <c r="R154" s="52" t="s">
        <v>254</v>
      </c>
      <c r="S154" s="52" t="s">
        <v>257</v>
      </c>
      <c r="T154" s="52" t="s">
        <v>258</v>
      </c>
      <c r="U154" s="52" t="s">
        <v>673</v>
      </c>
      <c r="V154" s="52" t="s">
        <v>673</v>
      </c>
      <c r="W154" s="52" t="s">
        <v>673</v>
      </c>
      <c r="X154" s="52" t="s">
        <v>710</v>
      </c>
      <c r="Y154" s="52" t="s">
        <v>711</v>
      </c>
      <c r="Z154" s="52" t="s">
        <v>712</v>
      </c>
      <c r="AA154" s="61">
        <v>0.5</v>
      </c>
      <c r="AB154" s="52" t="s">
        <v>133</v>
      </c>
      <c r="AC154" s="63">
        <v>1</v>
      </c>
      <c r="AD154" s="52" t="s">
        <v>169</v>
      </c>
      <c r="AE154" s="53" t="s">
        <v>179</v>
      </c>
      <c r="AF154" s="65">
        <v>0</v>
      </c>
      <c r="AG154" s="53" t="s">
        <v>192</v>
      </c>
      <c r="AH154" s="52" t="s">
        <v>219</v>
      </c>
      <c r="AI154" s="52" t="s">
        <v>219</v>
      </c>
      <c r="AJ154" s="52" t="s">
        <v>219</v>
      </c>
      <c r="AK154" s="52" t="s">
        <v>219</v>
      </c>
      <c r="AL154" s="52" t="s">
        <v>1024</v>
      </c>
      <c r="AM154" s="52" t="s">
        <v>1219</v>
      </c>
      <c r="AN154" s="52" t="s">
        <v>1220</v>
      </c>
      <c r="AO154" s="64" t="s">
        <v>219</v>
      </c>
      <c r="AP154" s="63" t="s">
        <v>1664</v>
      </c>
      <c r="AQ154" s="64" t="s">
        <v>217</v>
      </c>
      <c r="AR154" s="30" t="s">
        <v>219</v>
      </c>
    </row>
    <row r="155" spans="2:44" ht="21.75" customHeight="1" x14ac:dyDescent="0.45">
      <c r="B155" s="52" t="s">
        <v>99</v>
      </c>
      <c r="E155" s="53" t="s">
        <v>87</v>
      </c>
      <c r="F155" s="52" t="s">
        <v>1660</v>
      </c>
      <c r="H155" s="53" t="s">
        <v>109</v>
      </c>
      <c r="J155" s="76">
        <v>905</v>
      </c>
      <c r="L155" s="52" t="s">
        <v>1668</v>
      </c>
      <c r="M155" s="52" t="s">
        <v>1669</v>
      </c>
      <c r="N155" s="52" t="s">
        <v>1670</v>
      </c>
      <c r="O155" s="52" t="s">
        <v>703</v>
      </c>
      <c r="P155" s="52" t="s">
        <v>705</v>
      </c>
      <c r="Q155" s="52" t="s">
        <v>707</v>
      </c>
      <c r="R155" s="52" t="s">
        <v>254</v>
      </c>
      <c r="S155" s="52" t="s">
        <v>257</v>
      </c>
      <c r="T155" s="52" t="s">
        <v>258</v>
      </c>
      <c r="U155" s="52" t="s">
        <v>387</v>
      </c>
      <c r="V155" s="52" t="s">
        <v>387</v>
      </c>
      <c r="W155" s="52" t="s">
        <v>387</v>
      </c>
      <c r="X155" s="52" t="s">
        <v>713</v>
      </c>
      <c r="Y155" s="52" t="s">
        <v>714</v>
      </c>
      <c r="Z155" s="52" t="s">
        <v>715</v>
      </c>
      <c r="AA155" s="61">
        <v>1</v>
      </c>
      <c r="AB155" s="52" t="s">
        <v>133</v>
      </c>
      <c r="AC155" s="63">
        <v>1</v>
      </c>
      <c r="AD155" s="52" t="s">
        <v>169</v>
      </c>
      <c r="AE155" s="53" t="s">
        <v>179</v>
      </c>
      <c r="AF155" s="65">
        <v>0</v>
      </c>
      <c r="AG155" s="53" t="s">
        <v>192</v>
      </c>
      <c r="AH155" s="52" t="s">
        <v>219</v>
      </c>
      <c r="AI155" s="52" t="s">
        <v>219</v>
      </c>
      <c r="AJ155" s="52" t="s">
        <v>219</v>
      </c>
      <c r="AK155" s="52" t="s">
        <v>219</v>
      </c>
      <c r="AL155" s="52" t="s">
        <v>1024</v>
      </c>
      <c r="AM155" s="52" t="s">
        <v>1219</v>
      </c>
      <c r="AN155" s="52" t="s">
        <v>1220</v>
      </c>
      <c r="AO155" s="64" t="s">
        <v>219</v>
      </c>
      <c r="AP155" s="63" t="s">
        <v>1664</v>
      </c>
      <c r="AQ155" s="64" t="s">
        <v>217</v>
      </c>
      <c r="AR155" s="30" t="s">
        <v>219</v>
      </c>
    </row>
    <row r="156" spans="2:44" ht="21.75" customHeight="1" x14ac:dyDescent="0.45">
      <c r="B156" s="52" t="s">
        <v>99</v>
      </c>
      <c r="E156" s="53" t="s">
        <v>87</v>
      </c>
      <c r="F156" s="52" t="s">
        <v>1660</v>
      </c>
      <c r="H156" s="53" t="s">
        <v>109</v>
      </c>
      <c r="J156" s="76">
        <v>906</v>
      </c>
      <c r="L156" s="52" t="s">
        <v>1671</v>
      </c>
      <c r="M156" s="52" t="s">
        <v>1672</v>
      </c>
      <c r="N156" s="52" t="s">
        <v>1673</v>
      </c>
      <c r="O156" s="52" t="s">
        <v>703</v>
      </c>
      <c r="P156" s="52" t="s">
        <v>705</v>
      </c>
      <c r="Q156" s="52" t="s">
        <v>707</v>
      </c>
      <c r="R156" s="52" t="s">
        <v>254</v>
      </c>
      <c r="S156" s="52" t="s">
        <v>257</v>
      </c>
      <c r="T156" s="52" t="s">
        <v>258</v>
      </c>
      <c r="U156" s="52" t="s">
        <v>716</v>
      </c>
      <c r="V156" s="52" t="s">
        <v>716</v>
      </c>
      <c r="W156" s="52" t="s">
        <v>716</v>
      </c>
      <c r="X156" s="52" t="s">
        <v>717</v>
      </c>
      <c r="Y156" s="52" t="s">
        <v>718</v>
      </c>
      <c r="Z156" s="52" t="s">
        <v>719</v>
      </c>
      <c r="AA156" s="61">
        <v>1.5</v>
      </c>
      <c r="AB156" s="52" t="s">
        <v>133</v>
      </c>
      <c r="AC156" s="63">
        <v>1</v>
      </c>
      <c r="AD156" s="52" t="s">
        <v>169</v>
      </c>
      <c r="AE156" s="53" t="s">
        <v>179</v>
      </c>
      <c r="AF156" s="65">
        <v>0</v>
      </c>
      <c r="AG156" s="53" t="s">
        <v>192</v>
      </c>
      <c r="AH156" s="52" t="s">
        <v>219</v>
      </c>
      <c r="AI156" s="52" t="s">
        <v>219</v>
      </c>
      <c r="AJ156" s="52" t="s">
        <v>219</v>
      </c>
      <c r="AK156" s="52" t="s">
        <v>219</v>
      </c>
      <c r="AL156" s="52" t="s">
        <v>1024</v>
      </c>
      <c r="AM156" s="52" t="s">
        <v>1219</v>
      </c>
      <c r="AN156" s="52" t="s">
        <v>1220</v>
      </c>
      <c r="AO156" s="64" t="s">
        <v>219</v>
      </c>
      <c r="AP156" s="63" t="s">
        <v>1664</v>
      </c>
      <c r="AQ156" s="64" t="s">
        <v>217</v>
      </c>
      <c r="AR156" s="30" t="s">
        <v>219</v>
      </c>
    </row>
    <row r="157" spans="2:44" ht="21.75" customHeight="1" x14ac:dyDescent="0.45">
      <c r="B157" s="52" t="s">
        <v>99</v>
      </c>
      <c r="E157" s="53" t="s">
        <v>87</v>
      </c>
      <c r="F157" s="52" t="s">
        <v>1660</v>
      </c>
      <c r="H157" s="53" t="s">
        <v>109</v>
      </c>
      <c r="J157" s="76">
        <v>907</v>
      </c>
      <c r="L157" s="52" t="s">
        <v>1674</v>
      </c>
      <c r="M157" s="52" t="s">
        <v>1675</v>
      </c>
      <c r="N157" s="52" t="s">
        <v>1676</v>
      </c>
      <c r="O157" s="52" t="s">
        <v>703</v>
      </c>
      <c r="P157" s="52" t="s">
        <v>705</v>
      </c>
      <c r="Q157" s="52" t="s">
        <v>707</v>
      </c>
      <c r="R157" s="52" t="s">
        <v>254</v>
      </c>
      <c r="S157" s="52" t="s">
        <v>257</v>
      </c>
      <c r="T157" s="52" t="s">
        <v>258</v>
      </c>
      <c r="U157" s="52" t="s">
        <v>720</v>
      </c>
      <c r="V157" s="52" t="s">
        <v>720</v>
      </c>
      <c r="W157" s="52" t="s">
        <v>720</v>
      </c>
      <c r="X157" s="52" t="s">
        <v>721</v>
      </c>
      <c r="Y157" s="52" t="s">
        <v>722</v>
      </c>
      <c r="Z157" s="52" t="s">
        <v>723</v>
      </c>
      <c r="AA157" s="61">
        <v>10</v>
      </c>
      <c r="AB157" s="52" t="s">
        <v>133</v>
      </c>
      <c r="AC157" s="63">
        <v>1</v>
      </c>
      <c r="AD157" s="52" t="s">
        <v>169</v>
      </c>
      <c r="AE157" s="53" t="s">
        <v>179</v>
      </c>
      <c r="AF157" s="65">
        <v>0</v>
      </c>
      <c r="AG157" s="53" t="s">
        <v>192</v>
      </c>
      <c r="AH157" s="52" t="s">
        <v>219</v>
      </c>
      <c r="AI157" s="52" t="s">
        <v>219</v>
      </c>
      <c r="AJ157" s="52" t="s">
        <v>219</v>
      </c>
      <c r="AK157" s="52" t="s">
        <v>219</v>
      </c>
      <c r="AL157" s="52" t="s">
        <v>1024</v>
      </c>
      <c r="AM157" s="52" t="s">
        <v>1219</v>
      </c>
      <c r="AN157" s="52" t="s">
        <v>1220</v>
      </c>
      <c r="AO157" s="64" t="s">
        <v>219</v>
      </c>
      <c r="AP157" s="63" t="s">
        <v>1677</v>
      </c>
      <c r="AQ157" s="64" t="s">
        <v>217</v>
      </c>
      <c r="AR157" s="30" t="s">
        <v>219</v>
      </c>
    </row>
    <row r="158" spans="2:44" ht="21.75" customHeight="1" x14ac:dyDescent="0.45">
      <c r="B158" s="52" t="s">
        <v>99</v>
      </c>
      <c r="E158" s="53" t="s">
        <v>87</v>
      </c>
      <c r="F158" s="52" t="s">
        <v>1660</v>
      </c>
      <c r="H158" s="53" t="s">
        <v>109</v>
      </c>
      <c r="J158" s="76">
        <v>908</v>
      </c>
      <c r="L158" s="52" t="s">
        <v>1678</v>
      </c>
      <c r="M158" s="52" t="s">
        <v>1679</v>
      </c>
      <c r="N158" s="52" t="s">
        <v>1680</v>
      </c>
      <c r="O158" s="52" t="s">
        <v>703</v>
      </c>
      <c r="P158" s="52" t="s">
        <v>705</v>
      </c>
      <c r="Q158" s="52" t="s">
        <v>707</v>
      </c>
      <c r="R158" s="52" t="s">
        <v>254</v>
      </c>
      <c r="S158" s="52" t="s">
        <v>257</v>
      </c>
      <c r="T158" s="52" t="s">
        <v>258</v>
      </c>
      <c r="U158" s="52" t="s">
        <v>724</v>
      </c>
      <c r="V158" s="52" t="s">
        <v>724</v>
      </c>
      <c r="W158" s="52" t="s">
        <v>724</v>
      </c>
      <c r="X158" s="52" t="s">
        <v>725</v>
      </c>
      <c r="Y158" s="52" t="s">
        <v>726</v>
      </c>
      <c r="Z158" s="52" t="s">
        <v>727</v>
      </c>
      <c r="AA158" s="61">
        <v>5</v>
      </c>
      <c r="AB158" s="52" t="s">
        <v>133</v>
      </c>
      <c r="AC158" s="63">
        <v>1</v>
      </c>
      <c r="AD158" s="52" t="s">
        <v>169</v>
      </c>
      <c r="AE158" s="53" t="s">
        <v>179</v>
      </c>
      <c r="AF158" s="65">
        <v>0</v>
      </c>
      <c r="AG158" s="53" t="s">
        <v>192</v>
      </c>
      <c r="AH158" s="52" t="s">
        <v>219</v>
      </c>
      <c r="AI158" s="52" t="s">
        <v>219</v>
      </c>
      <c r="AJ158" s="52" t="s">
        <v>219</v>
      </c>
      <c r="AK158" s="52" t="s">
        <v>219</v>
      </c>
      <c r="AL158" s="52" t="s">
        <v>1024</v>
      </c>
      <c r="AM158" s="52" t="s">
        <v>1219</v>
      </c>
      <c r="AN158" s="52" t="s">
        <v>1220</v>
      </c>
      <c r="AO158" s="64" t="s">
        <v>219</v>
      </c>
      <c r="AP158" s="63" t="s">
        <v>1681</v>
      </c>
      <c r="AQ158" s="64" t="s">
        <v>217</v>
      </c>
      <c r="AR158" s="30" t="s">
        <v>219</v>
      </c>
    </row>
    <row r="159" spans="2:44" ht="21.75" customHeight="1" x14ac:dyDescent="0.45">
      <c r="B159" s="52" t="s">
        <v>99</v>
      </c>
      <c r="E159" s="53" t="s">
        <v>87</v>
      </c>
      <c r="F159" s="52" t="s">
        <v>1660</v>
      </c>
      <c r="H159" s="53" t="s">
        <v>109</v>
      </c>
      <c r="J159" s="76">
        <v>909</v>
      </c>
      <c r="L159" s="52" t="s">
        <v>1682</v>
      </c>
      <c r="M159" s="52" t="s">
        <v>1683</v>
      </c>
      <c r="N159" s="52" t="s">
        <v>1684</v>
      </c>
      <c r="O159" s="52" t="s">
        <v>703</v>
      </c>
      <c r="P159" s="52" t="s">
        <v>705</v>
      </c>
      <c r="Q159" s="52" t="s">
        <v>707</v>
      </c>
      <c r="R159" s="52" t="s">
        <v>254</v>
      </c>
      <c r="S159" s="52" t="s">
        <v>257</v>
      </c>
      <c r="T159" s="52" t="s">
        <v>258</v>
      </c>
      <c r="U159" s="52" t="s">
        <v>728</v>
      </c>
      <c r="V159" s="52" t="s">
        <v>728</v>
      </c>
      <c r="W159" s="52" t="s">
        <v>728</v>
      </c>
      <c r="X159" s="52" t="s">
        <v>729</v>
      </c>
      <c r="Y159" s="52" t="s">
        <v>730</v>
      </c>
      <c r="Z159" s="52" t="s">
        <v>731</v>
      </c>
      <c r="AA159" s="61">
        <v>3</v>
      </c>
      <c r="AB159" s="52" t="s">
        <v>133</v>
      </c>
      <c r="AC159" s="63">
        <v>1</v>
      </c>
      <c r="AD159" s="52" t="s">
        <v>169</v>
      </c>
      <c r="AE159" s="53" t="s">
        <v>179</v>
      </c>
      <c r="AF159" s="65">
        <v>0</v>
      </c>
      <c r="AG159" s="53" t="s">
        <v>192</v>
      </c>
      <c r="AH159" s="52" t="s">
        <v>219</v>
      </c>
      <c r="AI159" s="52" t="s">
        <v>219</v>
      </c>
      <c r="AJ159" s="52" t="s">
        <v>219</v>
      </c>
      <c r="AK159" s="52" t="s">
        <v>219</v>
      </c>
      <c r="AL159" s="52" t="s">
        <v>1024</v>
      </c>
      <c r="AM159" s="52" t="s">
        <v>1219</v>
      </c>
      <c r="AN159" s="52" t="s">
        <v>1220</v>
      </c>
      <c r="AO159" s="64" t="s">
        <v>219</v>
      </c>
      <c r="AP159" s="63" t="s">
        <v>1681</v>
      </c>
      <c r="AQ159" s="64" t="s">
        <v>217</v>
      </c>
      <c r="AR159" s="30" t="s">
        <v>219</v>
      </c>
    </row>
    <row r="160" spans="2:44" ht="21.75" customHeight="1" x14ac:dyDescent="0.45">
      <c r="B160" s="52" t="s">
        <v>99</v>
      </c>
      <c r="E160" s="53" t="s">
        <v>87</v>
      </c>
      <c r="F160" s="52" t="s">
        <v>1660</v>
      </c>
      <c r="H160" s="53" t="s">
        <v>109</v>
      </c>
      <c r="J160" s="76">
        <v>910</v>
      </c>
      <c r="L160" s="52" t="s">
        <v>1685</v>
      </c>
      <c r="M160" s="52" t="s">
        <v>1686</v>
      </c>
      <c r="N160" s="52" t="s">
        <v>1687</v>
      </c>
      <c r="O160" s="52" t="s">
        <v>732</v>
      </c>
      <c r="P160" s="52" t="s">
        <v>733</v>
      </c>
      <c r="Q160" s="52" t="s">
        <v>735</v>
      </c>
      <c r="R160" s="52" t="s">
        <v>254</v>
      </c>
      <c r="S160" s="52" t="s">
        <v>257</v>
      </c>
      <c r="T160" s="52" t="s">
        <v>258</v>
      </c>
      <c r="U160" s="52" t="s">
        <v>661</v>
      </c>
      <c r="V160" s="52" t="s">
        <v>661</v>
      </c>
      <c r="W160" s="52" t="s">
        <v>661</v>
      </c>
      <c r="X160" s="52" t="s">
        <v>1211</v>
      </c>
      <c r="Y160" s="52" t="s">
        <v>734</v>
      </c>
      <c r="Z160" s="52" t="s">
        <v>736</v>
      </c>
      <c r="AA160" s="61">
        <v>0.33</v>
      </c>
      <c r="AB160" s="52" t="s">
        <v>133</v>
      </c>
      <c r="AC160" s="63">
        <v>1</v>
      </c>
      <c r="AD160" s="52" t="s">
        <v>169</v>
      </c>
      <c r="AE160" s="53" t="s">
        <v>179</v>
      </c>
      <c r="AF160" s="65">
        <v>0</v>
      </c>
      <c r="AG160" s="53" t="s">
        <v>192</v>
      </c>
      <c r="AH160" s="52" t="s">
        <v>219</v>
      </c>
      <c r="AI160" s="52" t="s">
        <v>219</v>
      </c>
      <c r="AJ160" s="52" t="s">
        <v>219</v>
      </c>
      <c r="AK160" s="52" t="s">
        <v>219</v>
      </c>
      <c r="AL160" s="52" t="s">
        <v>1024</v>
      </c>
      <c r="AM160" s="52" t="s">
        <v>1219</v>
      </c>
      <c r="AN160" s="52" t="s">
        <v>1220</v>
      </c>
      <c r="AO160" s="64" t="s">
        <v>219</v>
      </c>
      <c r="AP160" s="63" t="s">
        <v>1688</v>
      </c>
      <c r="AQ160" s="64" t="s">
        <v>217</v>
      </c>
      <c r="AR160" s="30" t="s">
        <v>219</v>
      </c>
    </row>
    <row r="161" spans="2:44" ht="21.75" customHeight="1" x14ac:dyDescent="0.45">
      <c r="B161" s="52" t="s">
        <v>99</v>
      </c>
      <c r="E161" s="53" t="s">
        <v>87</v>
      </c>
      <c r="F161" s="52" t="s">
        <v>1660</v>
      </c>
      <c r="H161" s="53" t="s">
        <v>109</v>
      </c>
      <c r="J161" s="76">
        <v>911</v>
      </c>
      <c r="L161" s="52" t="s">
        <v>1689</v>
      </c>
      <c r="M161" s="52" t="s">
        <v>1690</v>
      </c>
      <c r="N161" s="52" t="s">
        <v>1691</v>
      </c>
      <c r="O161" s="52" t="s">
        <v>732</v>
      </c>
      <c r="P161" s="52" t="s">
        <v>733</v>
      </c>
      <c r="Q161" s="52" t="s">
        <v>735</v>
      </c>
      <c r="R161" s="52" t="s">
        <v>254</v>
      </c>
      <c r="S161" s="52" t="s">
        <v>257</v>
      </c>
      <c r="T161" s="52" t="s">
        <v>258</v>
      </c>
      <c r="U161" s="52" t="s">
        <v>673</v>
      </c>
      <c r="V161" s="52" t="s">
        <v>673</v>
      </c>
      <c r="W161" s="52" t="s">
        <v>673</v>
      </c>
      <c r="X161" s="52" t="s">
        <v>1212</v>
      </c>
      <c r="Y161" s="52" t="s">
        <v>737</v>
      </c>
      <c r="Z161" s="52" t="s">
        <v>738</v>
      </c>
      <c r="AA161" s="61">
        <v>0.5</v>
      </c>
      <c r="AB161" s="52" t="s">
        <v>133</v>
      </c>
      <c r="AC161" s="63">
        <v>1</v>
      </c>
      <c r="AD161" s="52" t="s">
        <v>169</v>
      </c>
      <c r="AE161" s="53" t="s">
        <v>179</v>
      </c>
      <c r="AF161" s="65">
        <v>0</v>
      </c>
      <c r="AG161" s="53" t="s">
        <v>192</v>
      </c>
      <c r="AH161" s="52" t="s">
        <v>219</v>
      </c>
      <c r="AI161" s="52" t="s">
        <v>219</v>
      </c>
      <c r="AJ161" s="52" t="s">
        <v>219</v>
      </c>
      <c r="AK161" s="52" t="s">
        <v>219</v>
      </c>
      <c r="AL161" s="52" t="s">
        <v>1024</v>
      </c>
      <c r="AM161" s="52" t="s">
        <v>1219</v>
      </c>
      <c r="AN161" s="52" t="s">
        <v>1220</v>
      </c>
      <c r="AO161" s="64" t="s">
        <v>219</v>
      </c>
      <c r="AP161" s="63" t="s">
        <v>1688</v>
      </c>
      <c r="AQ161" s="64" t="s">
        <v>217</v>
      </c>
      <c r="AR161" s="30" t="s">
        <v>219</v>
      </c>
    </row>
    <row r="162" spans="2:44" ht="21.75" customHeight="1" x14ac:dyDescent="0.45">
      <c r="B162" s="52" t="s">
        <v>99</v>
      </c>
      <c r="E162" s="53" t="s">
        <v>87</v>
      </c>
      <c r="F162" s="52" t="s">
        <v>1660</v>
      </c>
      <c r="H162" s="53" t="s">
        <v>109</v>
      </c>
      <c r="J162" s="76">
        <v>912</v>
      </c>
      <c r="L162" s="52" t="s">
        <v>1692</v>
      </c>
      <c r="M162" s="52" t="s">
        <v>1693</v>
      </c>
      <c r="N162" s="52" t="s">
        <v>1694</v>
      </c>
      <c r="O162" s="52" t="s">
        <v>732</v>
      </c>
      <c r="P162" s="52" t="s">
        <v>733</v>
      </c>
      <c r="Q162" s="52" t="s">
        <v>735</v>
      </c>
      <c r="R162" s="52" t="s">
        <v>254</v>
      </c>
      <c r="S162" s="52" t="s">
        <v>257</v>
      </c>
      <c r="T162" s="52" t="s">
        <v>258</v>
      </c>
      <c r="U162" s="52" t="s">
        <v>387</v>
      </c>
      <c r="V162" s="52" t="s">
        <v>387</v>
      </c>
      <c r="W162" s="52" t="s">
        <v>387</v>
      </c>
      <c r="X162" s="52" t="s">
        <v>1213</v>
      </c>
      <c r="Y162" s="52" t="s">
        <v>739</v>
      </c>
      <c r="Z162" s="52" t="s">
        <v>740</v>
      </c>
      <c r="AA162" s="61">
        <v>1</v>
      </c>
      <c r="AB162" s="52" t="s">
        <v>133</v>
      </c>
      <c r="AC162" s="63">
        <v>1</v>
      </c>
      <c r="AD162" s="52" t="s">
        <v>169</v>
      </c>
      <c r="AE162" s="53" t="s">
        <v>179</v>
      </c>
      <c r="AF162" s="65">
        <v>0</v>
      </c>
      <c r="AG162" s="53" t="s">
        <v>192</v>
      </c>
      <c r="AH162" s="52" t="s">
        <v>219</v>
      </c>
      <c r="AI162" s="52" t="s">
        <v>219</v>
      </c>
      <c r="AJ162" s="52" t="s">
        <v>219</v>
      </c>
      <c r="AK162" s="52" t="s">
        <v>219</v>
      </c>
      <c r="AL162" s="52" t="s">
        <v>1024</v>
      </c>
      <c r="AM162" s="52" t="s">
        <v>1219</v>
      </c>
      <c r="AN162" s="52" t="s">
        <v>1220</v>
      </c>
      <c r="AO162" s="64" t="s">
        <v>219</v>
      </c>
      <c r="AP162" s="63" t="s">
        <v>1688</v>
      </c>
      <c r="AQ162" s="64" t="s">
        <v>217</v>
      </c>
      <c r="AR162" s="30" t="s">
        <v>219</v>
      </c>
    </row>
    <row r="163" spans="2:44" ht="21.75" customHeight="1" x14ac:dyDescent="0.45">
      <c r="B163" s="52" t="s">
        <v>99</v>
      </c>
      <c r="E163" s="53" t="s">
        <v>87</v>
      </c>
      <c r="F163" s="52" t="s">
        <v>1660</v>
      </c>
      <c r="H163" s="53" t="s">
        <v>109</v>
      </c>
      <c r="J163" s="76">
        <v>913</v>
      </c>
      <c r="L163" s="52" t="s">
        <v>1695</v>
      </c>
      <c r="M163" s="52" t="s">
        <v>1696</v>
      </c>
      <c r="N163" s="52" t="s">
        <v>1697</v>
      </c>
      <c r="O163" s="52" t="s">
        <v>732</v>
      </c>
      <c r="P163" s="52" t="s">
        <v>733</v>
      </c>
      <c r="Q163" s="52" t="s">
        <v>735</v>
      </c>
      <c r="R163" s="52" t="s">
        <v>254</v>
      </c>
      <c r="S163" s="52" t="s">
        <v>257</v>
      </c>
      <c r="T163" s="52" t="s">
        <v>258</v>
      </c>
      <c r="U163" s="52" t="s">
        <v>716</v>
      </c>
      <c r="V163" s="52" t="s">
        <v>716</v>
      </c>
      <c r="W163" s="52" t="s">
        <v>716</v>
      </c>
      <c r="X163" s="52" t="s">
        <v>1214</v>
      </c>
      <c r="Y163" s="52" t="s">
        <v>741</v>
      </c>
      <c r="Z163" s="52" t="s">
        <v>742</v>
      </c>
      <c r="AA163" s="61">
        <v>1.5</v>
      </c>
      <c r="AB163" s="52" t="s">
        <v>133</v>
      </c>
      <c r="AC163" s="63">
        <v>1</v>
      </c>
      <c r="AD163" s="52" t="s">
        <v>169</v>
      </c>
      <c r="AE163" s="53" t="s">
        <v>179</v>
      </c>
      <c r="AF163" s="65">
        <v>0</v>
      </c>
      <c r="AG163" s="53" t="s">
        <v>192</v>
      </c>
      <c r="AH163" s="52" t="s">
        <v>219</v>
      </c>
      <c r="AI163" s="52" t="s">
        <v>219</v>
      </c>
      <c r="AJ163" s="52" t="s">
        <v>219</v>
      </c>
      <c r="AK163" s="52" t="s">
        <v>219</v>
      </c>
      <c r="AL163" s="52" t="s">
        <v>1024</v>
      </c>
      <c r="AM163" s="52" t="s">
        <v>1219</v>
      </c>
      <c r="AN163" s="52" t="s">
        <v>1220</v>
      </c>
      <c r="AO163" s="64" t="s">
        <v>219</v>
      </c>
      <c r="AP163" s="63" t="s">
        <v>1688</v>
      </c>
      <c r="AQ163" s="64" t="s">
        <v>217</v>
      </c>
      <c r="AR163" s="30" t="s">
        <v>219</v>
      </c>
    </row>
    <row r="164" spans="2:44" ht="21.75" customHeight="1" x14ac:dyDescent="0.45">
      <c r="B164" s="52" t="s">
        <v>99</v>
      </c>
      <c r="E164" s="53" t="s">
        <v>87</v>
      </c>
      <c r="F164" s="52" t="s">
        <v>1660</v>
      </c>
      <c r="H164" s="53" t="s">
        <v>109</v>
      </c>
      <c r="J164" s="76">
        <v>914</v>
      </c>
      <c r="L164" s="52" t="s">
        <v>1698</v>
      </c>
      <c r="M164" s="52" t="s">
        <v>1699</v>
      </c>
      <c r="N164" s="52" t="s">
        <v>1700</v>
      </c>
      <c r="O164" s="52" t="s">
        <v>743</v>
      </c>
      <c r="P164" s="52" t="s">
        <v>745</v>
      </c>
      <c r="Q164" s="52" t="s">
        <v>747</v>
      </c>
      <c r="R164" s="52" t="s">
        <v>254</v>
      </c>
      <c r="S164" s="52" t="s">
        <v>257</v>
      </c>
      <c r="T164" s="52" t="s">
        <v>258</v>
      </c>
      <c r="U164" s="52" t="s">
        <v>661</v>
      </c>
      <c r="V164" s="52" t="s">
        <v>661</v>
      </c>
      <c r="W164" s="52" t="s">
        <v>661</v>
      </c>
      <c r="X164" s="52" t="s">
        <v>744</v>
      </c>
      <c r="Y164" s="52" t="s">
        <v>746</v>
      </c>
      <c r="Z164" s="52" t="s">
        <v>748</v>
      </c>
      <c r="AA164" s="61">
        <v>0.33</v>
      </c>
      <c r="AB164" s="52" t="s">
        <v>133</v>
      </c>
      <c r="AC164" s="63">
        <v>1</v>
      </c>
      <c r="AD164" s="52" t="s">
        <v>169</v>
      </c>
      <c r="AE164" s="53" t="s">
        <v>179</v>
      </c>
      <c r="AF164" s="65">
        <v>0</v>
      </c>
      <c r="AG164" s="53" t="s">
        <v>192</v>
      </c>
      <c r="AH164" s="52" t="s">
        <v>219</v>
      </c>
      <c r="AI164" s="52" t="s">
        <v>219</v>
      </c>
      <c r="AJ164" s="52" t="s">
        <v>219</v>
      </c>
      <c r="AK164" s="52" t="s">
        <v>219</v>
      </c>
      <c r="AL164" s="52" t="s">
        <v>1024</v>
      </c>
      <c r="AM164" s="52" t="s">
        <v>1219</v>
      </c>
      <c r="AN164" s="52" t="s">
        <v>1220</v>
      </c>
      <c r="AO164" s="64" t="s">
        <v>219</v>
      </c>
      <c r="AP164" s="63" t="s">
        <v>1664</v>
      </c>
      <c r="AQ164" s="64" t="s">
        <v>217</v>
      </c>
      <c r="AR164" s="30" t="s">
        <v>219</v>
      </c>
    </row>
    <row r="165" spans="2:44" ht="21.75" customHeight="1" x14ac:dyDescent="0.45">
      <c r="B165" s="52" t="s">
        <v>99</v>
      </c>
      <c r="E165" s="53" t="s">
        <v>87</v>
      </c>
      <c r="F165" s="52" t="s">
        <v>1660</v>
      </c>
      <c r="H165" s="53" t="s">
        <v>109</v>
      </c>
      <c r="J165" s="76">
        <v>915</v>
      </c>
      <c r="L165" s="52" t="s">
        <v>1701</v>
      </c>
      <c r="M165" s="52" t="s">
        <v>1702</v>
      </c>
      <c r="N165" s="52" t="s">
        <v>1703</v>
      </c>
      <c r="O165" s="52" t="s">
        <v>743</v>
      </c>
      <c r="P165" s="52" t="s">
        <v>745</v>
      </c>
      <c r="Q165" s="52" t="s">
        <v>747</v>
      </c>
      <c r="R165" s="52" t="s">
        <v>254</v>
      </c>
      <c r="S165" s="52" t="s">
        <v>257</v>
      </c>
      <c r="T165" s="52" t="s">
        <v>258</v>
      </c>
      <c r="U165" s="52" t="s">
        <v>673</v>
      </c>
      <c r="V165" s="52" t="s">
        <v>673</v>
      </c>
      <c r="W165" s="52" t="s">
        <v>673</v>
      </c>
      <c r="X165" s="52" t="s">
        <v>749</v>
      </c>
      <c r="Y165" s="52" t="s">
        <v>750</v>
      </c>
      <c r="Z165" s="52" t="s">
        <v>751</v>
      </c>
      <c r="AA165" s="61">
        <v>0.5</v>
      </c>
      <c r="AB165" s="52" t="s">
        <v>133</v>
      </c>
      <c r="AC165" s="63">
        <v>1</v>
      </c>
      <c r="AD165" s="52" t="s">
        <v>169</v>
      </c>
      <c r="AE165" s="53" t="s">
        <v>179</v>
      </c>
      <c r="AF165" s="65">
        <v>0</v>
      </c>
      <c r="AG165" s="53" t="s">
        <v>192</v>
      </c>
      <c r="AH165" s="52" t="s">
        <v>219</v>
      </c>
      <c r="AI165" s="52" t="s">
        <v>219</v>
      </c>
      <c r="AJ165" s="52" t="s">
        <v>219</v>
      </c>
      <c r="AK165" s="52" t="s">
        <v>219</v>
      </c>
      <c r="AL165" s="52" t="s">
        <v>1024</v>
      </c>
      <c r="AM165" s="52" t="s">
        <v>1219</v>
      </c>
      <c r="AN165" s="52" t="s">
        <v>1220</v>
      </c>
      <c r="AO165" s="64" t="s">
        <v>219</v>
      </c>
      <c r="AP165" s="63" t="s">
        <v>1664</v>
      </c>
      <c r="AQ165" s="64" t="s">
        <v>217</v>
      </c>
      <c r="AR165" s="30" t="s">
        <v>219</v>
      </c>
    </row>
    <row r="166" spans="2:44" ht="21.75" customHeight="1" x14ac:dyDescent="0.45">
      <c r="B166" s="52" t="s">
        <v>99</v>
      </c>
      <c r="E166" s="53" t="s">
        <v>87</v>
      </c>
      <c r="F166" s="52" t="s">
        <v>1660</v>
      </c>
      <c r="H166" s="53" t="s">
        <v>109</v>
      </c>
      <c r="J166" s="76">
        <v>916</v>
      </c>
      <c r="L166" s="52" t="s">
        <v>1704</v>
      </c>
      <c r="M166" s="52" t="s">
        <v>1705</v>
      </c>
      <c r="N166" s="52" t="s">
        <v>1706</v>
      </c>
      <c r="O166" s="52" t="s">
        <v>743</v>
      </c>
      <c r="P166" s="52" t="s">
        <v>745</v>
      </c>
      <c r="Q166" s="52" t="s">
        <v>747</v>
      </c>
      <c r="R166" s="52" t="s">
        <v>254</v>
      </c>
      <c r="S166" s="52" t="s">
        <v>257</v>
      </c>
      <c r="T166" s="52" t="s">
        <v>258</v>
      </c>
      <c r="U166" s="52" t="s">
        <v>677</v>
      </c>
      <c r="V166" s="52" t="s">
        <v>677</v>
      </c>
      <c r="W166" s="52" t="s">
        <v>677</v>
      </c>
      <c r="X166" s="52" t="s">
        <v>752</v>
      </c>
      <c r="Y166" s="52" t="s">
        <v>753</v>
      </c>
      <c r="Z166" s="52" t="s">
        <v>754</v>
      </c>
      <c r="AA166" s="61">
        <v>0.75</v>
      </c>
      <c r="AB166" s="52" t="s">
        <v>133</v>
      </c>
      <c r="AC166" s="63">
        <v>1</v>
      </c>
      <c r="AD166" s="52" t="s">
        <v>169</v>
      </c>
      <c r="AE166" s="53" t="s">
        <v>179</v>
      </c>
      <c r="AF166" s="65">
        <v>0</v>
      </c>
      <c r="AG166" s="53" t="s">
        <v>192</v>
      </c>
      <c r="AH166" s="52" t="s">
        <v>219</v>
      </c>
      <c r="AI166" s="52" t="s">
        <v>219</v>
      </c>
      <c r="AJ166" s="52" t="s">
        <v>219</v>
      </c>
      <c r="AK166" s="52" t="s">
        <v>219</v>
      </c>
      <c r="AL166" s="52" t="s">
        <v>1024</v>
      </c>
      <c r="AM166" s="52" t="s">
        <v>1219</v>
      </c>
      <c r="AN166" s="52" t="s">
        <v>1220</v>
      </c>
      <c r="AO166" s="64" t="s">
        <v>219</v>
      </c>
      <c r="AP166" s="63" t="s">
        <v>1664</v>
      </c>
      <c r="AQ166" s="64" t="s">
        <v>217</v>
      </c>
      <c r="AR166" s="30" t="s">
        <v>219</v>
      </c>
    </row>
    <row r="167" spans="2:44" ht="21.75" customHeight="1" x14ac:dyDescent="0.45">
      <c r="B167" s="52" t="s">
        <v>99</v>
      </c>
      <c r="E167" s="53" t="s">
        <v>87</v>
      </c>
      <c r="F167" s="52" t="s">
        <v>1660</v>
      </c>
      <c r="H167" s="53" t="s">
        <v>109</v>
      </c>
      <c r="J167" s="76">
        <v>917</v>
      </c>
      <c r="L167" s="52" t="s">
        <v>1707</v>
      </c>
      <c r="M167" s="52" t="s">
        <v>1708</v>
      </c>
      <c r="N167" s="52" t="s">
        <v>1709</v>
      </c>
      <c r="O167" s="52" t="s">
        <v>743</v>
      </c>
      <c r="P167" s="52" t="s">
        <v>745</v>
      </c>
      <c r="Q167" s="52" t="s">
        <v>747</v>
      </c>
      <c r="R167" s="52" t="s">
        <v>254</v>
      </c>
      <c r="S167" s="52" t="s">
        <v>257</v>
      </c>
      <c r="T167" s="52" t="s">
        <v>258</v>
      </c>
      <c r="U167" s="52" t="s">
        <v>387</v>
      </c>
      <c r="V167" s="52" t="s">
        <v>387</v>
      </c>
      <c r="W167" s="52" t="s">
        <v>387</v>
      </c>
      <c r="X167" s="52" t="s">
        <v>755</v>
      </c>
      <c r="Y167" s="52" t="s">
        <v>756</v>
      </c>
      <c r="Z167" s="52" t="s">
        <v>757</v>
      </c>
      <c r="AA167" s="61">
        <v>1</v>
      </c>
      <c r="AB167" s="52" t="s">
        <v>133</v>
      </c>
      <c r="AC167" s="63">
        <v>1</v>
      </c>
      <c r="AD167" s="52" t="s">
        <v>169</v>
      </c>
      <c r="AE167" s="53" t="s">
        <v>179</v>
      </c>
      <c r="AF167" s="65">
        <v>0</v>
      </c>
      <c r="AG167" s="53" t="s">
        <v>192</v>
      </c>
      <c r="AH167" s="52" t="s">
        <v>219</v>
      </c>
      <c r="AI167" s="52" t="s">
        <v>219</v>
      </c>
      <c r="AJ167" s="52" t="s">
        <v>219</v>
      </c>
      <c r="AK167" s="52" t="s">
        <v>219</v>
      </c>
      <c r="AL167" s="52" t="s">
        <v>1024</v>
      </c>
      <c r="AM167" s="52" t="s">
        <v>1219</v>
      </c>
      <c r="AN167" s="52" t="s">
        <v>1220</v>
      </c>
      <c r="AO167" s="64" t="s">
        <v>219</v>
      </c>
      <c r="AP167" s="63" t="s">
        <v>1664</v>
      </c>
      <c r="AQ167" s="64" t="s">
        <v>217</v>
      </c>
      <c r="AR167" s="30" t="s">
        <v>219</v>
      </c>
    </row>
    <row r="168" spans="2:44" ht="21.75" customHeight="1" x14ac:dyDescent="0.45">
      <c r="B168" s="52" t="s">
        <v>99</v>
      </c>
      <c r="E168" s="53" t="s">
        <v>87</v>
      </c>
      <c r="F168" s="52" t="s">
        <v>1660</v>
      </c>
      <c r="H168" s="53" t="s">
        <v>109</v>
      </c>
      <c r="J168" s="76">
        <v>918</v>
      </c>
      <c r="L168" s="52" t="s">
        <v>1710</v>
      </c>
      <c r="M168" s="52" t="s">
        <v>1711</v>
      </c>
      <c r="N168" s="52" t="s">
        <v>1712</v>
      </c>
      <c r="O168" s="52" t="s">
        <v>743</v>
      </c>
      <c r="P168" s="52" t="s">
        <v>745</v>
      </c>
      <c r="Q168" s="52" t="s">
        <v>747</v>
      </c>
      <c r="R168" s="52" t="s">
        <v>254</v>
      </c>
      <c r="S168" s="52" t="s">
        <v>257</v>
      </c>
      <c r="T168" s="52" t="s">
        <v>258</v>
      </c>
      <c r="U168" s="52" t="s">
        <v>716</v>
      </c>
      <c r="V168" s="52" t="s">
        <v>716</v>
      </c>
      <c r="W168" s="52" t="s">
        <v>716</v>
      </c>
      <c r="X168" s="52" t="s">
        <v>758</v>
      </c>
      <c r="Y168" s="52" t="s">
        <v>759</v>
      </c>
      <c r="Z168" s="52" t="s">
        <v>760</v>
      </c>
      <c r="AA168" s="61">
        <v>1.5</v>
      </c>
      <c r="AB168" s="52" t="s">
        <v>133</v>
      </c>
      <c r="AC168" s="63">
        <v>1</v>
      </c>
      <c r="AD168" s="52" t="s">
        <v>169</v>
      </c>
      <c r="AE168" s="53" t="s">
        <v>179</v>
      </c>
      <c r="AF168" s="65">
        <v>0</v>
      </c>
      <c r="AG168" s="53" t="s">
        <v>192</v>
      </c>
      <c r="AH168" s="52" t="s">
        <v>219</v>
      </c>
      <c r="AI168" s="52" t="s">
        <v>219</v>
      </c>
      <c r="AJ168" s="52" t="s">
        <v>219</v>
      </c>
      <c r="AK168" s="52" t="s">
        <v>219</v>
      </c>
      <c r="AL168" s="52" t="s">
        <v>1024</v>
      </c>
      <c r="AM168" s="52" t="s">
        <v>1219</v>
      </c>
      <c r="AN168" s="52" t="s">
        <v>1220</v>
      </c>
      <c r="AO168" s="64" t="s">
        <v>219</v>
      </c>
      <c r="AP168" s="63" t="s">
        <v>1664</v>
      </c>
      <c r="AQ168" s="64" t="s">
        <v>217</v>
      </c>
      <c r="AR168" s="30" t="s">
        <v>219</v>
      </c>
    </row>
    <row r="169" spans="2:44" ht="21.75" customHeight="1" x14ac:dyDescent="0.45">
      <c r="B169" s="52" t="s">
        <v>99</v>
      </c>
      <c r="E169" s="53" t="s">
        <v>87</v>
      </c>
      <c r="F169" s="52" t="s">
        <v>1660</v>
      </c>
      <c r="H169" s="53" t="s">
        <v>109</v>
      </c>
      <c r="J169" s="76">
        <v>919</v>
      </c>
      <c r="L169" s="52" t="s">
        <v>1713</v>
      </c>
      <c r="M169" s="52" t="s">
        <v>1714</v>
      </c>
      <c r="N169" s="52" t="s">
        <v>1715</v>
      </c>
      <c r="O169" s="52" t="s">
        <v>761</v>
      </c>
      <c r="P169" s="52" t="s">
        <v>763</v>
      </c>
      <c r="Q169" s="52" t="s">
        <v>765</v>
      </c>
      <c r="R169" s="52" t="s">
        <v>254</v>
      </c>
      <c r="S169" s="52" t="s">
        <v>257</v>
      </c>
      <c r="T169" s="52" t="s">
        <v>258</v>
      </c>
      <c r="U169" s="52" t="s">
        <v>661</v>
      </c>
      <c r="V169" s="52" t="s">
        <v>661</v>
      </c>
      <c r="W169" s="52" t="s">
        <v>661</v>
      </c>
      <c r="X169" s="52" t="s">
        <v>762</v>
      </c>
      <c r="Y169" s="52" t="s">
        <v>764</v>
      </c>
      <c r="Z169" s="52" t="s">
        <v>766</v>
      </c>
      <c r="AA169" s="61">
        <v>0.33</v>
      </c>
      <c r="AB169" s="52" t="s">
        <v>133</v>
      </c>
      <c r="AC169" s="63">
        <v>1</v>
      </c>
      <c r="AD169" s="52" t="s">
        <v>169</v>
      </c>
      <c r="AE169" s="53" t="s">
        <v>179</v>
      </c>
      <c r="AF169" s="65">
        <v>0</v>
      </c>
      <c r="AG169" s="53" t="s">
        <v>192</v>
      </c>
      <c r="AH169" s="52" t="s">
        <v>219</v>
      </c>
      <c r="AI169" s="52" t="s">
        <v>219</v>
      </c>
      <c r="AJ169" s="52" t="s">
        <v>219</v>
      </c>
      <c r="AK169" s="52" t="s">
        <v>219</v>
      </c>
      <c r="AL169" s="52" t="s">
        <v>1024</v>
      </c>
      <c r="AM169" s="52" t="s">
        <v>1219</v>
      </c>
      <c r="AN169" s="52" t="s">
        <v>1220</v>
      </c>
      <c r="AO169" s="64" t="s">
        <v>219</v>
      </c>
      <c r="AP169" s="63" t="s">
        <v>1716</v>
      </c>
      <c r="AQ169" s="64" t="s">
        <v>217</v>
      </c>
      <c r="AR169" s="30" t="s">
        <v>219</v>
      </c>
    </row>
    <row r="170" spans="2:44" ht="21.75" customHeight="1" x14ac:dyDescent="0.45">
      <c r="B170" s="52" t="s">
        <v>99</v>
      </c>
      <c r="E170" s="53" t="s">
        <v>87</v>
      </c>
      <c r="F170" s="52" t="s">
        <v>1660</v>
      </c>
      <c r="H170" s="53" t="s">
        <v>109</v>
      </c>
      <c r="J170" s="76">
        <v>920</v>
      </c>
      <c r="L170" s="52" t="s">
        <v>1717</v>
      </c>
      <c r="M170" s="52" t="s">
        <v>1718</v>
      </c>
      <c r="N170" s="52" t="s">
        <v>1719</v>
      </c>
      <c r="O170" s="52" t="s">
        <v>761</v>
      </c>
      <c r="P170" s="52" t="s">
        <v>763</v>
      </c>
      <c r="Q170" s="52" t="s">
        <v>765</v>
      </c>
      <c r="R170" s="52" t="s">
        <v>254</v>
      </c>
      <c r="S170" s="52" t="s">
        <v>257</v>
      </c>
      <c r="T170" s="52" t="s">
        <v>258</v>
      </c>
      <c r="U170" s="52" t="s">
        <v>673</v>
      </c>
      <c r="V170" s="52" t="s">
        <v>673</v>
      </c>
      <c r="W170" s="52" t="s">
        <v>673</v>
      </c>
      <c r="X170" s="52" t="s">
        <v>767</v>
      </c>
      <c r="Y170" s="52" t="s">
        <v>768</v>
      </c>
      <c r="Z170" s="52" t="s">
        <v>769</v>
      </c>
      <c r="AA170" s="61">
        <v>0.5</v>
      </c>
      <c r="AB170" s="52" t="s">
        <v>133</v>
      </c>
      <c r="AC170" s="63">
        <v>1</v>
      </c>
      <c r="AD170" s="52" t="s">
        <v>169</v>
      </c>
      <c r="AE170" s="53" t="s">
        <v>179</v>
      </c>
      <c r="AF170" s="65">
        <v>0</v>
      </c>
      <c r="AG170" s="53" t="s">
        <v>192</v>
      </c>
      <c r="AH170" s="52" t="s">
        <v>219</v>
      </c>
      <c r="AI170" s="52" t="s">
        <v>219</v>
      </c>
      <c r="AJ170" s="52" t="s">
        <v>219</v>
      </c>
      <c r="AK170" s="52" t="s">
        <v>219</v>
      </c>
      <c r="AL170" s="52" t="s">
        <v>1024</v>
      </c>
      <c r="AM170" s="52" t="s">
        <v>1219</v>
      </c>
      <c r="AN170" s="52" t="s">
        <v>1220</v>
      </c>
      <c r="AO170" s="64" t="s">
        <v>219</v>
      </c>
      <c r="AP170" s="63" t="s">
        <v>1716</v>
      </c>
      <c r="AQ170" s="64" t="s">
        <v>217</v>
      </c>
      <c r="AR170" s="30" t="s">
        <v>219</v>
      </c>
    </row>
    <row r="171" spans="2:44" ht="21.75" customHeight="1" x14ac:dyDescent="0.45">
      <c r="B171" s="52" t="s">
        <v>99</v>
      </c>
      <c r="E171" s="53" t="s">
        <v>87</v>
      </c>
      <c r="F171" s="52" t="s">
        <v>1660</v>
      </c>
      <c r="H171" s="53" t="s">
        <v>109</v>
      </c>
      <c r="J171" s="76">
        <v>921</v>
      </c>
      <c r="L171" s="52" t="s">
        <v>1720</v>
      </c>
      <c r="M171" s="52" t="s">
        <v>1721</v>
      </c>
      <c r="N171" s="52" t="s">
        <v>1722</v>
      </c>
      <c r="O171" s="52" t="s">
        <v>761</v>
      </c>
      <c r="P171" s="52" t="s">
        <v>763</v>
      </c>
      <c r="Q171" s="52" t="s">
        <v>765</v>
      </c>
      <c r="R171" s="52" t="s">
        <v>254</v>
      </c>
      <c r="S171" s="52" t="s">
        <v>257</v>
      </c>
      <c r="T171" s="52" t="s">
        <v>258</v>
      </c>
      <c r="U171" s="52" t="s">
        <v>677</v>
      </c>
      <c r="V171" s="52" t="s">
        <v>677</v>
      </c>
      <c r="W171" s="52" t="s">
        <v>677</v>
      </c>
      <c r="X171" s="52" t="s">
        <v>770</v>
      </c>
      <c r="Y171" s="52" t="s">
        <v>771</v>
      </c>
      <c r="Z171" s="52" t="s">
        <v>772</v>
      </c>
      <c r="AA171" s="61">
        <v>0.75</v>
      </c>
      <c r="AB171" s="52" t="s">
        <v>133</v>
      </c>
      <c r="AC171" s="63">
        <v>1</v>
      </c>
      <c r="AD171" s="52" t="s">
        <v>169</v>
      </c>
      <c r="AE171" s="53" t="s">
        <v>179</v>
      </c>
      <c r="AF171" s="65">
        <v>0</v>
      </c>
      <c r="AG171" s="53" t="s">
        <v>192</v>
      </c>
      <c r="AH171" s="52" t="s">
        <v>219</v>
      </c>
      <c r="AI171" s="52" t="s">
        <v>219</v>
      </c>
      <c r="AJ171" s="52" t="s">
        <v>219</v>
      </c>
      <c r="AK171" s="52" t="s">
        <v>219</v>
      </c>
      <c r="AL171" s="52" t="s">
        <v>1024</v>
      </c>
      <c r="AM171" s="52" t="s">
        <v>1219</v>
      </c>
      <c r="AN171" s="52" t="s">
        <v>1220</v>
      </c>
      <c r="AO171" s="64" t="s">
        <v>219</v>
      </c>
      <c r="AP171" s="63" t="s">
        <v>1716</v>
      </c>
      <c r="AQ171" s="64" t="s">
        <v>217</v>
      </c>
      <c r="AR171" s="30" t="s">
        <v>219</v>
      </c>
    </row>
    <row r="172" spans="2:44" ht="21.75" customHeight="1" x14ac:dyDescent="0.45">
      <c r="B172" s="52" t="s">
        <v>99</v>
      </c>
      <c r="E172" s="53" t="s">
        <v>87</v>
      </c>
      <c r="F172" s="52" t="s">
        <v>1660</v>
      </c>
      <c r="H172" s="53" t="s">
        <v>109</v>
      </c>
      <c r="J172" s="76">
        <v>922</v>
      </c>
      <c r="L172" s="52" t="s">
        <v>1723</v>
      </c>
      <c r="M172" s="52" t="s">
        <v>1724</v>
      </c>
      <c r="N172" s="52" t="s">
        <v>1725</v>
      </c>
      <c r="O172" s="52" t="s">
        <v>761</v>
      </c>
      <c r="P172" s="52" t="s">
        <v>763</v>
      </c>
      <c r="Q172" s="52" t="s">
        <v>765</v>
      </c>
      <c r="R172" s="52" t="s">
        <v>254</v>
      </c>
      <c r="S172" s="52" t="s">
        <v>257</v>
      </c>
      <c r="T172" s="52" t="s">
        <v>258</v>
      </c>
      <c r="U172" s="52" t="s">
        <v>387</v>
      </c>
      <c r="V172" s="52" t="s">
        <v>387</v>
      </c>
      <c r="W172" s="52" t="s">
        <v>387</v>
      </c>
      <c r="X172" s="52" t="s">
        <v>773</v>
      </c>
      <c r="Y172" s="52" t="s">
        <v>774</v>
      </c>
      <c r="Z172" s="52" t="s">
        <v>775</v>
      </c>
      <c r="AA172" s="61">
        <v>1</v>
      </c>
      <c r="AB172" s="52" t="s">
        <v>133</v>
      </c>
      <c r="AC172" s="63">
        <v>1</v>
      </c>
      <c r="AD172" s="52" t="s">
        <v>169</v>
      </c>
      <c r="AE172" s="53" t="s">
        <v>179</v>
      </c>
      <c r="AF172" s="65">
        <v>0</v>
      </c>
      <c r="AG172" s="53" t="s">
        <v>192</v>
      </c>
      <c r="AH172" s="52" t="s">
        <v>219</v>
      </c>
      <c r="AI172" s="52" t="s">
        <v>219</v>
      </c>
      <c r="AJ172" s="52" t="s">
        <v>219</v>
      </c>
      <c r="AK172" s="52" t="s">
        <v>219</v>
      </c>
      <c r="AL172" s="52" t="s">
        <v>1024</v>
      </c>
      <c r="AM172" s="52" t="s">
        <v>1219</v>
      </c>
      <c r="AN172" s="52" t="s">
        <v>1220</v>
      </c>
      <c r="AO172" s="64" t="s">
        <v>219</v>
      </c>
      <c r="AP172" s="63" t="s">
        <v>1716</v>
      </c>
      <c r="AQ172" s="64" t="s">
        <v>217</v>
      </c>
      <c r="AR172" s="30" t="s">
        <v>219</v>
      </c>
    </row>
    <row r="173" spans="2:44" ht="21.75" customHeight="1" x14ac:dyDescent="0.45">
      <c r="B173" s="52" t="s">
        <v>99</v>
      </c>
      <c r="E173" s="53" t="s">
        <v>87</v>
      </c>
      <c r="F173" s="52" t="s">
        <v>1660</v>
      </c>
      <c r="H173" s="53" t="s">
        <v>109</v>
      </c>
      <c r="J173" s="76">
        <v>923</v>
      </c>
      <c r="L173" s="52" t="s">
        <v>1726</v>
      </c>
      <c r="M173" s="52" t="s">
        <v>1980</v>
      </c>
      <c r="N173" s="52" t="s">
        <v>1727</v>
      </c>
      <c r="O173" s="52" t="s">
        <v>776</v>
      </c>
      <c r="P173" s="52" t="s">
        <v>1130</v>
      </c>
      <c r="Q173" s="52" t="s">
        <v>780</v>
      </c>
      <c r="R173" s="52" t="s">
        <v>254</v>
      </c>
      <c r="S173" s="52" t="s">
        <v>257</v>
      </c>
      <c r="T173" s="52" t="s">
        <v>258</v>
      </c>
      <c r="U173" s="52" t="s">
        <v>777</v>
      </c>
      <c r="V173" s="52" t="s">
        <v>777</v>
      </c>
      <c r="W173" s="52" t="s">
        <v>777</v>
      </c>
      <c r="X173" s="52" t="s">
        <v>778</v>
      </c>
      <c r="Y173" s="52" t="s">
        <v>779</v>
      </c>
      <c r="Z173" s="52" t="s">
        <v>781</v>
      </c>
      <c r="AA173" s="61">
        <v>0.35</v>
      </c>
      <c r="AB173" s="52" t="s">
        <v>133</v>
      </c>
      <c r="AC173" s="63">
        <v>1</v>
      </c>
      <c r="AD173" s="52" t="s">
        <v>169</v>
      </c>
      <c r="AE173" s="53" t="s">
        <v>179</v>
      </c>
      <c r="AF173" s="65">
        <v>0</v>
      </c>
      <c r="AG173" s="53" t="s">
        <v>192</v>
      </c>
      <c r="AH173" s="52" t="s">
        <v>219</v>
      </c>
      <c r="AI173" s="52" t="s">
        <v>219</v>
      </c>
      <c r="AJ173" s="52" t="s">
        <v>219</v>
      </c>
      <c r="AK173" s="52" t="s">
        <v>219</v>
      </c>
      <c r="AL173" s="52" t="s">
        <v>1024</v>
      </c>
      <c r="AM173" s="52" t="s">
        <v>1219</v>
      </c>
      <c r="AN173" s="52" t="s">
        <v>1220</v>
      </c>
      <c r="AO173" s="64" t="s">
        <v>219</v>
      </c>
      <c r="AP173" s="63" t="s">
        <v>1716</v>
      </c>
      <c r="AQ173" s="64" t="s">
        <v>217</v>
      </c>
      <c r="AR173" s="30" t="s">
        <v>219</v>
      </c>
    </row>
    <row r="174" spans="2:44" ht="21.75" customHeight="1" x14ac:dyDescent="0.45">
      <c r="B174" s="52" t="s">
        <v>99</v>
      </c>
      <c r="E174" s="53" t="s">
        <v>87</v>
      </c>
      <c r="F174" s="52" t="s">
        <v>1660</v>
      </c>
      <c r="H174" s="53" t="s">
        <v>109</v>
      </c>
      <c r="J174" s="76">
        <v>924</v>
      </c>
      <c r="L174" s="52" t="s">
        <v>1728</v>
      </c>
      <c r="M174" s="52" t="s">
        <v>1981</v>
      </c>
      <c r="N174" s="52" t="s">
        <v>1729</v>
      </c>
      <c r="O174" s="52" t="s">
        <v>776</v>
      </c>
      <c r="P174" s="52" t="s">
        <v>1130</v>
      </c>
      <c r="Q174" s="52" t="s">
        <v>780</v>
      </c>
      <c r="R174" s="52" t="s">
        <v>254</v>
      </c>
      <c r="S174" s="52" t="s">
        <v>257</v>
      </c>
      <c r="T174" s="52" t="s">
        <v>258</v>
      </c>
      <c r="U174" s="52" t="s">
        <v>673</v>
      </c>
      <c r="V174" s="52" t="s">
        <v>673</v>
      </c>
      <c r="W174" s="52" t="s">
        <v>673</v>
      </c>
      <c r="X174" s="52" t="s">
        <v>782</v>
      </c>
      <c r="Y174" s="52" t="s">
        <v>783</v>
      </c>
      <c r="Z174" s="52" t="s">
        <v>784</v>
      </c>
      <c r="AA174" s="61">
        <v>0.5</v>
      </c>
      <c r="AB174" s="52" t="s">
        <v>133</v>
      </c>
      <c r="AC174" s="63">
        <v>1</v>
      </c>
      <c r="AD174" s="52" t="s">
        <v>169</v>
      </c>
      <c r="AE174" s="53" t="s">
        <v>179</v>
      </c>
      <c r="AF174" s="65">
        <v>0</v>
      </c>
      <c r="AG174" s="53" t="s">
        <v>192</v>
      </c>
      <c r="AH174" s="52" t="s">
        <v>219</v>
      </c>
      <c r="AI174" s="52" t="s">
        <v>219</v>
      </c>
      <c r="AJ174" s="52" t="s">
        <v>219</v>
      </c>
      <c r="AK174" s="52" t="s">
        <v>219</v>
      </c>
      <c r="AL174" s="52" t="s">
        <v>1024</v>
      </c>
      <c r="AM174" s="52" t="s">
        <v>1219</v>
      </c>
      <c r="AN174" s="52" t="s">
        <v>1220</v>
      </c>
      <c r="AO174" s="64" t="s">
        <v>219</v>
      </c>
      <c r="AP174" s="63" t="s">
        <v>1716</v>
      </c>
      <c r="AQ174" s="64" t="s">
        <v>217</v>
      </c>
      <c r="AR174" s="30" t="s">
        <v>219</v>
      </c>
    </row>
    <row r="175" spans="2:44" ht="21.75" customHeight="1" x14ac:dyDescent="0.45">
      <c r="B175" s="52" t="s">
        <v>99</v>
      </c>
      <c r="E175" s="53" t="s">
        <v>87</v>
      </c>
      <c r="F175" s="52" t="s">
        <v>1660</v>
      </c>
      <c r="H175" s="53" t="s">
        <v>109</v>
      </c>
      <c r="J175" s="76">
        <v>925</v>
      </c>
      <c r="L175" s="52" t="s">
        <v>1730</v>
      </c>
      <c r="M175" s="52" t="s">
        <v>1982</v>
      </c>
      <c r="N175" s="52" t="s">
        <v>1731</v>
      </c>
      <c r="O175" s="52" t="s">
        <v>776</v>
      </c>
      <c r="P175" s="52" t="s">
        <v>1130</v>
      </c>
      <c r="Q175" s="52" t="s">
        <v>780</v>
      </c>
      <c r="R175" s="52" t="s">
        <v>254</v>
      </c>
      <c r="S175" s="52" t="s">
        <v>257</v>
      </c>
      <c r="T175" s="52" t="s">
        <v>258</v>
      </c>
      <c r="U175" s="52" t="s">
        <v>677</v>
      </c>
      <c r="V175" s="52" t="s">
        <v>677</v>
      </c>
      <c r="W175" s="52" t="s">
        <v>677</v>
      </c>
      <c r="X175" s="52" t="s">
        <v>785</v>
      </c>
      <c r="Y175" s="52" t="s">
        <v>786</v>
      </c>
      <c r="Z175" s="52" t="s">
        <v>787</v>
      </c>
      <c r="AA175" s="61">
        <v>0.75</v>
      </c>
      <c r="AB175" s="52" t="s">
        <v>133</v>
      </c>
      <c r="AC175" s="63">
        <v>1</v>
      </c>
      <c r="AD175" s="52" t="s">
        <v>169</v>
      </c>
      <c r="AE175" s="53" t="s">
        <v>179</v>
      </c>
      <c r="AF175" s="65">
        <v>0</v>
      </c>
      <c r="AG175" s="53" t="s">
        <v>192</v>
      </c>
      <c r="AH175" s="52" t="s">
        <v>219</v>
      </c>
      <c r="AI175" s="52" t="s">
        <v>219</v>
      </c>
      <c r="AJ175" s="52" t="s">
        <v>219</v>
      </c>
      <c r="AK175" s="52" t="s">
        <v>219</v>
      </c>
      <c r="AL175" s="52" t="s">
        <v>1024</v>
      </c>
      <c r="AM175" s="52" t="s">
        <v>1219</v>
      </c>
      <c r="AN175" s="52" t="s">
        <v>1220</v>
      </c>
      <c r="AO175" s="64" t="s">
        <v>219</v>
      </c>
      <c r="AP175" s="63" t="s">
        <v>1716</v>
      </c>
      <c r="AQ175" s="64" t="s">
        <v>217</v>
      </c>
      <c r="AR175" s="30" t="s">
        <v>219</v>
      </c>
    </row>
    <row r="176" spans="2:44" ht="21.75" customHeight="1" x14ac:dyDescent="0.45">
      <c r="B176" s="52" t="s">
        <v>99</v>
      </c>
      <c r="E176" s="53" t="s">
        <v>87</v>
      </c>
      <c r="F176" s="52" t="s">
        <v>1660</v>
      </c>
      <c r="H176" s="53" t="s">
        <v>109</v>
      </c>
      <c r="J176" s="76">
        <v>926</v>
      </c>
      <c r="L176" s="52" t="s">
        <v>1732</v>
      </c>
      <c r="M176" s="52" t="s">
        <v>1983</v>
      </c>
      <c r="N176" s="52" t="s">
        <v>1733</v>
      </c>
      <c r="O176" s="52" t="s">
        <v>776</v>
      </c>
      <c r="P176" s="52" t="s">
        <v>1130</v>
      </c>
      <c r="Q176" s="52" t="s">
        <v>780</v>
      </c>
      <c r="R176" s="52" t="s">
        <v>254</v>
      </c>
      <c r="S176" s="52" t="s">
        <v>257</v>
      </c>
      <c r="T176" s="52" t="s">
        <v>258</v>
      </c>
      <c r="U176" s="52" t="s">
        <v>387</v>
      </c>
      <c r="V176" s="52" t="s">
        <v>387</v>
      </c>
      <c r="W176" s="52" t="s">
        <v>387</v>
      </c>
      <c r="X176" s="52" t="s">
        <v>788</v>
      </c>
      <c r="Y176" s="52" t="s">
        <v>789</v>
      </c>
      <c r="Z176" s="52" t="s">
        <v>790</v>
      </c>
      <c r="AA176" s="61">
        <v>1</v>
      </c>
      <c r="AB176" s="52" t="s">
        <v>133</v>
      </c>
      <c r="AC176" s="63">
        <v>1</v>
      </c>
      <c r="AD176" s="52" t="s">
        <v>169</v>
      </c>
      <c r="AE176" s="53" t="s">
        <v>179</v>
      </c>
      <c r="AF176" s="65">
        <v>0</v>
      </c>
      <c r="AG176" s="53" t="s">
        <v>192</v>
      </c>
      <c r="AH176" s="52" t="s">
        <v>219</v>
      </c>
      <c r="AI176" s="52" t="s">
        <v>219</v>
      </c>
      <c r="AJ176" s="52" t="s">
        <v>219</v>
      </c>
      <c r="AK176" s="52" t="s">
        <v>219</v>
      </c>
      <c r="AL176" s="52" t="s">
        <v>1024</v>
      </c>
      <c r="AM176" s="52" t="s">
        <v>1219</v>
      </c>
      <c r="AN176" s="52" t="s">
        <v>1220</v>
      </c>
      <c r="AO176" s="64" t="s">
        <v>219</v>
      </c>
      <c r="AP176" s="63" t="s">
        <v>1716</v>
      </c>
      <c r="AQ176" s="64" t="s">
        <v>217</v>
      </c>
      <c r="AR176" s="30" t="s">
        <v>219</v>
      </c>
    </row>
    <row r="177" spans="2:44" ht="21.75" customHeight="1" x14ac:dyDescent="0.45">
      <c r="B177" s="52" t="s">
        <v>99</v>
      </c>
      <c r="E177" s="53" t="s">
        <v>87</v>
      </c>
      <c r="F177" s="52" t="s">
        <v>1734</v>
      </c>
      <c r="H177" s="53" t="s">
        <v>109</v>
      </c>
      <c r="J177" s="76">
        <v>927</v>
      </c>
      <c r="L177" s="52" t="s">
        <v>1984</v>
      </c>
      <c r="M177" s="52" t="s">
        <v>1985</v>
      </c>
      <c r="N177" s="52" t="s">
        <v>1986</v>
      </c>
      <c r="O177" s="52" t="s">
        <v>1131</v>
      </c>
      <c r="P177" s="52" t="s">
        <v>1134</v>
      </c>
      <c r="Q177" s="52" t="s">
        <v>1136</v>
      </c>
      <c r="R177" s="52" t="s">
        <v>254</v>
      </c>
      <c r="S177" s="52" t="s">
        <v>257</v>
      </c>
      <c r="T177" s="52" t="s">
        <v>258</v>
      </c>
      <c r="U177" s="52" t="s">
        <v>1132</v>
      </c>
      <c r="V177" s="52" t="s">
        <v>1132</v>
      </c>
      <c r="W177" s="52" t="s">
        <v>1132</v>
      </c>
      <c r="X177" s="52" t="s">
        <v>1133</v>
      </c>
      <c r="Y177" s="52" t="s">
        <v>1135</v>
      </c>
      <c r="Z177" s="52" t="s">
        <v>1137</v>
      </c>
      <c r="AA177" s="61">
        <v>0.05</v>
      </c>
      <c r="AB177" s="52" t="s">
        <v>130</v>
      </c>
      <c r="AC177" s="63">
        <v>100</v>
      </c>
      <c r="AD177" s="52" t="s">
        <v>169</v>
      </c>
      <c r="AE177" s="53" t="s">
        <v>179</v>
      </c>
      <c r="AF177" s="65">
        <v>0</v>
      </c>
      <c r="AG177" s="53" t="s">
        <v>192</v>
      </c>
      <c r="AH177" s="52" t="s">
        <v>219</v>
      </c>
      <c r="AI177" s="52" t="s">
        <v>219</v>
      </c>
      <c r="AJ177" s="52" t="s">
        <v>219</v>
      </c>
      <c r="AK177" s="52" t="s">
        <v>219</v>
      </c>
      <c r="AL177" s="52" t="s">
        <v>1024</v>
      </c>
      <c r="AM177" s="52" t="s">
        <v>1219</v>
      </c>
      <c r="AN177" s="52" t="s">
        <v>1220</v>
      </c>
      <c r="AO177" s="64" t="s">
        <v>219</v>
      </c>
      <c r="AP177" s="63" t="s">
        <v>1735</v>
      </c>
      <c r="AQ177" s="64" t="s">
        <v>217</v>
      </c>
      <c r="AR177" s="30" t="s">
        <v>219</v>
      </c>
    </row>
    <row r="178" spans="2:44" ht="21.75" customHeight="1" x14ac:dyDescent="0.45">
      <c r="B178" s="52" t="s">
        <v>99</v>
      </c>
      <c r="E178" s="53" t="s">
        <v>87</v>
      </c>
      <c r="F178" s="52" t="s">
        <v>1734</v>
      </c>
      <c r="H178" s="53" t="s">
        <v>109</v>
      </c>
      <c r="J178" s="76">
        <v>928</v>
      </c>
      <c r="L178" s="52" t="s">
        <v>1987</v>
      </c>
      <c r="M178" s="52" t="s">
        <v>1988</v>
      </c>
      <c r="N178" s="52" t="s">
        <v>1989</v>
      </c>
      <c r="O178" s="52" t="s">
        <v>1131</v>
      </c>
      <c r="P178" s="52" t="s">
        <v>1134</v>
      </c>
      <c r="Q178" s="52" t="s">
        <v>1136</v>
      </c>
      <c r="R178" s="52" t="s">
        <v>254</v>
      </c>
      <c r="S178" s="52" t="s">
        <v>257</v>
      </c>
      <c r="T178" s="52" t="s">
        <v>258</v>
      </c>
      <c r="U178" s="52" t="s">
        <v>416</v>
      </c>
      <c r="V178" s="52" t="s">
        <v>416</v>
      </c>
      <c r="W178" s="52" t="s">
        <v>416</v>
      </c>
      <c r="X178" s="52" t="s">
        <v>1138</v>
      </c>
      <c r="Y178" s="52" t="s">
        <v>1139</v>
      </c>
      <c r="Z178" s="52" t="s">
        <v>1140</v>
      </c>
      <c r="AA178" s="61">
        <v>0.1</v>
      </c>
      <c r="AB178" s="52" t="s">
        <v>130</v>
      </c>
      <c r="AC178" s="63">
        <v>100</v>
      </c>
      <c r="AD178" s="52" t="s">
        <v>169</v>
      </c>
      <c r="AE178" s="53" t="s">
        <v>179</v>
      </c>
      <c r="AF178" s="65">
        <v>0</v>
      </c>
      <c r="AG178" s="53" t="s">
        <v>192</v>
      </c>
      <c r="AH178" s="52" t="s">
        <v>219</v>
      </c>
      <c r="AI178" s="52" t="s">
        <v>219</v>
      </c>
      <c r="AJ178" s="52" t="s">
        <v>219</v>
      </c>
      <c r="AK178" s="52" t="s">
        <v>219</v>
      </c>
      <c r="AL178" s="52" t="s">
        <v>1024</v>
      </c>
      <c r="AM178" s="52" t="s">
        <v>1219</v>
      </c>
      <c r="AN178" s="52" t="s">
        <v>1220</v>
      </c>
      <c r="AO178" s="64" t="s">
        <v>219</v>
      </c>
      <c r="AP178" s="63" t="s">
        <v>1735</v>
      </c>
      <c r="AQ178" s="64" t="s">
        <v>217</v>
      </c>
      <c r="AR178" s="30" t="s">
        <v>219</v>
      </c>
    </row>
    <row r="179" spans="2:44" ht="21.75" customHeight="1" x14ac:dyDescent="0.45">
      <c r="B179" s="52" t="s">
        <v>99</v>
      </c>
      <c r="E179" s="53" t="s">
        <v>87</v>
      </c>
      <c r="F179" s="52" t="s">
        <v>1736</v>
      </c>
      <c r="H179" s="53" t="s">
        <v>109</v>
      </c>
      <c r="J179" s="76">
        <v>950</v>
      </c>
      <c r="L179" s="52" t="s">
        <v>1737</v>
      </c>
      <c r="M179" s="52" t="s">
        <v>1738</v>
      </c>
      <c r="N179" s="52" t="s">
        <v>1739</v>
      </c>
      <c r="O179" s="52" t="s">
        <v>1141</v>
      </c>
      <c r="P179" s="52" t="s">
        <v>1143</v>
      </c>
      <c r="Q179" s="52" t="s">
        <v>1145</v>
      </c>
      <c r="R179" s="52" t="s">
        <v>1142</v>
      </c>
      <c r="S179" s="52" t="s">
        <v>1144</v>
      </c>
      <c r="T179" s="52" t="s">
        <v>1146</v>
      </c>
      <c r="U179" s="52" t="s">
        <v>792</v>
      </c>
      <c r="V179" s="52" t="s">
        <v>792</v>
      </c>
      <c r="W179" s="52" t="s">
        <v>792</v>
      </c>
      <c r="X179" s="52" t="s">
        <v>793</v>
      </c>
      <c r="Y179" s="52" t="s">
        <v>794</v>
      </c>
      <c r="Z179" s="52" t="s">
        <v>795</v>
      </c>
      <c r="AA179" s="61">
        <v>10.5</v>
      </c>
      <c r="AB179" s="52" t="s">
        <v>131</v>
      </c>
      <c r="AC179" s="63">
        <v>1</v>
      </c>
      <c r="AD179" s="52" t="s">
        <v>169</v>
      </c>
      <c r="AE179" s="53" t="s">
        <v>179</v>
      </c>
      <c r="AF179" s="65">
        <v>1102317</v>
      </c>
      <c r="AG179" s="53" t="s">
        <v>192</v>
      </c>
      <c r="AH179" s="52" t="s">
        <v>219</v>
      </c>
      <c r="AI179" s="52" t="s">
        <v>219</v>
      </c>
      <c r="AJ179" s="52" t="s">
        <v>219</v>
      </c>
      <c r="AK179" s="52" t="s">
        <v>219</v>
      </c>
      <c r="AL179" s="52" t="s">
        <v>1024</v>
      </c>
      <c r="AM179" s="52" t="s">
        <v>219</v>
      </c>
      <c r="AN179" s="52" t="s">
        <v>1220</v>
      </c>
      <c r="AO179" s="64" t="s">
        <v>219</v>
      </c>
      <c r="AP179" s="63" t="s">
        <v>1740</v>
      </c>
      <c r="AQ179" s="64" t="s">
        <v>217</v>
      </c>
      <c r="AR179" s="30" t="s">
        <v>219</v>
      </c>
    </row>
    <row r="180" spans="2:44" ht="21.75" customHeight="1" x14ac:dyDescent="0.45">
      <c r="B180" s="52" t="s">
        <v>99</v>
      </c>
      <c r="E180" s="53" t="s">
        <v>87</v>
      </c>
      <c r="F180" s="52" t="s">
        <v>1736</v>
      </c>
      <c r="H180" s="53" t="s">
        <v>109</v>
      </c>
      <c r="J180" s="76">
        <v>951</v>
      </c>
      <c r="L180" s="52" t="s">
        <v>1741</v>
      </c>
      <c r="M180" s="52" t="s">
        <v>1742</v>
      </c>
      <c r="N180" s="52" t="s">
        <v>1743</v>
      </c>
      <c r="O180" s="52" t="s">
        <v>1141</v>
      </c>
      <c r="P180" s="52" t="s">
        <v>1143</v>
      </c>
      <c r="Q180" s="52" t="s">
        <v>1145</v>
      </c>
      <c r="R180" s="52" t="s">
        <v>1142</v>
      </c>
      <c r="S180" s="52" t="s">
        <v>1144</v>
      </c>
      <c r="T180" s="52" t="s">
        <v>1146</v>
      </c>
      <c r="U180" s="52" t="s">
        <v>798</v>
      </c>
      <c r="V180" s="52" t="s">
        <v>798</v>
      </c>
      <c r="W180" s="52" t="s">
        <v>798</v>
      </c>
      <c r="X180" s="52" t="s">
        <v>799</v>
      </c>
      <c r="Y180" s="52" t="s">
        <v>800</v>
      </c>
      <c r="Z180" s="52" t="s">
        <v>801</v>
      </c>
      <c r="AA180" s="61">
        <v>5</v>
      </c>
      <c r="AB180" s="52" t="s">
        <v>131</v>
      </c>
      <c r="AC180" s="63">
        <v>1</v>
      </c>
      <c r="AD180" s="52" t="s">
        <v>169</v>
      </c>
      <c r="AE180" s="53" t="s">
        <v>179</v>
      </c>
      <c r="AF180" s="65">
        <v>1102317</v>
      </c>
      <c r="AG180" s="53" t="s">
        <v>192</v>
      </c>
      <c r="AH180" s="52" t="s">
        <v>219</v>
      </c>
      <c r="AI180" s="52" t="s">
        <v>219</v>
      </c>
      <c r="AJ180" s="52" t="s">
        <v>219</v>
      </c>
      <c r="AK180" s="52" t="s">
        <v>219</v>
      </c>
      <c r="AL180" s="52" t="s">
        <v>1024</v>
      </c>
      <c r="AM180" s="52" t="s">
        <v>219</v>
      </c>
      <c r="AN180" s="52" t="s">
        <v>1220</v>
      </c>
      <c r="AO180" s="64" t="s">
        <v>219</v>
      </c>
      <c r="AP180" s="63" t="s">
        <v>1744</v>
      </c>
      <c r="AQ180" s="64" t="s">
        <v>217</v>
      </c>
      <c r="AR180" s="30" t="s">
        <v>219</v>
      </c>
    </row>
    <row r="181" spans="2:44" ht="21.75" customHeight="1" x14ac:dyDescent="0.45">
      <c r="B181" s="52" t="s">
        <v>99</v>
      </c>
      <c r="E181" s="53" t="s">
        <v>87</v>
      </c>
      <c r="F181" s="52" t="s">
        <v>1736</v>
      </c>
      <c r="H181" s="53" t="s">
        <v>109</v>
      </c>
      <c r="J181" s="76">
        <v>952</v>
      </c>
      <c r="L181" s="52" t="s">
        <v>1745</v>
      </c>
      <c r="M181" s="52" t="s">
        <v>1746</v>
      </c>
      <c r="N181" s="52" t="s">
        <v>1747</v>
      </c>
      <c r="O181" s="52" t="s">
        <v>1141</v>
      </c>
      <c r="P181" s="52" t="s">
        <v>1143</v>
      </c>
      <c r="Q181" s="52" t="s">
        <v>1145</v>
      </c>
      <c r="R181" s="52" t="s">
        <v>1142</v>
      </c>
      <c r="S181" s="52" t="s">
        <v>1144</v>
      </c>
      <c r="T181" s="52" t="s">
        <v>1146</v>
      </c>
      <c r="U181" s="52" t="s">
        <v>802</v>
      </c>
      <c r="V181" s="52" t="s">
        <v>802</v>
      </c>
      <c r="W181" s="52" t="s">
        <v>802</v>
      </c>
      <c r="X181" s="52" t="s">
        <v>803</v>
      </c>
      <c r="Y181" s="52" t="s">
        <v>804</v>
      </c>
      <c r="Z181" s="52" t="s">
        <v>805</v>
      </c>
      <c r="AA181" s="61">
        <v>33</v>
      </c>
      <c r="AB181" s="52" t="s">
        <v>131</v>
      </c>
      <c r="AC181" s="63">
        <v>1</v>
      </c>
      <c r="AD181" s="52" t="s">
        <v>169</v>
      </c>
      <c r="AE181" s="53" t="s">
        <v>179</v>
      </c>
      <c r="AF181" s="65">
        <v>1102317</v>
      </c>
      <c r="AG181" s="53" t="s">
        <v>192</v>
      </c>
      <c r="AH181" s="52" t="s">
        <v>219</v>
      </c>
      <c r="AI181" s="52" t="s">
        <v>219</v>
      </c>
      <c r="AJ181" s="52" t="s">
        <v>219</v>
      </c>
      <c r="AK181" s="52" t="s">
        <v>219</v>
      </c>
      <c r="AL181" s="52" t="s">
        <v>1024</v>
      </c>
      <c r="AM181" s="52" t="s">
        <v>219</v>
      </c>
      <c r="AN181" s="52" t="s">
        <v>1220</v>
      </c>
      <c r="AO181" s="64" t="s">
        <v>219</v>
      </c>
      <c r="AP181" s="63" t="s">
        <v>1748</v>
      </c>
      <c r="AQ181" s="64" t="s">
        <v>217</v>
      </c>
      <c r="AR181" s="30" t="s">
        <v>219</v>
      </c>
    </row>
    <row r="182" spans="2:44" ht="21.75" customHeight="1" x14ac:dyDescent="0.45">
      <c r="B182" s="52" t="s">
        <v>99</v>
      </c>
      <c r="E182" s="53" t="s">
        <v>87</v>
      </c>
      <c r="F182" s="52" t="s">
        <v>1736</v>
      </c>
      <c r="H182" s="53" t="s">
        <v>109</v>
      </c>
      <c r="J182" s="76">
        <v>953</v>
      </c>
      <c r="L182" s="52" t="s">
        <v>1749</v>
      </c>
      <c r="M182" s="52" t="s">
        <v>1750</v>
      </c>
      <c r="N182" s="52" t="s">
        <v>1751</v>
      </c>
      <c r="O182" s="52" t="s">
        <v>1141</v>
      </c>
      <c r="P182" s="52" t="s">
        <v>1143</v>
      </c>
      <c r="Q182" s="52" t="s">
        <v>1145</v>
      </c>
      <c r="R182" s="52" t="s">
        <v>1142</v>
      </c>
      <c r="S182" s="52" t="s">
        <v>1144</v>
      </c>
      <c r="T182" s="52" t="s">
        <v>1146</v>
      </c>
      <c r="U182" s="52" t="s">
        <v>806</v>
      </c>
      <c r="V182" s="52" t="s">
        <v>806</v>
      </c>
      <c r="W182" s="52" t="s">
        <v>806</v>
      </c>
      <c r="X182" s="52" t="s">
        <v>807</v>
      </c>
      <c r="Y182" s="52" t="s">
        <v>808</v>
      </c>
      <c r="Z182" s="52" t="s">
        <v>809</v>
      </c>
      <c r="AA182" s="61">
        <v>35</v>
      </c>
      <c r="AB182" s="52" t="s">
        <v>131</v>
      </c>
      <c r="AC182" s="63">
        <v>1</v>
      </c>
      <c r="AD182" s="52" t="s">
        <v>169</v>
      </c>
      <c r="AE182" s="53" t="s">
        <v>179</v>
      </c>
      <c r="AF182" s="65">
        <v>1102317</v>
      </c>
      <c r="AG182" s="53" t="s">
        <v>192</v>
      </c>
      <c r="AH182" s="52" t="s">
        <v>219</v>
      </c>
      <c r="AI182" s="52" t="s">
        <v>219</v>
      </c>
      <c r="AJ182" s="52" t="s">
        <v>219</v>
      </c>
      <c r="AK182" s="52" t="s">
        <v>219</v>
      </c>
      <c r="AL182" s="52" t="s">
        <v>1024</v>
      </c>
      <c r="AM182" s="52" t="s">
        <v>219</v>
      </c>
      <c r="AN182" s="52" t="s">
        <v>1220</v>
      </c>
      <c r="AO182" s="64" t="s">
        <v>219</v>
      </c>
      <c r="AP182" s="63" t="s">
        <v>1752</v>
      </c>
      <c r="AQ182" s="64" t="s">
        <v>217</v>
      </c>
      <c r="AR182" s="30" t="s">
        <v>219</v>
      </c>
    </row>
    <row r="183" spans="2:44" ht="21.75" customHeight="1" x14ac:dyDescent="0.45">
      <c r="B183" s="52" t="s">
        <v>99</v>
      </c>
      <c r="E183" s="53" t="s">
        <v>87</v>
      </c>
      <c r="F183" s="52" t="s">
        <v>1736</v>
      </c>
      <c r="H183" s="53" t="s">
        <v>109</v>
      </c>
      <c r="J183" s="76">
        <v>954</v>
      </c>
      <c r="L183" s="52" t="s">
        <v>1753</v>
      </c>
      <c r="M183" s="52" t="s">
        <v>1754</v>
      </c>
      <c r="N183" s="52" t="s">
        <v>1755</v>
      </c>
      <c r="O183" s="52" t="s">
        <v>1141</v>
      </c>
      <c r="P183" s="52" t="s">
        <v>1143</v>
      </c>
      <c r="Q183" s="52" t="s">
        <v>1145</v>
      </c>
      <c r="R183" s="52" t="s">
        <v>1142</v>
      </c>
      <c r="S183" s="52" t="s">
        <v>1144</v>
      </c>
      <c r="T183" s="52" t="s">
        <v>1146</v>
      </c>
      <c r="U183" s="52" t="s">
        <v>810</v>
      </c>
      <c r="V183" s="52" t="s">
        <v>810</v>
      </c>
      <c r="W183" s="52" t="s">
        <v>810</v>
      </c>
      <c r="X183" s="52" t="s">
        <v>811</v>
      </c>
      <c r="Y183" s="52" t="s">
        <v>812</v>
      </c>
      <c r="Z183" s="52" t="s">
        <v>813</v>
      </c>
      <c r="AA183" s="61">
        <v>7.5</v>
      </c>
      <c r="AB183" s="52" t="s">
        <v>131</v>
      </c>
      <c r="AC183" s="63">
        <v>1</v>
      </c>
      <c r="AD183" s="52" t="s">
        <v>169</v>
      </c>
      <c r="AE183" s="53" t="s">
        <v>179</v>
      </c>
      <c r="AF183" s="65">
        <v>1102317</v>
      </c>
      <c r="AG183" s="53" t="s">
        <v>192</v>
      </c>
      <c r="AH183" s="52" t="s">
        <v>219</v>
      </c>
      <c r="AI183" s="52" t="s">
        <v>219</v>
      </c>
      <c r="AJ183" s="52" t="s">
        <v>219</v>
      </c>
      <c r="AK183" s="52" t="s">
        <v>219</v>
      </c>
      <c r="AL183" s="52" t="s">
        <v>1024</v>
      </c>
      <c r="AM183" s="52" t="s">
        <v>219</v>
      </c>
      <c r="AN183" s="52" t="s">
        <v>1220</v>
      </c>
      <c r="AO183" s="64" t="s">
        <v>219</v>
      </c>
      <c r="AP183" s="63" t="s">
        <v>1756</v>
      </c>
      <c r="AQ183" s="64" t="s">
        <v>217</v>
      </c>
      <c r="AR183" s="30" t="s">
        <v>219</v>
      </c>
    </row>
    <row r="184" spans="2:44" ht="21.75" customHeight="1" x14ac:dyDescent="0.45">
      <c r="B184" s="52" t="s">
        <v>99</v>
      </c>
      <c r="E184" s="53" t="s">
        <v>87</v>
      </c>
      <c r="F184" s="52" t="s">
        <v>1736</v>
      </c>
      <c r="H184" s="53" t="s">
        <v>109</v>
      </c>
      <c r="J184" s="76">
        <v>955</v>
      </c>
      <c r="L184" s="52" t="s">
        <v>1757</v>
      </c>
      <c r="M184" s="52" t="s">
        <v>1758</v>
      </c>
      <c r="N184" s="52" t="s">
        <v>1844</v>
      </c>
      <c r="O184" s="52" t="s">
        <v>1147</v>
      </c>
      <c r="P184" s="52" t="s">
        <v>1215</v>
      </c>
      <c r="Q184" s="52" t="s">
        <v>1148</v>
      </c>
      <c r="R184" s="52" t="s">
        <v>1142</v>
      </c>
      <c r="S184" s="52" t="s">
        <v>1144</v>
      </c>
      <c r="T184" s="52" t="s">
        <v>1146</v>
      </c>
      <c r="U184" s="52" t="s">
        <v>792</v>
      </c>
      <c r="V184" s="52" t="s">
        <v>792</v>
      </c>
      <c r="W184" s="52" t="s">
        <v>792</v>
      </c>
      <c r="X184" s="52" t="s">
        <v>793</v>
      </c>
      <c r="Y184" s="52" t="s">
        <v>794</v>
      </c>
      <c r="Z184" s="52" t="s">
        <v>795</v>
      </c>
      <c r="AA184" s="61">
        <v>10.5</v>
      </c>
      <c r="AB184" s="52" t="s">
        <v>131</v>
      </c>
      <c r="AC184" s="63">
        <v>1</v>
      </c>
      <c r="AD184" s="52" t="s">
        <v>169</v>
      </c>
      <c r="AE184" s="53" t="s">
        <v>179</v>
      </c>
      <c r="AF184" s="65">
        <v>1102318</v>
      </c>
      <c r="AG184" s="53" t="s">
        <v>192</v>
      </c>
      <c r="AH184" s="52" t="s">
        <v>219</v>
      </c>
      <c r="AI184" s="52" t="s">
        <v>219</v>
      </c>
      <c r="AJ184" s="52" t="s">
        <v>219</v>
      </c>
      <c r="AK184" s="52" t="s">
        <v>219</v>
      </c>
      <c r="AL184" s="52" t="s">
        <v>1024</v>
      </c>
      <c r="AM184" s="52" t="s">
        <v>219</v>
      </c>
      <c r="AN184" s="52" t="s">
        <v>1220</v>
      </c>
      <c r="AO184" s="64" t="s">
        <v>219</v>
      </c>
      <c r="AP184" s="63" t="s">
        <v>1740</v>
      </c>
      <c r="AQ184" s="64" t="s">
        <v>217</v>
      </c>
      <c r="AR184" s="30" t="s">
        <v>219</v>
      </c>
    </row>
    <row r="185" spans="2:44" ht="21.75" customHeight="1" x14ac:dyDescent="0.45">
      <c r="B185" s="52" t="s">
        <v>99</v>
      </c>
      <c r="E185" s="53" t="s">
        <v>87</v>
      </c>
      <c r="F185" s="52" t="s">
        <v>1736</v>
      </c>
      <c r="H185" s="53" t="s">
        <v>109</v>
      </c>
      <c r="J185" s="76">
        <v>956</v>
      </c>
      <c r="L185" s="52" t="s">
        <v>1759</v>
      </c>
      <c r="M185" s="52" t="s">
        <v>1760</v>
      </c>
      <c r="N185" s="52" t="s">
        <v>1761</v>
      </c>
      <c r="O185" s="52" t="s">
        <v>1147</v>
      </c>
      <c r="P185" s="52" t="s">
        <v>1215</v>
      </c>
      <c r="Q185" s="52" t="s">
        <v>1148</v>
      </c>
      <c r="R185" s="52" t="s">
        <v>1142</v>
      </c>
      <c r="S185" s="52" t="s">
        <v>1144</v>
      </c>
      <c r="T185" s="52" t="s">
        <v>1146</v>
      </c>
      <c r="U185" s="52" t="s">
        <v>798</v>
      </c>
      <c r="V185" s="52" t="s">
        <v>798</v>
      </c>
      <c r="W185" s="52" t="s">
        <v>798</v>
      </c>
      <c r="X185" s="52" t="s">
        <v>799</v>
      </c>
      <c r="Y185" s="52" t="s">
        <v>800</v>
      </c>
      <c r="Z185" s="52" t="s">
        <v>801</v>
      </c>
      <c r="AA185" s="61">
        <v>5</v>
      </c>
      <c r="AB185" s="52" t="s">
        <v>131</v>
      </c>
      <c r="AC185" s="63">
        <v>1</v>
      </c>
      <c r="AD185" s="52" t="s">
        <v>169</v>
      </c>
      <c r="AE185" s="53" t="s">
        <v>179</v>
      </c>
      <c r="AF185" s="65">
        <v>1102318</v>
      </c>
      <c r="AG185" s="53" t="s">
        <v>192</v>
      </c>
      <c r="AH185" s="52" t="s">
        <v>219</v>
      </c>
      <c r="AI185" s="52" t="s">
        <v>219</v>
      </c>
      <c r="AJ185" s="52" t="s">
        <v>219</v>
      </c>
      <c r="AK185" s="52" t="s">
        <v>219</v>
      </c>
      <c r="AL185" s="52" t="s">
        <v>1024</v>
      </c>
      <c r="AM185" s="52" t="s">
        <v>219</v>
      </c>
      <c r="AN185" s="52" t="s">
        <v>1220</v>
      </c>
      <c r="AO185" s="64" t="s">
        <v>219</v>
      </c>
      <c r="AP185" s="63" t="s">
        <v>1744</v>
      </c>
      <c r="AQ185" s="64" t="s">
        <v>217</v>
      </c>
      <c r="AR185" s="30" t="s">
        <v>219</v>
      </c>
    </row>
    <row r="186" spans="2:44" ht="21.75" customHeight="1" x14ac:dyDescent="0.45">
      <c r="B186" s="52" t="s">
        <v>99</v>
      </c>
      <c r="E186" s="53" t="s">
        <v>87</v>
      </c>
      <c r="F186" s="52" t="s">
        <v>1736</v>
      </c>
      <c r="H186" s="53" t="s">
        <v>109</v>
      </c>
      <c r="J186" s="76">
        <v>957</v>
      </c>
      <c r="L186" s="52" t="s">
        <v>1762</v>
      </c>
      <c r="M186" s="52" t="s">
        <v>1763</v>
      </c>
      <c r="N186" s="52" t="s">
        <v>1764</v>
      </c>
      <c r="O186" s="52" t="s">
        <v>1147</v>
      </c>
      <c r="P186" s="52" t="s">
        <v>1215</v>
      </c>
      <c r="Q186" s="52" t="s">
        <v>1148</v>
      </c>
      <c r="R186" s="52" t="s">
        <v>1142</v>
      </c>
      <c r="S186" s="52" t="s">
        <v>1144</v>
      </c>
      <c r="T186" s="52" t="s">
        <v>1146</v>
      </c>
      <c r="U186" s="52" t="s">
        <v>802</v>
      </c>
      <c r="V186" s="52" t="s">
        <v>802</v>
      </c>
      <c r="W186" s="52" t="s">
        <v>802</v>
      </c>
      <c r="X186" s="52" t="s">
        <v>803</v>
      </c>
      <c r="Y186" s="52" t="s">
        <v>804</v>
      </c>
      <c r="Z186" s="52" t="s">
        <v>805</v>
      </c>
      <c r="AA186" s="61">
        <v>33</v>
      </c>
      <c r="AB186" s="52" t="s">
        <v>131</v>
      </c>
      <c r="AC186" s="63">
        <v>1</v>
      </c>
      <c r="AD186" s="52" t="s">
        <v>169</v>
      </c>
      <c r="AE186" s="53" t="s">
        <v>179</v>
      </c>
      <c r="AF186" s="65">
        <v>1102318</v>
      </c>
      <c r="AG186" s="53" t="s">
        <v>192</v>
      </c>
      <c r="AH186" s="52" t="s">
        <v>219</v>
      </c>
      <c r="AI186" s="52" t="s">
        <v>219</v>
      </c>
      <c r="AJ186" s="52" t="s">
        <v>219</v>
      </c>
      <c r="AK186" s="52" t="s">
        <v>219</v>
      </c>
      <c r="AL186" s="52" t="s">
        <v>1024</v>
      </c>
      <c r="AM186" s="52" t="s">
        <v>219</v>
      </c>
      <c r="AN186" s="52" t="s">
        <v>1220</v>
      </c>
      <c r="AO186" s="64" t="s">
        <v>219</v>
      </c>
      <c r="AP186" s="63" t="s">
        <v>1748</v>
      </c>
      <c r="AQ186" s="64" t="s">
        <v>217</v>
      </c>
      <c r="AR186" s="30" t="s">
        <v>219</v>
      </c>
    </row>
    <row r="187" spans="2:44" ht="21.75" customHeight="1" x14ac:dyDescent="0.45">
      <c r="B187" s="52" t="s">
        <v>99</v>
      </c>
      <c r="E187" s="53" t="s">
        <v>87</v>
      </c>
      <c r="F187" s="52" t="s">
        <v>1736</v>
      </c>
      <c r="H187" s="53" t="s">
        <v>109</v>
      </c>
      <c r="J187" s="76">
        <v>958</v>
      </c>
      <c r="L187" s="52" t="s">
        <v>1765</v>
      </c>
      <c r="M187" s="52" t="s">
        <v>1766</v>
      </c>
      <c r="N187" s="52" t="s">
        <v>1767</v>
      </c>
      <c r="O187" s="52" t="s">
        <v>1147</v>
      </c>
      <c r="P187" s="52" t="s">
        <v>1215</v>
      </c>
      <c r="Q187" s="52" t="s">
        <v>1148</v>
      </c>
      <c r="R187" s="52" t="s">
        <v>1142</v>
      </c>
      <c r="S187" s="52" t="s">
        <v>1144</v>
      </c>
      <c r="T187" s="52" t="s">
        <v>1146</v>
      </c>
      <c r="U187" s="52" t="s">
        <v>806</v>
      </c>
      <c r="V187" s="52" t="s">
        <v>806</v>
      </c>
      <c r="W187" s="52" t="s">
        <v>806</v>
      </c>
      <c r="X187" s="52" t="s">
        <v>807</v>
      </c>
      <c r="Y187" s="52" t="s">
        <v>808</v>
      </c>
      <c r="Z187" s="52" t="s">
        <v>809</v>
      </c>
      <c r="AA187" s="61">
        <v>35</v>
      </c>
      <c r="AB187" s="52" t="s">
        <v>131</v>
      </c>
      <c r="AC187" s="63">
        <v>1</v>
      </c>
      <c r="AD187" s="52" t="s">
        <v>169</v>
      </c>
      <c r="AE187" s="53" t="s">
        <v>179</v>
      </c>
      <c r="AF187" s="65">
        <v>1102318</v>
      </c>
      <c r="AG187" s="53" t="s">
        <v>192</v>
      </c>
      <c r="AH187" s="52" t="s">
        <v>219</v>
      </c>
      <c r="AI187" s="52" t="s">
        <v>219</v>
      </c>
      <c r="AJ187" s="52" t="s">
        <v>219</v>
      </c>
      <c r="AK187" s="52" t="s">
        <v>219</v>
      </c>
      <c r="AL187" s="52" t="s">
        <v>1024</v>
      </c>
      <c r="AM187" s="52" t="s">
        <v>219</v>
      </c>
      <c r="AN187" s="52" t="s">
        <v>1220</v>
      </c>
      <c r="AO187" s="64" t="s">
        <v>219</v>
      </c>
      <c r="AP187" s="63" t="s">
        <v>1752</v>
      </c>
      <c r="AQ187" s="64" t="s">
        <v>217</v>
      </c>
      <c r="AR187" s="30" t="s">
        <v>219</v>
      </c>
    </row>
    <row r="188" spans="2:44" ht="21.75" customHeight="1" x14ac:dyDescent="0.45">
      <c r="B188" s="52" t="s">
        <v>99</v>
      </c>
      <c r="E188" s="53" t="s">
        <v>87</v>
      </c>
      <c r="F188" s="52" t="s">
        <v>1736</v>
      </c>
      <c r="H188" s="53" t="s">
        <v>109</v>
      </c>
      <c r="J188" s="76">
        <v>959</v>
      </c>
      <c r="L188" s="52" t="s">
        <v>1768</v>
      </c>
      <c r="M188" s="52" t="s">
        <v>1769</v>
      </c>
      <c r="N188" s="52" t="s">
        <v>1770</v>
      </c>
      <c r="O188" s="52" t="s">
        <v>1147</v>
      </c>
      <c r="P188" s="52" t="s">
        <v>1215</v>
      </c>
      <c r="Q188" s="52" t="s">
        <v>1148</v>
      </c>
      <c r="R188" s="52" t="s">
        <v>1142</v>
      </c>
      <c r="S188" s="52" t="s">
        <v>1144</v>
      </c>
      <c r="T188" s="52" t="s">
        <v>1146</v>
      </c>
      <c r="U188" s="52" t="s">
        <v>810</v>
      </c>
      <c r="V188" s="52" t="s">
        <v>810</v>
      </c>
      <c r="W188" s="52" t="s">
        <v>810</v>
      </c>
      <c r="X188" s="52" t="s">
        <v>811</v>
      </c>
      <c r="Y188" s="52" t="s">
        <v>812</v>
      </c>
      <c r="Z188" s="52" t="s">
        <v>813</v>
      </c>
      <c r="AA188" s="61">
        <v>7.5</v>
      </c>
      <c r="AB188" s="52" t="s">
        <v>131</v>
      </c>
      <c r="AC188" s="63">
        <v>1</v>
      </c>
      <c r="AD188" s="52" t="s">
        <v>169</v>
      </c>
      <c r="AE188" s="53" t="s">
        <v>179</v>
      </c>
      <c r="AF188" s="65">
        <v>1102318</v>
      </c>
      <c r="AG188" s="53" t="s">
        <v>192</v>
      </c>
      <c r="AH188" s="52" t="s">
        <v>219</v>
      </c>
      <c r="AI188" s="52" t="s">
        <v>219</v>
      </c>
      <c r="AJ188" s="52" t="s">
        <v>219</v>
      </c>
      <c r="AK188" s="52" t="s">
        <v>219</v>
      </c>
      <c r="AL188" s="52" t="s">
        <v>1024</v>
      </c>
      <c r="AM188" s="52" t="s">
        <v>219</v>
      </c>
      <c r="AN188" s="52" t="s">
        <v>1220</v>
      </c>
      <c r="AO188" s="64" t="s">
        <v>219</v>
      </c>
      <c r="AP188" s="63" t="s">
        <v>1756</v>
      </c>
      <c r="AQ188" s="64" t="s">
        <v>217</v>
      </c>
      <c r="AR188" s="30" t="s">
        <v>219</v>
      </c>
    </row>
    <row r="189" spans="2:44" ht="21.75" customHeight="1" x14ac:dyDescent="0.45">
      <c r="B189" s="52" t="s">
        <v>99</v>
      </c>
      <c r="E189" s="53" t="s">
        <v>87</v>
      </c>
      <c r="F189" s="52" t="s">
        <v>1736</v>
      </c>
      <c r="H189" s="53" t="s">
        <v>109</v>
      </c>
      <c r="J189" s="76">
        <v>960</v>
      </c>
      <c r="L189" s="52" t="s">
        <v>1771</v>
      </c>
      <c r="M189" s="52" t="s">
        <v>1772</v>
      </c>
      <c r="N189" s="52" t="s">
        <v>1773</v>
      </c>
      <c r="O189" s="52" t="s">
        <v>814</v>
      </c>
      <c r="P189" s="52" t="s">
        <v>815</v>
      </c>
      <c r="Q189" s="52" t="s">
        <v>816</v>
      </c>
      <c r="R189" s="52" t="s">
        <v>1024</v>
      </c>
      <c r="S189" s="52" t="s">
        <v>1024</v>
      </c>
      <c r="T189" s="52" t="s">
        <v>1024</v>
      </c>
      <c r="U189" s="52" t="s">
        <v>273</v>
      </c>
      <c r="V189" s="52" t="s">
        <v>274</v>
      </c>
      <c r="W189" s="52" t="s">
        <v>275</v>
      </c>
      <c r="X189" s="52" t="s">
        <v>814</v>
      </c>
      <c r="Y189" s="52" t="s">
        <v>815</v>
      </c>
      <c r="Z189" s="52" t="s">
        <v>816</v>
      </c>
      <c r="AA189" s="61">
        <v>1</v>
      </c>
      <c r="AB189" s="52" t="s">
        <v>137</v>
      </c>
      <c r="AC189" s="63">
        <v>1</v>
      </c>
      <c r="AD189" s="52" t="s">
        <v>169</v>
      </c>
      <c r="AE189" s="53" t="s">
        <v>179</v>
      </c>
      <c r="AF189" s="65">
        <v>0</v>
      </c>
      <c r="AG189" s="53" t="s">
        <v>192</v>
      </c>
      <c r="AH189" s="52" t="s">
        <v>219</v>
      </c>
      <c r="AI189" s="52" t="s">
        <v>219</v>
      </c>
      <c r="AJ189" s="52" t="s">
        <v>219</v>
      </c>
      <c r="AK189" s="52" t="s">
        <v>219</v>
      </c>
      <c r="AL189" s="52" t="s">
        <v>1024</v>
      </c>
      <c r="AM189" s="52" t="s">
        <v>219</v>
      </c>
      <c r="AN189" s="52" t="s">
        <v>1220</v>
      </c>
      <c r="AO189" s="64" t="s">
        <v>219</v>
      </c>
      <c r="AP189" s="63" t="s">
        <v>1774</v>
      </c>
      <c r="AQ189" s="64" t="s">
        <v>217</v>
      </c>
      <c r="AR189" s="30" t="s">
        <v>219</v>
      </c>
    </row>
    <row r="190" spans="2:44" ht="21.75" customHeight="1" x14ac:dyDescent="0.45">
      <c r="B190" s="52" t="s">
        <v>99</v>
      </c>
      <c r="E190" s="53" t="s">
        <v>87</v>
      </c>
      <c r="F190" s="52" t="s">
        <v>1736</v>
      </c>
      <c r="H190" s="53" t="s">
        <v>109</v>
      </c>
      <c r="J190" s="76">
        <v>961</v>
      </c>
      <c r="L190" s="52" t="s">
        <v>1775</v>
      </c>
      <c r="M190" s="52" t="s">
        <v>1776</v>
      </c>
      <c r="N190" s="52" t="s">
        <v>1777</v>
      </c>
      <c r="O190" s="52" t="s">
        <v>817</v>
      </c>
      <c r="P190" s="52" t="s">
        <v>818</v>
      </c>
      <c r="Q190" s="52" t="s">
        <v>819</v>
      </c>
      <c r="R190" s="52" t="s">
        <v>1024</v>
      </c>
      <c r="S190" s="52" t="s">
        <v>1024</v>
      </c>
      <c r="T190" s="52" t="s">
        <v>1024</v>
      </c>
      <c r="U190" s="52" t="s">
        <v>273</v>
      </c>
      <c r="V190" s="52" t="s">
        <v>274</v>
      </c>
      <c r="W190" s="52" t="s">
        <v>275</v>
      </c>
      <c r="X190" s="52" t="s">
        <v>817</v>
      </c>
      <c r="Y190" s="52" t="s">
        <v>818</v>
      </c>
      <c r="Z190" s="52" t="s">
        <v>819</v>
      </c>
      <c r="AA190" s="61">
        <v>1</v>
      </c>
      <c r="AB190" s="52" t="s">
        <v>137</v>
      </c>
      <c r="AC190" s="63">
        <v>1</v>
      </c>
      <c r="AD190" s="52" t="s">
        <v>169</v>
      </c>
      <c r="AE190" s="53" t="s">
        <v>179</v>
      </c>
      <c r="AF190" s="65">
        <v>0</v>
      </c>
      <c r="AG190" s="53" t="s">
        <v>192</v>
      </c>
      <c r="AH190" s="52" t="s">
        <v>219</v>
      </c>
      <c r="AI190" s="52" t="s">
        <v>219</v>
      </c>
      <c r="AJ190" s="52" t="s">
        <v>219</v>
      </c>
      <c r="AK190" s="52" t="s">
        <v>219</v>
      </c>
      <c r="AL190" s="52" t="s">
        <v>1024</v>
      </c>
      <c r="AM190" s="52" t="s">
        <v>219</v>
      </c>
      <c r="AN190" s="52" t="s">
        <v>1220</v>
      </c>
      <c r="AO190" s="64" t="s">
        <v>219</v>
      </c>
      <c r="AP190" s="63" t="s">
        <v>1778</v>
      </c>
      <c r="AQ190" s="64" t="s">
        <v>217</v>
      </c>
      <c r="AR190" s="30" t="s">
        <v>219</v>
      </c>
    </row>
    <row r="191" spans="2:44" ht="21.75" customHeight="1" x14ac:dyDescent="0.45">
      <c r="B191" s="52" t="s">
        <v>99</v>
      </c>
      <c r="E191" s="53" t="s">
        <v>87</v>
      </c>
      <c r="F191" s="52" t="s">
        <v>1736</v>
      </c>
      <c r="H191" s="53" t="s">
        <v>109</v>
      </c>
      <c r="J191" s="76">
        <v>962</v>
      </c>
      <c r="L191" s="52" t="s">
        <v>1779</v>
      </c>
      <c r="M191" s="52" t="s">
        <v>1990</v>
      </c>
      <c r="N191" s="52" t="s">
        <v>1780</v>
      </c>
      <c r="O191" s="52" t="s">
        <v>820</v>
      </c>
      <c r="P191" s="52" t="s">
        <v>1149</v>
      </c>
      <c r="Q191" s="52" t="s">
        <v>821</v>
      </c>
      <c r="R191" s="52" t="s">
        <v>1024</v>
      </c>
      <c r="S191" s="52" t="s">
        <v>1024</v>
      </c>
      <c r="T191" s="52" t="s">
        <v>1024</v>
      </c>
      <c r="U191" s="52" t="s">
        <v>273</v>
      </c>
      <c r="V191" s="52" t="s">
        <v>274</v>
      </c>
      <c r="W191" s="52" t="s">
        <v>275</v>
      </c>
      <c r="X191" s="52" t="s">
        <v>820</v>
      </c>
      <c r="Y191" s="52" t="s">
        <v>1149</v>
      </c>
      <c r="Z191" s="52" t="s">
        <v>821</v>
      </c>
      <c r="AA191" s="61">
        <v>1</v>
      </c>
      <c r="AB191" s="52" t="s">
        <v>137</v>
      </c>
      <c r="AC191" s="63">
        <v>1</v>
      </c>
      <c r="AD191" s="52" t="s">
        <v>169</v>
      </c>
      <c r="AE191" s="53" t="s">
        <v>179</v>
      </c>
      <c r="AF191" s="65">
        <v>0</v>
      </c>
      <c r="AG191" s="53" t="s">
        <v>192</v>
      </c>
      <c r="AH191" s="52" t="s">
        <v>219</v>
      </c>
      <c r="AI191" s="52" t="s">
        <v>219</v>
      </c>
      <c r="AJ191" s="52" t="s">
        <v>219</v>
      </c>
      <c r="AK191" s="52" t="s">
        <v>219</v>
      </c>
      <c r="AL191" s="52" t="s">
        <v>1024</v>
      </c>
      <c r="AM191" s="52" t="s">
        <v>219</v>
      </c>
      <c r="AN191" s="52" t="s">
        <v>1220</v>
      </c>
      <c r="AO191" s="64" t="s">
        <v>219</v>
      </c>
      <c r="AP191" s="63" t="s">
        <v>1781</v>
      </c>
      <c r="AQ191" s="64" t="s">
        <v>217</v>
      </c>
      <c r="AR191" s="30" t="s">
        <v>219</v>
      </c>
    </row>
    <row r="192" spans="2:44" ht="21.75" customHeight="1" x14ac:dyDescent="0.45">
      <c r="B192" s="52" t="s">
        <v>99</v>
      </c>
      <c r="E192" s="53" t="s">
        <v>87</v>
      </c>
      <c r="F192" s="52" t="s">
        <v>1736</v>
      </c>
      <c r="H192" s="53" t="s">
        <v>109</v>
      </c>
      <c r="J192" s="76">
        <v>963</v>
      </c>
      <c r="L192" s="52" t="s">
        <v>1782</v>
      </c>
      <c r="M192" s="52" t="s">
        <v>1783</v>
      </c>
      <c r="N192" s="52" t="s">
        <v>1784</v>
      </c>
      <c r="O192" s="52" t="s">
        <v>822</v>
      </c>
      <c r="P192" s="52" t="s">
        <v>822</v>
      </c>
      <c r="Q192" s="52" t="s">
        <v>823</v>
      </c>
      <c r="R192" s="52" t="s">
        <v>1024</v>
      </c>
      <c r="S192" s="52" t="s">
        <v>1024</v>
      </c>
      <c r="T192" s="52" t="s">
        <v>1024</v>
      </c>
      <c r="U192" s="52" t="s">
        <v>273</v>
      </c>
      <c r="V192" s="52" t="s">
        <v>274</v>
      </c>
      <c r="W192" s="52" t="s">
        <v>275</v>
      </c>
      <c r="X192" s="52" t="s">
        <v>822</v>
      </c>
      <c r="Y192" s="52" t="s">
        <v>822</v>
      </c>
      <c r="Z192" s="52" t="s">
        <v>823</v>
      </c>
      <c r="AA192" s="61">
        <v>1</v>
      </c>
      <c r="AB192" s="52" t="s">
        <v>137</v>
      </c>
      <c r="AC192" s="63">
        <v>1</v>
      </c>
      <c r="AD192" s="52" t="s">
        <v>169</v>
      </c>
      <c r="AE192" s="53" t="s">
        <v>179</v>
      </c>
      <c r="AF192" s="65">
        <v>0</v>
      </c>
      <c r="AG192" s="53" t="s">
        <v>192</v>
      </c>
      <c r="AH192" s="52" t="s">
        <v>219</v>
      </c>
      <c r="AI192" s="52" t="s">
        <v>219</v>
      </c>
      <c r="AJ192" s="52" t="s">
        <v>219</v>
      </c>
      <c r="AK192" s="52" t="s">
        <v>219</v>
      </c>
      <c r="AL192" s="52" t="s">
        <v>1024</v>
      </c>
      <c r="AM192" s="52" t="s">
        <v>219</v>
      </c>
      <c r="AN192" s="52" t="s">
        <v>1220</v>
      </c>
      <c r="AO192" s="64" t="s">
        <v>219</v>
      </c>
      <c r="AP192" s="63" t="s">
        <v>1785</v>
      </c>
      <c r="AQ192" s="64" t="s">
        <v>217</v>
      </c>
      <c r="AR192" s="30" t="s">
        <v>219</v>
      </c>
    </row>
    <row r="193" spans="2:44" ht="21.75" customHeight="1" x14ac:dyDescent="0.45">
      <c r="B193" s="52" t="s">
        <v>99</v>
      </c>
      <c r="E193" s="53" t="s">
        <v>87</v>
      </c>
      <c r="F193" s="52" t="s">
        <v>1736</v>
      </c>
      <c r="H193" s="53" t="s">
        <v>109</v>
      </c>
      <c r="J193" s="76">
        <v>964</v>
      </c>
      <c r="L193" s="52" t="s">
        <v>1786</v>
      </c>
      <c r="M193" s="52" t="s">
        <v>1787</v>
      </c>
      <c r="N193" s="52" t="s">
        <v>1788</v>
      </c>
      <c r="O193" s="52" t="s">
        <v>824</v>
      </c>
      <c r="P193" s="52" t="s">
        <v>825</v>
      </c>
      <c r="Q193" s="52" t="s">
        <v>826</v>
      </c>
      <c r="R193" s="52" t="s">
        <v>1024</v>
      </c>
      <c r="S193" s="52" t="s">
        <v>1024</v>
      </c>
      <c r="T193" s="52" t="s">
        <v>1024</v>
      </c>
      <c r="U193" s="52" t="s">
        <v>273</v>
      </c>
      <c r="V193" s="52" t="s">
        <v>274</v>
      </c>
      <c r="W193" s="52" t="s">
        <v>275</v>
      </c>
      <c r="X193" s="52" t="s">
        <v>824</v>
      </c>
      <c r="Y193" s="52" t="s">
        <v>825</v>
      </c>
      <c r="Z193" s="52" t="s">
        <v>826</v>
      </c>
      <c r="AA193" s="61">
        <v>1</v>
      </c>
      <c r="AB193" s="52" t="s">
        <v>137</v>
      </c>
      <c r="AC193" s="63">
        <v>1</v>
      </c>
      <c r="AD193" s="52" t="s">
        <v>169</v>
      </c>
      <c r="AE193" s="53" t="s">
        <v>179</v>
      </c>
      <c r="AF193" s="65">
        <v>0</v>
      </c>
      <c r="AG193" s="53" t="s">
        <v>192</v>
      </c>
      <c r="AH193" s="52" t="s">
        <v>219</v>
      </c>
      <c r="AI193" s="52" t="s">
        <v>219</v>
      </c>
      <c r="AJ193" s="52" t="s">
        <v>219</v>
      </c>
      <c r="AK193" s="52" t="s">
        <v>219</v>
      </c>
      <c r="AL193" s="52" t="s">
        <v>1024</v>
      </c>
      <c r="AM193" s="52" t="s">
        <v>219</v>
      </c>
      <c r="AN193" s="52" t="s">
        <v>1220</v>
      </c>
      <c r="AO193" s="64" t="s">
        <v>219</v>
      </c>
      <c r="AP193" s="63" t="s">
        <v>1789</v>
      </c>
      <c r="AQ193" s="64" t="s">
        <v>217</v>
      </c>
      <c r="AR193" s="30" t="s">
        <v>219</v>
      </c>
    </row>
    <row r="194" spans="2:44" ht="21.75" customHeight="1" x14ac:dyDescent="0.45">
      <c r="B194" s="52" t="s">
        <v>99</v>
      </c>
      <c r="E194" s="53" t="s">
        <v>87</v>
      </c>
      <c r="F194" s="52" t="s">
        <v>1790</v>
      </c>
      <c r="H194" s="53" t="s">
        <v>109</v>
      </c>
      <c r="J194" s="76">
        <v>965</v>
      </c>
      <c r="L194" s="52" t="s">
        <v>1791</v>
      </c>
      <c r="M194" s="52" t="s">
        <v>1792</v>
      </c>
      <c r="N194" s="52" t="s">
        <v>1793</v>
      </c>
      <c r="O194" s="52" t="s">
        <v>827</v>
      </c>
      <c r="P194" s="52" t="s">
        <v>828</v>
      </c>
      <c r="Q194" s="52" t="s">
        <v>829</v>
      </c>
      <c r="R194" s="52" t="s">
        <v>1024</v>
      </c>
      <c r="S194" s="52" t="s">
        <v>1024</v>
      </c>
      <c r="T194" s="52" t="s">
        <v>1024</v>
      </c>
      <c r="U194" s="52" t="s">
        <v>273</v>
      </c>
      <c r="V194" s="52" t="s">
        <v>274</v>
      </c>
      <c r="W194" s="52" t="s">
        <v>275</v>
      </c>
      <c r="X194" s="52" t="s">
        <v>827</v>
      </c>
      <c r="Y194" s="52" t="s">
        <v>828</v>
      </c>
      <c r="Z194" s="52" t="s">
        <v>829</v>
      </c>
      <c r="AA194" s="61">
        <v>1</v>
      </c>
      <c r="AB194" s="52" t="s">
        <v>137</v>
      </c>
      <c r="AC194" s="63">
        <v>1</v>
      </c>
      <c r="AD194" s="52" t="s">
        <v>169</v>
      </c>
      <c r="AE194" s="53" t="s">
        <v>179</v>
      </c>
      <c r="AF194" s="65">
        <v>0</v>
      </c>
      <c r="AG194" s="53" t="s">
        <v>192</v>
      </c>
      <c r="AH194" s="52" t="s">
        <v>219</v>
      </c>
      <c r="AI194" s="52" t="s">
        <v>219</v>
      </c>
      <c r="AJ194" s="52" t="s">
        <v>219</v>
      </c>
      <c r="AK194" s="52" t="s">
        <v>219</v>
      </c>
      <c r="AL194" s="52" t="s">
        <v>1024</v>
      </c>
      <c r="AM194" s="52" t="s">
        <v>1219</v>
      </c>
      <c r="AN194" s="52" t="s">
        <v>1220</v>
      </c>
      <c r="AO194" s="64" t="s">
        <v>219</v>
      </c>
      <c r="AP194" s="63" t="s">
        <v>1794</v>
      </c>
      <c r="AQ194" s="64" t="s">
        <v>217</v>
      </c>
      <c r="AR194" s="30" t="s">
        <v>219</v>
      </c>
    </row>
    <row r="195" spans="2:44" ht="21.75" customHeight="1" x14ac:dyDescent="0.45">
      <c r="B195" s="52" t="s">
        <v>99</v>
      </c>
      <c r="E195" s="53" t="s">
        <v>87</v>
      </c>
      <c r="F195" s="52" t="s">
        <v>1790</v>
      </c>
      <c r="H195" s="53" t="s">
        <v>109</v>
      </c>
      <c r="J195" s="76">
        <v>966</v>
      </c>
      <c r="L195" s="52" t="s">
        <v>832</v>
      </c>
      <c r="M195" s="52" t="s">
        <v>1795</v>
      </c>
      <c r="N195" s="52" t="s">
        <v>1796</v>
      </c>
      <c r="O195" s="52" t="s">
        <v>831</v>
      </c>
      <c r="P195" s="52" t="s">
        <v>833</v>
      </c>
      <c r="Q195" s="52" t="s">
        <v>835</v>
      </c>
      <c r="R195" s="52" t="s">
        <v>1024</v>
      </c>
      <c r="S195" s="52" t="s">
        <v>1024</v>
      </c>
      <c r="T195" s="52" t="s">
        <v>1024</v>
      </c>
      <c r="U195" s="52" t="s">
        <v>273</v>
      </c>
      <c r="V195" s="52" t="s">
        <v>274</v>
      </c>
      <c r="W195" s="52" t="s">
        <v>275</v>
      </c>
      <c r="X195" s="52" t="s">
        <v>832</v>
      </c>
      <c r="Y195" s="52" t="s">
        <v>834</v>
      </c>
      <c r="Z195" s="52" t="s">
        <v>836</v>
      </c>
      <c r="AA195" s="61">
        <v>1</v>
      </c>
      <c r="AB195" s="52" t="s">
        <v>137</v>
      </c>
      <c r="AC195" s="63">
        <v>1</v>
      </c>
      <c r="AD195" s="52" t="s">
        <v>169</v>
      </c>
      <c r="AE195" s="53" t="s">
        <v>179</v>
      </c>
      <c r="AF195" s="65">
        <v>0</v>
      </c>
      <c r="AG195" s="53" t="s">
        <v>192</v>
      </c>
      <c r="AH195" s="52" t="s">
        <v>219</v>
      </c>
      <c r="AI195" s="52" t="s">
        <v>219</v>
      </c>
      <c r="AJ195" s="52" t="s">
        <v>219</v>
      </c>
      <c r="AK195" s="52" t="s">
        <v>219</v>
      </c>
      <c r="AL195" s="52" t="s">
        <v>1024</v>
      </c>
      <c r="AM195" s="52" t="s">
        <v>1219</v>
      </c>
      <c r="AN195" s="52" t="s">
        <v>1220</v>
      </c>
      <c r="AO195" s="64" t="s">
        <v>219</v>
      </c>
      <c r="AP195" s="63" t="s">
        <v>1797</v>
      </c>
      <c r="AQ195" s="64" t="s">
        <v>217</v>
      </c>
      <c r="AR195" s="30" t="s">
        <v>219</v>
      </c>
    </row>
    <row r="196" spans="2:44" ht="21.75" customHeight="1" x14ac:dyDescent="0.45">
      <c r="B196" s="52" t="s">
        <v>99</v>
      </c>
      <c r="E196" s="53" t="s">
        <v>87</v>
      </c>
      <c r="F196" s="52" t="s">
        <v>1790</v>
      </c>
      <c r="H196" s="53" t="s">
        <v>109</v>
      </c>
      <c r="J196" s="76">
        <v>967</v>
      </c>
      <c r="L196" s="52" t="s">
        <v>838</v>
      </c>
      <c r="M196" s="52" t="s">
        <v>1798</v>
      </c>
      <c r="N196" s="52" t="s">
        <v>1799</v>
      </c>
      <c r="O196" s="52" t="s">
        <v>831</v>
      </c>
      <c r="P196" s="52" t="s">
        <v>833</v>
      </c>
      <c r="Q196" s="52" t="s">
        <v>835</v>
      </c>
      <c r="R196" s="52" t="s">
        <v>1024</v>
      </c>
      <c r="S196" s="52" t="s">
        <v>1024</v>
      </c>
      <c r="T196" s="52" t="s">
        <v>1024</v>
      </c>
      <c r="U196" s="52" t="s">
        <v>837</v>
      </c>
      <c r="V196" s="52" t="s">
        <v>839</v>
      </c>
      <c r="W196" s="52" t="s">
        <v>839</v>
      </c>
      <c r="X196" s="52" t="s">
        <v>838</v>
      </c>
      <c r="Y196" s="52" t="s">
        <v>840</v>
      </c>
      <c r="Z196" s="52" t="s">
        <v>841</v>
      </c>
      <c r="AA196" s="61">
        <v>1</v>
      </c>
      <c r="AB196" s="52" t="s">
        <v>137</v>
      </c>
      <c r="AC196" s="63">
        <v>1</v>
      </c>
      <c r="AD196" s="52" t="s">
        <v>169</v>
      </c>
      <c r="AE196" s="53" t="s">
        <v>179</v>
      </c>
      <c r="AF196" s="65">
        <v>0</v>
      </c>
      <c r="AG196" s="53" t="s">
        <v>192</v>
      </c>
      <c r="AH196" s="52" t="s">
        <v>219</v>
      </c>
      <c r="AI196" s="52" t="s">
        <v>219</v>
      </c>
      <c r="AJ196" s="52" t="s">
        <v>219</v>
      </c>
      <c r="AK196" s="52" t="s">
        <v>219</v>
      </c>
      <c r="AL196" s="52" t="s">
        <v>1024</v>
      </c>
      <c r="AM196" s="52" t="s">
        <v>1219</v>
      </c>
      <c r="AN196" s="52" t="s">
        <v>1220</v>
      </c>
      <c r="AO196" s="64" t="s">
        <v>219</v>
      </c>
      <c r="AP196" s="63" t="s">
        <v>1800</v>
      </c>
      <c r="AQ196" s="64" t="s">
        <v>217</v>
      </c>
      <c r="AR196" s="30" t="s">
        <v>219</v>
      </c>
    </row>
    <row r="197" spans="2:44" ht="21.75" customHeight="1" x14ac:dyDescent="0.45">
      <c r="B197" s="52" t="s">
        <v>99</v>
      </c>
      <c r="E197" s="53" t="s">
        <v>87</v>
      </c>
      <c r="F197" s="52" t="s">
        <v>1790</v>
      </c>
      <c r="H197" s="53" t="s">
        <v>109</v>
      </c>
      <c r="J197" s="76">
        <v>968</v>
      </c>
      <c r="L197" s="52" t="s">
        <v>843</v>
      </c>
      <c r="M197" s="52" t="s">
        <v>1801</v>
      </c>
      <c r="N197" s="52" t="s">
        <v>1802</v>
      </c>
      <c r="O197" s="52" t="s">
        <v>831</v>
      </c>
      <c r="P197" s="52" t="s">
        <v>833</v>
      </c>
      <c r="Q197" s="52" t="s">
        <v>835</v>
      </c>
      <c r="R197" s="52" t="s">
        <v>1024</v>
      </c>
      <c r="S197" s="52" t="s">
        <v>1024</v>
      </c>
      <c r="T197" s="52" t="s">
        <v>1024</v>
      </c>
      <c r="U197" s="52" t="s">
        <v>842</v>
      </c>
      <c r="V197" s="52" t="s">
        <v>844</v>
      </c>
      <c r="W197" s="52" t="s">
        <v>844</v>
      </c>
      <c r="X197" s="52" t="s">
        <v>843</v>
      </c>
      <c r="Y197" s="52" t="s">
        <v>845</v>
      </c>
      <c r="Z197" s="52" t="s">
        <v>846</v>
      </c>
      <c r="AA197" s="61">
        <v>1</v>
      </c>
      <c r="AB197" s="52" t="s">
        <v>137</v>
      </c>
      <c r="AC197" s="63">
        <v>1</v>
      </c>
      <c r="AD197" s="52" t="s">
        <v>169</v>
      </c>
      <c r="AE197" s="53" t="s">
        <v>179</v>
      </c>
      <c r="AF197" s="65">
        <v>0</v>
      </c>
      <c r="AG197" s="53" t="s">
        <v>192</v>
      </c>
      <c r="AH197" s="52" t="s">
        <v>219</v>
      </c>
      <c r="AI197" s="52" t="s">
        <v>219</v>
      </c>
      <c r="AJ197" s="52" t="s">
        <v>219</v>
      </c>
      <c r="AK197" s="52" t="s">
        <v>219</v>
      </c>
      <c r="AL197" s="52" t="s">
        <v>1024</v>
      </c>
      <c r="AM197" s="52" t="s">
        <v>1219</v>
      </c>
      <c r="AN197" s="52" t="s">
        <v>1220</v>
      </c>
      <c r="AO197" s="64" t="s">
        <v>219</v>
      </c>
      <c r="AP197" s="63" t="s">
        <v>1803</v>
      </c>
      <c r="AQ197" s="64" t="s">
        <v>217</v>
      </c>
      <c r="AR197" s="30" t="s">
        <v>219</v>
      </c>
    </row>
    <row r="198" spans="2:44" ht="21.75" customHeight="1" x14ac:dyDescent="0.45">
      <c r="B198" s="52" t="s">
        <v>99</v>
      </c>
      <c r="E198" s="53" t="s">
        <v>87</v>
      </c>
      <c r="F198" s="52" t="s">
        <v>1790</v>
      </c>
      <c r="H198" s="53" t="s">
        <v>109</v>
      </c>
      <c r="J198" s="76">
        <v>969</v>
      </c>
      <c r="L198" s="52" t="s">
        <v>848</v>
      </c>
      <c r="M198" s="52" t="s">
        <v>1804</v>
      </c>
      <c r="N198" s="52" t="s">
        <v>1805</v>
      </c>
      <c r="O198" s="52" t="s">
        <v>1150</v>
      </c>
      <c r="P198" s="52" t="s">
        <v>833</v>
      </c>
      <c r="Q198" s="52" t="s">
        <v>835</v>
      </c>
      <c r="R198" s="52" t="s">
        <v>1024</v>
      </c>
      <c r="S198" s="52" t="s">
        <v>1024</v>
      </c>
      <c r="T198" s="52" t="s">
        <v>1024</v>
      </c>
      <c r="U198" s="52" t="s">
        <v>847</v>
      </c>
      <c r="V198" s="52" t="s">
        <v>849</v>
      </c>
      <c r="W198" s="52" t="s">
        <v>849</v>
      </c>
      <c r="X198" s="52" t="s">
        <v>848</v>
      </c>
      <c r="Y198" s="52" t="s">
        <v>850</v>
      </c>
      <c r="Z198" s="52" t="s">
        <v>851</v>
      </c>
      <c r="AA198" s="61">
        <v>1</v>
      </c>
      <c r="AB198" s="52" t="s">
        <v>137</v>
      </c>
      <c r="AC198" s="63">
        <v>1</v>
      </c>
      <c r="AD198" s="52" t="s">
        <v>169</v>
      </c>
      <c r="AE198" s="53" t="s">
        <v>179</v>
      </c>
      <c r="AF198" s="65">
        <v>0</v>
      </c>
      <c r="AG198" s="53" t="s">
        <v>192</v>
      </c>
      <c r="AH198" s="52" t="s">
        <v>219</v>
      </c>
      <c r="AI198" s="52" t="s">
        <v>219</v>
      </c>
      <c r="AJ198" s="52" t="s">
        <v>219</v>
      </c>
      <c r="AK198" s="52" t="s">
        <v>219</v>
      </c>
      <c r="AL198" s="52" t="s">
        <v>1024</v>
      </c>
      <c r="AM198" s="52" t="s">
        <v>1219</v>
      </c>
      <c r="AN198" s="52" t="s">
        <v>1220</v>
      </c>
      <c r="AO198" s="64" t="s">
        <v>219</v>
      </c>
      <c r="AP198" s="63" t="s">
        <v>1806</v>
      </c>
      <c r="AQ198" s="64" t="s">
        <v>217</v>
      </c>
      <c r="AR198" s="30" t="s">
        <v>219</v>
      </c>
    </row>
    <row r="199" spans="2:44" ht="21.75" customHeight="1" x14ac:dyDescent="0.45">
      <c r="B199" s="52" t="s">
        <v>99</v>
      </c>
      <c r="E199" s="53" t="s">
        <v>87</v>
      </c>
      <c r="F199" s="52" t="s">
        <v>1790</v>
      </c>
      <c r="H199" s="53" t="s">
        <v>109</v>
      </c>
      <c r="J199" s="76">
        <v>970</v>
      </c>
      <c r="L199" s="52" t="s">
        <v>1807</v>
      </c>
      <c r="M199" s="52" t="s">
        <v>1808</v>
      </c>
      <c r="N199" s="52" t="s">
        <v>1809</v>
      </c>
      <c r="O199" s="52" t="s">
        <v>852</v>
      </c>
      <c r="P199" s="52" t="s">
        <v>853</v>
      </c>
      <c r="Q199" s="52" t="s">
        <v>854</v>
      </c>
      <c r="R199" s="52" t="s">
        <v>1024</v>
      </c>
      <c r="S199" s="52" t="s">
        <v>1024</v>
      </c>
      <c r="T199" s="52" t="s">
        <v>1024</v>
      </c>
      <c r="U199" s="52" t="s">
        <v>273</v>
      </c>
      <c r="V199" s="52" t="s">
        <v>274</v>
      </c>
      <c r="W199" s="52" t="s">
        <v>275</v>
      </c>
      <c r="X199" s="52" t="s">
        <v>852</v>
      </c>
      <c r="Y199" s="52" t="s">
        <v>853</v>
      </c>
      <c r="Z199" s="52" t="s">
        <v>854</v>
      </c>
      <c r="AA199" s="61">
        <v>1</v>
      </c>
      <c r="AB199" s="52" t="s">
        <v>137</v>
      </c>
      <c r="AC199" s="63">
        <v>1</v>
      </c>
      <c r="AD199" s="52" t="s">
        <v>169</v>
      </c>
      <c r="AE199" s="53" t="s">
        <v>179</v>
      </c>
      <c r="AF199" s="65">
        <v>0</v>
      </c>
      <c r="AG199" s="53" t="s">
        <v>192</v>
      </c>
      <c r="AH199" s="52" t="s">
        <v>219</v>
      </c>
      <c r="AI199" s="52" t="s">
        <v>219</v>
      </c>
      <c r="AJ199" s="52" t="s">
        <v>219</v>
      </c>
      <c r="AK199" s="52" t="s">
        <v>219</v>
      </c>
      <c r="AL199" s="52" t="s">
        <v>1024</v>
      </c>
      <c r="AM199" s="52" t="s">
        <v>1219</v>
      </c>
      <c r="AN199" s="52" t="s">
        <v>1220</v>
      </c>
      <c r="AO199" s="64" t="s">
        <v>219</v>
      </c>
      <c r="AP199" s="63" t="s">
        <v>1810</v>
      </c>
      <c r="AQ199" s="64" t="s">
        <v>217</v>
      </c>
      <c r="AR199" s="30" t="s">
        <v>219</v>
      </c>
    </row>
    <row r="200" spans="2:44" ht="21.75" customHeight="1" x14ac:dyDescent="0.45">
      <c r="B200" s="52" t="s">
        <v>99</v>
      </c>
      <c r="E200" s="53" t="s">
        <v>87</v>
      </c>
      <c r="F200" s="52" t="s">
        <v>1790</v>
      </c>
      <c r="H200" s="53" t="s">
        <v>109</v>
      </c>
      <c r="J200" s="76">
        <v>971</v>
      </c>
      <c r="L200" s="52" t="s">
        <v>856</v>
      </c>
      <c r="M200" s="52" t="s">
        <v>1811</v>
      </c>
      <c r="N200" s="52" t="s">
        <v>861</v>
      </c>
      <c r="O200" s="52" t="s">
        <v>1151</v>
      </c>
      <c r="P200" s="52" t="s">
        <v>857</v>
      </c>
      <c r="Q200" s="52" t="s">
        <v>860</v>
      </c>
      <c r="R200" s="52" t="s">
        <v>1024</v>
      </c>
      <c r="S200" s="52" t="s">
        <v>1024</v>
      </c>
      <c r="T200" s="52" t="s">
        <v>1024</v>
      </c>
      <c r="U200" s="52" t="s">
        <v>855</v>
      </c>
      <c r="V200" s="52" t="s">
        <v>858</v>
      </c>
      <c r="W200" s="52" t="s">
        <v>858</v>
      </c>
      <c r="X200" s="52" t="s">
        <v>856</v>
      </c>
      <c r="Y200" s="52" t="s">
        <v>859</v>
      </c>
      <c r="Z200" s="52" t="s">
        <v>861</v>
      </c>
      <c r="AA200" s="61">
        <v>1</v>
      </c>
      <c r="AB200" s="52" t="s">
        <v>137</v>
      </c>
      <c r="AC200" s="63">
        <v>1</v>
      </c>
      <c r="AD200" s="52" t="s">
        <v>169</v>
      </c>
      <c r="AE200" s="53" t="s">
        <v>179</v>
      </c>
      <c r="AF200" s="65">
        <v>0</v>
      </c>
      <c r="AG200" s="53" t="s">
        <v>192</v>
      </c>
      <c r="AH200" s="52" t="s">
        <v>219</v>
      </c>
      <c r="AI200" s="52" t="s">
        <v>219</v>
      </c>
      <c r="AJ200" s="52" t="s">
        <v>219</v>
      </c>
      <c r="AK200" s="52" t="s">
        <v>219</v>
      </c>
      <c r="AL200" s="52" t="s">
        <v>1024</v>
      </c>
      <c r="AM200" s="52" t="s">
        <v>1219</v>
      </c>
      <c r="AN200" s="52" t="s">
        <v>1220</v>
      </c>
      <c r="AO200" s="64" t="s">
        <v>219</v>
      </c>
      <c r="AP200" s="63" t="s">
        <v>1812</v>
      </c>
      <c r="AQ200" s="64" t="s">
        <v>217</v>
      </c>
      <c r="AR200" s="30" t="s">
        <v>219</v>
      </c>
    </row>
    <row r="201" spans="2:44" ht="21.75" customHeight="1" x14ac:dyDescent="0.45">
      <c r="B201" s="52" t="s">
        <v>99</v>
      </c>
      <c r="E201" s="53" t="s">
        <v>87</v>
      </c>
      <c r="F201" s="52" t="s">
        <v>1790</v>
      </c>
      <c r="H201" s="53" t="s">
        <v>109</v>
      </c>
      <c r="J201" s="76">
        <v>972</v>
      </c>
      <c r="L201" s="52" t="s">
        <v>863</v>
      </c>
      <c r="M201" s="52" t="s">
        <v>1813</v>
      </c>
      <c r="N201" s="52" t="s">
        <v>866</v>
      </c>
      <c r="O201" s="52" t="s">
        <v>1151</v>
      </c>
      <c r="P201" s="52" t="s">
        <v>857</v>
      </c>
      <c r="Q201" s="52" t="s">
        <v>860</v>
      </c>
      <c r="R201" s="52" t="s">
        <v>1024</v>
      </c>
      <c r="S201" s="52" t="s">
        <v>1024</v>
      </c>
      <c r="T201" s="52" t="s">
        <v>1024</v>
      </c>
      <c r="U201" s="52" t="s">
        <v>862</v>
      </c>
      <c r="V201" s="52" t="s">
        <v>864</v>
      </c>
      <c r="W201" s="52" t="s">
        <v>864</v>
      </c>
      <c r="X201" s="52" t="s">
        <v>863</v>
      </c>
      <c r="Y201" s="52" t="s">
        <v>865</v>
      </c>
      <c r="Z201" s="52" t="s">
        <v>866</v>
      </c>
      <c r="AA201" s="61">
        <v>1</v>
      </c>
      <c r="AB201" s="52" t="s">
        <v>137</v>
      </c>
      <c r="AC201" s="63">
        <v>1</v>
      </c>
      <c r="AD201" s="52" t="s">
        <v>169</v>
      </c>
      <c r="AE201" s="53" t="s">
        <v>179</v>
      </c>
      <c r="AF201" s="65">
        <v>0</v>
      </c>
      <c r="AG201" s="53" t="s">
        <v>192</v>
      </c>
      <c r="AH201" s="52" t="s">
        <v>219</v>
      </c>
      <c r="AI201" s="52" t="s">
        <v>219</v>
      </c>
      <c r="AJ201" s="52" t="s">
        <v>219</v>
      </c>
      <c r="AK201" s="52" t="s">
        <v>219</v>
      </c>
      <c r="AL201" s="52" t="s">
        <v>1024</v>
      </c>
      <c r="AM201" s="52" t="s">
        <v>1219</v>
      </c>
      <c r="AN201" s="52" t="s">
        <v>1220</v>
      </c>
      <c r="AO201" s="64" t="s">
        <v>219</v>
      </c>
      <c r="AP201" s="63" t="s">
        <v>1814</v>
      </c>
      <c r="AQ201" s="64" t="s">
        <v>217</v>
      </c>
      <c r="AR201" s="30" t="s">
        <v>219</v>
      </c>
    </row>
    <row r="202" spans="2:44" ht="21.75" customHeight="1" x14ac:dyDescent="0.45">
      <c r="B202" s="52" t="s">
        <v>99</v>
      </c>
      <c r="E202" s="53" t="s">
        <v>87</v>
      </c>
      <c r="F202" s="52" t="s">
        <v>1790</v>
      </c>
      <c r="H202" s="53" t="s">
        <v>109</v>
      </c>
      <c r="J202" s="76">
        <v>973</v>
      </c>
      <c r="L202" s="52" t="s">
        <v>868</v>
      </c>
      <c r="M202" s="52" t="s">
        <v>1815</v>
      </c>
      <c r="N202" s="52" t="s">
        <v>871</v>
      </c>
      <c r="O202" s="52" t="s">
        <v>1151</v>
      </c>
      <c r="P202" s="52" t="s">
        <v>857</v>
      </c>
      <c r="Q202" s="52" t="s">
        <v>860</v>
      </c>
      <c r="R202" s="52" t="s">
        <v>1024</v>
      </c>
      <c r="S202" s="52" t="s">
        <v>1024</v>
      </c>
      <c r="T202" s="52" t="s">
        <v>1024</v>
      </c>
      <c r="U202" s="52" t="s">
        <v>867</v>
      </c>
      <c r="V202" s="52" t="s">
        <v>869</v>
      </c>
      <c r="W202" s="52" t="s">
        <v>869</v>
      </c>
      <c r="X202" s="52" t="s">
        <v>868</v>
      </c>
      <c r="Y202" s="52" t="s">
        <v>870</v>
      </c>
      <c r="Z202" s="52" t="s">
        <v>871</v>
      </c>
      <c r="AA202" s="61">
        <v>1</v>
      </c>
      <c r="AB202" s="52" t="s">
        <v>137</v>
      </c>
      <c r="AC202" s="63">
        <v>1</v>
      </c>
      <c r="AD202" s="52" t="s">
        <v>169</v>
      </c>
      <c r="AE202" s="53" t="s">
        <v>179</v>
      </c>
      <c r="AF202" s="65">
        <v>0</v>
      </c>
      <c r="AG202" s="53" t="s">
        <v>192</v>
      </c>
      <c r="AH202" s="52" t="s">
        <v>219</v>
      </c>
      <c r="AI202" s="52" t="s">
        <v>219</v>
      </c>
      <c r="AJ202" s="52" t="s">
        <v>219</v>
      </c>
      <c r="AK202" s="52" t="s">
        <v>219</v>
      </c>
      <c r="AL202" s="52" t="s">
        <v>1024</v>
      </c>
      <c r="AM202" s="52" t="s">
        <v>1219</v>
      </c>
      <c r="AN202" s="52" t="s">
        <v>1220</v>
      </c>
      <c r="AO202" s="64" t="s">
        <v>219</v>
      </c>
      <c r="AP202" s="63" t="s">
        <v>1816</v>
      </c>
      <c r="AQ202" s="64" t="s">
        <v>217</v>
      </c>
      <c r="AR202" s="30" t="s">
        <v>219</v>
      </c>
    </row>
    <row r="203" spans="2:44" ht="21.75" customHeight="1" x14ac:dyDescent="0.45">
      <c r="B203" s="52" t="s">
        <v>99</v>
      </c>
      <c r="E203" s="53" t="s">
        <v>87</v>
      </c>
      <c r="F203" s="52" t="s">
        <v>1790</v>
      </c>
      <c r="H203" s="53" t="s">
        <v>109</v>
      </c>
      <c r="J203" s="76">
        <v>974</v>
      </c>
      <c r="L203" s="52" t="s">
        <v>873</v>
      </c>
      <c r="M203" s="52" t="s">
        <v>1817</v>
      </c>
      <c r="N203" s="52" t="s">
        <v>876</v>
      </c>
      <c r="O203" s="52" t="s">
        <v>1151</v>
      </c>
      <c r="P203" s="52" t="s">
        <v>857</v>
      </c>
      <c r="Q203" s="52" t="s">
        <v>860</v>
      </c>
      <c r="R203" s="52" t="s">
        <v>1024</v>
      </c>
      <c r="S203" s="52" t="s">
        <v>1024</v>
      </c>
      <c r="T203" s="52" t="s">
        <v>1024</v>
      </c>
      <c r="U203" s="52" t="s">
        <v>872</v>
      </c>
      <c r="V203" s="52" t="s">
        <v>874</v>
      </c>
      <c r="W203" s="52" t="s">
        <v>874</v>
      </c>
      <c r="X203" s="52" t="s">
        <v>873</v>
      </c>
      <c r="Y203" s="52" t="s">
        <v>875</v>
      </c>
      <c r="Z203" s="52" t="s">
        <v>876</v>
      </c>
      <c r="AA203" s="61">
        <v>1</v>
      </c>
      <c r="AB203" s="52" t="s">
        <v>137</v>
      </c>
      <c r="AC203" s="63">
        <v>1</v>
      </c>
      <c r="AD203" s="52" t="s">
        <v>169</v>
      </c>
      <c r="AE203" s="53" t="s">
        <v>179</v>
      </c>
      <c r="AF203" s="65">
        <v>0</v>
      </c>
      <c r="AG203" s="53" t="s">
        <v>192</v>
      </c>
      <c r="AH203" s="52" t="s">
        <v>219</v>
      </c>
      <c r="AI203" s="52" t="s">
        <v>219</v>
      </c>
      <c r="AJ203" s="52" t="s">
        <v>219</v>
      </c>
      <c r="AK203" s="52" t="s">
        <v>219</v>
      </c>
      <c r="AL203" s="52" t="s">
        <v>1024</v>
      </c>
      <c r="AM203" s="52" t="s">
        <v>1219</v>
      </c>
      <c r="AN203" s="52" t="s">
        <v>1220</v>
      </c>
      <c r="AO203" s="64" t="s">
        <v>219</v>
      </c>
      <c r="AP203" s="63" t="s">
        <v>1818</v>
      </c>
      <c r="AQ203" s="64" t="s">
        <v>217</v>
      </c>
      <c r="AR203" s="30" t="s">
        <v>219</v>
      </c>
    </row>
    <row r="204" spans="2:44" ht="21.75" customHeight="1" x14ac:dyDescent="0.45">
      <c r="B204" s="52" t="s">
        <v>99</v>
      </c>
      <c r="E204" s="53" t="s">
        <v>87</v>
      </c>
      <c r="F204" s="52" t="s">
        <v>1790</v>
      </c>
      <c r="H204" s="53" t="s">
        <v>109</v>
      </c>
      <c r="J204" s="76">
        <v>975</v>
      </c>
      <c r="L204" s="52" t="s">
        <v>1819</v>
      </c>
      <c r="M204" s="52" t="s">
        <v>1820</v>
      </c>
      <c r="N204" s="52" t="s">
        <v>1821</v>
      </c>
      <c r="O204" s="52" t="s">
        <v>877</v>
      </c>
      <c r="P204" s="52" t="s">
        <v>878</v>
      </c>
      <c r="Q204" s="52" t="s">
        <v>879</v>
      </c>
      <c r="R204" s="52" t="s">
        <v>1024</v>
      </c>
      <c r="S204" s="52" t="s">
        <v>1024</v>
      </c>
      <c r="T204" s="52" t="s">
        <v>1024</v>
      </c>
      <c r="U204" s="52" t="s">
        <v>273</v>
      </c>
      <c r="V204" s="52" t="s">
        <v>274</v>
      </c>
      <c r="W204" s="52" t="s">
        <v>275</v>
      </c>
      <c r="X204" s="52" t="s">
        <v>877</v>
      </c>
      <c r="Y204" s="52" t="s">
        <v>878</v>
      </c>
      <c r="Z204" s="52" t="s">
        <v>879</v>
      </c>
      <c r="AA204" s="61">
        <v>1</v>
      </c>
      <c r="AB204" s="52" t="s">
        <v>137</v>
      </c>
      <c r="AC204" s="63">
        <v>1</v>
      </c>
      <c r="AD204" s="52" t="s">
        <v>169</v>
      </c>
      <c r="AE204" s="53" t="s">
        <v>179</v>
      </c>
      <c r="AF204" s="65">
        <v>0</v>
      </c>
      <c r="AG204" s="53" t="s">
        <v>192</v>
      </c>
      <c r="AH204" s="52" t="s">
        <v>219</v>
      </c>
      <c r="AI204" s="52" t="s">
        <v>219</v>
      </c>
      <c r="AJ204" s="52" t="s">
        <v>219</v>
      </c>
      <c r="AK204" s="52" t="s">
        <v>219</v>
      </c>
      <c r="AL204" s="52" t="s">
        <v>1024</v>
      </c>
      <c r="AM204" s="52" t="s">
        <v>1219</v>
      </c>
      <c r="AN204" s="52" t="s">
        <v>1220</v>
      </c>
      <c r="AO204" s="64" t="s">
        <v>219</v>
      </c>
      <c r="AP204" s="63" t="s">
        <v>1822</v>
      </c>
      <c r="AQ204" s="64" t="s">
        <v>217</v>
      </c>
      <c r="AR204" s="30" t="s">
        <v>219</v>
      </c>
    </row>
    <row r="205" spans="2:44" ht="21.75" customHeight="1" x14ac:dyDescent="0.45">
      <c r="B205" s="52" t="s">
        <v>99</v>
      </c>
      <c r="C205"/>
      <c r="D205"/>
      <c r="E205" s="53" t="s">
        <v>87</v>
      </c>
      <c r="F205" s="52" t="s">
        <v>1823</v>
      </c>
      <c r="G205" s="30"/>
      <c r="H205" s="53" t="s">
        <v>109</v>
      </c>
      <c r="J205" s="76">
        <v>976</v>
      </c>
      <c r="L205" s="52" t="s">
        <v>1824</v>
      </c>
      <c r="M205" s="52" t="s">
        <v>1825</v>
      </c>
      <c r="N205" s="52" t="s">
        <v>1826</v>
      </c>
      <c r="O205" s="52" t="s">
        <v>880</v>
      </c>
      <c r="P205" s="52" t="s">
        <v>881</v>
      </c>
      <c r="Q205" s="52" t="s">
        <v>882</v>
      </c>
      <c r="R205" s="52" t="s">
        <v>1024</v>
      </c>
      <c r="S205" s="52" t="s">
        <v>1024</v>
      </c>
      <c r="T205" s="52" t="s">
        <v>1024</v>
      </c>
      <c r="U205" s="52" t="s">
        <v>273</v>
      </c>
      <c r="V205" s="52" t="s">
        <v>274</v>
      </c>
      <c r="W205" s="52" t="s">
        <v>275</v>
      </c>
      <c r="X205" s="52" t="s">
        <v>880</v>
      </c>
      <c r="Y205" s="52" t="s">
        <v>881</v>
      </c>
      <c r="Z205" s="52" t="s">
        <v>882</v>
      </c>
      <c r="AA205" s="61">
        <v>1</v>
      </c>
      <c r="AB205" s="52" t="s">
        <v>137</v>
      </c>
      <c r="AC205" s="63">
        <v>1</v>
      </c>
      <c r="AD205" s="52" t="s">
        <v>169</v>
      </c>
      <c r="AE205" s="53" t="s">
        <v>179</v>
      </c>
      <c r="AF205" s="65">
        <v>0</v>
      </c>
      <c r="AG205" s="53" t="s">
        <v>192</v>
      </c>
      <c r="AH205" s="52" t="s">
        <v>219</v>
      </c>
      <c r="AI205" s="52" t="s">
        <v>219</v>
      </c>
      <c r="AJ205" s="52" t="s">
        <v>219</v>
      </c>
      <c r="AK205" s="52" t="s">
        <v>219</v>
      </c>
      <c r="AL205" s="52" t="s">
        <v>1024</v>
      </c>
      <c r="AM205" s="52" t="s">
        <v>1219</v>
      </c>
      <c r="AN205" s="52" t="s">
        <v>1220</v>
      </c>
      <c r="AO205" s="64" t="s">
        <v>219</v>
      </c>
      <c r="AP205" s="63" t="s">
        <v>1827</v>
      </c>
      <c r="AQ205" s="64" t="s">
        <v>217</v>
      </c>
      <c r="AR205" s="30" t="s">
        <v>219</v>
      </c>
    </row>
    <row r="206" spans="2:44" ht="21.75" customHeight="1" x14ac:dyDescent="0.45">
      <c r="B206" s="52" t="s">
        <v>99</v>
      </c>
      <c r="E206" s="53" t="s">
        <v>87</v>
      </c>
      <c r="F206" s="52" t="s">
        <v>1828</v>
      </c>
      <c r="H206" s="53" t="s">
        <v>109</v>
      </c>
      <c r="J206" s="76">
        <v>977</v>
      </c>
      <c r="L206" s="52" t="s">
        <v>1829</v>
      </c>
      <c r="M206" s="52" t="s">
        <v>1830</v>
      </c>
      <c r="N206" s="52" t="s">
        <v>1991</v>
      </c>
      <c r="O206" s="52" t="s">
        <v>886</v>
      </c>
      <c r="P206" s="52" t="s">
        <v>887</v>
      </c>
      <c r="Q206" s="52" t="s">
        <v>1152</v>
      </c>
      <c r="R206" s="52" t="s">
        <v>1024</v>
      </c>
      <c r="S206" s="52" t="s">
        <v>1024</v>
      </c>
      <c r="T206" s="52" t="s">
        <v>1024</v>
      </c>
      <c r="U206" s="52" t="s">
        <v>273</v>
      </c>
      <c r="V206" s="52" t="s">
        <v>274</v>
      </c>
      <c r="W206" s="52" t="s">
        <v>275</v>
      </c>
      <c r="X206" s="52" t="s">
        <v>886</v>
      </c>
      <c r="Y206" s="52" t="s">
        <v>887</v>
      </c>
      <c r="Z206" s="52" t="s">
        <v>1152</v>
      </c>
      <c r="AA206" s="61">
        <v>1</v>
      </c>
      <c r="AB206" s="52" t="s">
        <v>137</v>
      </c>
      <c r="AC206" s="63">
        <v>1</v>
      </c>
      <c r="AD206" s="52" t="s">
        <v>169</v>
      </c>
      <c r="AE206" s="53" t="s">
        <v>179</v>
      </c>
      <c r="AF206" s="65">
        <v>0</v>
      </c>
      <c r="AG206" s="53" t="s">
        <v>192</v>
      </c>
      <c r="AH206" s="52" t="s">
        <v>219</v>
      </c>
      <c r="AI206" s="52" t="s">
        <v>219</v>
      </c>
      <c r="AJ206" s="52" t="s">
        <v>219</v>
      </c>
      <c r="AK206" s="52" t="s">
        <v>219</v>
      </c>
      <c r="AL206" s="52" t="s">
        <v>1024</v>
      </c>
      <c r="AM206" s="52" t="s">
        <v>219</v>
      </c>
      <c r="AN206" s="52" t="s">
        <v>1220</v>
      </c>
      <c r="AO206" s="64" t="s">
        <v>219</v>
      </c>
      <c r="AP206" s="63" t="s">
        <v>1831</v>
      </c>
      <c r="AQ206" s="64" t="s">
        <v>217</v>
      </c>
      <c r="AR206" s="30" t="s">
        <v>219</v>
      </c>
    </row>
    <row r="207" spans="2:44" ht="21.75" customHeight="1" x14ac:dyDescent="0.45">
      <c r="B207" s="52" t="s">
        <v>99</v>
      </c>
      <c r="E207" s="53" t="s">
        <v>87</v>
      </c>
      <c r="F207" s="52" t="s">
        <v>1832</v>
      </c>
      <c r="H207" s="53" t="s">
        <v>109</v>
      </c>
      <c r="J207" s="76">
        <v>929</v>
      </c>
      <c r="L207" s="52" t="s">
        <v>1833</v>
      </c>
      <c r="M207" s="52" t="s">
        <v>1992</v>
      </c>
      <c r="N207" s="52" t="s">
        <v>1834</v>
      </c>
      <c r="O207" s="52" t="s">
        <v>890</v>
      </c>
      <c r="P207" s="52" t="s">
        <v>1153</v>
      </c>
      <c r="Q207" s="52" t="s">
        <v>890</v>
      </c>
      <c r="R207" s="52" t="s">
        <v>254</v>
      </c>
      <c r="S207" s="52" t="s">
        <v>257</v>
      </c>
      <c r="T207" s="52" t="s">
        <v>258</v>
      </c>
      <c r="U207" s="52" t="s">
        <v>673</v>
      </c>
      <c r="V207" s="52" t="s">
        <v>673</v>
      </c>
      <c r="W207" s="52" t="s">
        <v>673</v>
      </c>
      <c r="X207" s="52" t="s">
        <v>891</v>
      </c>
      <c r="Y207" s="52" t="s">
        <v>891</v>
      </c>
      <c r="Z207" s="52" t="s">
        <v>891</v>
      </c>
      <c r="AA207" s="61">
        <v>0.5</v>
      </c>
      <c r="AB207" s="52" t="s">
        <v>137</v>
      </c>
      <c r="AC207" s="63">
        <v>1</v>
      </c>
      <c r="AD207" s="52" t="s">
        <v>169</v>
      </c>
      <c r="AE207" s="53" t="s">
        <v>179</v>
      </c>
      <c r="AF207" s="65">
        <v>0</v>
      </c>
      <c r="AG207" s="53" t="s">
        <v>192</v>
      </c>
      <c r="AH207" s="52" t="s">
        <v>219</v>
      </c>
      <c r="AI207" s="52" t="s">
        <v>219</v>
      </c>
      <c r="AJ207" s="52" t="s">
        <v>219</v>
      </c>
      <c r="AK207" s="52" t="s">
        <v>219</v>
      </c>
      <c r="AL207" s="52" t="s">
        <v>1024</v>
      </c>
      <c r="AM207" s="52" t="s">
        <v>1219</v>
      </c>
      <c r="AN207" s="52" t="s">
        <v>1220</v>
      </c>
      <c r="AO207" s="64" t="s">
        <v>219</v>
      </c>
      <c r="AP207" s="63" t="s">
        <v>1835</v>
      </c>
      <c r="AQ207" s="64" t="s">
        <v>217</v>
      </c>
      <c r="AR207" s="30" t="s">
        <v>219</v>
      </c>
    </row>
    <row r="208" spans="2:44" ht="21.75" customHeight="1" x14ac:dyDescent="0.45">
      <c r="B208" s="52" t="s">
        <v>99</v>
      </c>
      <c r="E208" s="53" t="s">
        <v>87</v>
      </c>
      <c r="F208" s="52" t="s">
        <v>1832</v>
      </c>
      <c r="H208" s="53" t="s">
        <v>109</v>
      </c>
      <c r="J208" s="76">
        <v>930</v>
      </c>
      <c r="L208" s="52" t="s">
        <v>1993</v>
      </c>
      <c r="M208" s="52" t="s">
        <v>1994</v>
      </c>
      <c r="N208" s="52" t="s">
        <v>1836</v>
      </c>
      <c r="O208" s="52" t="s">
        <v>1153</v>
      </c>
      <c r="P208" s="52" t="s">
        <v>1153</v>
      </c>
      <c r="Q208" s="52" t="s">
        <v>890</v>
      </c>
      <c r="R208" s="52" t="s">
        <v>254</v>
      </c>
      <c r="S208" s="52" t="s">
        <v>257</v>
      </c>
      <c r="T208" s="52" t="s">
        <v>258</v>
      </c>
      <c r="U208" s="52" t="s">
        <v>677</v>
      </c>
      <c r="V208" s="52" t="s">
        <v>677</v>
      </c>
      <c r="W208" s="52" t="s">
        <v>677</v>
      </c>
      <c r="X208" s="52" t="s">
        <v>894</v>
      </c>
      <c r="Y208" s="52" t="s">
        <v>894</v>
      </c>
      <c r="Z208" s="52" t="s">
        <v>894</v>
      </c>
      <c r="AA208" s="61">
        <v>0.75</v>
      </c>
      <c r="AB208" s="52" t="s">
        <v>137</v>
      </c>
      <c r="AC208" s="63">
        <v>1</v>
      </c>
      <c r="AD208" s="52" t="s">
        <v>169</v>
      </c>
      <c r="AE208" s="53" t="s">
        <v>179</v>
      </c>
      <c r="AF208" s="65">
        <v>0</v>
      </c>
      <c r="AG208" s="53" t="s">
        <v>192</v>
      </c>
      <c r="AH208" s="52" t="s">
        <v>219</v>
      </c>
      <c r="AI208" s="52" t="s">
        <v>219</v>
      </c>
      <c r="AJ208" s="52" t="s">
        <v>219</v>
      </c>
      <c r="AK208" s="52" t="s">
        <v>219</v>
      </c>
      <c r="AL208" s="52" t="s">
        <v>1024</v>
      </c>
      <c r="AM208" s="52" t="s">
        <v>1219</v>
      </c>
      <c r="AN208" s="52" t="s">
        <v>1220</v>
      </c>
      <c r="AO208" s="64" t="s">
        <v>219</v>
      </c>
      <c r="AP208" s="63" t="s">
        <v>1835</v>
      </c>
      <c r="AQ208" s="64" t="s">
        <v>217</v>
      </c>
      <c r="AR208" s="30" t="s">
        <v>219</v>
      </c>
    </row>
    <row r="209" spans="2:44" ht="21.75" customHeight="1" x14ac:dyDescent="0.45">
      <c r="B209" s="52" t="s">
        <v>99</v>
      </c>
      <c r="E209" s="53" t="s">
        <v>87</v>
      </c>
      <c r="F209" s="52" t="s">
        <v>1832</v>
      </c>
      <c r="H209" s="53" t="s">
        <v>109</v>
      </c>
      <c r="J209" s="76">
        <v>931</v>
      </c>
      <c r="L209" s="52" t="s">
        <v>1995</v>
      </c>
      <c r="M209" s="52" t="s">
        <v>1996</v>
      </c>
      <c r="N209" s="52" t="s">
        <v>1837</v>
      </c>
      <c r="O209" s="52" t="s">
        <v>1153</v>
      </c>
      <c r="P209" s="52" t="s">
        <v>1153</v>
      </c>
      <c r="Q209" s="52" t="s">
        <v>890</v>
      </c>
      <c r="R209" s="52" t="s">
        <v>254</v>
      </c>
      <c r="S209" s="52" t="s">
        <v>257</v>
      </c>
      <c r="T209" s="52" t="s">
        <v>258</v>
      </c>
      <c r="U209" s="52" t="s">
        <v>387</v>
      </c>
      <c r="V209" s="52" t="s">
        <v>387</v>
      </c>
      <c r="W209" s="52" t="s">
        <v>387</v>
      </c>
      <c r="X209" s="52" t="s">
        <v>895</v>
      </c>
      <c r="Y209" s="52" t="s">
        <v>895</v>
      </c>
      <c r="Z209" s="52" t="s">
        <v>895</v>
      </c>
      <c r="AA209" s="61">
        <v>1</v>
      </c>
      <c r="AB209" s="52" t="s">
        <v>137</v>
      </c>
      <c r="AC209" s="63">
        <v>1</v>
      </c>
      <c r="AD209" s="52" t="s">
        <v>169</v>
      </c>
      <c r="AE209" s="53" t="s">
        <v>179</v>
      </c>
      <c r="AF209" s="65">
        <v>0</v>
      </c>
      <c r="AG209" s="53" t="s">
        <v>192</v>
      </c>
      <c r="AH209" s="52" t="s">
        <v>219</v>
      </c>
      <c r="AI209" s="52" t="s">
        <v>219</v>
      </c>
      <c r="AJ209" s="52" t="s">
        <v>219</v>
      </c>
      <c r="AK209" s="52" t="s">
        <v>219</v>
      </c>
      <c r="AL209" s="52" t="s">
        <v>1024</v>
      </c>
      <c r="AM209" s="52" t="s">
        <v>1219</v>
      </c>
      <c r="AN209" s="52" t="s">
        <v>1220</v>
      </c>
      <c r="AO209" s="64" t="s">
        <v>219</v>
      </c>
      <c r="AP209" s="63" t="s">
        <v>1835</v>
      </c>
      <c r="AQ209" s="64" t="s">
        <v>217</v>
      </c>
      <c r="AR209" s="30" t="s">
        <v>219</v>
      </c>
    </row>
    <row r="210" spans="2:44" ht="21.75" customHeight="1" x14ac:dyDescent="0.45">
      <c r="O210" s="52"/>
      <c r="P210" s="52"/>
      <c r="Q210" s="52"/>
    </row>
    <row r="211" spans="2:44" ht="21.75" customHeight="1" x14ac:dyDescent="0.45">
      <c r="O211" s="52"/>
      <c r="P211" s="52"/>
      <c r="Q211" s="52"/>
    </row>
    <row r="212" spans="2:44" ht="21.75" customHeight="1" x14ac:dyDescent="0.45">
      <c r="O212" s="52"/>
      <c r="P212" s="52"/>
      <c r="Q212" s="52"/>
    </row>
    <row r="213" spans="2:44" ht="21.75" customHeight="1" x14ac:dyDescent="0.45">
      <c r="O213" s="52"/>
      <c r="P213" s="52"/>
      <c r="Q213" s="52"/>
    </row>
    <row r="214" spans="2:44" ht="21.75" customHeight="1" x14ac:dyDescent="0.45">
      <c r="O214" s="52"/>
      <c r="P214" s="52"/>
      <c r="Q214" s="52"/>
    </row>
    <row r="215" spans="2:44" ht="21.75" customHeight="1" x14ac:dyDescent="0.45">
      <c r="O215" s="52"/>
      <c r="P215" s="52"/>
      <c r="Q215" s="52"/>
    </row>
    <row r="216" spans="2:44" ht="21.75" customHeight="1" x14ac:dyDescent="0.45">
      <c r="O216" s="52"/>
      <c r="P216" s="52"/>
      <c r="Q216" s="52"/>
    </row>
    <row r="217" spans="2:44" ht="21.75" customHeight="1" x14ac:dyDescent="0.45">
      <c r="O217" s="52"/>
      <c r="P217" s="52"/>
      <c r="Q217" s="52"/>
    </row>
    <row r="218" spans="2:44" ht="21.75" customHeight="1" x14ac:dyDescent="0.45">
      <c r="O218" s="52"/>
      <c r="P218" s="52"/>
      <c r="Q218" s="52"/>
    </row>
    <row r="219" spans="2:44" ht="21.75" customHeight="1" x14ac:dyDescent="0.45">
      <c r="O219" s="52"/>
      <c r="P219" s="52"/>
      <c r="Q219" s="52"/>
    </row>
    <row r="220" spans="2:44" ht="21.75" customHeight="1" x14ac:dyDescent="0.45">
      <c r="O220" s="52"/>
      <c r="P220" s="52"/>
      <c r="Q220" s="52"/>
    </row>
    <row r="221" spans="2:44" ht="21.75" customHeight="1" x14ac:dyDescent="0.45">
      <c r="O221" s="52"/>
      <c r="P221" s="52"/>
      <c r="Q221" s="52"/>
    </row>
    <row r="222" spans="2:44" ht="21.75" customHeight="1" x14ac:dyDescent="0.45">
      <c r="O222" s="52"/>
      <c r="P222" s="52"/>
      <c r="Q222" s="52"/>
    </row>
    <row r="223" spans="2:44" ht="21.75" customHeight="1" x14ac:dyDescent="0.45">
      <c r="O223" s="52"/>
      <c r="P223" s="52"/>
      <c r="Q223" s="52"/>
    </row>
    <row r="224" spans="2:44" ht="21.75" customHeight="1" x14ac:dyDescent="0.45">
      <c r="O224" s="52"/>
      <c r="P224" s="52"/>
      <c r="Q224" s="52"/>
    </row>
    <row r="225" spans="15:17" ht="21.75" customHeight="1" x14ac:dyDescent="0.45">
      <c r="O225" s="52"/>
      <c r="P225" s="52"/>
      <c r="Q225" s="52"/>
    </row>
    <row r="226" spans="15:17" ht="21.75" customHeight="1" x14ac:dyDescent="0.45">
      <c r="O226" s="52"/>
      <c r="P226" s="52"/>
      <c r="Q226" s="52"/>
    </row>
    <row r="227" spans="15:17" ht="21.75" customHeight="1" x14ac:dyDescent="0.45">
      <c r="O227" s="52"/>
      <c r="P227" s="52"/>
      <c r="Q227" s="52"/>
    </row>
    <row r="228" spans="15:17" ht="21.75" customHeight="1" x14ac:dyDescent="0.45">
      <c r="O228" s="52"/>
      <c r="P228" s="52"/>
      <c r="Q228" s="52"/>
    </row>
    <row r="229" spans="15:17" ht="21.75" customHeight="1" x14ac:dyDescent="0.45">
      <c r="O229" s="52"/>
      <c r="P229" s="52"/>
      <c r="Q229" s="52"/>
    </row>
    <row r="230" spans="15:17" ht="21.75" customHeight="1" x14ac:dyDescent="0.45">
      <c r="O230" s="52"/>
      <c r="P230" s="52"/>
      <c r="Q230" s="52"/>
    </row>
    <row r="231" spans="15:17" ht="21.75" customHeight="1" x14ac:dyDescent="0.45">
      <c r="O231" s="52"/>
      <c r="P231" s="52"/>
      <c r="Q231" s="52"/>
    </row>
    <row r="232" spans="15:17" ht="21.75" customHeight="1" x14ac:dyDescent="0.45">
      <c r="O232" s="52"/>
      <c r="P232" s="52"/>
      <c r="Q232" s="52"/>
    </row>
    <row r="233" spans="15:17" ht="21.75" customHeight="1" x14ac:dyDescent="0.45">
      <c r="O233" s="52"/>
      <c r="P233" s="52"/>
      <c r="Q233" s="52"/>
    </row>
    <row r="234" spans="15:17" ht="21.75" customHeight="1" x14ac:dyDescent="0.45">
      <c r="O234" s="52"/>
      <c r="P234" s="52"/>
      <c r="Q234" s="52"/>
    </row>
    <row r="235" spans="15:17" ht="21.75" customHeight="1" x14ac:dyDescent="0.45">
      <c r="O235" s="52"/>
      <c r="P235" s="52"/>
      <c r="Q235" s="52"/>
    </row>
    <row r="236" spans="15:17" ht="21.75" customHeight="1" x14ac:dyDescent="0.45">
      <c r="O236" s="52"/>
      <c r="P236" s="52"/>
      <c r="Q236" s="52"/>
    </row>
    <row r="237" spans="15:17" ht="21.75" customHeight="1" x14ac:dyDescent="0.45">
      <c r="O237" s="52"/>
      <c r="P237" s="52"/>
      <c r="Q237" s="52"/>
    </row>
    <row r="238" spans="15:17" ht="21.75" customHeight="1" x14ac:dyDescent="0.45">
      <c r="O238" s="52"/>
      <c r="P238" s="52"/>
      <c r="Q238" s="52"/>
    </row>
    <row r="239" spans="15:17" ht="21.75" customHeight="1" x14ac:dyDescent="0.45">
      <c r="O239" s="52"/>
      <c r="P239" s="52"/>
      <c r="Q239" s="52"/>
    </row>
    <row r="240" spans="15:17" ht="21.75" customHeight="1" x14ac:dyDescent="0.45">
      <c r="O240" s="52"/>
      <c r="P240" s="52"/>
      <c r="Q240" s="52"/>
    </row>
    <row r="241" spans="15:17" ht="21.75" customHeight="1" x14ac:dyDescent="0.45">
      <c r="O241" s="52"/>
      <c r="P241" s="52"/>
      <c r="Q241" s="52"/>
    </row>
    <row r="242" spans="15:17" ht="21.75" customHeight="1" x14ac:dyDescent="0.45">
      <c r="O242" s="52"/>
      <c r="P242" s="52"/>
      <c r="Q242" s="52"/>
    </row>
    <row r="243" spans="15:17" ht="21.75" customHeight="1" x14ac:dyDescent="0.45">
      <c r="O243" s="52"/>
      <c r="P243" s="52"/>
      <c r="Q243" s="52"/>
    </row>
    <row r="244" spans="15:17" ht="21.75" customHeight="1" x14ac:dyDescent="0.45">
      <c r="O244" s="52"/>
      <c r="P244" s="52"/>
      <c r="Q244" s="52"/>
    </row>
    <row r="245" spans="15:17" ht="21.75" customHeight="1" x14ac:dyDescent="0.45">
      <c r="O245" s="52"/>
      <c r="P245" s="52"/>
      <c r="Q245" s="52"/>
    </row>
    <row r="246" spans="15:17" ht="21.75" customHeight="1" x14ac:dyDescent="0.45">
      <c r="O246" s="52"/>
      <c r="P246" s="52"/>
      <c r="Q246" s="52"/>
    </row>
    <row r="247" spans="15:17" ht="21.75" customHeight="1" x14ac:dyDescent="0.45">
      <c r="O247" s="52"/>
      <c r="P247" s="52"/>
      <c r="Q247" s="52"/>
    </row>
    <row r="248" spans="15:17" ht="21.75" customHeight="1" x14ac:dyDescent="0.45">
      <c r="O248" s="52"/>
      <c r="P248" s="52"/>
      <c r="Q248" s="52"/>
    </row>
    <row r="249" spans="15:17" ht="21.75" customHeight="1" x14ac:dyDescent="0.45">
      <c r="O249" s="52"/>
      <c r="P249" s="52"/>
      <c r="Q249" s="52"/>
    </row>
    <row r="250" spans="15:17" ht="21.75" customHeight="1" x14ac:dyDescent="0.45">
      <c r="O250" s="52"/>
      <c r="P250" s="52"/>
      <c r="Q250" s="52"/>
    </row>
    <row r="251" spans="15:17" ht="21.75" customHeight="1" x14ac:dyDescent="0.45">
      <c r="O251" s="52"/>
      <c r="P251" s="52"/>
      <c r="Q251" s="52"/>
    </row>
    <row r="252" spans="15:17" ht="21.75" customHeight="1" x14ac:dyDescent="0.45">
      <c r="O252" s="52"/>
      <c r="P252" s="52"/>
      <c r="Q252" s="52"/>
    </row>
    <row r="253" spans="15:17" ht="21.75" customHeight="1" x14ac:dyDescent="0.45">
      <c r="O253" s="52"/>
      <c r="P253" s="52"/>
      <c r="Q253" s="52"/>
    </row>
    <row r="254" spans="15:17" ht="21.75" customHeight="1" x14ac:dyDescent="0.45">
      <c r="O254" s="52"/>
      <c r="P254" s="52"/>
      <c r="Q254" s="52"/>
    </row>
    <row r="255" spans="15:17" ht="21.75" customHeight="1" x14ac:dyDescent="0.45">
      <c r="O255" s="52"/>
      <c r="P255" s="52"/>
      <c r="Q255" s="52"/>
    </row>
    <row r="256" spans="15:17" ht="21.75" customHeight="1" x14ac:dyDescent="0.45">
      <c r="O256" s="52"/>
      <c r="P256" s="52"/>
      <c r="Q256" s="52"/>
    </row>
    <row r="257" spans="15:17" ht="21.75" customHeight="1" x14ac:dyDescent="0.45">
      <c r="O257" s="52"/>
      <c r="P257" s="52"/>
      <c r="Q257" s="52"/>
    </row>
    <row r="258" spans="15:17" ht="21.75" customHeight="1" x14ac:dyDescent="0.45">
      <c r="O258" s="52"/>
      <c r="P258" s="52"/>
      <c r="Q258" s="52"/>
    </row>
    <row r="259" spans="15:17" ht="21.75" customHeight="1" x14ac:dyDescent="0.45">
      <c r="O259" s="52"/>
      <c r="P259" s="52"/>
      <c r="Q259" s="52"/>
    </row>
    <row r="260" spans="15:17" ht="21.75" customHeight="1" x14ac:dyDescent="0.45">
      <c r="O260" s="52"/>
      <c r="P260" s="52"/>
      <c r="Q260" s="52"/>
    </row>
    <row r="261" spans="15:17" ht="21.75" customHeight="1" x14ac:dyDescent="0.45">
      <c r="O261" s="52"/>
      <c r="P261" s="52"/>
      <c r="Q261" s="52"/>
    </row>
    <row r="262" spans="15:17" ht="21.75" customHeight="1" x14ac:dyDescent="0.45">
      <c r="O262" s="52"/>
      <c r="P262" s="52"/>
      <c r="Q262" s="52"/>
    </row>
    <row r="263" spans="15:17" ht="21.75" customHeight="1" x14ac:dyDescent="0.45">
      <c r="O263" s="52"/>
      <c r="P263" s="52"/>
      <c r="Q263" s="52"/>
    </row>
    <row r="264" spans="15:17" ht="21.75" customHeight="1" x14ac:dyDescent="0.45">
      <c r="O264" s="52"/>
      <c r="P264" s="52"/>
      <c r="Q264" s="52"/>
    </row>
    <row r="265" spans="15:17" ht="21.75" customHeight="1" x14ac:dyDescent="0.45">
      <c r="O265" s="52"/>
      <c r="P265" s="52"/>
      <c r="Q265" s="52"/>
    </row>
    <row r="266" spans="15:17" ht="21.75" customHeight="1" x14ac:dyDescent="0.45">
      <c r="O266" s="52"/>
      <c r="P266" s="52"/>
      <c r="Q266" s="52"/>
    </row>
    <row r="267" spans="15:17" ht="21.75" customHeight="1" x14ac:dyDescent="0.45">
      <c r="O267" s="52"/>
      <c r="P267" s="52"/>
      <c r="Q267" s="52"/>
    </row>
    <row r="268" spans="15:17" ht="21.75" customHeight="1" x14ac:dyDescent="0.45">
      <c r="O268" s="52"/>
      <c r="P268" s="52"/>
      <c r="Q268" s="52"/>
    </row>
    <row r="269" spans="15:17" ht="21.75" customHeight="1" x14ac:dyDescent="0.45">
      <c r="O269" s="52"/>
      <c r="P269" s="52"/>
      <c r="Q269" s="52"/>
    </row>
    <row r="270" spans="15:17" ht="21.75" customHeight="1" x14ac:dyDescent="0.45">
      <c r="O270" s="52"/>
      <c r="P270" s="52"/>
      <c r="Q270" s="52"/>
    </row>
    <row r="271" spans="15:17" ht="21.75" customHeight="1" x14ac:dyDescent="0.45">
      <c r="O271" s="52"/>
      <c r="P271" s="52"/>
      <c r="Q271" s="52"/>
    </row>
    <row r="272" spans="15:17" ht="21.75" customHeight="1" x14ac:dyDescent="0.45">
      <c r="O272" s="52"/>
      <c r="P272" s="52"/>
      <c r="Q272" s="52"/>
    </row>
    <row r="273" spans="15:17" ht="21.75" customHeight="1" x14ac:dyDescent="0.45">
      <c r="O273" s="52"/>
      <c r="P273" s="52"/>
      <c r="Q273" s="52"/>
    </row>
    <row r="274" spans="15:17" ht="21.75" customHeight="1" x14ac:dyDescent="0.45">
      <c r="O274" s="52"/>
      <c r="P274" s="52"/>
      <c r="Q274" s="52"/>
    </row>
    <row r="275" spans="15:17" ht="21.75" customHeight="1" x14ac:dyDescent="0.45">
      <c r="O275" s="52"/>
      <c r="P275" s="52"/>
      <c r="Q275" s="52"/>
    </row>
    <row r="276" spans="15:17" ht="21.75" customHeight="1" x14ac:dyDescent="0.45">
      <c r="O276" s="52"/>
      <c r="P276" s="52"/>
      <c r="Q276" s="52"/>
    </row>
    <row r="277" spans="15:17" ht="21.75" customHeight="1" x14ac:dyDescent="0.45">
      <c r="O277" s="52"/>
      <c r="P277" s="52"/>
      <c r="Q277" s="52"/>
    </row>
    <row r="278" spans="15:17" ht="21.75" customHeight="1" x14ac:dyDescent="0.45">
      <c r="O278" s="52"/>
      <c r="P278" s="52"/>
      <c r="Q278" s="52"/>
    </row>
    <row r="279" spans="15:17" ht="21.75" customHeight="1" x14ac:dyDescent="0.45">
      <c r="O279" s="52"/>
      <c r="P279" s="52"/>
      <c r="Q279" s="52"/>
    </row>
    <row r="280" spans="15:17" ht="21.75" customHeight="1" x14ac:dyDescent="0.45">
      <c r="O280" s="52"/>
      <c r="P280" s="52"/>
      <c r="Q280" s="52"/>
    </row>
    <row r="281" spans="15:17" ht="21.75" customHeight="1" x14ac:dyDescent="0.45">
      <c r="O281" s="52"/>
      <c r="P281" s="52"/>
      <c r="Q281" s="52"/>
    </row>
    <row r="282" spans="15:17" ht="21.75" customHeight="1" x14ac:dyDescent="0.45">
      <c r="O282" s="52"/>
      <c r="P282" s="52"/>
      <c r="Q282" s="52"/>
    </row>
    <row r="283" spans="15:17" ht="21.75" customHeight="1" x14ac:dyDescent="0.45">
      <c r="O283" s="52"/>
      <c r="P283" s="52"/>
      <c r="Q283" s="52"/>
    </row>
    <row r="284" spans="15:17" ht="21.75" customHeight="1" x14ac:dyDescent="0.45">
      <c r="O284" s="52"/>
      <c r="P284" s="52"/>
      <c r="Q284" s="52"/>
    </row>
    <row r="285" spans="15:17" ht="21.75" customHeight="1" x14ac:dyDescent="0.45">
      <c r="O285" s="52"/>
      <c r="P285" s="52"/>
      <c r="Q285" s="52"/>
    </row>
    <row r="286" spans="15:17" ht="21.75" customHeight="1" x14ac:dyDescent="0.45">
      <c r="O286" s="52"/>
      <c r="P286" s="52"/>
      <c r="Q286" s="52"/>
    </row>
    <row r="287" spans="15:17" ht="21.75" customHeight="1" x14ac:dyDescent="0.45">
      <c r="O287" s="52"/>
      <c r="P287" s="52"/>
      <c r="Q287" s="52"/>
    </row>
    <row r="288" spans="15:17" ht="21.75" customHeight="1" x14ac:dyDescent="0.45">
      <c r="O288" s="52"/>
      <c r="P288" s="52"/>
      <c r="Q288" s="52"/>
    </row>
    <row r="289" spans="15:17" ht="21.75" customHeight="1" x14ac:dyDescent="0.45">
      <c r="O289" s="52"/>
      <c r="P289" s="52"/>
      <c r="Q289" s="52"/>
    </row>
    <row r="290" spans="15:17" ht="21.75" customHeight="1" x14ac:dyDescent="0.45">
      <c r="O290" s="52"/>
      <c r="P290" s="52"/>
      <c r="Q290" s="52"/>
    </row>
    <row r="291" spans="15:17" ht="21.75" customHeight="1" x14ac:dyDescent="0.45">
      <c r="O291" s="52"/>
      <c r="P291" s="52"/>
      <c r="Q291" s="52"/>
    </row>
    <row r="292" spans="15:17" ht="21.75" customHeight="1" x14ac:dyDescent="0.45">
      <c r="O292" s="52"/>
      <c r="P292" s="52"/>
      <c r="Q292" s="52"/>
    </row>
    <row r="293" spans="15:17" ht="21.75" customHeight="1" x14ac:dyDescent="0.45">
      <c r="O293" s="52"/>
      <c r="P293" s="52"/>
      <c r="Q293" s="52"/>
    </row>
    <row r="294" spans="15:17" ht="21.75" customHeight="1" x14ac:dyDescent="0.45">
      <c r="O294" s="52"/>
      <c r="P294" s="52"/>
      <c r="Q294" s="52"/>
    </row>
    <row r="295" spans="15:17" ht="21.75" customHeight="1" x14ac:dyDescent="0.45">
      <c r="O295" s="52"/>
      <c r="P295" s="52"/>
      <c r="Q295" s="52"/>
    </row>
    <row r="296" spans="15:17" ht="21.75" customHeight="1" x14ac:dyDescent="0.45">
      <c r="O296" s="52"/>
      <c r="P296" s="52"/>
      <c r="Q296" s="52"/>
    </row>
    <row r="297" spans="15:17" ht="21.75" customHeight="1" x14ac:dyDescent="0.45">
      <c r="O297" s="52"/>
      <c r="P297" s="52"/>
      <c r="Q297" s="52"/>
    </row>
    <row r="298" spans="15:17" ht="21.75" customHeight="1" x14ac:dyDescent="0.45">
      <c r="O298" s="52"/>
      <c r="P298" s="52"/>
      <c r="Q298" s="52"/>
    </row>
    <row r="299" spans="15:17" ht="21.75" customHeight="1" x14ac:dyDescent="0.45">
      <c r="O299" s="52"/>
      <c r="P299" s="52"/>
      <c r="Q299" s="52"/>
    </row>
    <row r="300" spans="15:17" ht="21.75" customHeight="1" x14ac:dyDescent="0.45">
      <c r="O300" s="52"/>
      <c r="P300" s="52"/>
      <c r="Q300" s="52"/>
    </row>
    <row r="301" spans="15:17" ht="21.75" customHeight="1" x14ac:dyDescent="0.45">
      <c r="O301" s="52"/>
      <c r="P301" s="52"/>
      <c r="Q301" s="52"/>
    </row>
    <row r="302" spans="15:17" ht="21.75" customHeight="1" x14ac:dyDescent="0.45">
      <c r="O302" s="52"/>
      <c r="P302" s="52"/>
      <c r="Q302" s="52"/>
    </row>
    <row r="303" spans="15:17" ht="21.75" customHeight="1" x14ac:dyDescent="0.45">
      <c r="O303" s="52"/>
      <c r="P303" s="52"/>
      <c r="Q303" s="52"/>
    </row>
    <row r="304" spans="15:17" ht="21.75" customHeight="1" x14ac:dyDescent="0.45">
      <c r="O304" s="52"/>
      <c r="P304" s="52"/>
      <c r="Q304" s="52"/>
    </row>
    <row r="305" spans="15:17" ht="21.75" customHeight="1" x14ac:dyDescent="0.45">
      <c r="O305" s="52"/>
      <c r="P305" s="52"/>
      <c r="Q305" s="52"/>
    </row>
    <row r="306" spans="15:17" ht="21.75" customHeight="1" x14ac:dyDescent="0.45">
      <c r="O306" s="52"/>
      <c r="P306" s="52"/>
      <c r="Q306" s="52"/>
    </row>
    <row r="307" spans="15:17" ht="21.75" customHeight="1" x14ac:dyDescent="0.45">
      <c r="O307" s="52"/>
      <c r="P307" s="52"/>
      <c r="Q307" s="52"/>
    </row>
    <row r="308" spans="15:17" ht="21.75" customHeight="1" x14ac:dyDescent="0.45">
      <c r="O308" s="52"/>
      <c r="P308" s="52"/>
      <c r="Q308" s="52"/>
    </row>
    <row r="309" spans="15:17" ht="21.75" customHeight="1" x14ac:dyDescent="0.45">
      <c r="O309" s="52"/>
      <c r="P309" s="52"/>
      <c r="Q309" s="52"/>
    </row>
    <row r="310" spans="15:17" ht="21.75" customHeight="1" x14ac:dyDescent="0.45">
      <c r="O310" s="52"/>
      <c r="P310" s="52"/>
      <c r="Q310" s="52"/>
    </row>
    <row r="311" spans="15:17" ht="21.75" customHeight="1" x14ac:dyDescent="0.45">
      <c r="O311" s="52"/>
      <c r="P311" s="52"/>
      <c r="Q311" s="52"/>
    </row>
    <row r="312" spans="15:17" ht="21.75" customHeight="1" x14ac:dyDescent="0.45">
      <c r="O312" s="52"/>
      <c r="P312" s="52"/>
      <c r="Q312" s="52"/>
    </row>
    <row r="313" spans="15:17" ht="21.75" customHeight="1" x14ac:dyDescent="0.45">
      <c r="O313" s="52"/>
      <c r="P313" s="52"/>
      <c r="Q313" s="52"/>
    </row>
    <row r="314" spans="15:17" ht="21.75" customHeight="1" x14ac:dyDescent="0.45">
      <c r="O314" s="52"/>
      <c r="P314" s="52"/>
      <c r="Q314" s="52"/>
    </row>
    <row r="315" spans="15:17" ht="21.75" customHeight="1" x14ac:dyDescent="0.45">
      <c r="O315" s="52"/>
      <c r="P315" s="52"/>
      <c r="Q315" s="52"/>
    </row>
    <row r="316" spans="15:17" ht="21.75" customHeight="1" x14ac:dyDescent="0.45">
      <c r="O316" s="52"/>
      <c r="P316" s="52"/>
      <c r="Q316" s="52"/>
    </row>
    <row r="317" spans="15:17" ht="21.75" customHeight="1" x14ac:dyDescent="0.45">
      <c r="O317" s="52"/>
      <c r="P317" s="52"/>
      <c r="Q317" s="52"/>
    </row>
    <row r="318" spans="15:17" ht="21.75" customHeight="1" x14ac:dyDescent="0.45">
      <c r="O318" s="52"/>
      <c r="P318" s="52"/>
      <c r="Q318" s="52"/>
    </row>
    <row r="319" spans="15:17" ht="21.75" customHeight="1" x14ac:dyDescent="0.45">
      <c r="O319" s="52"/>
      <c r="P319" s="52"/>
      <c r="Q319" s="52"/>
    </row>
    <row r="320" spans="15:17" ht="21.75" customHeight="1" x14ac:dyDescent="0.45">
      <c r="O320" s="52"/>
      <c r="P320" s="52"/>
      <c r="Q320" s="52"/>
    </row>
    <row r="321" spans="15:17" ht="21.75" customHeight="1" x14ac:dyDescent="0.45">
      <c r="O321" s="52"/>
      <c r="P321" s="52"/>
      <c r="Q321" s="52"/>
    </row>
    <row r="322" spans="15:17" ht="21.75" customHeight="1" x14ac:dyDescent="0.45">
      <c r="O322" s="52"/>
      <c r="P322" s="52"/>
      <c r="Q322" s="52"/>
    </row>
    <row r="323" spans="15:17" ht="21.75" customHeight="1" x14ac:dyDescent="0.45">
      <c r="O323" s="52"/>
      <c r="P323" s="52"/>
      <c r="Q323" s="52"/>
    </row>
    <row r="324" spans="15:17" ht="21.75" customHeight="1" x14ac:dyDescent="0.45">
      <c r="O324" s="52"/>
      <c r="P324" s="52"/>
      <c r="Q324" s="52"/>
    </row>
    <row r="325" spans="15:17" ht="21.75" customHeight="1" x14ac:dyDescent="0.45">
      <c r="O325" s="52"/>
      <c r="P325" s="52"/>
      <c r="Q325" s="52"/>
    </row>
    <row r="326" spans="15:17" ht="21.75" customHeight="1" x14ac:dyDescent="0.45">
      <c r="O326" s="52"/>
      <c r="P326" s="52"/>
      <c r="Q326" s="52"/>
    </row>
    <row r="327" spans="15:17" ht="21.75" customHeight="1" x14ac:dyDescent="0.45">
      <c r="O327" s="52"/>
      <c r="P327" s="52"/>
      <c r="Q327" s="52"/>
    </row>
    <row r="328" spans="15:17" ht="21.75" customHeight="1" x14ac:dyDescent="0.45">
      <c r="O328" s="52"/>
      <c r="P328" s="52"/>
      <c r="Q328" s="52"/>
    </row>
    <row r="329" spans="15:17" ht="21.75" customHeight="1" x14ac:dyDescent="0.45">
      <c r="O329" s="52"/>
      <c r="P329" s="52"/>
      <c r="Q329" s="52"/>
    </row>
    <row r="330" spans="15:17" ht="21.75" customHeight="1" x14ac:dyDescent="0.45">
      <c r="O330" s="52"/>
      <c r="P330" s="52"/>
      <c r="Q330" s="52"/>
    </row>
    <row r="331" spans="15:17" ht="21.75" customHeight="1" x14ac:dyDescent="0.45">
      <c r="O331" s="52"/>
      <c r="P331" s="52"/>
      <c r="Q331" s="52"/>
    </row>
    <row r="332" spans="15:17" ht="21.75" customHeight="1" x14ac:dyDescent="0.45">
      <c r="O332" s="52"/>
      <c r="P332" s="52"/>
      <c r="Q332" s="52"/>
    </row>
    <row r="333" spans="15:17" ht="21.75" customHeight="1" x14ac:dyDescent="0.45">
      <c r="O333" s="52"/>
      <c r="P333" s="52"/>
      <c r="Q333" s="52"/>
    </row>
    <row r="334" spans="15:17" ht="21.75" customHeight="1" x14ac:dyDescent="0.45">
      <c r="O334" s="52"/>
      <c r="P334" s="52"/>
      <c r="Q334" s="52"/>
    </row>
    <row r="335" spans="15:17" ht="21.75" customHeight="1" x14ac:dyDescent="0.45">
      <c r="O335" s="52"/>
      <c r="P335" s="52"/>
      <c r="Q335" s="52"/>
    </row>
    <row r="336" spans="15:17" ht="21.75" customHeight="1" x14ac:dyDescent="0.45">
      <c r="O336" s="52"/>
      <c r="P336" s="52"/>
      <c r="Q336" s="52"/>
    </row>
    <row r="337" spans="15:17" ht="21.75" customHeight="1" x14ac:dyDescent="0.45">
      <c r="O337" s="52"/>
      <c r="P337" s="52"/>
      <c r="Q337" s="52"/>
    </row>
    <row r="338" spans="15:17" ht="21.75" customHeight="1" x14ac:dyDescent="0.45">
      <c r="O338" s="52"/>
      <c r="P338" s="52"/>
      <c r="Q338" s="52"/>
    </row>
    <row r="339" spans="15:17" ht="21.75" customHeight="1" x14ac:dyDescent="0.45">
      <c r="O339" s="52"/>
      <c r="P339" s="52"/>
      <c r="Q339" s="52"/>
    </row>
    <row r="340" spans="15:17" ht="21.75" customHeight="1" x14ac:dyDescent="0.45">
      <c r="O340" s="52"/>
      <c r="P340" s="52"/>
      <c r="Q340" s="52"/>
    </row>
    <row r="341" spans="15:17" ht="21.75" customHeight="1" x14ac:dyDescent="0.45">
      <c r="O341" s="52"/>
      <c r="P341" s="52"/>
      <c r="Q341" s="52"/>
    </row>
    <row r="342" spans="15:17" ht="21.75" customHeight="1" x14ac:dyDescent="0.45">
      <c r="O342" s="52"/>
      <c r="P342" s="52"/>
      <c r="Q342" s="52"/>
    </row>
    <row r="343" spans="15:17" ht="21.75" customHeight="1" x14ac:dyDescent="0.45">
      <c r="O343" s="52"/>
      <c r="P343" s="52"/>
      <c r="Q343" s="52"/>
    </row>
    <row r="344" spans="15:17" ht="21.75" customHeight="1" x14ac:dyDescent="0.45">
      <c r="O344" s="52"/>
      <c r="P344" s="52"/>
      <c r="Q344" s="52"/>
    </row>
    <row r="345" spans="15:17" ht="21.75" customHeight="1" x14ac:dyDescent="0.45">
      <c r="O345" s="52"/>
      <c r="P345" s="52"/>
      <c r="Q345" s="52"/>
    </row>
    <row r="346" spans="15:17" ht="21.75" customHeight="1" x14ac:dyDescent="0.45">
      <c r="O346" s="52"/>
      <c r="P346" s="52"/>
      <c r="Q346" s="52"/>
    </row>
    <row r="347" spans="15:17" ht="21.75" customHeight="1" x14ac:dyDescent="0.45">
      <c r="O347" s="52"/>
      <c r="P347" s="52"/>
      <c r="Q347" s="52"/>
    </row>
    <row r="348" spans="15:17" ht="21.75" customHeight="1" x14ac:dyDescent="0.45">
      <c r="O348" s="52"/>
      <c r="P348" s="52"/>
      <c r="Q348" s="52"/>
    </row>
    <row r="349" spans="15:17" ht="21.75" customHeight="1" x14ac:dyDescent="0.45">
      <c r="O349" s="52"/>
      <c r="P349" s="52"/>
      <c r="Q349" s="52"/>
    </row>
    <row r="350" spans="15:17" ht="21.75" customHeight="1" x14ac:dyDescent="0.45">
      <c r="O350" s="52"/>
      <c r="P350" s="52"/>
      <c r="Q350" s="52"/>
    </row>
    <row r="351" spans="15:17" ht="21.75" customHeight="1" x14ac:dyDescent="0.45">
      <c r="O351" s="52"/>
      <c r="P351" s="52"/>
      <c r="Q351" s="52"/>
    </row>
    <row r="352" spans="15:17" ht="21.75" customHeight="1" x14ac:dyDescent="0.45">
      <c r="O352" s="52"/>
      <c r="P352" s="52"/>
      <c r="Q352" s="52"/>
    </row>
    <row r="353" spans="15:17" ht="21.75" customHeight="1" x14ac:dyDescent="0.45">
      <c r="O353" s="52"/>
      <c r="P353" s="52"/>
      <c r="Q353" s="52"/>
    </row>
    <row r="354" spans="15:17" ht="21.75" customHeight="1" x14ac:dyDescent="0.45">
      <c r="O354" s="52"/>
      <c r="P354" s="52"/>
      <c r="Q354" s="52"/>
    </row>
    <row r="355" spans="15:17" ht="21.75" customHeight="1" x14ac:dyDescent="0.45">
      <c r="O355" s="52"/>
      <c r="P355" s="52"/>
      <c r="Q355" s="52"/>
    </row>
    <row r="356" spans="15:17" ht="21.75" customHeight="1" x14ac:dyDescent="0.45">
      <c r="O356" s="52"/>
      <c r="P356" s="52"/>
      <c r="Q356" s="52"/>
    </row>
    <row r="357" spans="15:17" ht="21.75" customHeight="1" x14ac:dyDescent="0.45">
      <c r="O357" s="52"/>
      <c r="P357" s="52"/>
      <c r="Q357" s="52"/>
    </row>
    <row r="358" spans="15:17" ht="21.75" customHeight="1" x14ac:dyDescent="0.45">
      <c r="O358" s="52"/>
      <c r="P358" s="52"/>
      <c r="Q358" s="52"/>
    </row>
    <row r="359" spans="15:17" ht="21.75" customHeight="1" x14ac:dyDescent="0.45">
      <c r="O359" s="52"/>
      <c r="P359" s="52"/>
      <c r="Q359" s="52"/>
    </row>
    <row r="360" spans="15:17" ht="21.75" customHeight="1" x14ac:dyDescent="0.45">
      <c r="O360" s="52"/>
      <c r="P360" s="52"/>
      <c r="Q360" s="52"/>
    </row>
    <row r="361" spans="15:17" ht="21.75" customHeight="1" x14ac:dyDescent="0.45">
      <c r="O361" s="52"/>
      <c r="P361" s="52"/>
      <c r="Q361" s="52"/>
    </row>
    <row r="362" spans="15:17" ht="21.75" customHeight="1" x14ac:dyDescent="0.45">
      <c r="O362" s="52"/>
      <c r="P362" s="52"/>
      <c r="Q362" s="52"/>
    </row>
    <row r="363" spans="15:17" ht="21.75" customHeight="1" x14ac:dyDescent="0.45">
      <c r="O363" s="52"/>
      <c r="P363" s="52"/>
      <c r="Q363" s="52"/>
    </row>
    <row r="364" spans="15:17" ht="21.75" customHeight="1" x14ac:dyDescent="0.45">
      <c r="O364" s="52"/>
      <c r="P364" s="52"/>
      <c r="Q364" s="52"/>
    </row>
    <row r="365" spans="15:17" ht="21.75" customHeight="1" x14ac:dyDescent="0.45">
      <c r="O365" s="52"/>
      <c r="P365" s="52"/>
      <c r="Q365" s="52"/>
    </row>
    <row r="366" spans="15:17" ht="21.75" customHeight="1" x14ac:dyDescent="0.45">
      <c r="O366" s="52"/>
      <c r="P366" s="52"/>
      <c r="Q366" s="52"/>
    </row>
    <row r="367" spans="15:17" ht="21.75" customHeight="1" x14ac:dyDescent="0.45">
      <c r="O367" s="52"/>
      <c r="P367" s="52"/>
      <c r="Q367" s="52"/>
    </row>
    <row r="368" spans="15:17" ht="21.75" customHeight="1" x14ac:dyDescent="0.45">
      <c r="O368" s="52"/>
      <c r="P368" s="52"/>
      <c r="Q368" s="52"/>
    </row>
    <row r="369" spans="15:17" ht="21.75" customHeight="1" x14ac:dyDescent="0.45">
      <c r="O369" s="52"/>
      <c r="P369" s="52"/>
      <c r="Q369" s="52"/>
    </row>
    <row r="370" spans="15:17" ht="21.75" customHeight="1" x14ac:dyDescent="0.45">
      <c r="O370" s="52"/>
      <c r="P370" s="52"/>
      <c r="Q370" s="52"/>
    </row>
    <row r="371" spans="15:17" ht="21.75" customHeight="1" x14ac:dyDescent="0.45">
      <c r="O371" s="52"/>
      <c r="P371" s="52"/>
      <c r="Q371" s="52"/>
    </row>
    <row r="372" spans="15:17" ht="21.75" customHeight="1" x14ac:dyDescent="0.45">
      <c r="O372" s="52"/>
      <c r="P372" s="52"/>
      <c r="Q372" s="52"/>
    </row>
    <row r="373" spans="15:17" ht="21.75" customHeight="1" x14ac:dyDescent="0.45">
      <c r="O373" s="52"/>
      <c r="P373" s="52"/>
      <c r="Q373" s="52"/>
    </row>
    <row r="374" spans="15:17" ht="21.75" customHeight="1" x14ac:dyDescent="0.45">
      <c r="O374" s="52"/>
      <c r="P374" s="52"/>
      <c r="Q374" s="52"/>
    </row>
    <row r="375" spans="15:17" ht="21.75" customHeight="1" x14ac:dyDescent="0.45">
      <c r="O375" s="52"/>
      <c r="P375" s="52"/>
      <c r="Q375" s="52"/>
    </row>
    <row r="376" spans="15:17" ht="21.75" customHeight="1" x14ac:dyDescent="0.45">
      <c r="O376" s="52"/>
      <c r="P376" s="52"/>
      <c r="Q376" s="52"/>
    </row>
    <row r="377" spans="15:17" ht="21.75" customHeight="1" x14ac:dyDescent="0.45">
      <c r="O377" s="52"/>
      <c r="P377" s="52"/>
      <c r="Q377" s="52"/>
    </row>
    <row r="378" spans="15:17" ht="21.75" customHeight="1" x14ac:dyDescent="0.45">
      <c r="O378" s="52"/>
      <c r="P378" s="52"/>
      <c r="Q378" s="52"/>
    </row>
    <row r="379" spans="15:17" ht="21.75" customHeight="1" x14ac:dyDescent="0.45">
      <c r="O379" s="52"/>
      <c r="P379" s="52"/>
      <c r="Q379" s="52"/>
    </row>
    <row r="380" spans="15:17" ht="21.75" customHeight="1" x14ac:dyDescent="0.45">
      <c r="O380" s="52"/>
      <c r="P380" s="52"/>
      <c r="Q380" s="52"/>
    </row>
    <row r="381" spans="15:17" ht="21.75" customHeight="1" x14ac:dyDescent="0.45">
      <c r="O381" s="52"/>
      <c r="P381" s="52"/>
      <c r="Q381" s="52"/>
    </row>
    <row r="382" spans="15:17" ht="21.75" customHeight="1" x14ac:dyDescent="0.45">
      <c r="O382" s="52"/>
      <c r="P382" s="52"/>
      <c r="Q382" s="52"/>
    </row>
    <row r="383" spans="15:17" ht="21.75" customHeight="1" x14ac:dyDescent="0.45">
      <c r="O383" s="52"/>
      <c r="P383" s="52"/>
      <c r="Q383" s="52"/>
    </row>
    <row r="384" spans="15:17" ht="21.75" customHeight="1" x14ac:dyDescent="0.45">
      <c r="O384" s="52"/>
      <c r="P384" s="52"/>
      <c r="Q384" s="52"/>
    </row>
    <row r="385" spans="15:17" ht="21.75" customHeight="1" x14ac:dyDescent="0.45">
      <c r="O385" s="52"/>
      <c r="P385" s="52"/>
      <c r="Q385" s="52"/>
    </row>
    <row r="386" spans="15:17" ht="21.75" customHeight="1" x14ac:dyDescent="0.45">
      <c r="O386" s="52"/>
      <c r="P386" s="52"/>
      <c r="Q386" s="52"/>
    </row>
    <row r="387" spans="15:17" ht="21.75" customHeight="1" x14ac:dyDescent="0.45">
      <c r="O387" s="52"/>
      <c r="P387" s="52"/>
      <c r="Q387" s="52"/>
    </row>
    <row r="388" spans="15:17" ht="21.75" customHeight="1" x14ac:dyDescent="0.45">
      <c r="O388" s="52"/>
      <c r="P388" s="52"/>
      <c r="Q388" s="52"/>
    </row>
    <row r="389" spans="15:17" ht="21.75" customHeight="1" x14ac:dyDescent="0.45">
      <c r="O389" s="52"/>
      <c r="P389" s="52"/>
      <c r="Q389" s="52"/>
    </row>
    <row r="390" spans="15:17" ht="21.75" customHeight="1" x14ac:dyDescent="0.45">
      <c r="O390" s="52"/>
      <c r="P390" s="52"/>
      <c r="Q390" s="52"/>
    </row>
    <row r="391" spans="15:17" ht="21.75" customHeight="1" x14ac:dyDescent="0.45">
      <c r="O391" s="52"/>
      <c r="P391" s="52"/>
      <c r="Q391" s="52"/>
    </row>
    <row r="392" spans="15:17" ht="21.75" customHeight="1" x14ac:dyDescent="0.45">
      <c r="O392" s="52"/>
      <c r="P392" s="52"/>
      <c r="Q392" s="52"/>
    </row>
    <row r="393" spans="15:17" ht="21.75" customHeight="1" x14ac:dyDescent="0.45">
      <c r="O393" s="52"/>
      <c r="P393" s="52"/>
      <c r="Q393" s="52"/>
    </row>
    <row r="394" spans="15:17" ht="21.75" customHeight="1" x14ac:dyDescent="0.45">
      <c r="O394" s="52"/>
      <c r="P394" s="52"/>
      <c r="Q394" s="52"/>
    </row>
    <row r="395" spans="15:17" ht="21.75" customHeight="1" x14ac:dyDescent="0.45">
      <c r="O395" s="52"/>
      <c r="P395" s="52"/>
      <c r="Q395" s="52"/>
    </row>
    <row r="396" spans="15:17" ht="21.75" customHeight="1" x14ac:dyDescent="0.45">
      <c r="O396" s="52"/>
      <c r="P396" s="52"/>
      <c r="Q396" s="52"/>
    </row>
    <row r="397" spans="15:17" ht="21.75" customHeight="1" x14ac:dyDescent="0.45">
      <c r="O397" s="52"/>
      <c r="P397" s="52"/>
      <c r="Q397" s="52"/>
    </row>
    <row r="398" spans="15:17" ht="21.75" customHeight="1" x14ac:dyDescent="0.45">
      <c r="O398" s="52"/>
      <c r="P398" s="52"/>
      <c r="Q398" s="52"/>
    </row>
    <row r="399" spans="15:17" ht="21.75" customHeight="1" x14ac:dyDescent="0.45">
      <c r="O399" s="52"/>
      <c r="P399" s="52"/>
      <c r="Q399" s="52"/>
    </row>
    <row r="400" spans="15:17" ht="21.75" customHeight="1" x14ac:dyDescent="0.45">
      <c r="O400" s="52"/>
      <c r="P400" s="52"/>
      <c r="Q400" s="52"/>
    </row>
    <row r="401" spans="15:17" ht="21.75" customHeight="1" x14ac:dyDescent="0.45">
      <c r="O401" s="52"/>
      <c r="P401" s="52"/>
      <c r="Q401" s="52"/>
    </row>
    <row r="402" spans="15:17" ht="21.75" customHeight="1" x14ac:dyDescent="0.45">
      <c r="O402" s="52"/>
      <c r="P402" s="52"/>
      <c r="Q402" s="52"/>
    </row>
    <row r="403" spans="15:17" ht="21.75" customHeight="1" x14ac:dyDescent="0.45">
      <c r="O403" s="52"/>
      <c r="P403" s="52"/>
      <c r="Q403" s="52"/>
    </row>
    <row r="404" spans="15:17" ht="21.75" customHeight="1" x14ac:dyDescent="0.45">
      <c r="O404" s="52"/>
      <c r="P404" s="52"/>
      <c r="Q404" s="52"/>
    </row>
    <row r="405" spans="15:17" ht="21.75" customHeight="1" x14ac:dyDescent="0.45">
      <c r="O405" s="52"/>
      <c r="P405" s="52"/>
      <c r="Q405" s="52"/>
    </row>
    <row r="406" spans="15:17" ht="21.75" customHeight="1" x14ac:dyDescent="0.45">
      <c r="O406" s="52"/>
      <c r="P406" s="52"/>
      <c r="Q406" s="52"/>
    </row>
    <row r="407" spans="15:17" ht="21.75" customHeight="1" x14ac:dyDescent="0.45">
      <c r="O407" s="52"/>
      <c r="P407" s="52"/>
      <c r="Q407" s="52"/>
    </row>
    <row r="408" spans="15:17" ht="21.75" customHeight="1" x14ac:dyDescent="0.45">
      <c r="O408" s="52"/>
      <c r="P408" s="52"/>
      <c r="Q408" s="52"/>
    </row>
    <row r="409" spans="15:17" ht="21.75" customHeight="1" x14ac:dyDescent="0.45">
      <c r="O409" s="52"/>
      <c r="P409" s="52"/>
      <c r="Q409" s="52"/>
    </row>
    <row r="410" spans="15:17" ht="21.75" customHeight="1" x14ac:dyDescent="0.45">
      <c r="O410" s="52"/>
      <c r="P410" s="52"/>
      <c r="Q410" s="52"/>
    </row>
    <row r="411" spans="15:17" ht="21.75" customHeight="1" x14ac:dyDescent="0.45">
      <c r="O411" s="52"/>
      <c r="P411" s="52"/>
      <c r="Q411" s="52"/>
    </row>
    <row r="412" spans="15:17" ht="21.75" customHeight="1" x14ac:dyDescent="0.45">
      <c r="O412" s="52"/>
      <c r="P412" s="52"/>
      <c r="Q412" s="52"/>
    </row>
    <row r="413" spans="15:17" ht="21.75" customHeight="1" x14ac:dyDescent="0.45">
      <c r="O413" s="52"/>
      <c r="P413" s="52"/>
      <c r="Q413" s="52"/>
    </row>
    <row r="414" spans="15:17" ht="21.75" customHeight="1" x14ac:dyDescent="0.45">
      <c r="O414" s="52"/>
      <c r="P414" s="52"/>
      <c r="Q414" s="52"/>
    </row>
    <row r="415" spans="15:17" ht="21.75" customHeight="1" x14ac:dyDescent="0.45">
      <c r="O415" s="52"/>
      <c r="P415" s="52"/>
      <c r="Q415" s="52"/>
    </row>
    <row r="416" spans="15:17" ht="21.75" customHeight="1" x14ac:dyDescent="0.45">
      <c r="O416" s="52"/>
      <c r="P416" s="52"/>
      <c r="Q416" s="52"/>
    </row>
    <row r="417" spans="15:17" ht="21.75" customHeight="1" x14ac:dyDescent="0.45">
      <c r="O417" s="52"/>
      <c r="P417" s="52"/>
      <c r="Q417" s="52"/>
    </row>
    <row r="418" spans="15:17" ht="21.75" customHeight="1" x14ac:dyDescent="0.45">
      <c r="O418" s="52"/>
      <c r="P418" s="52"/>
      <c r="Q418" s="52"/>
    </row>
    <row r="419" spans="15:17" ht="21.75" customHeight="1" x14ac:dyDescent="0.45">
      <c r="O419" s="52"/>
      <c r="P419" s="52"/>
      <c r="Q419" s="52"/>
    </row>
    <row r="420" spans="15:17" ht="21.75" customHeight="1" x14ac:dyDescent="0.45">
      <c r="O420" s="52"/>
      <c r="P420" s="52"/>
      <c r="Q420" s="52"/>
    </row>
    <row r="421" spans="15:17" ht="21.75" customHeight="1" x14ac:dyDescent="0.45">
      <c r="O421" s="52"/>
      <c r="P421" s="52"/>
      <c r="Q421" s="52"/>
    </row>
    <row r="422" spans="15:17" ht="21.75" customHeight="1" x14ac:dyDescent="0.45">
      <c r="O422" s="52"/>
      <c r="P422" s="52"/>
      <c r="Q422" s="52"/>
    </row>
    <row r="423" spans="15:17" ht="21.75" customHeight="1" x14ac:dyDescent="0.45">
      <c r="O423" s="52"/>
      <c r="P423" s="52"/>
      <c r="Q423" s="52"/>
    </row>
    <row r="424" spans="15:17" ht="21.75" customHeight="1" x14ac:dyDescent="0.45">
      <c r="O424" s="52"/>
      <c r="P424" s="52"/>
      <c r="Q424" s="52"/>
    </row>
    <row r="425" spans="15:17" ht="21.75" customHeight="1" x14ac:dyDescent="0.45">
      <c r="O425" s="52"/>
      <c r="P425" s="52"/>
      <c r="Q425" s="52"/>
    </row>
    <row r="426" spans="15:17" ht="21.75" customHeight="1" x14ac:dyDescent="0.45">
      <c r="O426" s="52"/>
      <c r="P426" s="52"/>
      <c r="Q426" s="52"/>
    </row>
    <row r="427" spans="15:17" ht="21.75" customHeight="1" x14ac:dyDescent="0.45">
      <c r="O427" s="52"/>
      <c r="P427" s="52"/>
      <c r="Q427" s="52"/>
    </row>
    <row r="428" spans="15:17" ht="21.75" customHeight="1" x14ac:dyDescent="0.45">
      <c r="O428" s="52"/>
      <c r="P428" s="52"/>
      <c r="Q428" s="52"/>
    </row>
    <row r="429" spans="15:17" ht="21.75" customHeight="1" x14ac:dyDescent="0.45">
      <c r="O429" s="52"/>
      <c r="P429" s="52"/>
      <c r="Q429" s="52"/>
    </row>
    <row r="430" spans="15:17" ht="21.75" customHeight="1" x14ac:dyDescent="0.45">
      <c r="O430" s="52"/>
      <c r="P430" s="52"/>
      <c r="Q430" s="52"/>
    </row>
    <row r="431" spans="15:17" ht="21.75" customHeight="1" x14ac:dyDescent="0.45">
      <c r="O431" s="52"/>
      <c r="P431" s="52"/>
      <c r="Q431" s="52"/>
    </row>
    <row r="432" spans="15:17" ht="21.75" customHeight="1" x14ac:dyDescent="0.45">
      <c r="O432" s="52"/>
      <c r="P432" s="52"/>
      <c r="Q432" s="52"/>
    </row>
    <row r="433" spans="15:17" ht="21.75" customHeight="1" x14ac:dyDescent="0.45">
      <c r="O433" s="52"/>
      <c r="P433" s="52"/>
      <c r="Q433" s="52"/>
    </row>
    <row r="434" spans="15:17" ht="21.75" customHeight="1" x14ac:dyDescent="0.45">
      <c r="O434" s="52"/>
      <c r="P434" s="52"/>
      <c r="Q434" s="52"/>
    </row>
    <row r="435" spans="15:17" ht="21.75" customHeight="1" x14ac:dyDescent="0.45">
      <c r="O435" s="52"/>
      <c r="P435" s="52"/>
      <c r="Q435" s="52"/>
    </row>
    <row r="436" spans="15:17" ht="21.75" customHeight="1" x14ac:dyDescent="0.45">
      <c r="O436" s="52"/>
      <c r="P436" s="52"/>
      <c r="Q436" s="52"/>
    </row>
    <row r="437" spans="15:17" ht="21.75" customHeight="1" x14ac:dyDescent="0.45">
      <c r="O437" s="52"/>
      <c r="P437" s="52"/>
      <c r="Q437" s="52"/>
    </row>
    <row r="438" spans="15:17" ht="21.75" customHeight="1" x14ac:dyDescent="0.45">
      <c r="O438" s="52"/>
      <c r="P438" s="52"/>
      <c r="Q438" s="52"/>
    </row>
    <row r="439" spans="15:17" ht="21.75" customHeight="1" x14ac:dyDescent="0.45">
      <c r="O439" s="52"/>
      <c r="P439" s="52"/>
      <c r="Q439" s="52"/>
    </row>
    <row r="440" spans="15:17" ht="21.75" customHeight="1" x14ac:dyDescent="0.45">
      <c r="O440" s="52"/>
      <c r="P440" s="52"/>
      <c r="Q440" s="52"/>
    </row>
    <row r="441" spans="15:17" ht="21.75" customHeight="1" x14ac:dyDescent="0.45">
      <c r="O441" s="52"/>
      <c r="P441" s="52"/>
      <c r="Q441" s="52"/>
    </row>
    <row r="442" spans="15:17" ht="21.75" customHeight="1" x14ac:dyDescent="0.45">
      <c r="O442" s="52"/>
      <c r="P442" s="52"/>
      <c r="Q442" s="52"/>
    </row>
    <row r="443" spans="15:17" ht="21.75" customHeight="1" x14ac:dyDescent="0.45">
      <c r="O443" s="52"/>
      <c r="P443" s="52"/>
      <c r="Q443" s="52"/>
    </row>
    <row r="444" spans="15:17" ht="21.75" customHeight="1" x14ac:dyDescent="0.45">
      <c r="O444" s="52"/>
      <c r="P444" s="52"/>
      <c r="Q444" s="52"/>
    </row>
    <row r="445" spans="15:17" ht="21.75" customHeight="1" x14ac:dyDescent="0.45">
      <c r="O445" s="52"/>
      <c r="P445" s="52"/>
      <c r="Q445" s="52"/>
    </row>
    <row r="446" spans="15:17" ht="21.75" customHeight="1" x14ac:dyDescent="0.45">
      <c r="O446" s="52"/>
      <c r="P446" s="52"/>
      <c r="Q446" s="52"/>
    </row>
    <row r="447" spans="15:17" ht="21.75" customHeight="1" x14ac:dyDescent="0.45">
      <c r="O447" s="52"/>
      <c r="P447" s="52"/>
      <c r="Q447" s="52"/>
    </row>
    <row r="448" spans="15:17" ht="21.75" customHeight="1" x14ac:dyDescent="0.45">
      <c r="O448" s="52"/>
      <c r="P448" s="52"/>
      <c r="Q448" s="52"/>
    </row>
    <row r="449" spans="15:17" ht="21.75" customHeight="1" x14ac:dyDescent="0.45">
      <c r="O449" s="52"/>
      <c r="P449" s="52"/>
      <c r="Q449" s="52"/>
    </row>
    <row r="450" spans="15:17" ht="21.75" customHeight="1" x14ac:dyDescent="0.45">
      <c r="O450" s="52"/>
      <c r="P450" s="52"/>
      <c r="Q450" s="52"/>
    </row>
    <row r="451" spans="15:17" ht="21.75" customHeight="1" x14ac:dyDescent="0.45">
      <c r="O451" s="52"/>
      <c r="P451" s="52"/>
      <c r="Q451" s="52"/>
    </row>
    <row r="452" spans="15:17" ht="21.75" customHeight="1" x14ac:dyDescent="0.45">
      <c r="O452" s="52"/>
      <c r="P452" s="52"/>
      <c r="Q452" s="52"/>
    </row>
    <row r="453" spans="15:17" ht="21.75" customHeight="1" x14ac:dyDescent="0.45">
      <c r="O453" s="52"/>
      <c r="P453" s="52"/>
      <c r="Q453" s="52"/>
    </row>
    <row r="454" spans="15:17" ht="21.75" customHeight="1" x14ac:dyDescent="0.45">
      <c r="O454" s="52"/>
      <c r="P454" s="52"/>
      <c r="Q454" s="52"/>
    </row>
    <row r="455" spans="15:17" ht="21.75" customHeight="1" x14ac:dyDescent="0.45">
      <c r="O455" s="52"/>
      <c r="P455" s="52"/>
      <c r="Q455" s="52"/>
    </row>
    <row r="456" spans="15:17" ht="21.75" customHeight="1" x14ac:dyDescent="0.45">
      <c r="O456" s="52"/>
      <c r="P456" s="52"/>
      <c r="Q456" s="52"/>
    </row>
    <row r="457" spans="15:17" ht="21.75" customHeight="1" x14ac:dyDescent="0.45">
      <c r="O457" s="52"/>
      <c r="P457" s="52"/>
      <c r="Q457" s="52"/>
    </row>
    <row r="458" spans="15:17" ht="21.75" customHeight="1" x14ac:dyDescent="0.45">
      <c r="O458" s="52"/>
      <c r="P458" s="52"/>
      <c r="Q458" s="52"/>
    </row>
    <row r="459" spans="15:17" ht="21.75" customHeight="1" x14ac:dyDescent="0.45">
      <c r="O459" s="52"/>
      <c r="P459" s="52"/>
      <c r="Q459" s="52"/>
    </row>
    <row r="460" spans="15:17" ht="21.75" customHeight="1" x14ac:dyDescent="0.45">
      <c r="O460" s="52"/>
      <c r="P460" s="52"/>
      <c r="Q460" s="52"/>
    </row>
    <row r="461" spans="15:17" ht="21.75" customHeight="1" x14ac:dyDescent="0.45">
      <c r="O461" s="52"/>
      <c r="P461" s="52"/>
      <c r="Q461" s="52"/>
    </row>
    <row r="462" spans="15:17" ht="21.75" customHeight="1" x14ac:dyDescent="0.45">
      <c r="O462" s="52"/>
      <c r="P462" s="52"/>
      <c r="Q462" s="52"/>
    </row>
    <row r="463" spans="15:17" ht="21.75" customHeight="1" x14ac:dyDescent="0.45">
      <c r="O463" s="52"/>
      <c r="P463" s="52"/>
      <c r="Q463" s="52"/>
    </row>
    <row r="464" spans="15:17" ht="21.75" customHeight="1" x14ac:dyDescent="0.45">
      <c r="O464" s="52"/>
      <c r="P464" s="52"/>
      <c r="Q464" s="52"/>
    </row>
    <row r="465" spans="15:17" ht="21.75" customHeight="1" x14ac:dyDescent="0.45">
      <c r="O465" s="52"/>
      <c r="P465" s="52"/>
      <c r="Q465" s="52"/>
    </row>
    <row r="466" spans="15:17" ht="21.75" customHeight="1" x14ac:dyDescent="0.45">
      <c r="O466" s="52"/>
      <c r="P466" s="52"/>
      <c r="Q466" s="52"/>
    </row>
    <row r="467" spans="15:17" ht="21.75" customHeight="1" x14ac:dyDescent="0.45">
      <c r="O467" s="52"/>
      <c r="P467" s="52"/>
      <c r="Q467" s="52"/>
    </row>
    <row r="468" spans="15:17" ht="21.75" customHeight="1" x14ac:dyDescent="0.45">
      <c r="O468" s="52"/>
      <c r="P468" s="52"/>
      <c r="Q468" s="52"/>
    </row>
    <row r="469" spans="15:17" ht="21.75" customHeight="1" x14ac:dyDescent="0.45">
      <c r="O469" s="52"/>
      <c r="P469" s="52"/>
      <c r="Q469" s="52"/>
    </row>
    <row r="470" spans="15:17" ht="21.75" customHeight="1" x14ac:dyDescent="0.45">
      <c r="O470" s="52"/>
      <c r="P470" s="52"/>
      <c r="Q470" s="52"/>
    </row>
    <row r="471" spans="15:17" ht="21.75" customHeight="1" x14ac:dyDescent="0.45">
      <c r="O471" s="52"/>
      <c r="P471" s="52"/>
      <c r="Q471" s="52"/>
    </row>
    <row r="472" spans="15:17" ht="21.75" customHeight="1" x14ac:dyDescent="0.45">
      <c r="O472" s="52"/>
      <c r="P472" s="52"/>
      <c r="Q472" s="52"/>
    </row>
    <row r="473" spans="15:17" ht="21.75" customHeight="1" x14ac:dyDescent="0.45">
      <c r="O473" s="52"/>
      <c r="P473" s="52"/>
      <c r="Q473" s="52"/>
    </row>
    <row r="474" spans="15:17" ht="21.75" customHeight="1" x14ac:dyDescent="0.45">
      <c r="O474" s="52"/>
      <c r="P474" s="52"/>
      <c r="Q474" s="52"/>
    </row>
    <row r="475" spans="15:17" ht="21.75" customHeight="1" x14ac:dyDescent="0.45">
      <c r="O475" s="52"/>
      <c r="P475" s="52"/>
      <c r="Q475" s="52"/>
    </row>
    <row r="476" spans="15:17" ht="21.75" customHeight="1" x14ac:dyDescent="0.45">
      <c r="O476" s="52"/>
      <c r="P476" s="52"/>
      <c r="Q476" s="52"/>
    </row>
    <row r="477" spans="15:17" ht="21.75" customHeight="1" x14ac:dyDescent="0.45">
      <c r="O477" s="52"/>
      <c r="P477" s="52"/>
      <c r="Q477" s="52"/>
    </row>
    <row r="478" spans="15:17" ht="21.75" customHeight="1" x14ac:dyDescent="0.45">
      <c r="O478" s="52"/>
      <c r="P478" s="52"/>
      <c r="Q478" s="52"/>
    </row>
    <row r="479" spans="15:17" ht="21.75" customHeight="1" x14ac:dyDescent="0.45">
      <c r="O479" s="52"/>
      <c r="P479" s="52"/>
      <c r="Q479" s="52"/>
    </row>
    <row r="480" spans="15:17" ht="21.75" customHeight="1" x14ac:dyDescent="0.45">
      <c r="O480" s="52"/>
      <c r="P480" s="52"/>
      <c r="Q480" s="52"/>
    </row>
    <row r="481" spans="15:17" ht="21.75" customHeight="1" x14ac:dyDescent="0.45">
      <c r="O481" s="52"/>
      <c r="P481" s="52"/>
      <c r="Q481" s="52"/>
    </row>
    <row r="482" spans="15:17" ht="21.75" customHeight="1" x14ac:dyDescent="0.45">
      <c r="O482" s="52"/>
      <c r="P482" s="52"/>
      <c r="Q482" s="52"/>
    </row>
    <row r="483" spans="15:17" ht="21.75" customHeight="1" x14ac:dyDescent="0.45">
      <c r="O483" s="52"/>
      <c r="P483" s="52"/>
      <c r="Q483" s="52"/>
    </row>
    <row r="484" spans="15:17" ht="21.75" customHeight="1" x14ac:dyDescent="0.45">
      <c r="O484" s="52"/>
      <c r="P484" s="52"/>
      <c r="Q484" s="52"/>
    </row>
    <row r="485" spans="15:17" ht="21.75" customHeight="1" x14ac:dyDescent="0.45">
      <c r="O485" s="52"/>
      <c r="P485" s="52"/>
      <c r="Q485" s="52"/>
    </row>
    <row r="486" spans="15:17" ht="21.75" customHeight="1" x14ac:dyDescent="0.45">
      <c r="O486" s="52"/>
      <c r="P486" s="52"/>
      <c r="Q486" s="52"/>
    </row>
    <row r="487" spans="15:17" ht="21.75" customHeight="1" x14ac:dyDescent="0.45">
      <c r="O487" s="52"/>
      <c r="P487" s="52"/>
      <c r="Q487" s="52"/>
    </row>
    <row r="488" spans="15:17" ht="21.75" customHeight="1" x14ac:dyDescent="0.45">
      <c r="O488" s="52"/>
      <c r="P488" s="52"/>
      <c r="Q488" s="52"/>
    </row>
    <row r="489" spans="15:17" ht="21.75" customHeight="1" x14ac:dyDescent="0.45">
      <c r="O489" s="52"/>
      <c r="P489" s="52"/>
      <c r="Q489" s="52"/>
    </row>
    <row r="490" spans="15:17" ht="21.75" customHeight="1" x14ac:dyDescent="0.45">
      <c r="O490" s="52"/>
      <c r="P490" s="52"/>
      <c r="Q490" s="52"/>
    </row>
    <row r="491" spans="15:17" ht="21.75" customHeight="1" x14ac:dyDescent="0.45">
      <c r="O491" s="52"/>
      <c r="P491" s="52"/>
      <c r="Q491" s="52"/>
    </row>
    <row r="492" spans="15:17" ht="21.75" customHeight="1" x14ac:dyDescent="0.45">
      <c r="O492" s="52"/>
      <c r="P492" s="52"/>
      <c r="Q492" s="52"/>
    </row>
    <row r="493" spans="15:17" ht="21.75" customHeight="1" x14ac:dyDescent="0.45">
      <c r="O493" s="52"/>
      <c r="P493" s="52"/>
      <c r="Q493" s="52"/>
    </row>
    <row r="494" spans="15:17" ht="21.75" customHeight="1" x14ac:dyDescent="0.45">
      <c r="O494" s="52"/>
      <c r="P494" s="52"/>
      <c r="Q494" s="52"/>
    </row>
    <row r="495" spans="15:17" ht="21.75" customHeight="1" x14ac:dyDescent="0.45">
      <c r="O495" s="52"/>
      <c r="P495" s="52"/>
      <c r="Q495" s="52"/>
    </row>
    <row r="496" spans="15:17" ht="21.75" customHeight="1" x14ac:dyDescent="0.45">
      <c r="O496" s="52"/>
      <c r="P496" s="52"/>
      <c r="Q496" s="52"/>
    </row>
    <row r="497" spans="15:17" ht="21.75" customHeight="1" x14ac:dyDescent="0.45">
      <c r="O497" s="52"/>
      <c r="P497" s="52"/>
      <c r="Q497" s="52"/>
    </row>
    <row r="498" spans="15:17" ht="21.75" customHeight="1" x14ac:dyDescent="0.45">
      <c r="O498" s="52"/>
      <c r="P498" s="52"/>
      <c r="Q498" s="52"/>
    </row>
    <row r="499" spans="15:17" ht="21.75" customHeight="1" x14ac:dyDescent="0.45">
      <c r="O499" s="52"/>
      <c r="P499" s="52"/>
      <c r="Q499" s="52"/>
    </row>
    <row r="500" spans="15:17" ht="21.75" customHeight="1" x14ac:dyDescent="0.45">
      <c r="O500" s="52"/>
      <c r="P500" s="52"/>
      <c r="Q500" s="52"/>
    </row>
    <row r="501" spans="15:17" ht="21.75" customHeight="1" x14ac:dyDescent="0.45">
      <c r="O501" s="52"/>
      <c r="P501" s="52"/>
      <c r="Q501" s="52"/>
    </row>
    <row r="502" spans="15:17" ht="21.75" customHeight="1" x14ac:dyDescent="0.45">
      <c r="O502" s="52"/>
      <c r="P502" s="52"/>
      <c r="Q502" s="52"/>
    </row>
    <row r="503" spans="15:17" ht="21.75" customHeight="1" x14ac:dyDescent="0.45">
      <c r="O503" s="52"/>
      <c r="P503" s="52"/>
      <c r="Q503" s="52"/>
    </row>
    <row r="504" spans="15:17" ht="21.75" customHeight="1" x14ac:dyDescent="0.45">
      <c r="O504" s="52"/>
      <c r="P504" s="52"/>
      <c r="Q504" s="52"/>
    </row>
    <row r="505" spans="15:17" ht="21.75" customHeight="1" x14ac:dyDescent="0.45">
      <c r="O505" s="52"/>
      <c r="P505" s="52"/>
      <c r="Q505" s="52"/>
    </row>
    <row r="506" spans="15:17" ht="21.75" customHeight="1" x14ac:dyDescent="0.45">
      <c r="O506" s="52"/>
      <c r="P506" s="52"/>
      <c r="Q506" s="52"/>
    </row>
    <row r="507" spans="15:17" ht="21.75" customHeight="1" x14ac:dyDescent="0.45">
      <c r="O507" s="52"/>
      <c r="P507" s="52"/>
      <c r="Q507" s="52"/>
    </row>
    <row r="508" spans="15:17" ht="21.75" customHeight="1" x14ac:dyDescent="0.45">
      <c r="O508" s="52"/>
      <c r="P508" s="52"/>
      <c r="Q508" s="52"/>
    </row>
    <row r="509" spans="15:17" ht="21.75" customHeight="1" x14ac:dyDescent="0.45">
      <c r="O509" s="52"/>
      <c r="P509" s="52"/>
      <c r="Q509" s="52"/>
    </row>
    <row r="510" spans="15:17" ht="21.75" customHeight="1" x14ac:dyDescent="0.45">
      <c r="O510" s="52"/>
      <c r="P510" s="52"/>
      <c r="Q510" s="52"/>
    </row>
    <row r="511" spans="15:17" ht="21.75" customHeight="1" x14ac:dyDescent="0.45">
      <c r="O511" s="52"/>
      <c r="P511" s="52"/>
      <c r="Q511" s="52"/>
    </row>
    <row r="512" spans="15:17" ht="21.75" customHeight="1" x14ac:dyDescent="0.45">
      <c r="O512" s="52"/>
      <c r="P512" s="52"/>
      <c r="Q512" s="52"/>
    </row>
    <row r="513" spans="15:17" ht="21.75" customHeight="1" x14ac:dyDescent="0.45">
      <c r="O513" s="52"/>
      <c r="P513" s="52"/>
      <c r="Q513" s="52"/>
    </row>
    <row r="514" spans="15:17" ht="21.75" customHeight="1" x14ac:dyDescent="0.45">
      <c r="O514" s="52"/>
      <c r="P514" s="52"/>
      <c r="Q514" s="52"/>
    </row>
    <row r="515" spans="15:17" ht="21.75" customHeight="1" x14ac:dyDescent="0.45">
      <c r="O515" s="52"/>
      <c r="P515" s="52"/>
      <c r="Q515" s="52"/>
    </row>
    <row r="516" spans="15:17" ht="21.75" customHeight="1" x14ac:dyDescent="0.45">
      <c r="O516" s="52"/>
      <c r="P516" s="52"/>
      <c r="Q516" s="52"/>
    </row>
    <row r="517" spans="15:17" ht="21.75" customHeight="1" x14ac:dyDescent="0.45">
      <c r="O517" s="52"/>
      <c r="P517" s="52"/>
      <c r="Q517" s="52"/>
    </row>
    <row r="518" spans="15:17" ht="21.75" customHeight="1" x14ac:dyDescent="0.45">
      <c r="O518" s="52"/>
      <c r="P518" s="52"/>
      <c r="Q518" s="52"/>
    </row>
    <row r="519" spans="15:17" ht="21.75" customHeight="1" x14ac:dyDescent="0.45">
      <c r="O519" s="52"/>
      <c r="P519" s="52"/>
      <c r="Q519" s="52"/>
    </row>
    <row r="520" spans="15:17" ht="21.75" customHeight="1" x14ac:dyDescent="0.45">
      <c r="O520" s="52"/>
      <c r="P520" s="52"/>
      <c r="Q520" s="52"/>
    </row>
    <row r="521" spans="15:17" ht="21.75" customHeight="1" x14ac:dyDescent="0.45">
      <c r="O521" s="52"/>
      <c r="P521" s="52"/>
      <c r="Q521" s="52"/>
    </row>
    <row r="522" spans="15:17" ht="21.75" customHeight="1" x14ac:dyDescent="0.45">
      <c r="O522" s="52"/>
      <c r="P522" s="52"/>
      <c r="Q522" s="52"/>
    </row>
    <row r="523" spans="15:17" ht="21.75" customHeight="1" x14ac:dyDescent="0.45">
      <c r="O523" s="52"/>
      <c r="P523" s="52"/>
      <c r="Q523" s="52"/>
    </row>
    <row r="524" spans="15:17" ht="21.75" customHeight="1" x14ac:dyDescent="0.45">
      <c r="O524" s="52"/>
      <c r="P524" s="52"/>
      <c r="Q524" s="52"/>
    </row>
    <row r="525" spans="15:17" ht="21.75" customHeight="1" x14ac:dyDescent="0.45">
      <c r="O525" s="52"/>
      <c r="P525" s="52"/>
      <c r="Q525" s="52"/>
    </row>
    <row r="526" spans="15:17" ht="21.75" customHeight="1" x14ac:dyDescent="0.45">
      <c r="O526" s="52"/>
      <c r="P526" s="52"/>
      <c r="Q526" s="52"/>
    </row>
    <row r="527" spans="15:17" ht="21.75" customHeight="1" x14ac:dyDescent="0.45">
      <c r="O527" s="52"/>
      <c r="P527" s="52"/>
      <c r="Q527" s="52"/>
    </row>
    <row r="528" spans="15:17" ht="21.75" customHeight="1" x14ac:dyDescent="0.45">
      <c r="O528" s="52"/>
      <c r="P528" s="52"/>
      <c r="Q528" s="52"/>
    </row>
    <row r="529" spans="15:17" ht="21.75" customHeight="1" x14ac:dyDescent="0.45">
      <c r="O529" s="52"/>
      <c r="P529" s="52"/>
      <c r="Q529" s="52"/>
    </row>
    <row r="530" spans="15:17" ht="21.75" customHeight="1" x14ac:dyDescent="0.45">
      <c r="O530" s="52"/>
      <c r="P530" s="52"/>
      <c r="Q530" s="52"/>
    </row>
    <row r="531" spans="15:17" ht="21.75" customHeight="1" x14ac:dyDescent="0.45">
      <c r="O531" s="52"/>
      <c r="P531" s="52"/>
      <c r="Q531" s="52"/>
    </row>
    <row r="532" spans="15:17" ht="21.75" customHeight="1" x14ac:dyDescent="0.45">
      <c r="O532" s="52"/>
      <c r="P532" s="52"/>
      <c r="Q532" s="52"/>
    </row>
    <row r="533" spans="15:17" ht="21.75" customHeight="1" x14ac:dyDescent="0.45">
      <c r="O533" s="52"/>
      <c r="P533" s="52"/>
      <c r="Q533" s="52"/>
    </row>
    <row r="534" spans="15:17" ht="21.75" customHeight="1" x14ac:dyDescent="0.45">
      <c r="O534" s="52"/>
      <c r="P534" s="52"/>
      <c r="Q534" s="52"/>
    </row>
    <row r="535" spans="15:17" ht="21.75" customHeight="1" x14ac:dyDescent="0.45">
      <c r="O535" s="52"/>
      <c r="P535" s="52"/>
      <c r="Q535" s="52"/>
    </row>
    <row r="536" spans="15:17" ht="21.75" customHeight="1" x14ac:dyDescent="0.45">
      <c r="O536" s="52"/>
      <c r="P536" s="52"/>
      <c r="Q536" s="52"/>
    </row>
    <row r="537" spans="15:17" ht="21.75" customHeight="1" x14ac:dyDescent="0.45">
      <c r="O537" s="52"/>
      <c r="P537" s="52"/>
      <c r="Q537" s="52"/>
    </row>
    <row r="538" spans="15:17" ht="21.75" customHeight="1" x14ac:dyDescent="0.45">
      <c r="O538" s="52"/>
      <c r="P538" s="52"/>
      <c r="Q538" s="52"/>
    </row>
    <row r="539" spans="15:17" ht="21.75" customHeight="1" x14ac:dyDescent="0.45">
      <c r="O539" s="52"/>
      <c r="P539" s="52"/>
      <c r="Q539" s="52"/>
    </row>
    <row r="540" spans="15:17" ht="21.75" customHeight="1" x14ac:dyDescent="0.45">
      <c r="O540" s="52"/>
      <c r="P540" s="52"/>
      <c r="Q540" s="52"/>
    </row>
    <row r="541" spans="15:17" ht="21.75" customHeight="1" x14ac:dyDescent="0.45">
      <c r="O541" s="52"/>
      <c r="P541" s="52"/>
      <c r="Q541" s="52"/>
    </row>
    <row r="542" spans="15:17" ht="21.75" customHeight="1" x14ac:dyDescent="0.45">
      <c r="O542" s="52"/>
      <c r="P542" s="52"/>
      <c r="Q542" s="52"/>
    </row>
    <row r="543" spans="15:17" ht="21.75" customHeight="1" x14ac:dyDescent="0.45">
      <c r="O543" s="52"/>
      <c r="P543" s="52"/>
      <c r="Q543" s="52"/>
    </row>
    <row r="544" spans="15:17" ht="21.75" customHeight="1" x14ac:dyDescent="0.45">
      <c r="O544" s="52"/>
      <c r="P544" s="52"/>
      <c r="Q544" s="52"/>
    </row>
    <row r="545" spans="15:17" ht="21.75" customHeight="1" x14ac:dyDescent="0.45">
      <c r="O545" s="52"/>
      <c r="P545" s="52"/>
      <c r="Q545" s="52"/>
    </row>
    <row r="546" spans="15:17" ht="21.75" customHeight="1" x14ac:dyDescent="0.45">
      <c r="O546" s="52"/>
      <c r="P546" s="52"/>
      <c r="Q546" s="52"/>
    </row>
    <row r="547" spans="15:17" ht="21.75" customHeight="1" x14ac:dyDescent="0.45">
      <c r="O547" s="52"/>
      <c r="P547" s="52"/>
      <c r="Q547" s="52"/>
    </row>
    <row r="548" spans="15:17" ht="21.75" customHeight="1" x14ac:dyDescent="0.45">
      <c r="O548" s="52"/>
      <c r="P548" s="52"/>
      <c r="Q548" s="52"/>
    </row>
    <row r="549" spans="15:17" ht="21.75" customHeight="1" x14ac:dyDescent="0.45">
      <c r="O549" s="52"/>
      <c r="P549" s="52"/>
      <c r="Q549" s="52"/>
    </row>
    <row r="550" spans="15:17" ht="21.75" customHeight="1" x14ac:dyDescent="0.45">
      <c r="O550" s="52"/>
      <c r="P550" s="52"/>
      <c r="Q550" s="52"/>
    </row>
    <row r="551" spans="15:17" ht="21.75" customHeight="1" x14ac:dyDescent="0.45">
      <c r="O551" s="52"/>
      <c r="P551" s="52"/>
      <c r="Q551" s="52"/>
    </row>
    <row r="552" spans="15:17" ht="21.75" customHeight="1" x14ac:dyDescent="0.45">
      <c r="O552" s="52"/>
      <c r="P552" s="52"/>
      <c r="Q552" s="52"/>
    </row>
    <row r="553" spans="15:17" ht="21.75" customHeight="1" x14ac:dyDescent="0.45">
      <c r="O553" s="52"/>
      <c r="P553" s="52"/>
      <c r="Q553" s="52"/>
    </row>
    <row r="554" spans="15:17" ht="21.75" customHeight="1" x14ac:dyDescent="0.45">
      <c r="O554" s="52"/>
      <c r="P554" s="52"/>
      <c r="Q554" s="52"/>
    </row>
    <row r="555" spans="15:17" ht="21.75" customHeight="1" x14ac:dyDescent="0.45">
      <c r="O555" s="52"/>
      <c r="P555" s="52"/>
      <c r="Q555" s="52"/>
    </row>
    <row r="556" spans="15:17" ht="21.75" customHeight="1" x14ac:dyDescent="0.45">
      <c r="O556" s="52"/>
      <c r="P556" s="52"/>
      <c r="Q556" s="52"/>
    </row>
    <row r="557" spans="15:17" ht="21.75" customHeight="1" x14ac:dyDescent="0.45">
      <c r="O557" s="52"/>
      <c r="P557" s="52"/>
      <c r="Q557" s="52"/>
    </row>
    <row r="558" spans="15:17" ht="21.75" customHeight="1" x14ac:dyDescent="0.45">
      <c r="O558" s="52"/>
      <c r="P558" s="52"/>
      <c r="Q558" s="52"/>
    </row>
    <row r="559" spans="15:17" ht="21.75" customHeight="1" x14ac:dyDescent="0.45">
      <c r="O559" s="52"/>
      <c r="P559" s="52"/>
      <c r="Q559" s="52"/>
    </row>
    <row r="560" spans="15:17" ht="21.75" customHeight="1" x14ac:dyDescent="0.45">
      <c r="O560" s="52"/>
      <c r="P560" s="52"/>
      <c r="Q560" s="52"/>
    </row>
    <row r="561" spans="15:17" ht="21.75" customHeight="1" x14ac:dyDescent="0.45">
      <c r="O561" s="52"/>
      <c r="P561" s="52"/>
      <c r="Q561" s="52"/>
    </row>
    <row r="562" spans="15:17" ht="21.75" customHeight="1" x14ac:dyDescent="0.45">
      <c r="O562" s="52"/>
      <c r="P562" s="52"/>
      <c r="Q562" s="52"/>
    </row>
    <row r="563" spans="15:17" ht="21.75" customHeight="1" x14ac:dyDescent="0.45">
      <c r="O563" s="52"/>
      <c r="P563" s="52"/>
      <c r="Q563" s="52"/>
    </row>
    <row r="564" spans="15:17" ht="21.75" customHeight="1" x14ac:dyDescent="0.45">
      <c r="O564" s="52"/>
      <c r="P564" s="52"/>
      <c r="Q564" s="52"/>
    </row>
    <row r="565" spans="15:17" ht="21.75" customHeight="1" x14ac:dyDescent="0.45">
      <c r="O565" s="52"/>
      <c r="P565" s="52"/>
      <c r="Q565" s="52"/>
    </row>
    <row r="566" spans="15:17" ht="21.75" customHeight="1" x14ac:dyDescent="0.45">
      <c r="O566" s="52"/>
      <c r="P566" s="52"/>
      <c r="Q566" s="52"/>
    </row>
    <row r="567" spans="15:17" ht="21.75" customHeight="1" x14ac:dyDescent="0.45">
      <c r="O567" s="52"/>
      <c r="P567" s="52"/>
      <c r="Q567" s="52"/>
    </row>
    <row r="568" spans="15:17" ht="21.75" customHeight="1" x14ac:dyDescent="0.45">
      <c r="O568" s="52"/>
      <c r="P568" s="52"/>
      <c r="Q568" s="52"/>
    </row>
    <row r="569" spans="15:17" ht="21.75" customHeight="1" x14ac:dyDescent="0.45">
      <c r="O569" s="52"/>
      <c r="P569" s="52"/>
      <c r="Q569" s="52"/>
    </row>
    <row r="570" spans="15:17" ht="21.75" customHeight="1" x14ac:dyDescent="0.45">
      <c r="O570" s="52"/>
      <c r="P570" s="52"/>
      <c r="Q570" s="52"/>
    </row>
    <row r="571" spans="15:17" ht="21.75" customHeight="1" x14ac:dyDescent="0.45">
      <c r="O571" s="52"/>
      <c r="P571" s="52"/>
      <c r="Q571" s="52"/>
    </row>
    <row r="572" spans="15:17" ht="21.75" customHeight="1" x14ac:dyDescent="0.45">
      <c r="O572" s="52"/>
      <c r="P572" s="52"/>
      <c r="Q572" s="52"/>
    </row>
    <row r="573" spans="15:17" ht="21.75" customHeight="1" x14ac:dyDescent="0.45">
      <c r="O573" s="52"/>
      <c r="P573" s="52"/>
      <c r="Q573" s="52"/>
    </row>
    <row r="574" spans="15:17" ht="21.75" customHeight="1" x14ac:dyDescent="0.45">
      <c r="O574" s="52"/>
      <c r="P574" s="52"/>
      <c r="Q574" s="52"/>
    </row>
    <row r="575" spans="15:17" ht="21.75" customHeight="1" x14ac:dyDescent="0.45">
      <c r="O575" s="52"/>
      <c r="P575" s="52"/>
      <c r="Q575" s="52"/>
    </row>
    <row r="576" spans="15:17" ht="21.75" customHeight="1" x14ac:dyDescent="0.45">
      <c r="O576" s="52"/>
      <c r="P576" s="52"/>
      <c r="Q576" s="52"/>
    </row>
    <row r="577" spans="15:17" ht="21.75" customHeight="1" x14ac:dyDescent="0.45">
      <c r="O577" s="52"/>
      <c r="P577" s="52"/>
      <c r="Q577" s="52"/>
    </row>
    <row r="578" spans="15:17" ht="21.75" customHeight="1" x14ac:dyDescent="0.45">
      <c r="O578" s="52"/>
      <c r="P578" s="52"/>
      <c r="Q578" s="52"/>
    </row>
    <row r="579" spans="15:17" ht="21.75" customHeight="1" x14ac:dyDescent="0.45">
      <c r="O579" s="52"/>
      <c r="P579" s="52"/>
      <c r="Q579" s="52"/>
    </row>
    <row r="580" spans="15:17" ht="21.75" customHeight="1" x14ac:dyDescent="0.45">
      <c r="O580" s="52"/>
      <c r="P580" s="52"/>
      <c r="Q580" s="52"/>
    </row>
    <row r="581" spans="15:17" ht="21.75" customHeight="1" x14ac:dyDescent="0.45">
      <c r="O581" s="52"/>
      <c r="P581" s="52"/>
      <c r="Q581" s="52"/>
    </row>
    <row r="582" spans="15:17" ht="21.75" customHeight="1" x14ac:dyDescent="0.45">
      <c r="O582" s="52"/>
      <c r="P582" s="52"/>
      <c r="Q582" s="52"/>
    </row>
    <row r="583" spans="15:17" ht="21.75" customHeight="1" x14ac:dyDescent="0.45">
      <c r="O583" s="52"/>
      <c r="P583" s="52"/>
      <c r="Q583" s="52"/>
    </row>
    <row r="584" spans="15:17" ht="21.75" customHeight="1" x14ac:dyDescent="0.45">
      <c r="O584" s="52"/>
      <c r="P584" s="52"/>
      <c r="Q584" s="52"/>
    </row>
    <row r="585" spans="15:17" ht="21.75" customHeight="1" x14ac:dyDescent="0.45">
      <c r="O585" s="52"/>
      <c r="P585" s="52"/>
      <c r="Q585" s="52"/>
    </row>
    <row r="586" spans="15:17" ht="21.75" customHeight="1" x14ac:dyDescent="0.45">
      <c r="O586" s="52"/>
      <c r="P586" s="52"/>
      <c r="Q586" s="52"/>
    </row>
    <row r="587" spans="15:17" ht="21.75" customHeight="1" x14ac:dyDescent="0.45">
      <c r="O587" s="52"/>
      <c r="P587" s="52"/>
      <c r="Q587" s="52"/>
    </row>
    <row r="588" spans="15:17" ht="21.75" customHeight="1" x14ac:dyDescent="0.45">
      <c r="O588" s="52"/>
      <c r="P588" s="52"/>
      <c r="Q588" s="52"/>
    </row>
    <row r="589" spans="15:17" ht="21.75" customHeight="1" x14ac:dyDescent="0.45">
      <c r="O589" s="52"/>
      <c r="P589" s="52"/>
      <c r="Q589" s="52"/>
    </row>
    <row r="590" spans="15:17" ht="21.75" customHeight="1" x14ac:dyDescent="0.45">
      <c r="O590" s="52"/>
      <c r="P590" s="52"/>
      <c r="Q590" s="52"/>
    </row>
    <row r="591" spans="15:17" ht="21.75" customHeight="1" x14ac:dyDescent="0.45">
      <c r="O591" s="52"/>
      <c r="P591" s="52"/>
      <c r="Q591" s="52"/>
    </row>
    <row r="592" spans="15:17" ht="21.75" customHeight="1" x14ac:dyDescent="0.45">
      <c r="O592" s="52"/>
      <c r="P592" s="52"/>
      <c r="Q592" s="52"/>
    </row>
    <row r="593" spans="15:17" ht="21.75" customHeight="1" x14ac:dyDescent="0.45">
      <c r="O593" s="52"/>
      <c r="P593" s="52"/>
      <c r="Q593" s="52"/>
    </row>
    <row r="594" spans="15:17" ht="21.75" customHeight="1" x14ac:dyDescent="0.45">
      <c r="O594" s="52"/>
      <c r="P594" s="52"/>
      <c r="Q594" s="52"/>
    </row>
    <row r="595" spans="15:17" ht="21.75" customHeight="1" x14ac:dyDescent="0.45">
      <c r="O595" s="52"/>
      <c r="P595" s="52"/>
      <c r="Q595" s="52"/>
    </row>
    <row r="596" spans="15:17" ht="21.75" customHeight="1" x14ac:dyDescent="0.45">
      <c r="O596" s="52"/>
      <c r="P596" s="52"/>
      <c r="Q596" s="52"/>
    </row>
    <row r="597" spans="15:17" ht="21.75" customHeight="1" x14ac:dyDescent="0.45">
      <c r="O597" s="52"/>
      <c r="P597" s="52"/>
      <c r="Q597" s="52"/>
    </row>
    <row r="598" spans="15:17" ht="21.75" customHeight="1" x14ac:dyDescent="0.45">
      <c r="O598" s="52"/>
      <c r="P598" s="52"/>
      <c r="Q598" s="52"/>
    </row>
    <row r="599" spans="15:17" ht="21.75" customHeight="1" x14ac:dyDescent="0.45">
      <c r="O599" s="52"/>
      <c r="P599" s="52"/>
      <c r="Q599" s="52"/>
    </row>
    <row r="600" spans="15:17" ht="21.75" customHeight="1" x14ac:dyDescent="0.45">
      <c r="O600" s="52"/>
      <c r="P600" s="52"/>
      <c r="Q600" s="52"/>
    </row>
    <row r="601" spans="15:17" ht="21.75" customHeight="1" x14ac:dyDescent="0.45">
      <c r="O601" s="52"/>
      <c r="P601" s="52"/>
      <c r="Q601" s="52"/>
    </row>
    <row r="602" spans="15:17" ht="21.75" customHeight="1" x14ac:dyDescent="0.45">
      <c r="O602" s="52"/>
      <c r="P602" s="52"/>
      <c r="Q602" s="52"/>
    </row>
    <row r="603" spans="15:17" ht="21.75" customHeight="1" x14ac:dyDescent="0.45">
      <c r="O603" s="52"/>
      <c r="P603" s="52"/>
      <c r="Q603" s="52"/>
    </row>
    <row r="604" spans="15:17" ht="21.75" customHeight="1" x14ac:dyDescent="0.45">
      <c r="O604" s="52"/>
      <c r="P604" s="52"/>
      <c r="Q604" s="52"/>
    </row>
    <row r="605" spans="15:17" ht="21.75" customHeight="1" x14ac:dyDescent="0.45">
      <c r="O605" s="52"/>
      <c r="P605" s="52"/>
      <c r="Q605" s="52"/>
    </row>
    <row r="606" spans="15:17" ht="21.75" customHeight="1" x14ac:dyDescent="0.45">
      <c r="O606" s="52"/>
      <c r="P606" s="52"/>
      <c r="Q606" s="52"/>
    </row>
    <row r="607" spans="15:17" ht="21.75" customHeight="1" x14ac:dyDescent="0.45">
      <c r="O607" s="52"/>
      <c r="P607" s="52"/>
      <c r="Q607" s="52"/>
    </row>
    <row r="608" spans="15:17" ht="21.75" customHeight="1" x14ac:dyDescent="0.45">
      <c r="O608" s="52"/>
      <c r="P608" s="52"/>
      <c r="Q608" s="52"/>
    </row>
    <row r="609" spans="15:17" ht="21.75" customHeight="1" x14ac:dyDescent="0.45">
      <c r="O609" s="52"/>
      <c r="P609" s="52"/>
      <c r="Q609" s="52"/>
    </row>
    <row r="610" spans="15:17" ht="21.75" customHeight="1" x14ac:dyDescent="0.45">
      <c r="O610" s="52"/>
      <c r="P610" s="52"/>
      <c r="Q610" s="52"/>
    </row>
    <row r="611" spans="15:17" ht="21.75" customHeight="1" x14ac:dyDescent="0.45">
      <c r="O611" s="52"/>
      <c r="P611" s="52"/>
      <c r="Q611" s="52"/>
    </row>
    <row r="612" spans="15:17" ht="21.75" customHeight="1" x14ac:dyDescent="0.45">
      <c r="O612" s="52"/>
      <c r="P612" s="52"/>
      <c r="Q612" s="52"/>
    </row>
    <row r="613" spans="15:17" ht="21.75" customHeight="1" x14ac:dyDescent="0.45">
      <c r="O613" s="52"/>
      <c r="P613" s="52"/>
      <c r="Q613" s="52"/>
    </row>
    <row r="614" spans="15:17" ht="21.75" customHeight="1" x14ac:dyDescent="0.45">
      <c r="O614" s="52"/>
      <c r="P614" s="52"/>
      <c r="Q614" s="52"/>
    </row>
    <row r="615" spans="15:17" ht="21.75" customHeight="1" x14ac:dyDescent="0.45">
      <c r="O615" s="52"/>
      <c r="P615" s="52"/>
      <c r="Q615" s="52"/>
    </row>
    <row r="616" spans="15:17" ht="21.75" customHeight="1" x14ac:dyDescent="0.45">
      <c r="O616" s="52"/>
      <c r="P616" s="52"/>
      <c r="Q616" s="52"/>
    </row>
    <row r="617" spans="15:17" ht="21.75" customHeight="1" x14ac:dyDescent="0.45">
      <c r="O617" s="52"/>
      <c r="P617" s="52"/>
      <c r="Q617" s="52"/>
    </row>
    <row r="618" spans="15:17" ht="21.75" customHeight="1" x14ac:dyDescent="0.45">
      <c r="O618" s="52"/>
      <c r="P618" s="52"/>
      <c r="Q618" s="52"/>
    </row>
    <row r="619" spans="15:17" ht="21.75" customHeight="1" x14ac:dyDescent="0.45">
      <c r="O619" s="52"/>
      <c r="P619" s="52"/>
      <c r="Q619" s="52"/>
    </row>
    <row r="620" spans="15:17" ht="21.75" customHeight="1" x14ac:dyDescent="0.45">
      <c r="O620" s="52"/>
      <c r="P620" s="52"/>
      <c r="Q620" s="52"/>
    </row>
    <row r="621" spans="15:17" ht="21.75" customHeight="1" x14ac:dyDescent="0.45">
      <c r="O621" s="52"/>
      <c r="P621" s="52"/>
      <c r="Q621" s="52"/>
    </row>
    <row r="622" spans="15:17" ht="21.75" customHeight="1" x14ac:dyDescent="0.45">
      <c r="O622" s="52"/>
      <c r="P622" s="52"/>
      <c r="Q622" s="52"/>
    </row>
    <row r="623" spans="15:17" ht="21.75" customHeight="1" x14ac:dyDescent="0.45">
      <c r="O623" s="52"/>
      <c r="P623" s="52"/>
      <c r="Q623" s="52"/>
    </row>
    <row r="624" spans="15:17" ht="21.75" customHeight="1" x14ac:dyDescent="0.45">
      <c r="O624" s="52"/>
      <c r="P624" s="52"/>
      <c r="Q624" s="52"/>
    </row>
    <row r="625" spans="15:17" ht="21.75" customHeight="1" x14ac:dyDescent="0.45">
      <c r="O625" s="52"/>
      <c r="P625" s="52"/>
      <c r="Q625" s="52"/>
    </row>
    <row r="626" spans="15:17" ht="21.75" customHeight="1" x14ac:dyDescent="0.45">
      <c r="O626" s="52"/>
      <c r="P626" s="52"/>
      <c r="Q626" s="52"/>
    </row>
    <row r="627" spans="15:17" ht="21.75" customHeight="1" x14ac:dyDescent="0.45">
      <c r="O627" s="52"/>
      <c r="P627" s="52"/>
      <c r="Q627" s="52"/>
    </row>
    <row r="628" spans="15:17" ht="21.75" customHeight="1" x14ac:dyDescent="0.45">
      <c r="O628" s="52"/>
      <c r="P628" s="52"/>
      <c r="Q628" s="52"/>
    </row>
    <row r="629" spans="15:17" ht="21.75" customHeight="1" x14ac:dyDescent="0.45">
      <c r="O629" s="52"/>
      <c r="P629" s="52"/>
      <c r="Q629" s="52"/>
    </row>
    <row r="630" spans="15:17" ht="21.75" customHeight="1" x14ac:dyDescent="0.45">
      <c r="O630" s="52"/>
      <c r="P630" s="52"/>
      <c r="Q630" s="52"/>
    </row>
    <row r="631" spans="15:17" ht="21.75" customHeight="1" x14ac:dyDescent="0.45">
      <c r="O631" s="52"/>
      <c r="P631" s="52"/>
      <c r="Q631" s="52"/>
    </row>
    <row r="632" spans="15:17" ht="21.75" customHeight="1" x14ac:dyDescent="0.45">
      <c r="O632" s="52"/>
      <c r="P632" s="52"/>
      <c r="Q632" s="52"/>
    </row>
    <row r="633" spans="15:17" ht="21.75" customHeight="1" x14ac:dyDescent="0.45">
      <c r="O633" s="52"/>
      <c r="P633" s="52"/>
      <c r="Q633" s="52"/>
    </row>
    <row r="634" spans="15:17" ht="21.75" customHeight="1" x14ac:dyDescent="0.45">
      <c r="O634" s="52"/>
      <c r="P634" s="52"/>
      <c r="Q634" s="52"/>
    </row>
    <row r="635" spans="15:17" ht="21.75" customHeight="1" x14ac:dyDescent="0.45">
      <c r="O635" s="52"/>
      <c r="P635" s="52"/>
      <c r="Q635" s="52"/>
    </row>
    <row r="636" spans="15:17" ht="21.75" customHeight="1" x14ac:dyDescent="0.45">
      <c r="O636" s="52"/>
      <c r="P636" s="52"/>
      <c r="Q636" s="52"/>
    </row>
    <row r="637" spans="15:17" ht="21.75" customHeight="1" x14ac:dyDescent="0.45">
      <c r="O637" s="52"/>
      <c r="P637" s="52"/>
      <c r="Q637" s="52"/>
    </row>
    <row r="638" spans="15:17" ht="21.75" customHeight="1" x14ac:dyDescent="0.45">
      <c r="O638" s="52"/>
      <c r="P638" s="52"/>
      <c r="Q638" s="52"/>
    </row>
    <row r="639" spans="15:17" ht="21.75" customHeight="1" x14ac:dyDescent="0.45">
      <c r="O639" s="52"/>
      <c r="P639" s="52"/>
      <c r="Q639" s="52"/>
    </row>
    <row r="640" spans="15:17" ht="21.75" customHeight="1" x14ac:dyDescent="0.45">
      <c r="O640" s="52"/>
      <c r="P640" s="52"/>
      <c r="Q640" s="52"/>
    </row>
    <row r="641" spans="15:17" ht="21.75" customHeight="1" x14ac:dyDescent="0.45">
      <c r="O641" s="52"/>
      <c r="P641" s="52"/>
      <c r="Q641" s="52"/>
    </row>
    <row r="642" spans="15:17" ht="21.75" customHeight="1" x14ac:dyDescent="0.45">
      <c r="O642" s="52"/>
      <c r="P642" s="52"/>
      <c r="Q642" s="52"/>
    </row>
    <row r="643" spans="15:17" ht="21.75" customHeight="1" x14ac:dyDescent="0.45">
      <c r="O643" s="52"/>
      <c r="P643" s="52"/>
      <c r="Q643" s="52"/>
    </row>
    <row r="644" spans="15:17" ht="21.75" customHeight="1" x14ac:dyDescent="0.45">
      <c r="O644" s="52"/>
      <c r="P644" s="52"/>
      <c r="Q644" s="52"/>
    </row>
    <row r="645" spans="15:17" ht="21.75" customHeight="1" x14ac:dyDescent="0.45">
      <c r="O645" s="52"/>
      <c r="P645" s="52"/>
      <c r="Q645" s="52"/>
    </row>
    <row r="646" spans="15:17" ht="21.75" customHeight="1" x14ac:dyDescent="0.45">
      <c r="O646" s="52"/>
      <c r="P646" s="52"/>
      <c r="Q646" s="52"/>
    </row>
    <row r="647" spans="15:17" ht="21.75" customHeight="1" x14ac:dyDescent="0.45">
      <c r="O647" s="52"/>
      <c r="P647" s="52"/>
      <c r="Q647" s="52"/>
    </row>
    <row r="648" spans="15:17" ht="21.75" customHeight="1" x14ac:dyDescent="0.45">
      <c r="O648" s="52"/>
      <c r="P648" s="52"/>
      <c r="Q648" s="52"/>
    </row>
    <row r="649" spans="15:17" ht="21.75" customHeight="1" x14ac:dyDescent="0.45">
      <c r="O649" s="52"/>
      <c r="P649" s="52"/>
      <c r="Q649" s="52"/>
    </row>
    <row r="650" spans="15:17" ht="21.75" customHeight="1" x14ac:dyDescent="0.45">
      <c r="O650" s="52"/>
      <c r="P650" s="52"/>
      <c r="Q650" s="52"/>
    </row>
    <row r="651" spans="15:17" ht="21.75" customHeight="1" x14ac:dyDescent="0.45">
      <c r="O651" s="52"/>
      <c r="P651" s="52"/>
      <c r="Q651" s="52"/>
    </row>
    <row r="652" spans="15:17" ht="21.75" customHeight="1" x14ac:dyDescent="0.45">
      <c r="O652" s="52"/>
      <c r="P652" s="52"/>
      <c r="Q652" s="52"/>
    </row>
    <row r="653" spans="15:17" ht="21.75" customHeight="1" x14ac:dyDescent="0.45">
      <c r="O653" s="52"/>
      <c r="P653" s="52"/>
      <c r="Q653" s="52"/>
    </row>
    <row r="654" spans="15:17" ht="21.75" customHeight="1" x14ac:dyDescent="0.45">
      <c r="O654" s="52"/>
      <c r="P654" s="52"/>
      <c r="Q654" s="52"/>
    </row>
    <row r="655" spans="15:17" ht="21.75" customHeight="1" x14ac:dyDescent="0.45">
      <c r="O655" s="52"/>
      <c r="P655" s="52"/>
      <c r="Q655" s="52"/>
    </row>
    <row r="656" spans="15:17" ht="21.75" customHeight="1" x14ac:dyDescent="0.45">
      <c r="O656" s="52"/>
      <c r="P656" s="52"/>
      <c r="Q656" s="52"/>
    </row>
    <row r="657" spans="15:17" ht="21.75" customHeight="1" x14ac:dyDescent="0.45">
      <c r="O657" s="52"/>
      <c r="P657" s="52"/>
      <c r="Q657" s="52"/>
    </row>
    <row r="658" spans="15:17" ht="21.75" customHeight="1" x14ac:dyDescent="0.45">
      <c r="O658" s="52"/>
      <c r="P658" s="52"/>
      <c r="Q658" s="52"/>
    </row>
    <row r="659" spans="15:17" ht="21.75" customHeight="1" x14ac:dyDescent="0.45">
      <c r="O659" s="52"/>
      <c r="P659" s="52"/>
      <c r="Q659" s="52"/>
    </row>
    <row r="660" spans="15:17" ht="21.75" customHeight="1" x14ac:dyDescent="0.45">
      <c r="O660" s="52"/>
      <c r="P660" s="52"/>
      <c r="Q660" s="52"/>
    </row>
    <row r="661" spans="15:17" ht="21.75" customHeight="1" x14ac:dyDescent="0.45">
      <c r="O661" s="52"/>
      <c r="P661" s="52"/>
      <c r="Q661" s="52"/>
    </row>
    <row r="662" spans="15:17" ht="21.75" customHeight="1" x14ac:dyDescent="0.45">
      <c r="O662" s="52"/>
      <c r="P662" s="52"/>
      <c r="Q662" s="52"/>
    </row>
    <row r="663" spans="15:17" ht="21.75" customHeight="1" x14ac:dyDescent="0.45">
      <c r="O663" s="52"/>
      <c r="P663" s="52"/>
      <c r="Q663" s="52"/>
    </row>
    <row r="664" spans="15:17" ht="21.75" customHeight="1" x14ac:dyDescent="0.45">
      <c r="O664" s="52"/>
      <c r="P664" s="52"/>
      <c r="Q664" s="52"/>
    </row>
    <row r="665" spans="15:17" ht="21.75" customHeight="1" x14ac:dyDescent="0.45">
      <c r="O665" s="52"/>
      <c r="P665" s="52"/>
      <c r="Q665" s="52"/>
    </row>
    <row r="666" spans="15:17" ht="21.75" customHeight="1" x14ac:dyDescent="0.45">
      <c r="O666" s="52"/>
      <c r="P666" s="52"/>
      <c r="Q666" s="52"/>
    </row>
    <row r="667" spans="15:17" ht="21.75" customHeight="1" x14ac:dyDescent="0.45">
      <c r="O667" s="52"/>
      <c r="P667" s="52"/>
      <c r="Q667" s="52"/>
    </row>
    <row r="668" spans="15:17" ht="21.75" customHeight="1" x14ac:dyDescent="0.45">
      <c r="O668" s="52"/>
      <c r="P668" s="52"/>
      <c r="Q668" s="52"/>
    </row>
    <row r="669" spans="15:17" ht="21.75" customHeight="1" x14ac:dyDescent="0.45">
      <c r="O669" s="52"/>
      <c r="P669" s="52"/>
      <c r="Q669" s="52"/>
    </row>
    <row r="670" spans="15:17" ht="21.75" customHeight="1" x14ac:dyDescent="0.45">
      <c r="O670" s="52"/>
      <c r="P670" s="52"/>
      <c r="Q670" s="52"/>
    </row>
    <row r="671" spans="15:17" ht="21.75" customHeight="1" x14ac:dyDescent="0.45">
      <c r="O671" s="52"/>
      <c r="P671" s="52"/>
      <c r="Q671" s="52"/>
    </row>
    <row r="672" spans="15:17" ht="21.75" customHeight="1" x14ac:dyDescent="0.45">
      <c r="O672" s="52"/>
      <c r="P672" s="52"/>
      <c r="Q672" s="52"/>
    </row>
    <row r="673" spans="15:17" ht="21.75" customHeight="1" x14ac:dyDescent="0.45">
      <c r="O673" s="52"/>
      <c r="P673" s="52"/>
      <c r="Q673" s="52"/>
    </row>
    <row r="674" spans="15:17" ht="21.75" customHeight="1" x14ac:dyDescent="0.45">
      <c r="O674" s="52"/>
      <c r="P674" s="52"/>
      <c r="Q674" s="52"/>
    </row>
    <row r="675" spans="15:17" ht="21.75" customHeight="1" x14ac:dyDescent="0.45">
      <c r="O675" s="52"/>
      <c r="P675" s="52"/>
      <c r="Q675" s="52"/>
    </row>
    <row r="676" spans="15:17" ht="21.75" customHeight="1" x14ac:dyDescent="0.45">
      <c r="O676" s="52"/>
      <c r="P676" s="52"/>
      <c r="Q676" s="52"/>
    </row>
    <row r="677" spans="15:17" ht="21.75" customHeight="1" x14ac:dyDescent="0.45">
      <c r="O677" s="52"/>
      <c r="P677" s="52"/>
      <c r="Q677" s="52"/>
    </row>
    <row r="678" spans="15:17" ht="21.75" customHeight="1" x14ac:dyDescent="0.45">
      <c r="O678" s="52"/>
      <c r="P678" s="52"/>
      <c r="Q678" s="52"/>
    </row>
    <row r="679" spans="15:17" ht="21.75" customHeight="1" x14ac:dyDescent="0.45">
      <c r="O679" s="52"/>
      <c r="P679" s="52"/>
      <c r="Q679" s="52"/>
    </row>
    <row r="680" spans="15:17" ht="21.75" customHeight="1" x14ac:dyDescent="0.45">
      <c r="O680" s="52"/>
      <c r="P680" s="52"/>
      <c r="Q680" s="52"/>
    </row>
    <row r="681" spans="15:17" ht="21.75" customHeight="1" x14ac:dyDescent="0.45">
      <c r="O681" s="52"/>
      <c r="P681" s="52"/>
      <c r="Q681" s="52"/>
    </row>
    <row r="682" spans="15:17" ht="21.75" customHeight="1" x14ac:dyDescent="0.45">
      <c r="O682" s="52"/>
      <c r="P682" s="52"/>
      <c r="Q682" s="52"/>
    </row>
    <row r="683" spans="15:17" ht="21.75" customHeight="1" x14ac:dyDescent="0.45">
      <c r="O683" s="52"/>
      <c r="P683" s="52"/>
      <c r="Q683" s="52"/>
    </row>
    <row r="684" spans="15:17" ht="21.75" customHeight="1" x14ac:dyDescent="0.45">
      <c r="O684" s="52"/>
      <c r="P684" s="52"/>
      <c r="Q684" s="52"/>
    </row>
    <row r="685" spans="15:17" ht="21.75" customHeight="1" x14ac:dyDescent="0.45">
      <c r="O685" s="52"/>
      <c r="P685" s="52"/>
      <c r="Q685" s="52"/>
    </row>
    <row r="686" spans="15:17" ht="21.75" customHeight="1" x14ac:dyDescent="0.45">
      <c r="O686" s="52"/>
      <c r="P686" s="52"/>
      <c r="Q686" s="52"/>
    </row>
    <row r="687" spans="15:17" ht="21.75" customHeight="1" x14ac:dyDescent="0.45">
      <c r="O687" s="52"/>
      <c r="P687" s="52"/>
      <c r="Q687" s="52"/>
    </row>
    <row r="688" spans="15:17" ht="21.75" customHeight="1" x14ac:dyDescent="0.45">
      <c r="O688" s="52"/>
      <c r="P688" s="52"/>
      <c r="Q688" s="52"/>
    </row>
    <row r="689" spans="15:17" ht="21.75" customHeight="1" x14ac:dyDescent="0.45">
      <c r="O689" s="52"/>
      <c r="P689" s="52"/>
      <c r="Q689" s="52"/>
    </row>
    <row r="690" spans="15:17" ht="21.75" customHeight="1" x14ac:dyDescent="0.45">
      <c r="O690" s="52"/>
      <c r="P690" s="52"/>
      <c r="Q690" s="52"/>
    </row>
    <row r="691" spans="15:17" ht="21.75" customHeight="1" x14ac:dyDescent="0.45">
      <c r="O691" s="52"/>
      <c r="P691" s="52"/>
      <c r="Q691" s="52"/>
    </row>
    <row r="692" spans="15:17" ht="21.75" customHeight="1" x14ac:dyDescent="0.45">
      <c r="O692" s="52"/>
      <c r="P692" s="52"/>
      <c r="Q692" s="52"/>
    </row>
    <row r="693" spans="15:17" ht="21.75" customHeight="1" x14ac:dyDescent="0.45">
      <c r="O693" s="52"/>
      <c r="P693" s="52"/>
      <c r="Q693" s="52"/>
    </row>
    <row r="694" spans="15:17" ht="21.75" customHeight="1" x14ac:dyDescent="0.45">
      <c r="O694" s="52"/>
      <c r="P694" s="52"/>
      <c r="Q694" s="52"/>
    </row>
    <row r="695" spans="15:17" ht="21.75" customHeight="1" x14ac:dyDescent="0.45">
      <c r="O695" s="52"/>
      <c r="P695" s="52"/>
      <c r="Q695" s="52"/>
    </row>
    <row r="696" spans="15:17" ht="21.75" customHeight="1" x14ac:dyDescent="0.45">
      <c r="O696" s="52"/>
      <c r="P696" s="52"/>
      <c r="Q696" s="52"/>
    </row>
    <row r="697" spans="15:17" ht="21.75" customHeight="1" x14ac:dyDescent="0.45">
      <c r="O697" s="52"/>
      <c r="P697" s="52"/>
      <c r="Q697" s="52"/>
    </row>
    <row r="698" spans="15:17" ht="21.75" customHeight="1" x14ac:dyDescent="0.45">
      <c r="O698" s="52"/>
      <c r="P698" s="52"/>
      <c r="Q698" s="52"/>
    </row>
    <row r="699" spans="15:17" ht="21.75" customHeight="1" x14ac:dyDescent="0.45">
      <c r="O699" s="52"/>
      <c r="P699" s="52"/>
      <c r="Q699" s="52"/>
    </row>
    <row r="700" spans="15:17" ht="21.75" customHeight="1" x14ac:dyDescent="0.45">
      <c r="O700" s="52"/>
      <c r="P700" s="52"/>
      <c r="Q700" s="52"/>
    </row>
    <row r="701" spans="15:17" ht="21.75" customHeight="1" x14ac:dyDescent="0.45">
      <c r="O701" s="52"/>
      <c r="P701" s="52"/>
      <c r="Q701" s="52"/>
    </row>
    <row r="702" spans="15:17" ht="21.75" customHeight="1" x14ac:dyDescent="0.45">
      <c r="O702" s="52"/>
      <c r="P702" s="52"/>
      <c r="Q702" s="52"/>
    </row>
    <row r="703" spans="15:17" ht="21.75" customHeight="1" x14ac:dyDescent="0.45">
      <c r="O703" s="52"/>
      <c r="P703" s="52"/>
      <c r="Q703" s="52"/>
    </row>
    <row r="704" spans="15:17" ht="21.75" customHeight="1" x14ac:dyDescent="0.45">
      <c r="O704" s="52"/>
      <c r="P704" s="52"/>
      <c r="Q704" s="52"/>
    </row>
    <row r="705" spans="15:17" ht="21.75" customHeight="1" x14ac:dyDescent="0.45">
      <c r="O705" s="52"/>
      <c r="P705" s="52"/>
      <c r="Q705" s="52"/>
    </row>
    <row r="706" spans="15:17" ht="21.75" customHeight="1" x14ac:dyDescent="0.45">
      <c r="O706" s="52"/>
      <c r="P706" s="52"/>
      <c r="Q706" s="52"/>
    </row>
    <row r="707" spans="15:17" ht="21.75" customHeight="1" x14ac:dyDescent="0.45">
      <c r="O707" s="52"/>
      <c r="P707" s="52"/>
      <c r="Q707" s="52"/>
    </row>
    <row r="708" spans="15:17" ht="21.75" customHeight="1" x14ac:dyDescent="0.45">
      <c r="O708" s="52"/>
      <c r="P708" s="52"/>
      <c r="Q708" s="52"/>
    </row>
    <row r="709" spans="15:17" ht="21.75" customHeight="1" x14ac:dyDescent="0.45">
      <c r="O709" s="52"/>
      <c r="P709" s="52"/>
      <c r="Q709" s="52"/>
    </row>
    <row r="710" spans="15:17" ht="21.75" customHeight="1" x14ac:dyDescent="0.45">
      <c r="O710" s="52"/>
      <c r="P710" s="52"/>
      <c r="Q710" s="52"/>
    </row>
    <row r="711" spans="15:17" ht="21.75" customHeight="1" x14ac:dyDescent="0.45">
      <c r="O711" s="52"/>
      <c r="P711" s="52"/>
      <c r="Q711" s="52"/>
    </row>
    <row r="712" spans="15:17" ht="21.75" customHeight="1" x14ac:dyDescent="0.45">
      <c r="O712" s="52"/>
      <c r="P712" s="52"/>
      <c r="Q712" s="52"/>
    </row>
    <row r="713" spans="15:17" ht="21.75" customHeight="1" x14ac:dyDescent="0.45">
      <c r="O713" s="52"/>
      <c r="P713" s="52"/>
      <c r="Q713" s="52"/>
    </row>
    <row r="714" spans="15:17" ht="21.75" customHeight="1" x14ac:dyDescent="0.45">
      <c r="O714" s="52"/>
      <c r="P714" s="52"/>
      <c r="Q714" s="52"/>
    </row>
    <row r="715" spans="15:17" ht="21.75" customHeight="1" x14ac:dyDescent="0.45">
      <c r="O715" s="52"/>
      <c r="P715" s="52"/>
      <c r="Q715" s="52"/>
    </row>
    <row r="716" spans="15:17" ht="21.75" customHeight="1" x14ac:dyDescent="0.45">
      <c r="O716" s="52"/>
      <c r="P716" s="52"/>
      <c r="Q716" s="52"/>
    </row>
    <row r="717" spans="15:17" ht="21.75" customHeight="1" x14ac:dyDescent="0.45">
      <c r="O717" s="52"/>
      <c r="P717" s="52"/>
      <c r="Q717" s="52"/>
    </row>
    <row r="718" spans="15:17" ht="21.75" customHeight="1" x14ac:dyDescent="0.45">
      <c r="O718" s="52"/>
      <c r="P718" s="52"/>
      <c r="Q718" s="52"/>
    </row>
    <row r="719" spans="15:17" ht="21.75" customHeight="1" x14ac:dyDescent="0.45">
      <c r="O719" s="52"/>
      <c r="P719" s="52"/>
      <c r="Q719" s="52"/>
    </row>
    <row r="720" spans="15:17" ht="21.75" customHeight="1" x14ac:dyDescent="0.45">
      <c r="O720" s="52"/>
      <c r="P720" s="52"/>
      <c r="Q720" s="52"/>
    </row>
    <row r="721" spans="15:17" ht="21.75" customHeight="1" x14ac:dyDescent="0.45">
      <c r="O721" s="52"/>
      <c r="P721" s="52"/>
      <c r="Q721" s="52"/>
    </row>
    <row r="722" spans="15:17" ht="21.75" customHeight="1" x14ac:dyDescent="0.45">
      <c r="O722" s="52"/>
      <c r="P722" s="52"/>
      <c r="Q722" s="52"/>
    </row>
    <row r="723" spans="15:17" ht="21.75" customHeight="1" x14ac:dyDescent="0.45">
      <c r="O723" s="52"/>
      <c r="P723" s="52"/>
      <c r="Q723" s="52"/>
    </row>
    <row r="724" spans="15:17" ht="21.75" customHeight="1" x14ac:dyDescent="0.45">
      <c r="O724" s="52"/>
      <c r="P724" s="52"/>
      <c r="Q724" s="52"/>
    </row>
    <row r="725" spans="15:17" ht="21.75" customHeight="1" x14ac:dyDescent="0.45">
      <c r="O725" s="52"/>
      <c r="P725" s="52"/>
      <c r="Q725" s="52"/>
    </row>
    <row r="726" spans="15:17" ht="21.75" customHeight="1" x14ac:dyDescent="0.45">
      <c r="O726" s="52"/>
      <c r="P726" s="52"/>
      <c r="Q726" s="52"/>
    </row>
    <row r="727" spans="15:17" ht="21.75" customHeight="1" x14ac:dyDescent="0.45">
      <c r="O727" s="52"/>
      <c r="P727" s="52"/>
      <c r="Q727" s="52"/>
    </row>
    <row r="728" spans="15:17" ht="21.75" customHeight="1" x14ac:dyDescent="0.45">
      <c r="O728" s="52"/>
      <c r="P728" s="52"/>
      <c r="Q728" s="52"/>
    </row>
    <row r="729" spans="15:17" ht="21.75" customHeight="1" x14ac:dyDescent="0.45">
      <c r="O729" s="52"/>
      <c r="P729" s="52"/>
      <c r="Q729" s="52"/>
    </row>
    <row r="730" spans="15:17" ht="21.75" customHeight="1" x14ac:dyDescent="0.45">
      <c r="O730" s="52"/>
      <c r="P730" s="52"/>
      <c r="Q730" s="52"/>
    </row>
    <row r="731" spans="15:17" ht="21.75" customHeight="1" x14ac:dyDescent="0.45">
      <c r="O731" s="52"/>
      <c r="P731" s="52"/>
      <c r="Q731" s="52"/>
    </row>
    <row r="732" spans="15:17" ht="21.75" customHeight="1" x14ac:dyDescent="0.45">
      <c r="O732" s="52"/>
      <c r="P732" s="52"/>
      <c r="Q732" s="52"/>
    </row>
    <row r="733" spans="15:17" ht="21.75" customHeight="1" x14ac:dyDescent="0.45">
      <c r="O733" s="52"/>
      <c r="P733" s="52"/>
      <c r="Q733" s="52"/>
    </row>
    <row r="734" spans="15:17" ht="21.75" customHeight="1" x14ac:dyDescent="0.45">
      <c r="O734" s="52"/>
      <c r="P734" s="52"/>
      <c r="Q734" s="52"/>
    </row>
    <row r="735" spans="15:17" ht="21.75" customHeight="1" x14ac:dyDescent="0.45">
      <c r="O735" s="52"/>
      <c r="P735" s="52"/>
      <c r="Q735" s="52"/>
    </row>
    <row r="736" spans="15:17" ht="21.75" customHeight="1" x14ac:dyDescent="0.45">
      <c r="O736" s="52"/>
      <c r="P736" s="52"/>
      <c r="Q736" s="52"/>
    </row>
    <row r="737" spans="15:17" ht="21.75" customHeight="1" x14ac:dyDescent="0.45">
      <c r="O737" s="52"/>
      <c r="P737" s="52"/>
      <c r="Q737" s="52"/>
    </row>
    <row r="738" spans="15:17" ht="21.75" customHeight="1" x14ac:dyDescent="0.45">
      <c r="O738" s="52"/>
      <c r="P738" s="52"/>
      <c r="Q738" s="52"/>
    </row>
    <row r="739" spans="15:17" ht="21.75" customHeight="1" x14ac:dyDescent="0.45">
      <c r="O739" s="52"/>
      <c r="P739" s="52"/>
      <c r="Q739" s="52"/>
    </row>
    <row r="740" spans="15:17" ht="21.75" customHeight="1" x14ac:dyDescent="0.45">
      <c r="O740" s="52"/>
      <c r="P740" s="52"/>
      <c r="Q740" s="52"/>
    </row>
    <row r="741" spans="15:17" ht="21.75" customHeight="1" x14ac:dyDescent="0.45">
      <c r="O741" s="52"/>
      <c r="P741" s="52"/>
      <c r="Q741" s="52"/>
    </row>
    <row r="742" spans="15:17" ht="21.75" customHeight="1" x14ac:dyDescent="0.45">
      <c r="O742" s="52"/>
      <c r="P742" s="52"/>
      <c r="Q742" s="52"/>
    </row>
    <row r="743" spans="15:17" ht="21.75" customHeight="1" x14ac:dyDescent="0.45">
      <c r="O743" s="52"/>
      <c r="P743" s="52"/>
      <c r="Q743" s="52"/>
    </row>
    <row r="744" spans="15:17" ht="21.75" customHeight="1" x14ac:dyDescent="0.45">
      <c r="O744" s="52"/>
      <c r="P744" s="52"/>
      <c r="Q744" s="52"/>
    </row>
    <row r="745" spans="15:17" ht="21.75" customHeight="1" x14ac:dyDescent="0.45">
      <c r="O745" s="52"/>
      <c r="P745" s="52"/>
      <c r="Q745" s="52"/>
    </row>
    <row r="746" spans="15:17" ht="21.75" customHeight="1" x14ac:dyDescent="0.45">
      <c r="O746" s="52"/>
      <c r="P746" s="52"/>
      <c r="Q746" s="52"/>
    </row>
    <row r="747" spans="15:17" ht="21.75" customHeight="1" x14ac:dyDescent="0.45">
      <c r="O747" s="52"/>
      <c r="P747" s="52"/>
      <c r="Q747" s="52"/>
    </row>
    <row r="748" spans="15:17" ht="21.75" customHeight="1" x14ac:dyDescent="0.45">
      <c r="O748" s="52"/>
      <c r="P748" s="52"/>
      <c r="Q748" s="52"/>
    </row>
    <row r="749" spans="15:17" ht="21.75" customHeight="1" x14ac:dyDescent="0.45">
      <c r="O749" s="52"/>
      <c r="P749" s="52"/>
      <c r="Q749" s="52"/>
    </row>
    <row r="750" spans="15:17" ht="21.75" customHeight="1" x14ac:dyDescent="0.45">
      <c r="O750" s="52"/>
      <c r="P750" s="52"/>
      <c r="Q750" s="52"/>
    </row>
    <row r="751" spans="15:17" ht="21.75" customHeight="1" x14ac:dyDescent="0.45">
      <c r="O751" s="52"/>
      <c r="P751" s="52"/>
      <c r="Q751" s="52"/>
    </row>
    <row r="752" spans="15:17" ht="21.75" customHeight="1" x14ac:dyDescent="0.45">
      <c r="O752" s="52"/>
      <c r="P752" s="52"/>
      <c r="Q752" s="52"/>
    </row>
    <row r="753" spans="15:17" ht="21.75" customHeight="1" x14ac:dyDescent="0.45">
      <c r="O753" s="52"/>
      <c r="P753" s="52"/>
      <c r="Q753" s="52"/>
    </row>
    <row r="754" spans="15:17" ht="21.75" customHeight="1" x14ac:dyDescent="0.45">
      <c r="O754" s="52"/>
      <c r="P754" s="52"/>
      <c r="Q754" s="52"/>
    </row>
    <row r="755" spans="15:17" ht="21.75" customHeight="1" x14ac:dyDescent="0.45">
      <c r="O755" s="52"/>
      <c r="P755" s="52"/>
      <c r="Q755" s="52"/>
    </row>
    <row r="756" spans="15:17" ht="21.75" customHeight="1" x14ac:dyDescent="0.45">
      <c r="O756" s="52"/>
      <c r="P756" s="52"/>
      <c r="Q756" s="52"/>
    </row>
    <row r="757" spans="15:17" ht="21.75" customHeight="1" x14ac:dyDescent="0.45">
      <c r="O757" s="52"/>
      <c r="P757" s="52"/>
      <c r="Q757" s="52"/>
    </row>
    <row r="758" spans="15:17" ht="21.75" customHeight="1" x14ac:dyDescent="0.45">
      <c r="O758" s="52"/>
      <c r="P758" s="52"/>
      <c r="Q758" s="52"/>
    </row>
    <row r="759" spans="15:17" ht="21.75" customHeight="1" x14ac:dyDescent="0.45">
      <c r="O759" s="52"/>
      <c r="P759" s="52"/>
      <c r="Q759" s="52"/>
    </row>
    <row r="760" spans="15:17" ht="21.75" customHeight="1" x14ac:dyDescent="0.45">
      <c r="O760" s="52"/>
      <c r="P760" s="52"/>
      <c r="Q760" s="52"/>
    </row>
    <row r="761" spans="15:17" ht="21.75" customHeight="1" x14ac:dyDescent="0.45">
      <c r="O761" s="52"/>
      <c r="P761" s="52"/>
      <c r="Q761" s="52"/>
    </row>
    <row r="762" spans="15:17" ht="21.75" customHeight="1" x14ac:dyDescent="0.45">
      <c r="O762" s="52"/>
      <c r="P762" s="52"/>
      <c r="Q762" s="52"/>
    </row>
    <row r="763" spans="15:17" ht="21.75" customHeight="1" x14ac:dyDescent="0.45">
      <c r="O763" s="52"/>
      <c r="P763" s="52"/>
      <c r="Q763" s="52"/>
    </row>
    <row r="764" spans="15:17" ht="21.75" customHeight="1" x14ac:dyDescent="0.45">
      <c r="O764" s="52"/>
      <c r="P764" s="52"/>
      <c r="Q764" s="52"/>
    </row>
    <row r="765" spans="15:17" ht="21.75" customHeight="1" x14ac:dyDescent="0.45">
      <c r="O765" s="52"/>
      <c r="P765" s="52"/>
      <c r="Q765" s="52"/>
    </row>
    <row r="766" spans="15:17" ht="21.75" customHeight="1" x14ac:dyDescent="0.45">
      <c r="O766" s="52"/>
      <c r="P766" s="52"/>
      <c r="Q766" s="52"/>
    </row>
    <row r="767" spans="15:17" ht="21.75" customHeight="1" x14ac:dyDescent="0.45">
      <c r="O767" s="52"/>
      <c r="P767" s="52"/>
      <c r="Q767" s="52"/>
    </row>
    <row r="768" spans="15:17" ht="21.75" customHeight="1" x14ac:dyDescent="0.45">
      <c r="O768" s="52"/>
      <c r="P768" s="52"/>
      <c r="Q768" s="52"/>
    </row>
    <row r="769" spans="15:17" ht="21.75" customHeight="1" x14ac:dyDescent="0.45">
      <c r="O769" s="52"/>
      <c r="P769" s="52"/>
      <c r="Q769" s="52"/>
    </row>
    <row r="770" spans="15:17" ht="21.75" customHeight="1" x14ac:dyDescent="0.45">
      <c r="O770" s="52"/>
      <c r="P770" s="52"/>
      <c r="Q770" s="52"/>
    </row>
    <row r="771" spans="15:17" ht="21.75" customHeight="1" x14ac:dyDescent="0.45">
      <c r="O771" s="52"/>
      <c r="P771" s="52"/>
      <c r="Q771" s="52"/>
    </row>
    <row r="772" spans="15:17" ht="21.75" customHeight="1" x14ac:dyDescent="0.45">
      <c r="O772" s="52"/>
      <c r="P772" s="52"/>
      <c r="Q772" s="52"/>
    </row>
    <row r="773" spans="15:17" ht="21.75" customHeight="1" x14ac:dyDescent="0.45">
      <c r="O773" s="52"/>
      <c r="P773" s="52"/>
      <c r="Q773" s="52"/>
    </row>
    <row r="774" spans="15:17" ht="21.75" customHeight="1" x14ac:dyDescent="0.45">
      <c r="O774" s="52"/>
      <c r="P774" s="52"/>
      <c r="Q774" s="52"/>
    </row>
    <row r="775" spans="15:17" ht="21.75" customHeight="1" x14ac:dyDescent="0.45">
      <c r="O775" s="52"/>
      <c r="P775" s="52"/>
      <c r="Q775" s="52"/>
    </row>
    <row r="776" spans="15:17" ht="21.75" customHeight="1" x14ac:dyDescent="0.45">
      <c r="O776" s="52"/>
      <c r="P776" s="52"/>
      <c r="Q776" s="52"/>
    </row>
    <row r="777" spans="15:17" ht="21.75" customHeight="1" x14ac:dyDescent="0.45">
      <c r="O777" s="52"/>
      <c r="P777" s="52"/>
      <c r="Q777" s="52"/>
    </row>
    <row r="778" spans="15:17" ht="21.75" customHeight="1" x14ac:dyDescent="0.45">
      <c r="O778" s="52"/>
      <c r="P778" s="52"/>
      <c r="Q778" s="52"/>
    </row>
    <row r="779" spans="15:17" ht="21.75" customHeight="1" x14ac:dyDescent="0.45">
      <c r="O779" s="52"/>
      <c r="P779" s="52"/>
      <c r="Q779" s="52"/>
    </row>
    <row r="780" spans="15:17" ht="21.75" customHeight="1" x14ac:dyDescent="0.45">
      <c r="O780" s="52"/>
      <c r="P780" s="52"/>
      <c r="Q780" s="52"/>
    </row>
    <row r="781" spans="15:17" ht="21.75" customHeight="1" x14ac:dyDescent="0.45">
      <c r="O781" s="52"/>
      <c r="P781" s="52"/>
      <c r="Q781" s="52"/>
    </row>
    <row r="782" spans="15:17" ht="21.75" customHeight="1" x14ac:dyDescent="0.45">
      <c r="O782" s="52"/>
      <c r="P782" s="52"/>
      <c r="Q782" s="52"/>
    </row>
    <row r="783" spans="15:17" ht="21.75" customHeight="1" x14ac:dyDescent="0.45">
      <c r="O783" s="52"/>
      <c r="P783" s="52"/>
      <c r="Q783" s="52"/>
    </row>
    <row r="784" spans="15:17" ht="21.75" customHeight="1" x14ac:dyDescent="0.45">
      <c r="O784" s="52"/>
      <c r="P784" s="52"/>
      <c r="Q784" s="52"/>
    </row>
    <row r="785" spans="15:17" ht="21.75" customHeight="1" x14ac:dyDescent="0.45">
      <c r="O785" s="52"/>
      <c r="P785" s="52"/>
      <c r="Q785" s="52"/>
    </row>
    <row r="786" spans="15:17" ht="21.75" customHeight="1" x14ac:dyDescent="0.45">
      <c r="O786" s="52"/>
      <c r="P786" s="52"/>
      <c r="Q786" s="52"/>
    </row>
    <row r="787" spans="15:17" ht="21.75" customHeight="1" x14ac:dyDescent="0.45">
      <c r="O787" s="52"/>
      <c r="P787" s="52"/>
      <c r="Q787" s="52"/>
    </row>
    <row r="788" spans="15:17" ht="21.75" customHeight="1" x14ac:dyDescent="0.45">
      <c r="O788" s="52"/>
      <c r="P788" s="52"/>
      <c r="Q788" s="52"/>
    </row>
    <row r="789" spans="15:17" ht="21.75" customHeight="1" x14ac:dyDescent="0.45">
      <c r="O789" s="52"/>
      <c r="P789" s="52"/>
      <c r="Q789" s="52"/>
    </row>
    <row r="790" spans="15:17" ht="21.75" customHeight="1" x14ac:dyDescent="0.45">
      <c r="O790" s="52"/>
      <c r="P790" s="52"/>
      <c r="Q790" s="52"/>
    </row>
    <row r="791" spans="15:17" ht="21.75" customHeight="1" x14ac:dyDescent="0.45">
      <c r="O791" s="52"/>
      <c r="P791" s="52"/>
      <c r="Q791" s="52"/>
    </row>
    <row r="792" spans="15:17" ht="21.75" customHeight="1" x14ac:dyDescent="0.45">
      <c r="O792" s="52"/>
      <c r="P792" s="52"/>
      <c r="Q792" s="52"/>
    </row>
    <row r="793" spans="15:17" ht="21.75" customHeight="1" x14ac:dyDescent="0.45">
      <c r="O793" s="52"/>
      <c r="P793" s="52"/>
      <c r="Q793" s="52"/>
    </row>
    <row r="794" spans="15:17" ht="21.75" customHeight="1" x14ac:dyDescent="0.45">
      <c r="O794" s="52"/>
      <c r="P794" s="52"/>
      <c r="Q794" s="52"/>
    </row>
    <row r="795" spans="15:17" ht="21.75" customHeight="1" x14ac:dyDescent="0.45">
      <c r="O795" s="52"/>
      <c r="P795" s="52"/>
      <c r="Q795" s="52"/>
    </row>
    <row r="796" spans="15:17" ht="21.75" customHeight="1" x14ac:dyDescent="0.45">
      <c r="O796" s="52"/>
      <c r="P796" s="52"/>
      <c r="Q796" s="52"/>
    </row>
    <row r="797" spans="15:17" ht="21.75" customHeight="1" x14ac:dyDescent="0.45">
      <c r="O797" s="52"/>
      <c r="P797" s="52"/>
      <c r="Q797" s="52"/>
    </row>
    <row r="798" spans="15:17" ht="21.75" customHeight="1" x14ac:dyDescent="0.45">
      <c r="O798" s="52"/>
      <c r="P798" s="52"/>
      <c r="Q798" s="52"/>
    </row>
    <row r="799" spans="15:17" ht="21.75" customHeight="1" x14ac:dyDescent="0.45">
      <c r="O799" s="52"/>
      <c r="P799" s="52"/>
      <c r="Q799" s="52"/>
    </row>
    <row r="800" spans="15:17" ht="21.75" customHeight="1" x14ac:dyDescent="0.45">
      <c r="O800" s="52"/>
      <c r="P800" s="52"/>
      <c r="Q800" s="52"/>
    </row>
    <row r="801" spans="15:17" ht="21.75" customHeight="1" x14ac:dyDescent="0.45">
      <c r="O801" s="52"/>
      <c r="P801" s="52"/>
      <c r="Q801" s="52"/>
    </row>
    <row r="802" spans="15:17" ht="21.75" customHeight="1" x14ac:dyDescent="0.45">
      <c r="O802" s="52"/>
      <c r="P802" s="52"/>
      <c r="Q802" s="52"/>
    </row>
    <row r="803" spans="15:17" ht="21.75" customHeight="1" x14ac:dyDescent="0.45">
      <c r="O803" s="52"/>
      <c r="P803" s="52"/>
      <c r="Q803" s="52"/>
    </row>
    <row r="804" spans="15:17" ht="21.75" customHeight="1" x14ac:dyDescent="0.45">
      <c r="O804" s="52"/>
      <c r="P804" s="52"/>
      <c r="Q804" s="52"/>
    </row>
    <row r="805" spans="15:17" ht="21.75" customHeight="1" x14ac:dyDescent="0.45">
      <c r="O805" s="52"/>
      <c r="P805" s="52"/>
      <c r="Q805" s="52"/>
    </row>
    <row r="806" spans="15:17" ht="21.75" customHeight="1" x14ac:dyDescent="0.45">
      <c r="O806" s="52"/>
      <c r="P806" s="52"/>
      <c r="Q806" s="52"/>
    </row>
    <row r="807" spans="15:17" ht="21.75" customHeight="1" x14ac:dyDescent="0.45">
      <c r="O807" s="52"/>
      <c r="P807" s="52"/>
      <c r="Q807" s="52"/>
    </row>
    <row r="808" spans="15:17" ht="21.75" customHeight="1" x14ac:dyDescent="0.45">
      <c r="O808" s="52"/>
      <c r="P808" s="52"/>
      <c r="Q808" s="52"/>
    </row>
    <row r="809" spans="15:17" ht="21.75" customHeight="1" x14ac:dyDescent="0.45">
      <c r="O809" s="52"/>
      <c r="P809" s="52"/>
      <c r="Q809" s="52"/>
    </row>
    <row r="810" spans="15:17" ht="21.75" customHeight="1" x14ac:dyDescent="0.45">
      <c r="O810" s="52"/>
      <c r="P810" s="52"/>
      <c r="Q810" s="52"/>
    </row>
    <row r="811" spans="15:17" ht="21.75" customHeight="1" x14ac:dyDescent="0.45">
      <c r="O811" s="52"/>
      <c r="P811" s="52"/>
      <c r="Q811" s="52"/>
    </row>
    <row r="812" spans="15:17" ht="21.75" customHeight="1" x14ac:dyDescent="0.45">
      <c r="O812" s="52"/>
      <c r="P812" s="52"/>
      <c r="Q812" s="52"/>
    </row>
    <row r="813" spans="15:17" ht="21.75" customHeight="1" x14ac:dyDescent="0.45">
      <c r="O813" s="52"/>
      <c r="P813" s="52"/>
      <c r="Q813" s="52"/>
    </row>
    <row r="814" spans="15:17" ht="21.75" customHeight="1" x14ac:dyDescent="0.45">
      <c r="O814" s="52"/>
      <c r="P814" s="52"/>
      <c r="Q814" s="52"/>
    </row>
    <row r="815" spans="15:17" ht="21.75" customHeight="1" x14ac:dyDescent="0.45">
      <c r="O815" s="52"/>
      <c r="P815" s="52"/>
      <c r="Q815" s="52"/>
    </row>
    <row r="816" spans="15:17" ht="21.75" customHeight="1" x14ac:dyDescent="0.45">
      <c r="O816" s="52"/>
      <c r="P816" s="52"/>
      <c r="Q816" s="52"/>
    </row>
    <row r="817" spans="15:17" ht="21.75" customHeight="1" x14ac:dyDescent="0.45">
      <c r="O817" s="52"/>
      <c r="P817" s="52"/>
      <c r="Q817" s="52"/>
    </row>
    <row r="818" spans="15:17" ht="21.75" customHeight="1" x14ac:dyDescent="0.45">
      <c r="O818" s="52"/>
      <c r="P818" s="52"/>
      <c r="Q818" s="52"/>
    </row>
    <row r="819" spans="15:17" ht="21.75" customHeight="1" x14ac:dyDescent="0.45">
      <c r="O819" s="52"/>
      <c r="P819" s="52"/>
      <c r="Q819" s="52"/>
    </row>
    <row r="820" spans="15:17" ht="21.75" customHeight="1" x14ac:dyDescent="0.45">
      <c r="O820" s="52"/>
      <c r="P820" s="52"/>
      <c r="Q820" s="52"/>
    </row>
    <row r="821" spans="15:17" ht="21.75" customHeight="1" x14ac:dyDescent="0.45">
      <c r="O821" s="52"/>
      <c r="P821" s="52"/>
      <c r="Q821" s="52"/>
    </row>
    <row r="822" spans="15:17" ht="21.75" customHeight="1" x14ac:dyDescent="0.45">
      <c r="O822" s="52"/>
      <c r="P822" s="52"/>
      <c r="Q822" s="52"/>
    </row>
    <row r="823" spans="15:17" ht="21.75" customHeight="1" x14ac:dyDescent="0.45">
      <c r="O823" s="52"/>
      <c r="P823" s="52"/>
      <c r="Q823" s="52"/>
    </row>
    <row r="824" spans="15:17" ht="21.75" customHeight="1" x14ac:dyDescent="0.45">
      <c r="O824" s="52"/>
      <c r="P824" s="52"/>
      <c r="Q824" s="52"/>
    </row>
    <row r="825" spans="15:17" ht="21.75" customHeight="1" x14ac:dyDescent="0.45">
      <c r="O825" s="52"/>
      <c r="P825" s="52"/>
      <c r="Q825" s="52"/>
    </row>
    <row r="826" spans="15:17" ht="21.75" customHeight="1" x14ac:dyDescent="0.45">
      <c r="O826" s="52"/>
      <c r="P826" s="52"/>
      <c r="Q826" s="52"/>
    </row>
    <row r="827" spans="15:17" ht="21.75" customHeight="1" x14ac:dyDescent="0.45">
      <c r="O827" s="52"/>
      <c r="P827" s="52"/>
      <c r="Q827" s="52"/>
    </row>
    <row r="828" spans="15:17" ht="21.75" customHeight="1" x14ac:dyDescent="0.45">
      <c r="O828" s="52"/>
      <c r="P828" s="52"/>
      <c r="Q828" s="52"/>
    </row>
    <row r="829" spans="15:17" ht="21.75" customHeight="1" x14ac:dyDescent="0.45">
      <c r="O829" s="52"/>
      <c r="P829" s="52"/>
      <c r="Q829" s="52"/>
    </row>
    <row r="830" spans="15:17" ht="21.75" customHeight="1" x14ac:dyDescent="0.45">
      <c r="O830" s="52"/>
      <c r="P830" s="52"/>
      <c r="Q830" s="52"/>
    </row>
    <row r="831" spans="15:17" ht="21.75" customHeight="1" x14ac:dyDescent="0.45">
      <c r="O831" s="52"/>
      <c r="P831" s="52"/>
      <c r="Q831" s="52"/>
    </row>
    <row r="832" spans="15:17" ht="21.75" customHeight="1" x14ac:dyDescent="0.45">
      <c r="O832" s="52"/>
      <c r="P832" s="52"/>
      <c r="Q832" s="52"/>
    </row>
    <row r="833" spans="15:17" ht="21.75" customHeight="1" x14ac:dyDescent="0.45">
      <c r="O833" s="52"/>
      <c r="P833" s="52"/>
      <c r="Q833" s="52"/>
    </row>
    <row r="834" spans="15:17" ht="21.75" customHeight="1" x14ac:dyDescent="0.45">
      <c r="O834" s="52"/>
      <c r="P834" s="52"/>
      <c r="Q834" s="52"/>
    </row>
    <row r="835" spans="15:17" ht="21.75" customHeight="1" x14ac:dyDescent="0.45">
      <c r="O835" s="52"/>
      <c r="P835" s="52"/>
      <c r="Q835" s="52"/>
    </row>
    <row r="836" spans="15:17" ht="21.75" customHeight="1" x14ac:dyDescent="0.45">
      <c r="O836" s="52"/>
      <c r="P836" s="52"/>
      <c r="Q836" s="52"/>
    </row>
    <row r="837" spans="15:17" ht="21.75" customHeight="1" x14ac:dyDescent="0.45">
      <c r="O837" s="52"/>
      <c r="P837" s="52"/>
      <c r="Q837" s="52"/>
    </row>
    <row r="838" spans="15:17" ht="21.75" customHeight="1" x14ac:dyDescent="0.45">
      <c r="O838" s="52"/>
      <c r="P838" s="52"/>
      <c r="Q838" s="52"/>
    </row>
    <row r="839" spans="15:17" ht="21.75" customHeight="1" x14ac:dyDescent="0.45">
      <c r="O839" s="52"/>
      <c r="P839" s="52"/>
      <c r="Q839" s="52"/>
    </row>
    <row r="840" spans="15:17" ht="21.75" customHeight="1" x14ac:dyDescent="0.45">
      <c r="O840" s="52"/>
      <c r="P840" s="52"/>
      <c r="Q840" s="52"/>
    </row>
    <row r="841" spans="15:17" ht="21.75" customHeight="1" x14ac:dyDescent="0.45">
      <c r="O841" s="52"/>
      <c r="P841" s="52"/>
      <c r="Q841" s="52"/>
    </row>
    <row r="842" spans="15:17" ht="21.75" customHeight="1" x14ac:dyDescent="0.45">
      <c r="O842" s="52"/>
      <c r="P842" s="52"/>
      <c r="Q842" s="52"/>
    </row>
    <row r="843" spans="15:17" ht="21.75" customHeight="1" x14ac:dyDescent="0.45">
      <c r="O843" s="52"/>
      <c r="P843" s="52"/>
      <c r="Q843" s="52"/>
    </row>
    <row r="844" spans="15:17" ht="21.75" customHeight="1" x14ac:dyDescent="0.45">
      <c r="O844" s="52"/>
      <c r="P844" s="52"/>
      <c r="Q844" s="52"/>
    </row>
    <row r="845" spans="15:17" ht="21.75" customHeight="1" x14ac:dyDescent="0.45">
      <c r="O845" s="52"/>
      <c r="P845" s="52"/>
      <c r="Q845" s="52"/>
    </row>
    <row r="846" spans="15:17" ht="21.75" customHeight="1" x14ac:dyDescent="0.45">
      <c r="O846" s="52"/>
      <c r="P846" s="52"/>
      <c r="Q846" s="52"/>
    </row>
    <row r="847" spans="15:17" ht="21.75" customHeight="1" x14ac:dyDescent="0.45">
      <c r="O847" s="52"/>
      <c r="P847" s="52"/>
      <c r="Q847" s="52"/>
    </row>
    <row r="848" spans="15:17" ht="21.75" customHeight="1" x14ac:dyDescent="0.45">
      <c r="O848" s="52"/>
      <c r="P848" s="52"/>
      <c r="Q848" s="52"/>
    </row>
    <row r="849" spans="15:17" ht="21.75" customHeight="1" x14ac:dyDescent="0.45">
      <c r="O849" s="52"/>
      <c r="P849" s="52"/>
      <c r="Q849" s="52"/>
    </row>
    <row r="850" spans="15:17" ht="21.75" customHeight="1" x14ac:dyDescent="0.45">
      <c r="O850" s="52"/>
      <c r="P850" s="52"/>
      <c r="Q850" s="52"/>
    </row>
    <row r="851" spans="15:17" ht="21.75" customHeight="1" x14ac:dyDescent="0.45">
      <c r="O851" s="52"/>
      <c r="P851" s="52"/>
      <c r="Q851" s="52"/>
    </row>
    <row r="852" spans="15:17" ht="21.75" customHeight="1" x14ac:dyDescent="0.45">
      <c r="O852" s="52"/>
      <c r="P852" s="52"/>
      <c r="Q852" s="52"/>
    </row>
    <row r="853" spans="15:17" ht="21.75" customHeight="1" x14ac:dyDescent="0.45">
      <c r="O853" s="52"/>
      <c r="P853" s="52"/>
      <c r="Q853" s="52"/>
    </row>
    <row r="854" spans="15:17" ht="21.75" customHeight="1" x14ac:dyDescent="0.45">
      <c r="O854" s="52"/>
      <c r="P854" s="52"/>
      <c r="Q854" s="52"/>
    </row>
    <row r="855" spans="15:17" ht="21.75" customHeight="1" x14ac:dyDescent="0.45">
      <c r="O855" s="52"/>
      <c r="P855" s="52"/>
      <c r="Q855" s="52"/>
    </row>
    <row r="856" spans="15:17" ht="21.75" customHeight="1" x14ac:dyDescent="0.45">
      <c r="O856" s="52"/>
      <c r="P856" s="52"/>
      <c r="Q856" s="52"/>
    </row>
    <row r="857" spans="15:17" ht="21.75" customHeight="1" x14ac:dyDescent="0.45">
      <c r="O857" s="52"/>
      <c r="P857" s="52"/>
      <c r="Q857" s="52"/>
    </row>
    <row r="858" spans="15:17" ht="21.75" customHeight="1" x14ac:dyDescent="0.45">
      <c r="O858" s="52"/>
      <c r="P858" s="52"/>
      <c r="Q858" s="52"/>
    </row>
    <row r="859" spans="15:17" ht="21.75" customHeight="1" x14ac:dyDescent="0.45">
      <c r="O859" s="52"/>
      <c r="P859" s="52"/>
      <c r="Q859" s="52"/>
    </row>
    <row r="860" spans="15:17" ht="21.75" customHeight="1" x14ac:dyDescent="0.45">
      <c r="O860" s="52"/>
      <c r="P860" s="52"/>
      <c r="Q860" s="52"/>
    </row>
    <row r="861" spans="15:17" ht="21.75" customHeight="1" x14ac:dyDescent="0.45">
      <c r="O861" s="52"/>
      <c r="P861" s="52"/>
      <c r="Q861" s="52"/>
    </row>
    <row r="862" spans="15:17" ht="21.75" customHeight="1" x14ac:dyDescent="0.45">
      <c r="O862" s="52"/>
      <c r="P862" s="52"/>
      <c r="Q862" s="52"/>
    </row>
    <row r="863" spans="15:17" ht="21.75" customHeight="1" x14ac:dyDescent="0.45">
      <c r="O863" s="52"/>
      <c r="P863" s="52"/>
      <c r="Q863" s="52"/>
    </row>
    <row r="864" spans="15:17" ht="21.75" customHeight="1" x14ac:dyDescent="0.45">
      <c r="O864" s="52"/>
      <c r="P864" s="52"/>
      <c r="Q864" s="52"/>
    </row>
    <row r="865" spans="15:17" ht="21.75" customHeight="1" x14ac:dyDescent="0.45">
      <c r="O865" s="52"/>
      <c r="P865" s="52"/>
      <c r="Q865" s="52"/>
    </row>
    <row r="866" spans="15:17" ht="21.75" customHeight="1" x14ac:dyDescent="0.45">
      <c r="O866" s="52"/>
      <c r="P866" s="52"/>
      <c r="Q866" s="52"/>
    </row>
    <row r="867" spans="15:17" ht="21.75" customHeight="1" x14ac:dyDescent="0.45">
      <c r="O867" s="52"/>
      <c r="P867" s="52"/>
      <c r="Q867" s="52"/>
    </row>
    <row r="868" spans="15:17" ht="21.75" customHeight="1" x14ac:dyDescent="0.45">
      <c r="O868" s="52"/>
      <c r="P868" s="52"/>
      <c r="Q868" s="52"/>
    </row>
    <row r="869" spans="15:17" ht="21.75" customHeight="1" x14ac:dyDescent="0.45">
      <c r="O869" s="52"/>
      <c r="P869" s="52"/>
      <c r="Q869" s="52"/>
    </row>
    <row r="870" spans="15:17" ht="21.75" customHeight="1" x14ac:dyDescent="0.45">
      <c r="O870" s="52"/>
      <c r="P870" s="52"/>
      <c r="Q870" s="52"/>
    </row>
    <row r="871" spans="15:17" ht="21.75" customHeight="1" x14ac:dyDescent="0.45">
      <c r="O871" s="52"/>
      <c r="P871" s="52"/>
      <c r="Q871" s="52"/>
    </row>
    <row r="872" spans="15:17" ht="21.75" customHeight="1" x14ac:dyDescent="0.45">
      <c r="O872" s="52"/>
      <c r="P872" s="52"/>
      <c r="Q872" s="52"/>
    </row>
    <row r="873" spans="15:17" ht="21.75" customHeight="1" x14ac:dyDescent="0.45">
      <c r="O873" s="52"/>
      <c r="P873" s="52"/>
      <c r="Q873" s="52"/>
    </row>
    <row r="874" spans="15:17" ht="21.75" customHeight="1" x14ac:dyDescent="0.45">
      <c r="O874" s="52"/>
      <c r="P874" s="52"/>
      <c r="Q874" s="52"/>
    </row>
    <row r="875" spans="15:17" ht="21.75" customHeight="1" x14ac:dyDescent="0.45">
      <c r="O875" s="52"/>
      <c r="P875" s="52"/>
      <c r="Q875" s="52"/>
    </row>
    <row r="876" spans="15:17" ht="21.75" customHeight="1" x14ac:dyDescent="0.45">
      <c r="O876" s="52"/>
      <c r="P876" s="52"/>
      <c r="Q876" s="52"/>
    </row>
    <row r="877" spans="15:17" ht="21.75" customHeight="1" x14ac:dyDescent="0.45">
      <c r="O877" s="52"/>
      <c r="P877" s="52"/>
      <c r="Q877" s="52"/>
    </row>
    <row r="878" spans="15:17" ht="21.75" customHeight="1" x14ac:dyDescent="0.45">
      <c r="O878" s="52"/>
      <c r="P878" s="52"/>
      <c r="Q878" s="52"/>
    </row>
    <row r="879" spans="15:17" ht="21.75" customHeight="1" x14ac:dyDescent="0.45">
      <c r="O879" s="52"/>
      <c r="P879" s="52"/>
      <c r="Q879" s="52"/>
    </row>
    <row r="880" spans="15:17" ht="21.75" customHeight="1" x14ac:dyDescent="0.45">
      <c r="O880" s="52"/>
      <c r="P880" s="52"/>
      <c r="Q880" s="52"/>
    </row>
    <row r="881" spans="15:17" ht="21.75" customHeight="1" x14ac:dyDescent="0.45">
      <c r="O881" s="52"/>
      <c r="P881" s="52"/>
      <c r="Q881" s="52"/>
    </row>
    <row r="882" spans="15:17" ht="21.75" customHeight="1" x14ac:dyDescent="0.45">
      <c r="O882" s="52"/>
      <c r="P882" s="52"/>
      <c r="Q882" s="52"/>
    </row>
    <row r="883" spans="15:17" ht="21.75" customHeight="1" x14ac:dyDescent="0.45">
      <c r="O883" s="52"/>
      <c r="P883" s="52"/>
      <c r="Q883" s="52"/>
    </row>
    <row r="884" spans="15:17" ht="21.75" customHeight="1" x14ac:dyDescent="0.45">
      <c r="O884" s="52"/>
      <c r="P884" s="52"/>
      <c r="Q884" s="52"/>
    </row>
    <row r="885" spans="15:17" ht="21.75" customHeight="1" x14ac:dyDescent="0.45">
      <c r="O885" s="52"/>
      <c r="P885" s="52"/>
      <c r="Q885" s="52"/>
    </row>
    <row r="886" spans="15:17" ht="21.75" customHeight="1" x14ac:dyDescent="0.45">
      <c r="O886" s="52"/>
      <c r="P886" s="52"/>
      <c r="Q886" s="52"/>
    </row>
    <row r="887" spans="15:17" ht="21.75" customHeight="1" x14ac:dyDescent="0.45">
      <c r="O887" s="52"/>
      <c r="P887" s="52"/>
      <c r="Q887" s="52"/>
    </row>
    <row r="888" spans="15:17" ht="21.75" customHeight="1" x14ac:dyDescent="0.45">
      <c r="O888" s="52"/>
      <c r="P888" s="52"/>
      <c r="Q888" s="52"/>
    </row>
    <row r="889" spans="15:17" ht="21.75" customHeight="1" x14ac:dyDescent="0.45">
      <c r="O889" s="52"/>
      <c r="P889" s="52"/>
      <c r="Q889" s="52"/>
    </row>
    <row r="890" spans="15:17" ht="21.75" customHeight="1" x14ac:dyDescent="0.45">
      <c r="O890" s="52"/>
      <c r="P890" s="52"/>
      <c r="Q890" s="52"/>
    </row>
    <row r="891" spans="15:17" ht="21.75" customHeight="1" x14ac:dyDescent="0.45">
      <c r="O891" s="52"/>
      <c r="P891" s="52"/>
      <c r="Q891" s="52"/>
    </row>
    <row r="892" spans="15:17" ht="21.75" customHeight="1" x14ac:dyDescent="0.45">
      <c r="O892" s="52"/>
      <c r="P892" s="52"/>
      <c r="Q892" s="52"/>
    </row>
    <row r="893" spans="15:17" ht="21.75" customHeight="1" x14ac:dyDescent="0.45">
      <c r="O893" s="52"/>
      <c r="P893" s="52"/>
      <c r="Q893" s="52"/>
    </row>
    <row r="894" spans="15:17" ht="21.75" customHeight="1" x14ac:dyDescent="0.45">
      <c r="O894" s="52"/>
      <c r="P894" s="52"/>
      <c r="Q894" s="52"/>
    </row>
    <row r="895" spans="15:17" ht="21.75" customHeight="1" x14ac:dyDescent="0.45">
      <c r="O895" s="52"/>
      <c r="P895" s="52"/>
      <c r="Q895" s="52"/>
    </row>
    <row r="896" spans="15:17" ht="21.75" customHeight="1" x14ac:dyDescent="0.45">
      <c r="O896" s="52"/>
      <c r="P896" s="52"/>
      <c r="Q896" s="52"/>
    </row>
    <row r="897" spans="15:17" ht="21.75" customHeight="1" x14ac:dyDescent="0.45">
      <c r="O897" s="52"/>
      <c r="P897" s="52"/>
      <c r="Q897" s="52"/>
    </row>
    <row r="898" spans="15:17" ht="21.75" customHeight="1" x14ac:dyDescent="0.45">
      <c r="O898" s="52"/>
      <c r="P898" s="52"/>
      <c r="Q898" s="52"/>
    </row>
    <row r="899" spans="15:17" ht="21.75" customHeight="1" x14ac:dyDescent="0.45">
      <c r="O899" s="52"/>
      <c r="P899" s="52"/>
      <c r="Q899" s="52"/>
    </row>
    <row r="900" spans="15:17" ht="21.75" customHeight="1" x14ac:dyDescent="0.45">
      <c r="O900" s="52"/>
      <c r="P900" s="52"/>
      <c r="Q900" s="52"/>
    </row>
    <row r="901" spans="15:17" ht="21.75" customHeight="1" x14ac:dyDescent="0.45">
      <c r="O901" s="52"/>
      <c r="P901" s="52"/>
      <c r="Q901" s="52"/>
    </row>
    <row r="902" spans="15:17" ht="21.75" customHeight="1" x14ac:dyDescent="0.45">
      <c r="O902" s="52"/>
      <c r="P902" s="52"/>
      <c r="Q902" s="52"/>
    </row>
    <row r="903" spans="15:17" ht="21.75" customHeight="1" x14ac:dyDescent="0.45">
      <c r="O903" s="52"/>
      <c r="P903" s="52"/>
      <c r="Q903" s="52"/>
    </row>
    <row r="904" spans="15:17" ht="21.75" customHeight="1" x14ac:dyDescent="0.45">
      <c r="O904" s="52"/>
      <c r="P904" s="52"/>
      <c r="Q904" s="52"/>
    </row>
    <row r="905" spans="15:17" ht="21.75" customHeight="1" x14ac:dyDescent="0.45">
      <c r="O905" s="52"/>
      <c r="P905" s="52"/>
      <c r="Q905" s="52"/>
    </row>
    <row r="906" spans="15:17" ht="21.75" customHeight="1" x14ac:dyDescent="0.45">
      <c r="O906" s="52"/>
      <c r="P906" s="52"/>
      <c r="Q906" s="52"/>
    </row>
    <row r="907" spans="15:17" ht="21.75" customHeight="1" x14ac:dyDescent="0.45">
      <c r="O907" s="52"/>
      <c r="P907" s="52"/>
      <c r="Q907" s="52"/>
    </row>
  </sheetData>
  <autoFilter ref="A2:AQ209" xr:uid="{E4C60DC4-1983-4DC8-BA03-80156AB48A39}"/>
  <mergeCells count="10">
    <mergeCell ref="A1:D1"/>
    <mergeCell ref="E1:F1"/>
    <mergeCell ref="H1:I1"/>
    <mergeCell ref="J1:K1"/>
    <mergeCell ref="L1:N1"/>
    <mergeCell ref="O1:T1"/>
    <mergeCell ref="U1:Z1"/>
    <mergeCell ref="AA1:AG1"/>
    <mergeCell ref="AH1:AL1"/>
    <mergeCell ref="AM1:AQ1"/>
  </mergeCells>
  <phoneticPr fontId="34" type="noConversion"/>
  <conditionalFormatting sqref="J1:J1048576">
    <cfRule type="duplicateValues" dxfId="12" priority="2"/>
  </conditionalFormatting>
  <conditionalFormatting sqref="L1:N1048576">
    <cfRule type="duplicateValues" dxfId="11" priority="1"/>
  </conditionalFormatting>
  <conditionalFormatting sqref="L3:N209 L210:L1048576">
    <cfRule type="expression" dxfId="10" priority="7">
      <formula>LEN(L3)&gt;40</formula>
    </cfRule>
  </conditionalFormatting>
  <conditionalFormatting sqref="O3:T209 O210:Q907 R210:T1048576">
    <cfRule type="expression" dxfId="9" priority="5">
      <formula>LEN(O3)&gt;22</formula>
    </cfRule>
  </conditionalFormatting>
  <conditionalFormatting sqref="X3:Z1048576">
    <cfRule type="expression" dxfId="8" priority="3">
      <formula>LEN(X3)&gt;28</formula>
    </cfRule>
  </conditionalFormatting>
  <conditionalFormatting sqref="J3:J209">
    <cfRule type="duplicateValues" dxfId="2" priority="415"/>
  </conditionalFormatting>
  <dataValidations xWindow="2416" yWindow="326" count="16">
    <dataValidation allowBlank="1" sqref="F3:F209" xr:uid="{C4A72171-FC4A-4A32-9286-771D015CB924}"/>
    <dataValidation allowBlank="1" showInputMessage="1" promptTitle="Information" prompt="Select value from dropdown" sqref="AN3:AN209" xr:uid="{ABBF123A-743C-4641-B21D-C38F5C411B13}"/>
    <dataValidation allowBlank="1" showInputMessage="1" showErrorMessage="1" promptTitle="Information" prompt="Select value from dropdown" sqref="AP3:AP209 AC1:AC1048576" xr:uid="{1A424533-B9FB-4B28-95E8-5223C67491D0}"/>
    <dataValidation type="list" allowBlank="1" sqref="F210:F1048576" xr:uid="{00000000-0002-0000-0100-000002000000}">
      <formula1>RSC_atxwarengruppesap__de_DE</formula1>
    </dataValidation>
    <dataValidation type="list" allowBlank="1" showInputMessage="1" showErrorMessage="1" promptTitle="Information" prompt="Select value from dropdown" sqref="AM210:AM1048576 AO210:AP1048576 AO3:AO209 AH210:AK1048576 AR3:AR1048576" xr:uid="{00000000-0002-0000-0100-00000B000000}">
      <formula1>"TRUE,FALSE"</formula1>
    </dataValidation>
    <dataValidation type="list" allowBlank="1" showInputMessage="1" showErrorMessage="1" promptTitle="Information" prompt="Select value from dropdown" sqref="AL210:AL1048576" xr:uid="{00000000-0002-0000-0100-000028000000}">
      <formula1>RSC__refxshopinshop</formula1>
    </dataValidation>
    <dataValidation type="list" allowBlank="1" showInputMessage="1" promptTitle="Information" prompt="Select value from dropdown" sqref="AN210:AN1048576" xr:uid="{00000000-0002-0000-0100-000029000000}">
      <formula1>RSC__refxgtintyperegioartikel</formula1>
    </dataValidation>
    <dataValidation type="list" allowBlank="1" showInputMessage="1" showErrorMessage="1" promptTitle="Information" prompt="Select value from dropdown" sqref="AF210:AF1048576 AE3:AE1048576" xr:uid="{00000000-0002-0000-0100-000022000000}">
      <formula1>RSC_de_DE_refxtaxclass</formula1>
    </dataValidation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G3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Q3:AQ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416" yWindow="326" count="1">
        <x14:dataValidation type="list" allowBlank="1" showErrorMessage="1" xr:uid="{00000000-0002-0000-0100-00001F000000}">
          <x14:formula1>
            <xm:f>OFFSET(dedea_axba2387!$A$1,1,IF(OR(ISBLANK($H210),$H210="[DELETE]",$H210="[NULL]"),MATCH("[EMPTY]",dedea_axba2387!$A$1:$K$1,0),MATCH($H210,dedea_axba2387!$A$1:$K$1,0))-1,32768,1)</xm:f>
          </x14:formula1>
          <xm:sqref>AD210:AD1048576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sheetPr codeName="Sheet2"/>
  <dimension ref="A1:AJ208"/>
  <sheetViews>
    <sheetView zoomScale="80" zoomScaleNormal="80" workbookViewId="0">
      <selection activeCell="J2" sqref="J2"/>
    </sheetView>
  </sheetViews>
  <sheetFormatPr defaultColWidth="11.46484375" defaultRowHeight="14.25" x14ac:dyDescent="0.45"/>
  <cols>
    <col min="1" max="1" width="5.1328125" customWidth="1"/>
    <col min="2" max="2" width="7.53125" style="31" customWidth="1"/>
    <col min="3" max="3" width="7.6640625" customWidth="1"/>
    <col min="4" max="4" width="7.1328125" customWidth="1"/>
    <col min="5" max="5" width="16.86328125" customWidth="1"/>
    <col min="6" max="6" width="25.1328125" customWidth="1"/>
    <col min="7" max="7" width="20.6640625" customWidth="1"/>
    <col min="8" max="8" width="11.46484375" customWidth="1"/>
    <col min="9" max="9" width="23.1328125" customWidth="1"/>
    <col min="10" max="10" width="21.86328125" customWidth="1"/>
    <col min="11" max="11" width="23.46484375" customWidth="1"/>
    <col min="12" max="12" width="11.46484375" customWidth="1"/>
    <col min="13" max="13" width="27.6640625" customWidth="1"/>
    <col min="14" max="14" width="25.1328125" customWidth="1"/>
    <col min="15" max="15" width="21.86328125" bestFit="1" customWidth="1"/>
    <col min="16" max="16" width="11.46484375" customWidth="1"/>
    <col min="17" max="17" width="20.53125" customWidth="1"/>
    <col min="18" max="18" width="11.46484375" style="38" customWidth="1"/>
    <col min="19" max="20" width="17.33203125" customWidth="1"/>
    <col min="21" max="21" width="19.53125" customWidth="1"/>
    <col min="22" max="22" width="31.1328125" customWidth="1"/>
    <col min="23" max="23" width="26.33203125" customWidth="1"/>
    <col min="24" max="24" width="22.86328125" customWidth="1"/>
    <col min="25" max="25" width="21.1328125" bestFit="1" customWidth="1"/>
    <col min="26" max="26" width="19.46484375" bestFit="1" customWidth="1"/>
    <col min="27" max="27" width="44.1328125" bestFit="1" customWidth="1"/>
    <col min="28" max="28" width="14.86328125" customWidth="1"/>
    <col min="29" max="29" width="14.6640625" customWidth="1"/>
    <col min="30" max="30" width="18.86328125" customWidth="1"/>
    <col min="31" max="31" width="11.46484375" customWidth="1"/>
    <col min="32" max="32" width="8.53125" customWidth="1"/>
    <col min="33" max="33" width="13.53125" style="50" customWidth="1"/>
    <col min="35" max="35" width="22" style="50" customWidth="1"/>
    <col min="36" max="36" width="16.86328125" customWidth="1"/>
  </cols>
  <sheetData>
    <row r="1" spans="1:36" ht="78.75" x14ac:dyDescent="0.45">
      <c r="A1" s="39" t="s">
        <v>220</v>
      </c>
      <c r="B1" s="94" t="s">
        <v>221</v>
      </c>
      <c r="C1" s="40" t="s">
        <v>222</v>
      </c>
      <c r="D1" s="40" t="s">
        <v>223</v>
      </c>
      <c r="E1" s="41" t="s">
        <v>224</v>
      </c>
      <c r="F1" s="40" t="s">
        <v>225</v>
      </c>
      <c r="G1" s="40" t="s">
        <v>226</v>
      </c>
      <c r="H1" s="40" t="s">
        <v>227</v>
      </c>
      <c r="I1" s="40" t="s">
        <v>228</v>
      </c>
      <c r="J1" s="40" t="s">
        <v>229</v>
      </c>
      <c r="K1" s="40" t="s">
        <v>230</v>
      </c>
      <c r="L1" s="40" t="s">
        <v>231</v>
      </c>
      <c r="M1" s="40" t="s">
        <v>232</v>
      </c>
      <c r="N1" s="40" t="s">
        <v>233</v>
      </c>
      <c r="O1" s="40" t="s">
        <v>234</v>
      </c>
      <c r="P1" s="40" t="s">
        <v>235</v>
      </c>
      <c r="Q1" s="40" t="s">
        <v>236</v>
      </c>
      <c r="R1" s="42" t="s">
        <v>57</v>
      </c>
      <c r="S1" s="40" t="s">
        <v>237</v>
      </c>
      <c r="T1" s="40" t="s">
        <v>238</v>
      </c>
      <c r="U1" s="40" t="s">
        <v>239</v>
      </c>
      <c r="V1" s="40" t="s">
        <v>240</v>
      </c>
      <c r="W1" s="40" t="s">
        <v>241</v>
      </c>
      <c r="X1" s="40" t="s">
        <v>242</v>
      </c>
      <c r="Y1" s="40" t="s">
        <v>896</v>
      </c>
      <c r="Z1" s="40" t="s">
        <v>897</v>
      </c>
      <c r="AA1" s="40" t="s">
        <v>898</v>
      </c>
      <c r="AB1" s="40" t="s">
        <v>243</v>
      </c>
      <c r="AC1" s="40" t="s">
        <v>244</v>
      </c>
      <c r="AD1" s="40" t="s">
        <v>245</v>
      </c>
      <c r="AE1" s="40" t="s">
        <v>246</v>
      </c>
      <c r="AF1" s="40" t="s">
        <v>247</v>
      </c>
      <c r="AG1" s="40" t="s">
        <v>248</v>
      </c>
      <c r="AH1" s="40" t="s">
        <v>249</v>
      </c>
      <c r="AI1" s="40" t="s">
        <v>250</v>
      </c>
      <c r="AJ1" s="40" t="s">
        <v>251</v>
      </c>
    </row>
    <row r="2" spans="1:36" x14ac:dyDescent="0.45">
      <c r="A2" s="43">
        <v>1</v>
      </c>
      <c r="B2" s="44">
        <v>700</v>
      </c>
      <c r="C2" s="44" t="s">
        <v>252</v>
      </c>
      <c r="D2" s="44" t="s">
        <v>84</v>
      </c>
      <c r="E2" s="44"/>
      <c r="F2" s="44" t="s">
        <v>253</v>
      </c>
      <c r="G2" s="44" t="s">
        <v>254</v>
      </c>
      <c r="H2" s="44" t="s">
        <v>255</v>
      </c>
      <c r="I2" s="44" t="s">
        <v>256</v>
      </c>
      <c r="J2" s="44" t="s">
        <v>1025</v>
      </c>
      <c r="K2" s="44" t="s">
        <v>257</v>
      </c>
      <c r="L2" s="44" t="s">
        <v>255</v>
      </c>
      <c r="M2" s="44" t="s">
        <v>256</v>
      </c>
      <c r="N2" s="44" t="s">
        <v>253</v>
      </c>
      <c r="O2" s="44" t="s">
        <v>258</v>
      </c>
      <c r="P2" s="44" t="s">
        <v>255</v>
      </c>
      <c r="Q2" s="44" t="s">
        <v>256</v>
      </c>
      <c r="R2" s="46">
        <v>0.25</v>
      </c>
      <c r="S2" s="44">
        <v>100</v>
      </c>
      <c r="T2" s="44" t="s">
        <v>130</v>
      </c>
      <c r="U2" s="44" t="s">
        <v>169</v>
      </c>
      <c r="V2" s="44" t="s">
        <v>259</v>
      </c>
      <c r="W2" s="44" t="s">
        <v>260</v>
      </c>
      <c r="X2" s="44" t="s">
        <v>261</v>
      </c>
      <c r="Y2" s="44" t="s">
        <v>180</v>
      </c>
      <c r="Z2" s="44" t="s">
        <v>192</v>
      </c>
      <c r="AA2" s="44"/>
      <c r="AB2" s="44" t="s">
        <v>262</v>
      </c>
      <c r="AC2" s="44" t="s">
        <v>262</v>
      </c>
      <c r="AD2" s="44" t="s">
        <v>262</v>
      </c>
      <c r="AE2" s="44" t="s">
        <v>262</v>
      </c>
      <c r="AF2" s="44" t="s">
        <v>263</v>
      </c>
      <c r="AG2" s="44" t="s">
        <v>263</v>
      </c>
      <c r="AH2" s="44" t="s">
        <v>262</v>
      </c>
      <c r="AI2" s="44">
        <v>0.05</v>
      </c>
      <c r="AJ2" s="47" t="s">
        <v>263</v>
      </c>
    </row>
    <row r="3" spans="1:36" x14ac:dyDescent="0.45">
      <c r="A3" s="43">
        <v>2</v>
      </c>
      <c r="B3" s="44">
        <v>701</v>
      </c>
      <c r="C3" s="44" t="s">
        <v>252</v>
      </c>
      <c r="D3" s="44" t="s">
        <v>84</v>
      </c>
      <c r="E3" s="44"/>
      <c r="F3" s="44" t="s">
        <v>264</v>
      </c>
      <c r="G3" s="44" t="s">
        <v>254</v>
      </c>
      <c r="H3" s="44" t="s">
        <v>255</v>
      </c>
      <c r="I3" s="44" t="s">
        <v>265</v>
      </c>
      <c r="J3" s="44" t="s">
        <v>1026</v>
      </c>
      <c r="K3" s="44" t="s">
        <v>257</v>
      </c>
      <c r="L3" s="44" t="s">
        <v>255</v>
      </c>
      <c r="M3" s="44" t="s">
        <v>266</v>
      </c>
      <c r="N3" s="44" t="s">
        <v>1027</v>
      </c>
      <c r="O3" s="44" t="s">
        <v>258</v>
      </c>
      <c r="P3" s="44" t="s">
        <v>255</v>
      </c>
      <c r="Q3" s="44" t="s">
        <v>267</v>
      </c>
      <c r="R3" s="46">
        <v>0.25</v>
      </c>
      <c r="S3" s="44">
        <v>100</v>
      </c>
      <c r="T3" s="44" t="s">
        <v>130</v>
      </c>
      <c r="U3" s="44" t="s">
        <v>169</v>
      </c>
      <c r="V3" s="44" t="s">
        <v>259</v>
      </c>
      <c r="W3" s="44" t="s">
        <v>260</v>
      </c>
      <c r="X3" s="44" t="s">
        <v>261</v>
      </c>
      <c r="Y3" s="44" t="s">
        <v>180</v>
      </c>
      <c r="Z3" s="44" t="s">
        <v>192</v>
      </c>
      <c r="AA3" s="44"/>
      <c r="AB3" s="44" t="s">
        <v>262</v>
      </c>
      <c r="AC3" s="44" t="s">
        <v>262</v>
      </c>
      <c r="AD3" s="44" t="s">
        <v>262</v>
      </c>
      <c r="AE3" s="44" t="s">
        <v>262</v>
      </c>
      <c r="AF3" s="44" t="s">
        <v>263</v>
      </c>
      <c r="AG3" s="44" t="s">
        <v>263</v>
      </c>
      <c r="AH3" s="44" t="s">
        <v>262</v>
      </c>
      <c r="AI3" s="44">
        <v>0.05</v>
      </c>
      <c r="AJ3" s="47" t="s">
        <v>263</v>
      </c>
    </row>
    <row r="4" spans="1:36" x14ac:dyDescent="0.45">
      <c r="A4" s="43">
        <v>3</v>
      </c>
      <c r="B4" s="44">
        <v>702</v>
      </c>
      <c r="C4" s="44" t="s">
        <v>252</v>
      </c>
      <c r="D4" s="44" t="s">
        <v>84</v>
      </c>
      <c r="E4" s="44"/>
      <c r="F4" s="44" t="s">
        <v>264</v>
      </c>
      <c r="G4" s="44" t="s">
        <v>254</v>
      </c>
      <c r="H4" s="44" t="s">
        <v>268</v>
      </c>
      <c r="I4" s="44" t="s">
        <v>269</v>
      </c>
      <c r="J4" s="44" t="s">
        <v>1026</v>
      </c>
      <c r="K4" s="44" t="s">
        <v>257</v>
      </c>
      <c r="L4" s="44" t="s">
        <v>268</v>
      </c>
      <c r="M4" s="44" t="s">
        <v>270</v>
      </c>
      <c r="N4" s="44" t="s">
        <v>1027</v>
      </c>
      <c r="O4" s="44" t="s">
        <v>258</v>
      </c>
      <c r="P4" s="44" t="s">
        <v>268</v>
      </c>
      <c r="Q4" s="44" t="s">
        <v>271</v>
      </c>
      <c r="R4" s="46">
        <v>0.5</v>
      </c>
      <c r="S4" s="44">
        <v>100</v>
      </c>
      <c r="T4" s="44" t="s">
        <v>130</v>
      </c>
      <c r="U4" s="44" t="s">
        <v>169</v>
      </c>
      <c r="V4" s="44" t="s">
        <v>259</v>
      </c>
      <c r="W4" s="44" t="s">
        <v>260</v>
      </c>
      <c r="X4" s="44" t="s">
        <v>261</v>
      </c>
      <c r="Y4" s="44" t="s">
        <v>180</v>
      </c>
      <c r="Z4" s="44" t="s">
        <v>192</v>
      </c>
      <c r="AA4" s="44"/>
      <c r="AB4" s="44" t="s">
        <v>262</v>
      </c>
      <c r="AC4" s="44" t="s">
        <v>262</v>
      </c>
      <c r="AD4" s="44" t="s">
        <v>262</v>
      </c>
      <c r="AE4" s="44" t="s">
        <v>262</v>
      </c>
      <c r="AF4" s="44" t="s">
        <v>263</v>
      </c>
      <c r="AG4" s="44" t="s">
        <v>263</v>
      </c>
      <c r="AH4" s="44" t="s">
        <v>262</v>
      </c>
      <c r="AI4" s="44">
        <v>0.05</v>
      </c>
      <c r="AJ4" s="47" t="s">
        <v>263</v>
      </c>
    </row>
    <row r="5" spans="1:36" x14ac:dyDescent="0.45">
      <c r="A5" s="43">
        <v>4</v>
      </c>
      <c r="B5" s="44">
        <v>703</v>
      </c>
      <c r="C5" s="44" t="s">
        <v>252</v>
      </c>
      <c r="D5" s="44" t="s">
        <v>84</v>
      </c>
      <c r="E5" s="44"/>
      <c r="F5" s="44" t="s">
        <v>272</v>
      </c>
      <c r="G5" s="44" t="s">
        <v>254</v>
      </c>
      <c r="H5" s="44" t="s">
        <v>273</v>
      </c>
      <c r="I5" s="44" t="s">
        <v>272</v>
      </c>
      <c r="J5" s="44" t="s">
        <v>1028</v>
      </c>
      <c r="K5" s="44" t="s">
        <v>257</v>
      </c>
      <c r="L5" s="44" t="s">
        <v>274</v>
      </c>
      <c r="M5" s="44" t="s">
        <v>1028</v>
      </c>
      <c r="N5" s="44" t="s">
        <v>272</v>
      </c>
      <c r="O5" s="44" t="s">
        <v>258</v>
      </c>
      <c r="P5" s="44" t="s">
        <v>275</v>
      </c>
      <c r="Q5" s="44" t="s">
        <v>272</v>
      </c>
      <c r="R5" s="46">
        <v>1</v>
      </c>
      <c r="S5" s="44">
        <v>1</v>
      </c>
      <c r="T5" s="44" t="s">
        <v>137</v>
      </c>
      <c r="U5" s="44" t="s">
        <v>169</v>
      </c>
      <c r="V5" s="44" t="s">
        <v>259</v>
      </c>
      <c r="W5" s="44" t="s">
        <v>260</v>
      </c>
      <c r="X5" s="44" t="s">
        <v>261</v>
      </c>
      <c r="Y5" s="44" t="s">
        <v>180</v>
      </c>
      <c r="Z5" s="44" t="s">
        <v>192</v>
      </c>
      <c r="AA5" s="44"/>
      <c r="AB5" s="44" t="s">
        <v>262</v>
      </c>
      <c r="AC5" s="44" t="s">
        <v>262</v>
      </c>
      <c r="AD5" s="44" t="s">
        <v>262</v>
      </c>
      <c r="AE5" s="44" t="s">
        <v>262</v>
      </c>
      <c r="AF5" s="44" t="s">
        <v>263</v>
      </c>
      <c r="AG5" s="44" t="s">
        <v>263</v>
      </c>
      <c r="AH5" s="44" t="s">
        <v>262</v>
      </c>
      <c r="AI5" s="44">
        <v>0.05</v>
      </c>
      <c r="AJ5" s="47" t="s">
        <v>263</v>
      </c>
    </row>
    <row r="6" spans="1:36" x14ac:dyDescent="0.45">
      <c r="A6" s="43">
        <v>5</v>
      </c>
      <c r="B6" s="44">
        <v>704</v>
      </c>
      <c r="C6" s="44" t="s">
        <v>252</v>
      </c>
      <c r="D6" s="44" t="s">
        <v>84</v>
      </c>
      <c r="E6" s="44"/>
      <c r="F6" s="44" t="s">
        <v>276</v>
      </c>
      <c r="G6" s="44" t="s">
        <v>254</v>
      </c>
      <c r="H6" s="44" t="s">
        <v>273</v>
      </c>
      <c r="I6" s="44" t="s">
        <v>276</v>
      </c>
      <c r="J6" s="44" t="s">
        <v>276</v>
      </c>
      <c r="K6" s="44" t="s">
        <v>257</v>
      </c>
      <c r="L6" s="44" t="s">
        <v>274</v>
      </c>
      <c r="M6" s="44" t="s">
        <v>276</v>
      </c>
      <c r="N6" s="44" t="s">
        <v>276</v>
      </c>
      <c r="O6" s="44" t="s">
        <v>258</v>
      </c>
      <c r="P6" s="44" t="s">
        <v>275</v>
      </c>
      <c r="Q6" s="44" t="s">
        <v>276</v>
      </c>
      <c r="R6" s="46">
        <v>1</v>
      </c>
      <c r="S6" s="44">
        <v>1</v>
      </c>
      <c r="T6" s="44" t="s">
        <v>137</v>
      </c>
      <c r="U6" s="44" t="s">
        <v>169</v>
      </c>
      <c r="V6" s="44" t="s">
        <v>259</v>
      </c>
      <c r="W6" s="44" t="s">
        <v>260</v>
      </c>
      <c r="X6" s="44" t="s">
        <v>261</v>
      </c>
      <c r="Y6" s="44" t="s">
        <v>180</v>
      </c>
      <c r="Z6" s="44" t="s">
        <v>192</v>
      </c>
      <c r="AA6" s="44"/>
      <c r="AB6" s="44" t="s">
        <v>262</v>
      </c>
      <c r="AC6" s="44" t="s">
        <v>262</v>
      </c>
      <c r="AD6" s="44" t="s">
        <v>262</v>
      </c>
      <c r="AE6" s="44" t="s">
        <v>262</v>
      </c>
      <c r="AF6" s="44" t="s">
        <v>263</v>
      </c>
      <c r="AG6" s="44" t="s">
        <v>263</v>
      </c>
      <c r="AH6" s="44" t="s">
        <v>262</v>
      </c>
      <c r="AI6" s="44">
        <v>0.05</v>
      </c>
      <c r="AJ6" s="47" t="s">
        <v>263</v>
      </c>
    </row>
    <row r="7" spans="1:36" x14ac:dyDescent="0.45">
      <c r="A7" s="43">
        <v>6</v>
      </c>
      <c r="B7" s="44">
        <v>705</v>
      </c>
      <c r="C7" s="44" t="s">
        <v>252</v>
      </c>
      <c r="D7" s="44" t="s">
        <v>84</v>
      </c>
      <c r="E7" s="44"/>
      <c r="F7" s="44" t="s">
        <v>277</v>
      </c>
      <c r="G7" s="44" t="s">
        <v>254</v>
      </c>
      <c r="H7" s="44" t="s">
        <v>273</v>
      </c>
      <c r="I7" s="44" t="s">
        <v>277</v>
      </c>
      <c r="J7" s="44" t="s">
        <v>1029</v>
      </c>
      <c r="K7" s="44" t="s">
        <v>257</v>
      </c>
      <c r="L7" s="44" t="s">
        <v>274</v>
      </c>
      <c r="M7" s="44" t="s">
        <v>1029</v>
      </c>
      <c r="N7" s="44" t="s">
        <v>1029</v>
      </c>
      <c r="O7" s="44" t="s">
        <v>258</v>
      </c>
      <c r="P7" s="44" t="s">
        <v>275</v>
      </c>
      <c r="Q7" s="44" t="s">
        <v>1029</v>
      </c>
      <c r="R7" s="46">
        <v>1</v>
      </c>
      <c r="S7" s="44">
        <v>1</v>
      </c>
      <c r="T7" s="44" t="s">
        <v>137</v>
      </c>
      <c r="U7" s="44" t="s">
        <v>169</v>
      </c>
      <c r="V7" s="44" t="s">
        <v>259</v>
      </c>
      <c r="W7" s="44" t="s">
        <v>260</v>
      </c>
      <c r="X7" s="44" t="s">
        <v>261</v>
      </c>
      <c r="Y7" s="44" t="s">
        <v>180</v>
      </c>
      <c r="Z7" s="44" t="s">
        <v>192</v>
      </c>
      <c r="AA7" s="44"/>
      <c r="AB7" s="44" t="s">
        <v>262</v>
      </c>
      <c r="AC7" s="44" t="s">
        <v>262</v>
      </c>
      <c r="AD7" s="44" t="s">
        <v>262</v>
      </c>
      <c r="AE7" s="44" t="s">
        <v>262</v>
      </c>
      <c r="AF7" s="44" t="s">
        <v>263</v>
      </c>
      <c r="AG7" s="44" t="s">
        <v>263</v>
      </c>
      <c r="AH7" s="44" t="s">
        <v>262</v>
      </c>
      <c r="AI7" s="44">
        <v>0.05</v>
      </c>
      <c r="AJ7" s="47" t="s">
        <v>263</v>
      </c>
    </row>
    <row r="8" spans="1:36" x14ac:dyDescent="0.45">
      <c r="A8" s="43">
        <v>7</v>
      </c>
      <c r="B8" s="44">
        <v>706</v>
      </c>
      <c r="C8" s="44" t="s">
        <v>252</v>
      </c>
      <c r="D8" s="44" t="s">
        <v>84</v>
      </c>
      <c r="E8" s="44"/>
      <c r="F8" s="44" t="s">
        <v>278</v>
      </c>
      <c r="G8" s="44" t="s">
        <v>254</v>
      </c>
      <c r="H8" s="44" t="s">
        <v>273</v>
      </c>
      <c r="I8" s="44" t="s">
        <v>278</v>
      </c>
      <c r="J8" s="44" t="s">
        <v>1030</v>
      </c>
      <c r="K8" s="44" t="s">
        <v>257</v>
      </c>
      <c r="L8" s="44" t="s">
        <v>274</v>
      </c>
      <c r="M8" s="44" t="s">
        <v>1030</v>
      </c>
      <c r="N8" s="44" t="s">
        <v>279</v>
      </c>
      <c r="O8" s="44" t="s">
        <v>258</v>
      </c>
      <c r="P8" s="44" t="s">
        <v>275</v>
      </c>
      <c r="Q8" s="44" t="s">
        <v>279</v>
      </c>
      <c r="R8" s="46">
        <v>1</v>
      </c>
      <c r="S8" s="44">
        <v>1</v>
      </c>
      <c r="T8" s="44" t="s">
        <v>137</v>
      </c>
      <c r="U8" s="44" t="s">
        <v>169</v>
      </c>
      <c r="V8" s="44" t="s">
        <v>259</v>
      </c>
      <c r="W8" s="44" t="s">
        <v>260</v>
      </c>
      <c r="X8" s="44" t="s">
        <v>261</v>
      </c>
      <c r="Y8" s="44" t="s">
        <v>180</v>
      </c>
      <c r="Z8" s="44" t="s">
        <v>192</v>
      </c>
      <c r="AA8" s="44"/>
      <c r="AB8" s="44" t="s">
        <v>262</v>
      </c>
      <c r="AC8" s="44" t="s">
        <v>262</v>
      </c>
      <c r="AD8" s="44" t="s">
        <v>262</v>
      </c>
      <c r="AE8" s="44" t="s">
        <v>262</v>
      </c>
      <c r="AF8" s="44" t="s">
        <v>263</v>
      </c>
      <c r="AG8" s="44" t="s">
        <v>263</v>
      </c>
      <c r="AH8" s="44" t="s">
        <v>262</v>
      </c>
      <c r="AI8" s="44">
        <v>0.05</v>
      </c>
      <c r="AJ8" s="47" t="s">
        <v>263</v>
      </c>
    </row>
    <row r="9" spans="1:36" x14ac:dyDescent="0.45">
      <c r="A9" s="43">
        <v>8</v>
      </c>
      <c r="B9" s="44">
        <v>707</v>
      </c>
      <c r="C9" s="44" t="s">
        <v>252</v>
      </c>
      <c r="D9" s="44" t="s">
        <v>84</v>
      </c>
      <c r="E9" s="44"/>
      <c r="F9" s="44" t="s">
        <v>280</v>
      </c>
      <c r="G9" s="44" t="s">
        <v>254</v>
      </c>
      <c r="H9" s="44"/>
      <c r="I9" s="44" t="s">
        <v>280</v>
      </c>
      <c r="J9" s="44" t="s">
        <v>281</v>
      </c>
      <c r="K9" s="44" t="s">
        <v>257</v>
      </c>
      <c r="L9" s="44"/>
      <c r="M9" s="44" t="s">
        <v>281</v>
      </c>
      <c r="N9" s="44" t="s">
        <v>282</v>
      </c>
      <c r="O9" s="44" t="s">
        <v>258</v>
      </c>
      <c r="P9" s="44"/>
      <c r="Q9" s="44" t="s">
        <v>282</v>
      </c>
      <c r="R9" s="46">
        <v>1</v>
      </c>
      <c r="S9" s="44">
        <v>1</v>
      </c>
      <c r="T9" s="44" t="s">
        <v>137</v>
      </c>
      <c r="U9" s="44" t="s">
        <v>169</v>
      </c>
      <c r="V9" s="44" t="s">
        <v>259</v>
      </c>
      <c r="W9" s="44" t="s">
        <v>260</v>
      </c>
      <c r="X9" s="44" t="s">
        <v>261</v>
      </c>
      <c r="Y9" s="44" t="s">
        <v>180</v>
      </c>
      <c r="Z9" s="44" t="s">
        <v>192</v>
      </c>
      <c r="AA9" s="44"/>
      <c r="AB9" s="44" t="s">
        <v>262</v>
      </c>
      <c r="AC9" s="44" t="s">
        <v>262</v>
      </c>
      <c r="AD9" s="44" t="s">
        <v>262</v>
      </c>
      <c r="AE9" s="44" t="s">
        <v>262</v>
      </c>
      <c r="AF9" s="44" t="s">
        <v>263</v>
      </c>
      <c r="AG9" s="44" t="s">
        <v>263</v>
      </c>
      <c r="AH9" s="44" t="s">
        <v>262</v>
      </c>
      <c r="AI9" s="44">
        <v>0</v>
      </c>
      <c r="AJ9" s="47" t="s">
        <v>263</v>
      </c>
    </row>
    <row r="10" spans="1:36" x14ac:dyDescent="0.45">
      <c r="A10" s="43">
        <v>9</v>
      </c>
      <c r="B10" s="44">
        <v>708</v>
      </c>
      <c r="C10" s="44" t="s">
        <v>252</v>
      </c>
      <c r="D10" s="44" t="s">
        <v>84</v>
      </c>
      <c r="E10" s="44"/>
      <c r="F10" s="44" t="s">
        <v>283</v>
      </c>
      <c r="G10" s="44" t="s">
        <v>254</v>
      </c>
      <c r="H10" s="44"/>
      <c r="I10" s="44" t="s">
        <v>283</v>
      </c>
      <c r="J10" s="44" t="s">
        <v>284</v>
      </c>
      <c r="K10" s="44" t="s">
        <v>257</v>
      </c>
      <c r="L10" s="44"/>
      <c r="M10" s="44" t="s">
        <v>284</v>
      </c>
      <c r="N10" s="44" t="s">
        <v>285</v>
      </c>
      <c r="O10" s="44" t="s">
        <v>258</v>
      </c>
      <c r="P10" s="44"/>
      <c r="Q10" s="44" t="s">
        <v>285</v>
      </c>
      <c r="R10" s="46">
        <v>1</v>
      </c>
      <c r="S10" s="44">
        <v>1</v>
      </c>
      <c r="T10" s="44" t="s">
        <v>137</v>
      </c>
      <c r="U10" s="44" t="s">
        <v>169</v>
      </c>
      <c r="V10" s="44" t="s">
        <v>259</v>
      </c>
      <c r="W10" s="44" t="s">
        <v>260</v>
      </c>
      <c r="X10" s="44" t="s">
        <v>261</v>
      </c>
      <c r="Y10" s="44" t="s">
        <v>180</v>
      </c>
      <c r="Z10" s="44" t="s">
        <v>192</v>
      </c>
      <c r="AA10" s="44"/>
      <c r="AB10" s="44" t="s">
        <v>262</v>
      </c>
      <c r="AC10" s="44" t="s">
        <v>262</v>
      </c>
      <c r="AD10" s="44" t="s">
        <v>262</v>
      </c>
      <c r="AE10" s="44" t="s">
        <v>262</v>
      </c>
      <c r="AF10" s="44" t="s">
        <v>263</v>
      </c>
      <c r="AG10" s="44" t="s">
        <v>263</v>
      </c>
      <c r="AH10" s="44" t="s">
        <v>262</v>
      </c>
      <c r="AI10" s="44">
        <v>0</v>
      </c>
      <c r="AJ10" s="47" t="s">
        <v>263</v>
      </c>
    </row>
    <row r="11" spans="1:36" x14ac:dyDescent="0.45">
      <c r="A11" s="43">
        <v>10</v>
      </c>
      <c r="B11" s="44">
        <v>709</v>
      </c>
      <c r="C11" s="44" t="s">
        <v>252</v>
      </c>
      <c r="D11" s="44" t="s">
        <v>84</v>
      </c>
      <c r="E11" s="44"/>
      <c r="F11" s="44" t="s">
        <v>1031</v>
      </c>
      <c r="G11" s="44" t="s">
        <v>254</v>
      </c>
      <c r="H11" s="44" t="s">
        <v>273</v>
      </c>
      <c r="I11" s="44" t="s">
        <v>1031</v>
      </c>
      <c r="J11" s="44" t="s">
        <v>1031</v>
      </c>
      <c r="K11" s="44" t="s">
        <v>257</v>
      </c>
      <c r="L11" s="44" t="s">
        <v>274</v>
      </c>
      <c r="M11" s="44" t="s">
        <v>1031</v>
      </c>
      <c r="N11" s="44" t="s">
        <v>1031</v>
      </c>
      <c r="O11" s="44" t="s">
        <v>258</v>
      </c>
      <c r="P11" s="44" t="s">
        <v>275</v>
      </c>
      <c r="Q11" s="44" t="s">
        <v>1031</v>
      </c>
      <c r="R11" s="46">
        <v>1</v>
      </c>
      <c r="S11" s="44">
        <v>1</v>
      </c>
      <c r="T11" s="44" t="s">
        <v>137</v>
      </c>
      <c r="U11" s="44" t="s">
        <v>169</v>
      </c>
      <c r="V11" s="44" t="s">
        <v>259</v>
      </c>
      <c r="W11" s="44" t="s">
        <v>260</v>
      </c>
      <c r="X11" s="44" t="s">
        <v>261</v>
      </c>
      <c r="Y11" s="44" t="s">
        <v>180</v>
      </c>
      <c r="Z11" s="44" t="s">
        <v>192</v>
      </c>
      <c r="AA11" s="44"/>
      <c r="AB11" s="44" t="s">
        <v>262</v>
      </c>
      <c r="AC11" s="44" t="s">
        <v>262</v>
      </c>
      <c r="AD11" s="44" t="s">
        <v>262</v>
      </c>
      <c r="AE11" s="44" t="s">
        <v>262</v>
      </c>
      <c r="AF11" s="44" t="s">
        <v>263</v>
      </c>
      <c r="AG11" s="44" t="s">
        <v>263</v>
      </c>
      <c r="AH11" s="44" t="s">
        <v>262</v>
      </c>
      <c r="AI11" s="44">
        <v>0.05</v>
      </c>
      <c r="AJ11" s="47" t="s">
        <v>263</v>
      </c>
    </row>
    <row r="12" spans="1:36" x14ac:dyDescent="0.45">
      <c r="A12" s="43">
        <v>11</v>
      </c>
      <c r="B12" s="44">
        <v>710</v>
      </c>
      <c r="C12" s="44" t="s">
        <v>252</v>
      </c>
      <c r="D12" s="44" t="s">
        <v>84</v>
      </c>
      <c r="E12" s="44"/>
      <c r="F12" s="44" t="s">
        <v>1032</v>
      </c>
      <c r="G12" s="44" t="s">
        <v>254</v>
      </c>
      <c r="H12" s="44" t="s">
        <v>273</v>
      </c>
      <c r="I12" s="44" t="s">
        <v>1032</v>
      </c>
      <c r="J12" s="44" t="s">
        <v>1033</v>
      </c>
      <c r="K12" s="44" t="s">
        <v>257</v>
      </c>
      <c r="L12" s="44" t="s">
        <v>274</v>
      </c>
      <c r="M12" s="44" t="s">
        <v>1033</v>
      </c>
      <c r="N12" s="44" t="s">
        <v>286</v>
      </c>
      <c r="O12" s="44" t="s">
        <v>258</v>
      </c>
      <c r="P12" s="44" t="s">
        <v>275</v>
      </c>
      <c r="Q12" s="44" t="s">
        <v>286</v>
      </c>
      <c r="R12" s="46">
        <v>1</v>
      </c>
      <c r="S12" s="44">
        <v>1</v>
      </c>
      <c r="T12" s="44" t="s">
        <v>137</v>
      </c>
      <c r="U12" s="44" t="s">
        <v>169</v>
      </c>
      <c r="V12" s="44" t="s">
        <v>259</v>
      </c>
      <c r="W12" s="44" t="s">
        <v>260</v>
      </c>
      <c r="X12" s="44" t="s">
        <v>261</v>
      </c>
      <c r="Y12" s="44" t="s">
        <v>180</v>
      </c>
      <c r="Z12" s="44" t="s">
        <v>192</v>
      </c>
      <c r="AA12" s="44"/>
      <c r="AB12" s="44" t="s">
        <v>262</v>
      </c>
      <c r="AC12" s="44" t="s">
        <v>262</v>
      </c>
      <c r="AD12" s="44" t="s">
        <v>262</v>
      </c>
      <c r="AE12" s="44" t="s">
        <v>262</v>
      </c>
      <c r="AF12" s="44" t="s">
        <v>263</v>
      </c>
      <c r="AG12" s="44" t="s">
        <v>263</v>
      </c>
      <c r="AH12" s="44" t="s">
        <v>262</v>
      </c>
      <c r="AI12" s="44">
        <v>0.05</v>
      </c>
      <c r="AJ12" s="47" t="s">
        <v>263</v>
      </c>
    </row>
    <row r="13" spans="1:36" x14ac:dyDescent="0.45">
      <c r="A13" s="43">
        <v>12</v>
      </c>
      <c r="B13" s="44">
        <v>711</v>
      </c>
      <c r="C13" s="44" t="s">
        <v>252</v>
      </c>
      <c r="D13" s="44" t="s">
        <v>84</v>
      </c>
      <c r="E13" s="44"/>
      <c r="F13" s="44" t="s">
        <v>1034</v>
      </c>
      <c r="G13" s="44" t="s">
        <v>254</v>
      </c>
      <c r="H13" s="44" t="s">
        <v>287</v>
      </c>
      <c r="I13" s="44" t="s">
        <v>288</v>
      </c>
      <c r="J13" s="44" t="s">
        <v>1035</v>
      </c>
      <c r="K13" s="44" t="s">
        <v>257</v>
      </c>
      <c r="L13" s="44" t="s">
        <v>287</v>
      </c>
      <c r="M13" s="44" t="s">
        <v>289</v>
      </c>
      <c r="N13" s="44" t="s">
        <v>1036</v>
      </c>
      <c r="O13" s="44" t="s">
        <v>258</v>
      </c>
      <c r="P13" s="44" t="s">
        <v>287</v>
      </c>
      <c r="Q13" s="44" t="s">
        <v>290</v>
      </c>
      <c r="R13" s="46">
        <v>0.3</v>
      </c>
      <c r="S13" s="44">
        <v>100</v>
      </c>
      <c r="T13" s="44" t="s">
        <v>130</v>
      </c>
      <c r="U13" s="44" t="s">
        <v>169</v>
      </c>
      <c r="V13" s="44" t="s">
        <v>259</v>
      </c>
      <c r="W13" s="44" t="s">
        <v>260</v>
      </c>
      <c r="X13" s="44" t="s">
        <v>261</v>
      </c>
      <c r="Y13" s="44" t="s">
        <v>180</v>
      </c>
      <c r="Z13" s="44" t="s">
        <v>192</v>
      </c>
      <c r="AA13" s="44"/>
      <c r="AB13" s="44" t="s">
        <v>262</v>
      </c>
      <c r="AC13" s="44" t="s">
        <v>262</v>
      </c>
      <c r="AD13" s="44" t="s">
        <v>262</v>
      </c>
      <c r="AE13" s="44" t="s">
        <v>262</v>
      </c>
      <c r="AF13" s="44" t="s">
        <v>263</v>
      </c>
      <c r="AG13" s="44" t="s">
        <v>263</v>
      </c>
      <c r="AH13" s="44" t="s">
        <v>262</v>
      </c>
      <c r="AI13" s="44">
        <v>0.05</v>
      </c>
      <c r="AJ13" s="47" t="s">
        <v>263</v>
      </c>
    </row>
    <row r="14" spans="1:36" x14ac:dyDescent="0.45">
      <c r="A14" s="43">
        <v>13</v>
      </c>
      <c r="B14" s="44">
        <v>712</v>
      </c>
      <c r="C14" s="44" t="s">
        <v>252</v>
      </c>
      <c r="D14" s="44" t="s">
        <v>84</v>
      </c>
      <c r="E14" s="44"/>
      <c r="F14" s="44" t="s">
        <v>1034</v>
      </c>
      <c r="G14" s="44" t="s">
        <v>254</v>
      </c>
      <c r="H14" s="44" t="s">
        <v>268</v>
      </c>
      <c r="I14" s="44" t="s">
        <v>291</v>
      </c>
      <c r="J14" s="44" t="s">
        <v>1035</v>
      </c>
      <c r="K14" s="44" t="s">
        <v>257</v>
      </c>
      <c r="L14" s="44" t="s">
        <v>268</v>
      </c>
      <c r="M14" s="44" t="s">
        <v>292</v>
      </c>
      <c r="N14" s="44" t="s">
        <v>1036</v>
      </c>
      <c r="O14" s="44" t="s">
        <v>258</v>
      </c>
      <c r="P14" s="44" t="s">
        <v>268</v>
      </c>
      <c r="Q14" s="44" t="s">
        <v>293</v>
      </c>
      <c r="R14" s="46">
        <v>0.5</v>
      </c>
      <c r="S14" s="44">
        <v>100</v>
      </c>
      <c r="T14" s="44" t="s">
        <v>130</v>
      </c>
      <c r="U14" s="44" t="s">
        <v>169</v>
      </c>
      <c r="V14" s="44" t="s">
        <v>259</v>
      </c>
      <c r="W14" s="44" t="s">
        <v>260</v>
      </c>
      <c r="X14" s="44" t="s">
        <v>261</v>
      </c>
      <c r="Y14" s="44" t="s">
        <v>180</v>
      </c>
      <c r="Z14" s="44" t="s">
        <v>192</v>
      </c>
      <c r="AA14" s="44"/>
      <c r="AB14" s="44" t="s">
        <v>262</v>
      </c>
      <c r="AC14" s="44" t="s">
        <v>262</v>
      </c>
      <c r="AD14" s="44" t="s">
        <v>262</v>
      </c>
      <c r="AE14" s="44" t="s">
        <v>262</v>
      </c>
      <c r="AF14" s="44" t="s">
        <v>263</v>
      </c>
      <c r="AG14" s="44" t="s">
        <v>263</v>
      </c>
      <c r="AH14" s="44" t="s">
        <v>262</v>
      </c>
      <c r="AI14" s="44">
        <v>0.05</v>
      </c>
      <c r="AJ14" s="47" t="s">
        <v>263</v>
      </c>
    </row>
    <row r="15" spans="1:36" x14ac:dyDescent="0.45">
      <c r="A15" s="43">
        <v>14</v>
      </c>
      <c r="B15" s="44">
        <v>713</v>
      </c>
      <c r="C15" s="44" t="s">
        <v>252</v>
      </c>
      <c r="D15" s="44" t="s">
        <v>84</v>
      </c>
      <c r="E15" s="44"/>
      <c r="F15" s="44" t="s">
        <v>1034</v>
      </c>
      <c r="G15" s="44" t="s">
        <v>254</v>
      </c>
      <c r="H15" s="44" t="s">
        <v>294</v>
      </c>
      <c r="I15" s="44" t="s">
        <v>295</v>
      </c>
      <c r="J15" s="44" t="s">
        <v>1035</v>
      </c>
      <c r="K15" s="44" t="s">
        <v>257</v>
      </c>
      <c r="L15" s="44" t="s">
        <v>294</v>
      </c>
      <c r="M15" s="44" t="s">
        <v>296</v>
      </c>
      <c r="N15" s="44" t="s">
        <v>1036</v>
      </c>
      <c r="O15" s="44" t="s">
        <v>258</v>
      </c>
      <c r="P15" s="44" t="s">
        <v>294</v>
      </c>
      <c r="Q15" s="44" t="s">
        <v>297</v>
      </c>
      <c r="R15" s="46">
        <v>0.7</v>
      </c>
      <c r="S15" s="44">
        <v>100</v>
      </c>
      <c r="T15" s="44" t="s">
        <v>130</v>
      </c>
      <c r="U15" s="44" t="s">
        <v>169</v>
      </c>
      <c r="V15" s="44" t="s">
        <v>259</v>
      </c>
      <c r="W15" s="44" t="s">
        <v>260</v>
      </c>
      <c r="X15" s="44" t="s">
        <v>261</v>
      </c>
      <c r="Y15" s="44" t="s">
        <v>180</v>
      </c>
      <c r="Z15" s="44" t="s">
        <v>192</v>
      </c>
      <c r="AA15" s="44"/>
      <c r="AB15" s="44" t="s">
        <v>262</v>
      </c>
      <c r="AC15" s="44" t="s">
        <v>262</v>
      </c>
      <c r="AD15" s="44" t="s">
        <v>262</v>
      </c>
      <c r="AE15" s="44" t="s">
        <v>262</v>
      </c>
      <c r="AF15" s="44" t="s">
        <v>263</v>
      </c>
      <c r="AG15" s="44" t="s">
        <v>263</v>
      </c>
      <c r="AH15" s="44" t="s">
        <v>262</v>
      </c>
      <c r="AI15" s="44">
        <v>0.05</v>
      </c>
      <c r="AJ15" s="47" t="s">
        <v>263</v>
      </c>
    </row>
    <row r="16" spans="1:36" x14ac:dyDescent="0.45">
      <c r="A16" s="43">
        <v>15</v>
      </c>
      <c r="B16" s="44">
        <v>714</v>
      </c>
      <c r="C16" s="44" t="s">
        <v>252</v>
      </c>
      <c r="D16" s="44" t="s">
        <v>84</v>
      </c>
      <c r="E16" s="44"/>
      <c r="F16" s="44" t="s">
        <v>298</v>
      </c>
      <c r="G16" s="44" t="s">
        <v>254</v>
      </c>
      <c r="H16" s="44" t="s">
        <v>273</v>
      </c>
      <c r="I16" s="44" t="s">
        <v>298</v>
      </c>
      <c r="J16" s="44" t="s">
        <v>298</v>
      </c>
      <c r="K16" s="44" t="s">
        <v>257</v>
      </c>
      <c r="L16" s="44" t="s">
        <v>274</v>
      </c>
      <c r="M16" s="44" t="s">
        <v>298</v>
      </c>
      <c r="N16" s="44" t="s">
        <v>298</v>
      </c>
      <c r="O16" s="44" t="s">
        <v>258</v>
      </c>
      <c r="P16" s="44" t="s">
        <v>275</v>
      </c>
      <c r="Q16" s="44" t="s">
        <v>298</v>
      </c>
      <c r="R16" s="46">
        <v>1</v>
      </c>
      <c r="S16" s="44">
        <v>1</v>
      </c>
      <c r="T16" s="44" t="s">
        <v>137</v>
      </c>
      <c r="U16" s="44" t="s">
        <v>169</v>
      </c>
      <c r="V16" s="44" t="s">
        <v>259</v>
      </c>
      <c r="W16" s="44" t="s">
        <v>260</v>
      </c>
      <c r="X16" s="44" t="s">
        <v>261</v>
      </c>
      <c r="Y16" s="44" t="s">
        <v>180</v>
      </c>
      <c r="Z16" s="44" t="s">
        <v>192</v>
      </c>
      <c r="AA16" s="44"/>
      <c r="AB16" s="44" t="s">
        <v>262</v>
      </c>
      <c r="AC16" s="44" t="s">
        <v>262</v>
      </c>
      <c r="AD16" s="44" t="s">
        <v>262</v>
      </c>
      <c r="AE16" s="44" t="s">
        <v>262</v>
      </c>
      <c r="AF16" s="44" t="s">
        <v>263</v>
      </c>
      <c r="AG16" s="44" t="s">
        <v>263</v>
      </c>
      <c r="AH16" s="44" t="s">
        <v>262</v>
      </c>
      <c r="AI16" s="44">
        <v>0.05</v>
      </c>
      <c r="AJ16" s="47" t="s">
        <v>263</v>
      </c>
    </row>
    <row r="17" spans="1:36" x14ac:dyDescent="0.45">
      <c r="A17" s="43">
        <v>16</v>
      </c>
      <c r="B17" s="44">
        <v>715</v>
      </c>
      <c r="C17" s="44" t="s">
        <v>252</v>
      </c>
      <c r="D17" s="44" t="s">
        <v>84</v>
      </c>
      <c r="E17" s="44"/>
      <c r="F17" s="44" t="s">
        <v>299</v>
      </c>
      <c r="G17" s="44" t="s">
        <v>254</v>
      </c>
      <c r="H17" s="44" t="s">
        <v>273</v>
      </c>
      <c r="I17" s="44" t="s">
        <v>299</v>
      </c>
      <c r="J17" s="44" t="s">
        <v>1037</v>
      </c>
      <c r="K17" s="44" t="s">
        <v>257</v>
      </c>
      <c r="L17" s="44" t="s">
        <v>274</v>
      </c>
      <c r="M17" s="44" t="s">
        <v>1037</v>
      </c>
      <c r="N17" s="44" t="s">
        <v>299</v>
      </c>
      <c r="O17" s="44" t="s">
        <v>258</v>
      </c>
      <c r="P17" s="44" t="s">
        <v>275</v>
      </c>
      <c r="Q17" s="44" t="s">
        <v>299</v>
      </c>
      <c r="R17" s="46">
        <v>1</v>
      </c>
      <c r="S17" s="44">
        <v>1</v>
      </c>
      <c r="T17" s="44" t="s">
        <v>137</v>
      </c>
      <c r="U17" s="44" t="s">
        <v>169</v>
      </c>
      <c r="V17" s="44" t="s">
        <v>259</v>
      </c>
      <c r="W17" s="44" t="s">
        <v>260</v>
      </c>
      <c r="X17" s="44" t="s">
        <v>261</v>
      </c>
      <c r="Y17" s="44" t="s">
        <v>180</v>
      </c>
      <c r="Z17" s="44" t="s">
        <v>192</v>
      </c>
      <c r="AA17" s="44"/>
      <c r="AB17" s="44" t="s">
        <v>262</v>
      </c>
      <c r="AC17" s="44" t="s">
        <v>262</v>
      </c>
      <c r="AD17" s="44" t="s">
        <v>262</v>
      </c>
      <c r="AE17" s="44" t="s">
        <v>262</v>
      </c>
      <c r="AF17" s="44" t="s">
        <v>263</v>
      </c>
      <c r="AG17" s="44" t="s">
        <v>263</v>
      </c>
      <c r="AH17" s="44" t="s">
        <v>262</v>
      </c>
      <c r="AI17" s="44">
        <v>0.05</v>
      </c>
      <c r="AJ17" s="47" t="s">
        <v>263</v>
      </c>
    </row>
    <row r="18" spans="1:36" x14ac:dyDescent="0.45">
      <c r="A18" s="43">
        <v>17</v>
      </c>
      <c r="B18" s="44">
        <v>716</v>
      </c>
      <c r="C18" s="44" t="s">
        <v>252</v>
      </c>
      <c r="D18" s="44" t="s">
        <v>84</v>
      </c>
      <c r="E18" s="44"/>
      <c r="F18" s="44" t="s">
        <v>300</v>
      </c>
      <c r="G18" s="44" t="s">
        <v>254</v>
      </c>
      <c r="H18" s="44" t="s">
        <v>273</v>
      </c>
      <c r="I18" s="44" t="s">
        <v>300</v>
      </c>
      <c r="J18" s="44" t="s">
        <v>300</v>
      </c>
      <c r="K18" s="44" t="s">
        <v>257</v>
      </c>
      <c r="L18" s="44" t="s">
        <v>274</v>
      </c>
      <c r="M18" s="44" t="s">
        <v>300</v>
      </c>
      <c r="N18" s="44" t="s">
        <v>300</v>
      </c>
      <c r="O18" s="44" t="s">
        <v>258</v>
      </c>
      <c r="P18" s="44" t="s">
        <v>275</v>
      </c>
      <c r="Q18" s="44" t="s">
        <v>300</v>
      </c>
      <c r="R18" s="46">
        <v>1</v>
      </c>
      <c r="S18" s="44">
        <v>1</v>
      </c>
      <c r="T18" s="44" t="s">
        <v>137</v>
      </c>
      <c r="U18" s="44" t="s">
        <v>169</v>
      </c>
      <c r="V18" s="44" t="s">
        <v>259</v>
      </c>
      <c r="W18" s="44" t="s">
        <v>260</v>
      </c>
      <c r="X18" s="44" t="s">
        <v>261</v>
      </c>
      <c r="Y18" s="44" t="s">
        <v>180</v>
      </c>
      <c r="Z18" s="44" t="s">
        <v>192</v>
      </c>
      <c r="AA18" s="44"/>
      <c r="AB18" s="44" t="s">
        <v>262</v>
      </c>
      <c r="AC18" s="44" t="s">
        <v>262</v>
      </c>
      <c r="AD18" s="44" t="s">
        <v>262</v>
      </c>
      <c r="AE18" s="44" t="s">
        <v>262</v>
      </c>
      <c r="AF18" s="44" t="s">
        <v>263</v>
      </c>
      <c r="AG18" s="44" t="s">
        <v>263</v>
      </c>
      <c r="AH18" s="44" t="s">
        <v>262</v>
      </c>
      <c r="AI18" s="44">
        <v>0.05</v>
      </c>
      <c r="AJ18" s="47" t="s">
        <v>263</v>
      </c>
    </row>
    <row r="19" spans="1:36" x14ac:dyDescent="0.45">
      <c r="A19" s="43">
        <v>22</v>
      </c>
      <c r="B19" s="44">
        <v>717</v>
      </c>
      <c r="C19" s="44" t="s">
        <v>252</v>
      </c>
      <c r="D19" s="44" t="s">
        <v>84</v>
      </c>
      <c r="E19" s="44"/>
      <c r="F19" s="44" t="s">
        <v>301</v>
      </c>
      <c r="G19" s="44" t="s">
        <v>254</v>
      </c>
      <c r="H19" s="44" t="s">
        <v>268</v>
      </c>
      <c r="I19" s="44" t="s">
        <v>302</v>
      </c>
      <c r="J19" s="44" t="s">
        <v>303</v>
      </c>
      <c r="K19" s="44" t="s">
        <v>257</v>
      </c>
      <c r="L19" s="44" t="s">
        <v>268</v>
      </c>
      <c r="M19" s="44" t="s">
        <v>304</v>
      </c>
      <c r="N19" s="44" t="s">
        <v>305</v>
      </c>
      <c r="O19" s="44" t="s">
        <v>258</v>
      </c>
      <c r="P19" s="44" t="s">
        <v>268</v>
      </c>
      <c r="Q19" s="44" t="s">
        <v>306</v>
      </c>
      <c r="R19" s="46">
        <v>0.5</v>
      </c>
      <c r="S19" s="44">
        <v>100</v>
      </c>
      <c r="T19" s="44" t="s">
        <v>130</v>
      </c>
      <c r="U19" s="44" t="s">
        <v>169</v>
      </c>
      <c r="V19" s="44" t="s">
        <v>259</v>
      </c>
      <c r="W19" s="44" t="s">
        <v>260</v>
      </c>
      <c r="X19" s="44" t="s">
        <v>261</v>
      </c>
      <c r="Y19" s="44" t="s">
        <v>180</v>
      </c>
      <c r="Z19" s="44" t="s">
        <v>192</v>
      </c>
      <c r="AA19" s="44"/>
      <c r="AB19" s="44" t="s">
        <v>262</v>
      </c>
      <c r="AC19" s="44" t="s">
        <v>262</v>
      </c>
      <c r="AD19" s="44" t="s">
        <v>262</v>
      </c>
      <c r="AE19" s="44" t="s">
        <v>262</v>
      </c>
      <c r="AF19" s="44" t="s">
        <v>263</v>
      </c>
      <c r="AG19" s="44" t="s">
        <v>263</v>
      </c>
      <c r="AH19" s="44" t="s">
        <v>262</v>
      </c>
      <c r="AI19" s="44">
        <v>0.05</v>
      </c>
      <c r="AJ19" s="47" t="s">
        <v>263</v>
      </c>
    </row>
    <row r="20" spans="1:36" x14ac:dyDescent="0.45">
      <c r="A20" s="43">
        <v>23</v>
      </c>
      <c r="B20" s="44">
        <v>718</v>
      </c>
      <c r="C20" s="44" t="s">
        <v>252</v>
      </c>
      <c r="D20" s="44" t="s">
        <v>84</v>
      </c>
      <c r="E20" s="44"/>
      <c r="F20" s="44" t="s">
        <v>1038</v>
      </c>
      <c r="G20" s="44" t="s">
        <v>254</v>
      </c>
      <c r="H20" s="44" t="s">
        <v>307</v>
      </c>
      <c r="I20" s="44" t="s">
        <v>308</v>
      </c>
      <c r="J20" s="44" t="s">
        <v>303</v>
      </c>
      <c r="K20" s="44" t="s">
        <v>257</v>
      </c>
      <c r="L20" s="44" t="s">
        <v>307</v>
      </c>
      <c r="M20" s="44" t="s">
        <v>309</v>
      </c>
      <c r="N20" s="44" t="s">
        <v>305</v>
      </c>
      <c r="O20" s="44" t="s">
        <v>258</v>
      </c>
      <c r="P20" s="44" t="s">
        <v>307</v>
      </c>
      <c r="Q20" s="44" t="s">
        <v>310</v>
      </c>
      <c r="R20" s="46">
        <v>1</v>
      </c>
      <c r="S20" s="44">
        <v>100</v>
      </c>
      <c r="T20" s="44" t="s">
        <v>130</v>
      </c>
      <c r="U20" s="44" t="s">
        <v>169</v>
      </c>
      <c r="V20" s="44" t="s">
        <v>259</v>
      </c>
      <c r="W20" s="44" t="s">
        <v>260</v>
      </c>
      <c r="X20" s="44" t="s">
        <v>261</v>
      </c>
      <c r="Y20" s="44" t="s">
        <v>180</v>
      </c>
      <c r="Z20" s="44" t="s">
        <v>192</v>
      </c>
      <c r="AA20" s="44"/>
      <c r="AB20" s="44" t="s">
        <v>262</v>
      </c>
      <c r="AC20" s="44" t="s">
        <v>262</v>
      </c>
      <c r="AD20" s="44" t="s">
        <v>262</v>
      </c>
      <c r="AE20" s="44" t="s">
        <v>262</v>
      </c>
      <c r="AF20" s="44" t="s">
        <v>263</v>
      </c>
      <c r="AG20" s="44" t="s">
        <v>263</v>
      </c>
      <c r="AH20" s="44" t="s">
        <v>262</v>
      </c>
      <c r="AI20" s="44">
        <v>0.05</v>
      </c>
      <c r="AJ20" s="47" t="s">
        <v>263</v>
      </c>
    </row>
    <row r="21" spans="1:36" x14ac:dyDescent="0.45">
      <c r="A21" s="43">
        <v>24</v>
      </c>
      <c r="B21" s="44">
        <v>719</v>
      </c>
      <c r="C21" s="44" t="s">
        <v>252</v>
      </c>
      <c r="D21" s="44" t="s">
        <v>84</v>
      </c>
      <c r="E21" s="44"/>
      <c r="F21" s="44" t="s">
        <v>1038</v>
      </c>
      <c r="G21" s="44" t="s">
        <v>254</v>
      </c>
      <c r="H21" s="44" t="s">
        <v>255</v>
      </c>
      <c r="I21" s="44" t="s">
        <v>311</v>
      </c>
      <c r="J21" s="44" t="s">
        <v>303</v>
      </c>
      <c r="K21" s="44" t="s">
        <v>257</v>
      </c>
      <c r="L21" s="44" t="s">
        <v>255</v>
      </c>
      <c r="M21" s="44" t="s">
        <v>312</v>
      </c>
      <c r="N21" s="44" t="s">
        <v>305</v>
      </c>
      <c r="O21" s="44" t="s">
        <v>258</v>
      </c>
      <c r="P21" s="44" t="s">
        <v>255</v>
      </c>
      <c r="Q21" s="44" t="s">
        <v>313</v>
      </c>
      <c r="R21" s="46">
        <v>0.25</v>
      </c>
      <c r="S21" s="44">
        <v>100</v>
      </c>
      <c r="T21" s="44" t="s">
        <v>130</v>
      </c>
      <c r="U21" s="44" t="s">
        <v>169</v>
      </c>
      <c r="V21" s="44" t="s">
        <v>259</v>
      </c>
      <c r="W21" s="44" t="s">
        <v>260</v>
      </c>
      <c r="X21" s="44" t="s">
        <v>261</v>
      </c>
      <c r="Y21" s="44" t="s">
        <v>180</v>
      </c>
      <c r="Z21" s="44" t="s">
        <v>192</v>
      </c>
      <c r="AA21" s="44"/>
      <c r="AB21" s="44" t="s">
        <v>262</v>
      </c>
      <c r="AC21" s="44" t="s">
        <v>262</v>
      </c>
      <c r="AD21" s="44" t="s">
        <v>262</v>
      </c>
      <c r="AE21" s="44" t="s">
        <v>262</v>
      </c>
      <c r="AF21" s="44" t="s">
        <v>263</v>
      </c>
      <c r="AG21" s="44" t="s">
        <v>263</v>
      </c>
      <c r="AH21" s="44" t="s">
        <v>262</v>
      </c>
      <c r="AI21" s="44">
        <v>0.05</v>
      </c>
      <c r="AJ21" s="47" t="s">
        <v>263</v>
      </c>
    </row>
    <row r="22" spans="1:36" x14ac:dyDescent="0.45">
      <c r="A22" s="43">
        <v>25</v>
      </c>
      <c r="B22" s="44">
        <v>720</v>
      </c>
      <c r="C22" s="44" t="s">
        <v>252</v>
      </c>
      <c r="D22" s="44" t="s">
        <v>84</v>
      </c>
      <c r="E22" s="44"/>
      <c r="F22" s="44" t="s">
        <v>1039</v>
      </c>
      <c r="G22" s="44" t="s">
        <v>254</v>
      </c>
      <c r="H22" s="44" t="s">
        <v>273</v>
      </c>
      <c r="I22" s="44" t="s">
        <v>1039</v>
      </c>
      <c r="J22" s="44" t="s">
        <v>1040</v>
      </c>
      <c r="K22" s="44" t="s">
        <v>257</v>
      </c>
      <c r="L22" s="44" t="s">
        <v>274</v>
      </c>
      <c r="M22" s="44" t="s">
        <v>1040</v>
      </c>
      <c r="N22" s="44" t="s">
        <v>1041</v>
      </c>
      <c r="O22" s="44" t="s">
        <v>258</v>
      </c>
      <c r="P22" s="44" t="s">
        <v>275</v>
      </c>
      <c r="Q22" s="44" t="s">
        <v>1041</v>
      </c>
      <c r="R22" s="46">
        <v>1</v>
      </c>
      <c r="S22" s="44">
        <v>1</v>
      </c>
      <c r="T22" s="44" t="s">
        <v>137</v>
      </c>
      <c r="U22" s="44" t="s">
        <v>169</v>
      </c>
      <c r="V22" s="44" t="s">
        <v>259</v>
      </c>
      <c r="W22" s="44" t="s">
        <v>260</v>
      </c>
      <c r="X22" s="44" t="s">
        <v>261</v>
      </c>
      <c r="Y22" s="44" t="s">
        <v>180</v>
      </c>
      <c r="Z22" s="44" t="s">
        <v>192</v>
      </c>
      <c r="AA22" s="44"/>
      <c r="AB22" s="44" t="s">
        <v>262</v>
      </c>
      <c r="AC22" s="44" t="s">
        <v>262</v>
      </c>
      <c r="AD22" s="44" t="s">
        <v>262</v>
      </c>
      <c r="AE22" s="44" t="s">
        <v>262</v>
      </c>
      <c r="AF22" s="44" t="s">
        <v>263</v>
      </c>
      <c r="AG22" s="44" t="s">
        <v>263</v>
      </c>
      <c r="AH22" s="44" t="s">
        <v>262</v>
      </c>
      <c r="AI22" s="44">
        <v>0.05</v>
      </c>
      <c r="AJ22" s="47" t="s">
        <v>263</v>
      </c>
    </row>
    <row r="23" spans="1:36" x14ac:dyDescent="0.45">
      <c r="A23" s="43">
        <v>26</v>
      </c>
      <c r="B23" s="44">
        <v>721</v>
      </c>
      <c r="C23" s="44" t="s">
        <v>252</v>
      </c>
      <c r="D23" s="44" t="s">
        <v>84</v>
      </c>
      <c r="E23" s="44"/>
      <c r="F23" s="44" t="s">
        <v>1042</v>
      </c>
      <c r="G23" s="44" t="s">
        <v>254</v>
      </c>
      <c r="H23" s="44" t="s">
        <v>273</v>
      </c>
      <c r="I23" s="44" t="s">
        <v>1042</v>
      </c>
      <c r="J23" s="44" t="s">
        <v>1043</v>
      </c>
      <c r="K23" s="44" t="s">
        <v>257</v>
      </c>
      <c r="L23" s="44" t="s">
        <v>274</v>
      </c>
      <c r="M23" s="44" t="s">
        <v>1043</v>
      </c>
      <c r="N23" s="44" t="s">
        <v>314</v>
      </c>
      <c r="O23" s="44" t="s">
        <v>258</v>
      </c>
      <c r="P23" s="44" t="s">
        <v>275</v>
      </c>
      <c r="Q23" s="44" t="s">
        <v>314</v>
      </c>
      <c r="R23" s="46">
        <v>1</v>
      </c>
      <c r="S23" s="44">
        <v>1</v>
      </c>
      <c r="T23" s="44" t="s">
        <v>137</v>
      </c>
      <c r="U23" s="44" t="s">
        <v>169</v>
      </c>
      <c r="V23" s="44" t="s">
        <v>259</v>
      </c>
      <c r="W23" s="44" t="s">
        <v>260</v>
      </c>
      <c r="X23" s="44" t="s">
        <v>261</v>
      </c>
      <c r="Y23" s="44" t="s">
        <v>180</v>
      </c>
      <c r="Z23" s="44" t="s">
        <v>192</v>
      </c>
      <c r="AA23" s="44"/>
      <c r="AB23" s="44" t="s">
        <v>262</v>
      </c>
      <c r="AC23" s="44" t="s">
        <v>262</v>
      </c>
      <c r="AD23" s="44" t="s">
        <v>262</v>
      </c>
      <c r="AE23" s="44" t="s">
        <v>262</v>
      </c>
      <c r="AF23" s="44" t="s">
        <v>263</v>
      </c>
      <c r="AG23" s="44" t="s">
        <v>263</v>
      </c>
      <c r="AH23" s="44" t="s">
        <v>262</v>
      </c>
      <c r="AI23" s="44">
        <v>0.05</v>
      </c>
      <c r="AJ23" s="47" t="s">
        <v>263</v>
      </c>
    </row>
    <row r="24" spans="1:36" x14ac:dyDescent="0.45">
      <c r="A24" s="43">
        <v>27</v>
      </c>
      <c r="B24" s="44">
        <v>722</v>
      </c>
      <c r="C24" s="44" t="s">
        <v>252</v>
      </c>
      <c r="D24" s="44" t="s">
        <v>84</v>
      </c>
      <c r="E24" s="44"/>
      <c r="F24" s="44" t="s">
        <v>1044</v>
      </c>
      <c r="G24" s="44" t="s">
        <v>254</v>
      </c>
      <c r="H24" s="44" t="s">
        <v>273</v>
      </c>
      <c r="I24" s="44" t="s">
        <v>1044</v>
      </c>
      <c r="J24" s="44" t="s">
        <v>1045</v>
      </c>
      <c r="K24" s="44" t="s">
        <v>257</v>
      </c>
      <c r="L24" s="44" t="s">
        <v>274</v>
      </c>
      <c r="M24" s="44" t="s">
        <v>1045</v>
      </c>
      <c r="N24" s="44" t="s">
        <v>315</v>
      </c>
      <c r="O24" s="44" t="s">
        <v>258</v>
      </c>
      <c r="P24" s="44" t="s">
        <v>275</v>
      </c>
      <c r="Q24" s="44" t="s">
        <v>315</v>
      </c>
      <c r="R24" s="46">
        <v>1</v>
      </c>
      <c r="S24" s="44">
        <v>1</v>
      </c>
      <c r="T24" s="44" t="s">
        <v>137</v>
      </c>
      <c r="U24" s="44" t="s">
        <v>169</v>
      </c>
      <c r="V24" s="44" t="s">
        <v>259</v>
      </c>
      <c r="W24" s="44" t="s">
        <v>260</v>
      </c>
      <c r="X24" s="44" t="s">
        <v>261</v>
      </c>
      <c r="Y24" s="44" t="s">
        <v>180</v>
      </c>
      <c r="Z24" s="44" t="s">
        <v>192</v>
      </c>
      <c r="AA24" s="44"/>
      <c r="AB24" s="44" t="s">
        <v>262</v>
      </c>
      <c r="AC24" s="44" t="s">
        <v>262</v>
      </c>
      <c r="AD24" s="44" t="s">
        <v>262</v>
      </c>
      <c r="AE24" s="44" t="s">
        <v>262</v>
      </c>
      <c r="AF24" s="44" t="s">
        <v>263</v>
      </c>
      <c r="AG24" s="44" t="s">
        <v>263</v>
      </c>
      <c r="AH24" s="44" t="s">
        <v>262</v>
      </c>
      <c r="AI24" s="44">
        <v>0.05</v>
      </c>
      <c r="AJ24" s="47" t="s">
        <v>263</v>
      </c>
    </row>
    <row r="25" spans="1:36" x14ac:dyDescent="0.45">
      <c r="A25" s="43">
        <v>28</v>
      </c>
      <c r="B25" s="44">
        <v>723</v>
      </c>
      <c r="C25" s="44" t="s">
        <v>252</v>
      </c>
      <c r="D25" s="44" t="s">
        <v>84</v>
      </c>
      <c r="E25" s="44"/>
      <c r="F25" s="44" t="s">
        <v>1046</v>
      </c>
      <c r="G25" s="44" t="s">
        <v>254</v>
      </c>
      <c r="H25" s="44" t="s">
        <v>273</v>
      </c>
      <c r="I25" s="44" t="s">
        <v>1046</v>
      </c>
      <c r="J25" s="44" t="s">
        <v>316</v>
      </c>
      <c r="K25" s="44" t="s">
        <v>257</v>
      </c>
      <c r="L25" s="44" t="s">
        <v>274</v>
      </c>
      <c r="M25" s="44" t="s">
        <v>316</v>
      </c>
      <c r="N25" s="44" t="s">
        <v>317</v>
      </c>
      <c r="O25" s="44" t="s">
        <v>258</v>
      </c>
      <c r="P25" s="44" t="s">
        <v>275</v>
      </c>
      <c r="Q25" s="44" t="s">
        <v>317</v>
      </c>
      <c r="R25" s="46">
        <v>1</v>
      </c>
      <c r="S25" s="44">
        <v>1</v>
      </c>
      <c r="T25" s="44" t="s">
        <v>137</v>
      </c>
      <c r="U25" s="44" t="s">
        <v>169</v>
      </c>
      <c r="V25" s="44" t="s">
        <v>259</v>
      </c>
      <c r="W25" s="44" t="s">
        <v>260</v>
      </c>
      <c r="X25" s="44" t="s">
        <v>261</v>
      </c>
      <c r="Y25" s="44" t="s">
        <v>180</v>
      </c>
      <c r="Z25" s="44" t="s">
        <v>192</v>
      </c>
      <c r="AA25" s="44"/>
      <c r="AB25" s="44" t="s">
        <v>262</v>
      </c>
      <c r="AC25" s="44" t="s">
        <v>262</v>
      </c>
      <c r="AD25" s="44" t="s">
        <v>262</v>
      </c>
      <c r="AE25" s="44" t="s">
        <v>262</v>
      </c>
      <c r="AF25" s="44" t="s">
        <v>263</v>
      </c>
      <c r="AG25" s="44" t="s">
        <v>263</v>
      </c>
      <c r="AH25" s="44" t="s">
        <v>262</v>
      </c>
      <c r="AI25" s="44">
        <v>0.05</v>
      </c>
      <c r="AJ25" s="47" t="s">
        <v>263</v>
      </c>
    </row>
    <row r="26" spans="1:36" x14ac:dyDescent="0.45">
      <c r="A26" s="43">
        <v>29</v>
      </c>
      <c r="B26" s="44">
        <v>724</v>
      </c>
      <c r="C26" s="44" t="s">
        <v>252</v>
      </c>
      <c r="D26" s="44" t="s">
        <v>84</v>
      </c>
      <c r="E26" s="44"/>
      <c r="F26" s="44" t="s">
        <v>1047</v>
      </c>
      <c r="G26" s="44" t="s">
        <v>254</v>
      </c>
      <c r="H26" s="44" t="s">
        <v>273</v>
      </c>
      <c r="I26" s="44" t="s">
        <v>1047</v>
      </c>
      <c r="J26" s="44" t="s">
        <v>318</v>
      </c>
      <c r="K26" s="44" t="s">
        <v>257</v>
      </c>
      <c r="L26" s="44" t="s">
        <v>274</v>
      </c>
      <c r="M26" s="44" t="s">
        <v>319</v>
      </c>
      <c r="N26" s="44" t="s">
        <v>1048</v>
      </c>
      <c r="O26" s="44" t="s">
        <v>258</v>
      </c>
      <c r="P26" s="44" t="s">
        <v>275</v>
      </c>
      <c r="Q26" s="44" t="s">
        <v>1048</v>
      </c>
      <c r="R26" s="46">
        <v>1</v>
      </c>
      <c r="S26" s="44">
        <v>1</v>
      </c>
      <c r="T26" s="44" t="s">
        <v>137</v>
      </c>
      <c r="U26" s="44" t="s">
        <v>169</v>
      </c>
      <c r="V26" s="44" t="s">
        <v>259</v>
      </c>
      <c r="W26" s="44" t="s">
        <v>260</v>
      </c>
      <c r="X26" s="44" t="s">
        <v>261</v>
      </c>
      <c r="Y26" s="44" t="s">
        <v>180</v>
      </c>
      <c r="Z26" s="44" t="s">
        <v>192</v>
      </c>
      <c r="AA26" s="44"/>
      <c r="AB26" s="44" t="s">
        <v>262</v>
      </c>
      <c r="AC26" s="44" t="s">
        <v>262</v>
      </c>
      <c r="AD26" s="44" t="s">
        <v>262</v>
      </c>
      <c r="AE26" s="44" t="s">
        <v>262</v>
      </c>
      <c r="AF26" s="44" t="s">
        <v>263</v>
      </c>
      <c r="AG26" s="44" t="s">
        <v>263</v>
      </c>
      <c r="AH26" s="44" t="s">
        <v>262</v>
      </c>
      <c r="AI26" s="44">
        <v>0.05</v>
      </c>
      <c r="AJ26" s="47" t="s">
        <v>263</v>
      </c>
    </row>
    <row r="27" spans="1:36" x14ac:dyDescent="0.45">
      <c r="A27" s="43">
        <v>30</v>
      </c>
      <c r="B27" s="44">
        <v>725</v>
      </c>
      <c r="C27" s="44" t="s">
        <v>252</v>
      </c>
      <c r="D27" s="44" t="s">
        <v>84</v>
      </c>
      <c r="E27" s="44"/>
      <c r="F27" s="44" t="s">
        <v>1049</v>
      </c>
      <c r="G27" s="44" t="s">
        <v>254</v>
      </c>
      <c r="H27" s="44" t="s">
        <v>273</v>
      </c>
      <c r="I27" s="44" t="s">
        <v>1049</v>
      </c>
      <c r="J27" s="44" t="s">
        <v>320</v>
      </c>
      <c r="K27" s="44" t="s">
        <v>257</v>
      </c>
      <c r="L27" s="44" t="s">
        <v>274</v>
      </c>
      <c r="M27" s="44" t="s">
        <v>320</v>
      </c>
      <c r="N27" s="44" t="s">
        <v>321</v>
      </c>
      <c r="O27" s="44" t="s">
        <v>258</v>
      </c>
      <c r="P27" s="44" t="s">
        <v>275</v>
      </c>
      <c r="Q27" s="44" t="s">
        <v>321</v>
      </c>
      <c r="R27" s="46">
        <v>1</v>
      </c>
      <c r="S27" s="44">
        <v>1</v>
      </c>
      <c r="T27" s="44" t="s">
        <v>137</v>
      </c>
      <c r="U27" s="44" t="s">
        <v>169</v>
      </c>
      <c r="V27" s="44" t="s">
        <v>259</v>
      </c>
      <c r="W27" s="44" t="s">
        <v>260</v>
      </c>
      <c r="X27" s="44" t="s">
        <v>261</v>
      </c>
      <c r="Y27" s="44" t="s">
        <v>180</v>
      </c>
      <c r="Z27" s="44" t="s">
        <v>192</v>
      </c>
      <c r="AA27" s="44"/>
      <c r="AB27" s="44" t="s">
        <v>262</v>
      </c>
      <c r="AC27" s="44" t="s">
        <v>262</v>
      </c>
      <c r="AD27" s="44" t="s">
        <v>262</v>
      </c>
      <c r="AE27" s="44" t="s">
        <v>262</v>
      </c>
      <c r="AF27" s="44" t="s">
        <v>263</v>
      </c>
      <c r="AG27" s="44" t="s">
        <v>263</v>
      </c>
      <c r="AH27" s="44" t="s">
        <v>262</v>
      </c>
      <c r="AI27" s="44">
        <v>0.05</v>
      </c>
      <c r="AJ27" s="47" t="s">
        <v>263</v>
      </c>
    </row>
    <row r="28" spans="1:36" x14ac:dyDescent="0.45">
      <c r="A28" s="43">
        <v>31</v>
      </c>
      <c r="B28" s="44">
        <v>726</v>
      </c>
      <c r="C28" s="44" t="s">
        <v>252</v>
      </c>
      <c r="D28" s="44" t="s">
        <v>84</v>
      </c>
      <c r="E28" s="44"/>
      <c r="F28" s="44" t="s">
        <v>1050</v>
      </c>
      <c r="G28" s="44" t="s">
        <v>254</v>
      </c>
      <c r="H28" s="44" t="s">
        <v>273</v>
      </c>
      <c r="I28" s="44" t="s">
        <v>1050</v>
      </c>
      <c r="J28" s="44" t="s">
        <v>322</v>
      </c>
      <c r="K28" s="44" t="s">
        <v>257</v>
      </c>
      <c r="L28" s="44" t="s">
        <v>274</v>
      </c>
      <c r="M28" s="44" t="s">
        <v>322</v>
      </c>
      <c r="N28" s="44" t="s">
        <v>323</v>
      </c>
      <c r="O28" s="44" t="s">
        <v>258</v>
      </c>
      <c r="P28" s="44" t="s">
        <v>275</v>
      </c>
      <c r="Q28" s="44" t="s">
        <v>323</v>
      </c>
      <c r="R28" s="46">
        <v>1</v>
      </c>
      <c r="S28" s="44">
        <v>1</v>
      </c>
      <c r="T28" s="44" t="s">
        <v>137</v>
      </c>
      <c r="U28" s="44" t="s">
        <v>169</v>
      </c>
      <c r="V28" s="44" t="s">
        <v>259</v>
      </c>
      <c r="W28" s="44" t="s">
        <v>260</v>
      </c>
      <c r="X28" s="44" t="s">
        <v>261</v>
      </c>
      <c r="Y28" s="44" t="s">
        <v>180</v>
      </c>
      <c r="Z28" s="44" t="s">
        <v>192</v>
      </c>
      <c r="AA28" s="44"/>
      <c r="AB28" s="44" t="s">
        <v>262</v>
      </c>
      <c r="AC28" s="44" t="s">
        <v>262</v>
      </c>
      <c r="AD28" s="44" t="s">
        <v>262</v>
      </c>
      <c r="AE28" s="44" t="s">
        <v>262</v>
      </c>
      <c r="AF28" s="44" t="s">
        <v>263</v>
      </c>
      <c r="AG28" s="44" t="s">
        <v>263</v>
      </c>
      <c r="AH28" s="44" t="s">
        <v>262</v>
      </c>
      <c r="AI28" s="44">
        <v>0.05</v>
      </c>
      <c r="AJ28" s="47" t="s">
        <v>263</v>
      </c>
    </row>
    <row r="29" spans="1:36" x14ac:dyDescent="0.45">
      <c r="A29" s="43">
        <v>33</v>
      </c>
      <c r="B29" s="44">
        <v>727</v>
      </c>
      <c r="C29" s="44" t="s">
        <v>252</v>
      </c>
      <c r="D29" s="44" t="s">
        <v>84</v>
      </c>
      <c r="E29" s="44"/>
      <c r="F29" s="44" t="s">
        <v>324</v>
      </c>
      <c r="G29" s="44" t="s">
        <v>254</v>
      </c>
      <c r="H29" s="44" t="s">
        <v>273</v>
      </c>
      <c r="I29" s="44" t="s">
        <v>324</v>
      </c>
      <c r="J29" s="44" t="s">
        <v>1051</v>
      </c>
      <c r="K29" s="44" t="s">
        <v>257</v>
      </c>
      <c r="L29" s="44" t="s">
        <v>274</v>
      </c>
      <c r="M29" s="44" t="s">
        <v>1051</v>
      </c>
      <c r="N29" s="44" t="s">
        <v>1051</v>
      </c>
      <c r="O29" s="44" t="s">
        <v>258</v>
      </c>
      <c r="P29" s="44" t="s">
        <v>275</v>
      </c>
      <c r="Q29" s="44" t="s">
        <v>1051</v>
      </c>
      <c r="R29" s="46">
        <v>1</v>
      </c>
      <c r="S29" s="44">
        <v>1</v>
      </c>
      <c r="T29" s="44" t="s">
        <v>137</v>
      </c>
      <c r="U29" s="44" t="s">
        <v>169</v>
      </c>
      <c r="V29" s="44" t="s">
        <v>259</v>
      </c>
      <c r="W29" s="44" t="s">
        <v>260</v>
      </c>
      <c r="X29" s="44" t="s">
        <v>261</v>
      </c>
      <c r="Y29" s="44" t="s">
        <v>180</v>
      </c>
      <c r="Z29" s="44" t="s">
        <v>192</v>
      </c>
      <c r="AA29" s="44"/>
      <c r="AB29" s="44" t="s">
        <v>262</v>
      </c>
      <c r="AC29" s="44" t="s">
        <v>262</v>
      </c>
      <c r="AD29" s="44" t="s">
        <v>262</v>
      </c>
      <c r="AE29" s="44" t="s">
        <v>262</v>
      </c>
      <c r="AF29" s="44" t="s">
        <v>263</v>
      </c>
      <c r="AG29" s="44" t="s">
        <v>263</v>
      </c>
      <c r="AH29" s="44" t="s">
        <v>262</v>
      </c>
      <c r="AI29" s="44">
        <v>0.05</v>
      </c>
      <c r="AJ29" s="47" t="s">
        <v>263</v>
      </c>
    </row>
    <row r="30" spans="1:36" x14ac:dyDescent="0.45">
      <c r="A30" s="43">
        <v>35</v>
      </c>
      <c r="B30" s="44">
        <v>728</v>
      </c>
      <c r="C30" s="44" t="s">
        <v>252</v>
      </c>
      <c r="D30" s="44" t="s">
        <v>84</v>
      </c>
      <c r="E30" s="44"/>
      <c r="F30" s="44" t="s">
        <v>325</v>
      </c>
      <c r="G30" s="44" t="s">
        <v>254</v>
      </c>
      <c r="H30" s="44" t="s">
        <v>307</v>
      </c>
      <c r="I30" s="44" t="s">
        <v>326</v>
      </c>
      <c r="J30" s="44" t="s">
        <v>1052</v>
      </c>
      <c r="K30" s="44" t="s">
        <v>257</v>
      </c>
      <c r="L30" s="44" t="s">
        <v>307</v>
      </c>
      <c r="M30" s="44" t="s">
        <v>327</v>
      </c>
      <c r="N30" s="44" t="s">
        <v>1053</v>
      </c>
      <c r="O30" s="44" t="s">
        <v>258</v>
      </c>
      <c r="P30" s="44" t="s">
        <v>307</v>
      </c>
      <c r="Q30" s="44" t="s">
        <v>328</v>
      </c>
      <c r="R30" s="46">
        <v>1</v>
      </c>
      <c r="S30" s="44">
        <v>100</v>
      </c>
      <c r="T30" s="44" t="s">
        <v>130</v>
      </c>
      <c r="U30" s="44" t="s">
        <v>169</v>
      </c>
      <c r="V30" s="44" t="s">
        <v>259</v>
      </c>
      <c r="W30" s="44" t="s">
        <v>260</v>
      </c>
      <c r="X30" s="44" t="s">
        <v>261</v>
      </c>
      <c r="Y30" s="44" t="s">
        <v>180</v>
      </c>
      <c r="Z30" s="44" t="s">
        <v>192</v>
      </c>
      <c r="AA30" s="44"/>
      <c r="AB30" s="44" t="s">
        <v>262</v>
      </c>
      <c r="AC30" s="44" t="s">
        <v>262</v>
      </c>
      <c r="AD30" s="44" t="s">
        <v>262</v>
      </c>
      <c r="AE30" s="44" t="s">
        <v>262</v>
      </c>
      <c r="AF30" s="44" t="s">
        <v>263</v>
      </c>
      <c r="AG30" s="44" t="s">
        <v>263</v>
      </c>
      <c r="AH30" s="44" t="s">
        <v>262</v>
      </c>
      <c r="AI30" s="44">
        <v>0.05</v>
      </c>
      <c r="AJ30" s="47" t="s">
        <v>263</v>
      </c>
    </row>
    <row r="31" spans="1:36" x14ac:dyDescent="0.45">
      <c r="A31" s="43">
        <v>36</v>
      </c>
      <c r="B31" s="44">
        <v>729</v>
      </c>
      <c r="C31" s="44" t="s">
        <v>252</v>
      </c>
      <c r="D31" s="44" t="s">
        <v>84</v>
      </c>
      <c r="E31" s="44"/>
      <c r="F31" s="44" t="s">
        <v>325</v>
      </c>
      <c r="G31" s="44" t="s">
        <v>254</v>
      </c>
      <c r="H31" s="44" t="s">
        <v>268</v>
      </c>
      <c r="I31" s="44" t="s">
        <v>329</v>
      </c>
      <c r="J31" s="44" t="s">
        <v>1052</v>
      </c>
      <c r="K31" s="44" t="s">
        <v>257</v>
      </c>
      <c r="L31" s="44" t="s">
        <v>268</v>
      </c>
      <c r="M31" s="44" t="s">
        <v>330</v>
      </c>
      <c r="N31" s="44" t="s">
        <v>331</v>
      </c>
      <c r="O31" s="44" t="s">
        <v>258</v>
      </c>
      <c r="P31" s="44" t="s">
        <v>268</v>
      </c>
      <c r="Q31" s="44" t="s">
        <v>332</v>
      </c>
      <c r="R31" s="46">
        <v>0.5</v>
      </c>
      <c r="S31" s="44">
        <v>100</v>
      </c>
      <c r="T31" s="44" t="s">
        <v>130</v>
      </c>
      <c r="U31" s="44" t="s">
        <v>169</v>
      </c>
      <c r="V31" s="44" t="s">
        <v>259</v>
      </c>
      <c r="W31" s="44" t="s">
        <v>260</v>
      </c>
      <c r="X31" s="44" t="s">
        <v>261</v>
      </c>
      <c r="Y31" s="44" t="s">
        <v>180</v>
      </c>
      <c r="Z31" s="44" t="s">
        <v>192</v>
      </c>
      <c r="AA31" s="44"/>
      <c r="AB31" s="44" t="s">
        <v>262</v>
      </c>
      <c r="AC31" s="44" t="s">
        <v>262</v>
      </c>
      <c r="AD31" s="44" t="s">
        <v>262</v>
      </c>
      <c r="AE31" s="44" t="s">
        <v>262</v>
      </c>
      <c r="AF31" s="44" t="s">
        <v>263</v>
      </c>
      <c r="AG31" s="44" t="s">
        <v>263</v>
      </c>
      <c r="AH31" s="44" t="s">
        <v>262</v>
      </c>
      <c r="AI31" s="44">
        <v>0.05</v>
      </c>
      <c r="AJ31" s="47" t="s">
        <v>263</v>
      </c>
    </row>
    <row r="32" spans="1:36" x14ac:dyDescent="0.45">
      <c r="A32" s="43">
        <v>37</v>
      </c>
      <c r="B32" s="44">
        <v>730</v>
      </c>
      <c r="C32" s="44" t="s">
        <v>252</v>
      </c>
      <c r="D32" s="44" t="s">
        <v>84</v>
      </c>
      <c r="E32" s="44"/>
      <c r="F32" s="44" t="s">
        <v>1054</v>
      </c>
      <c r="G32" s="44" t="s">
        <v>254</v>
      </c>
      <c r="H32" s="44" t="s">
        <v>255</v>
      </c>
      <c r="I32" s="44" t="s">
        <v>333</v>
      </c>
      <c r="J32" s="44" t="s">
        <v>1052</v>
      </c>
      <c r="K32" s="44" t="s">
        <v>257</v>
      </c>
      <c r="L32" s="44" t="s">
        <v>255</v>
      </c>
      <c r="M32" s="44" t="s">
        <v>334</v>
      </c>
      <c r="N32" s="44" t="s">
        <v>331</v>
      </c>
      <c r="O32" s="44" t="s">
        <v>258</v>
      </c>
      <c r="P32" s="44" t="s">
        <v>255</v>
      </c>
      <c r="Q32" s="44" t="s">
        <v>335</v>
      </c>
      <c r="R32" s="46">
        <v>0.25</v>
      </c>
      <c r="S32" s="44">
        <v>100</v>
      </c>
      <c r="T32" s="44" t="s">
        <v>130</v>
      </c>
      <c r="U32" s="44" t="s">
        <v>169</v>
      </c>
      <c r="V32" s="44" t="s">
        <v>259</v>
      </c>
      <c r="W32" s="44" t="s">
        <v>260</v>
      </c>
      <c r="X32" s="44" t="s">
        <v>261</v>
      </c>
      <c r="Y32" s="44" t="s">
        <v>180</v>
      </c>
      <c r="Z32" s="44" t="s">
        <v>192</v>
      </c>
      <c r="AA32" s="44"/>
      <c r="AB32" s="44" t="s">
        <v>262</v>
      </c>
      <c r="AC32" s="44" t="s">
        <v>262</v>
      </c>
      <c r="AD32" s="44" t="s">
        <v>262</v>
      </c>
      <c r="AE32" s="44" t="s">
        <v>262</v>
      </c>
      <c r="AF32" s="44" t="s">
        <v>263</v>
      </c>
      <c r="AG32" s="44" t="s">
        <v>263</v>
      </c>
      <c r="AH32" s="44" t="s">
        <v>262</v>
      </c>
      <c r="AI32" s="44">
        <v>0.05</v>
      </c>
      <c r="AJ32" s="47" t="s">
        <v>263</v>
      </c>
    </row>
    <row r="33" spans="1:36" x14ac:dyDescent="0.45">
      <c r="A33" s="43">
        <v>39</v>
      </c>
      <c r="B33" s="44">
        <v>731</v>
      </c>
      <c r="C33" s="44" t="s">
        <v>252</v>
      </c>
      <c r="D33" s="44" t="s">
        <v>84</v>
      </c>
      <c r="E33" s="44"/>
      <c r="F33" s="44" t="s">
        <v>338</v>
      </c>
      <c r="G33" s="44" t="s">
        <v>254</v>
      </c>
      <c r="H33" s="44" t="s">
        <v>273</v>
      </c>
      <c r="I33" s="44" t="s">
        <v>338</v>
      </c>
      <c r="J33" s="44" t="s">
        <v>339</v>
      </c>
      <c r="K33" s="44" t="s">
        <v>257</v>
      </c>
      <c r="L33" s="44" t="s">
        <v>274</v>
      </c>
      <c r="M33" s="44" t="s">
        <v>339</v>
      </c>
      <c r="N33" s="44" t="s">
        <v>340</v>
      </c>
      <c r="O33" s="44" t="s">
        <v>258</v>
      </c>
      <c r="P33" s="44" t="s">
        <v>275</v>
      </c>
      <c r="Q33" s="44" t="s">
        <v>340</v>
      </c>
      <c r="R33" s="46">
        <v>1</v>
      </c>
      <c r="S33" s="44">
        <v>1</v>
      </c>
      <c r="T33" s="44" t="s">
        <v>137</v>
      </c>
      <c r="U33" s="44" t="s">
        <v>169</v>
      </c>
      <c r="V33" s="44" t="s">
        <v>259</v>
      </c>
      <c r="W33" s="44" t="s">
        <v>260</v>
      </c>
      <c r="X33" s="44" t="s">
        <v>261</v>
      </c>
      <c r="Y33" s="44" t="s">
        <v>180</v>
      </c>
      <c r="Z33" s="44" t="s">
        <v>192</v>
      </c>
      <c r="AA33" s="44"/>
      <c r="AB33" s="44" t="s">
        <v>262</v>
      </c>
      <c r="AC33" s="44" t="s">
        <v>262</v>
      </c>
      <c r="AD33" s="44" t="s">
        <v>262</v>
      </c>
      <c r="AE33" s="44" t="s">
        <v>262</v>
      </c>
      <c r="AF33" s="44" t="s">
        <v>263</v>
      </c>
      <c r="AG33" s="44" t="s">
        <v>263</v>
      </c>
      <c r="AH33" s="44" t="s">
        <v>262</v>
      </c>
      <c r="AI33" s="44">
        <v>0.05</v>
      </c>
      <c r="AJ33" s="47" t="s">
        <v>263</v>
      </c>
    </row>
    <row r="34" spans="1:36" x14ac:dyDescent="0.45">
      <c r="A34" s="43">
        <v>40</v>
      </c>
      <c r="B34" s="44">
        <v>732</v>
      </c>
      <c r="C34" s="44" t="s">
        <v>252</v>
      </c>
      <c r="D34" s="44" t="s">
        <v>84</v>
      </c>
      <c r="E34" s="44"/>
      <c r="F34" s="44" t="s">
        <v>341</v>
      </c>
      <c r="G34" s="44" t="s">
        <v>254</v>
      </c>
      <c r="H34" s="44" t="s">
        <v>273</v>
      </c>
      <c r="I34" s="44" t="s">
        <v>341</v>
      </c>
      <c r="J34" s="44" t="s">
        <v>342</v>
      </c>
      <c r="K34" s="44" t="s">
        <v>257</v>
      </c>
      <c r="L34" s="44" t="s">
        <v>274</v>
      </c>
      <c r="M34" s="44" t="s">
        <v>342</v>
      </c>
      <c r="N34" s="44" t="s">
        <v>343</v>
      </c>
      <c r="O34" s="44" t="s">
        <v>258</v>
      </c>
      <c r="P34" s="44" t="s">
        <v>275</v>
      </c>
      <c r="Q34" s="44" t="s">
        <v>343</v>
      </c>
      <c r="R34" s="46">
        <v>1</v>
      </c>
      <c r="S34" s="44">
        <v>1</v>
      </c>
      <c r="T34" s="44" t="s">
        <v>137</v>
      </c>
      <c r="U34" s="44" t="s">
        <v>169</v>
      </c>
      <c r="V34" s="44" t="s">
        <v>259</v>
      </c>
      <c r="W34" s="44" t="s">
        <v>260</v>
      </c>
      <c r="X34" s="44" t="s">
        <v>261</v>
      </c>
      <c r="Y34" s="44" t="s">
        <v>180</v>
      </c>
      <c r="Z34" s="44" t="s">
        <v>192</v>
      </c>
      <c r="AA34" s="44"/>
      <c r="AB34" s="44" t="s">
        <v>262</v>
      </c>
      <c r="AC34" s="44" t="s">
        <v>262</v>
      </c>
      <c r="AD34" s="44" t="s">
        <v>262</v>
      </c>
      <c r="AE34" s="44" t="s">
        <v>262</v>
      </c>
      <c r="AF34" s="44" t="s">
        <v>263</v>
      </c>
      <c r="AG34" s="44" t="s">
        <v>263</v>
      </c>
      <c r="AH34" s="44" t="s">
        <v>262</v>
      </c>
      <c r="AI34" s="44">
        <v>0.05</v>
      </c>
      <c r="AJ34" s="47" t="s">
        <v>263</v>
      </c>
    </row>
    <row r="35" spans="1:36" x14ac:dyDescent="0.45">
      <c r="A35" s="43">
        <v>41</v>
      </c>
      <c r="B35" s="44">
        <v>733</v>
      </c>
      <c r="C35" s="44" t="s">
        <v>252</v>
      </c>
      <c r="D35" s="44" t="s">
        <v>84</v>
      </c>
      <c r="E35" s="44"/>
      <c r="F35" s="44" t="s">
        <v>344</v>
      </c>
      <c r="G35" s="44" t="s">
        <v>254</v>
      </c>
      <c r="H35" s="44" t="s">
        <v>273</v>
      </c>
      <c r="I35" s="44" t="s">
        <v>344</v>
      </c>
      <c r="J35" s="44" t="s">
        <v>1055</v>
      </c>
      <c r="K35" s="44" t="s">
        <v>257</v>
      </c>
      <c r="L35" s="44" t="s">
        <v>274</v>
      </c>
      <c r="M35" s="44" t="s">
        <v>1055</v>
      </c>
      <c r="N35" s="44" t="s">
        <v>345</v>
      </c>
      <c r="O35" s="44" t="s">
        <v>258</v>
      </c>
      <c r="P35" s="44" t="s">
        <v>275</v>
      </c>
      <c r="Q35" s="44" t="s">
        <v>345</v>
      </c>
      <c r="R35" s="46">
        <v>1</v>
      </c>
      <c r="S35" s="44">
        <v>1</v>
      </c>
      <c r="T35" s="44" t="s">
        <v>137</v>
      </c>
      <c r="U35" s="44" t="s">
        <v>169</v>
      </c>
      <c r="V35" s="44" t="s">
        <v>259</v>
      </c>
      <c r="W35" s="44" t="s">
        <v>260</v>
      </c>
      <c r="X35" s="44" t="s">
        <v>261</v>
      </c>
      <c r="Y35" s="44" t="s">
        <v>180</v>
      </c>
      <c r="Z35" s="44" t="s">
        <v>192</v>
      </c>
      <c r="AA35" s="44"/>
      <c r="AB35" s="44" t="s">
        <v>262</v>
      </c>
      <c r="AC35" s="44" t="s">
        <v>262</v>
      </c>
      <c r="AD35" s="44" t="s">
        <v>262</v>
      </c>
      <c r="AE35" s="44" t="s">
        <v>262</v>
      </c>
      <c r="AF35" s="44" t="s">
        <v>263</v>
      </c>
      <c r="AG35" s="44" t="s">
        <v>263</v>
      </c>
      <c r="AH35" s="44" t="s">
        <v>262</v>
      </c>
      <c r="AI35" s="44">
        <v>0.05</v>
      </c>
      <c r="AJ35" s="47" t="s">
        <v>263</v>
      </c>
    </row>
    <row r="36" spans="1:36" x14ac:dyDescent="0.45">
      <c r="A36" s="43">
        <v>43</v>
      </c>
      <c r="B36" s="44">
        <v>734</v>
      </c>
      <c r="C36" s="44" t="s">
        <v>252</v>
      </c>
      <c r="D36" s="44" t="s">
        <v>84</v>
      </c>
      <c r="E36" s="44"/>
      <c r="F36" s="44" t="s">
        <v>1056</v>
      </c>
      <c r="G36" s="44" t="s">
        <v>254</v>
      </c>
      <c r="H36" s="44" t="s">
        <v>273</v>
      </c>
      <c r="I36" s="44" t="s">
        <v>1056</v>
      </c>
      <c r="J36" s="44" t="s">
        <v>1057</v>
      </c>
      <c r="K36" s="44" t="s">
        <v>257</v>
      </c>
      <c r="L36" s="44" t="s">
        <v>274</v>
      </c>
      <c r="M36" s="44" t="s">
        <v>1057</v>
      </c>
      <c r="N36" s="44" t="s">
        <v>1058</v>
      </c>
      <c r="O36" s="44" t="s">
        <v>258</v>
      </c>
      <c r="P36" s="44" t="s">
        <v>275</v>
      </c>
      <c r="Q36" s="44" t="s">
        <v>1058</v>
      </c>
      <c r="R36" s="46">
        <v>1</v>
      </c>
      <c r="S36" s="44">
        <v>1</v>
      </c>
      <c r="T36" s="44" t="s">
        <v>137</v>
      </c>
      <c r="U36" s="44" t="s">
        <v>169</v>
      </c>
      <c r="V36" s="44" t="s">
        <v>259</v>
      </c>
      <c r="W36" s="44" t="s">
        <v>260</v>
      </c>
      <c r="X36" s="44" t="s">
        <v>261</v>
      </c>
      <c r="Y36" s="44" t="s">
        <v>180</v>
      </c>
      <c r="Z36" s="44" t="s">
        <v>192</v>
      </c>
      <c r="AA36" s="44"/>
      <c r="AB36" s="44" t="s">
        <v>262</v>
      </c>
      <c r="AC36" s="44" t="s">
        <v>262</v>
      </c>
      <c r="AD36" s="44" t="s">
        <v>262</v>
      </c>
      <c r="AE36" s="44" t="s">
        <v>262</v>
      </c>
      <c r="AF36" s="44" t="s">
        <v>263</v>
      </c>
      <c r="AG36" s="44" t="s">
        <v>263</v>
      </c>
      <c r="AH36" s="44" t="s">
        <v>262</v>
      </c>
      <c r="AI36" s="44">
        <v>0.05</v>
      </c>
      <c r="AJ36" s="47" t="s">
        <v>263</v>
      </c>
    </row>
    <row r="37" spans="1:36" x14ac:dyDescent="0.45">
      <c r="A37" s="43">
        <v>44</v>
      </c>
      <c r="B37" s="44">
        <v>735</v>
      </c>
      <c r="C37" s="44" t="s">
        <v>252</v>
      </c>
      <c r="D37" s="44" t="s">
        <v>84</v>
      </c>
      <c r="E37" s="44"/>
      <c r="F37" s="44" t="s">
        <v>1059</v>
      </c>
      <c r="G37" s="44" t="s">
        <v>254</v>
      </c>
      <c r="H37" s="44" t="s">
        <v>273</v>
      </c>
      <c r="I37" s="44" t="s">
        <v>1059</v>
      </c>
      <c r="J37" s="44" t="s">
        <v>1060</v>
      </c>
      <c r="K37" s="44" t="s">
        <v>257</v>
      </c>
      <c r="L37" s="44" t="s">
        <v>274</v>
      </c>
      <c r="M37" s="44" t="s">
        <v>1060</v>
      </c>
      <c r="N37" s="44" t="s">
        <v>346</v>
      </c>
      <c r="O37" s="44" t="s">
        <v>258</v>
      </c>
      <c r="P37" s="44" t="s">
        <v>275</v>
      </c>
      <c r="Q37" s="44" t="s">
        <v>346</v>
      </c>
      <c r="R37" s="46">
        <v>1</v>
      </c>
      <c r="S37" s="44">
        <v>1</v>
      </c>
      <c r="T37" s="44" t="s">
        <v>137</v>
      </c>
      <c r="U37" s="44" t="s">
        <v>169</v>
      </c>
      <c r="V37" s="44" t="s">
        <v>259</v>
      </c>
      <c r="W37" s="44" t="s">
        <v>260</v>
      </c>
      <c r="X37" s="44" t="s">
        <v>261</v>
      </c>
      <c r="Y37" s="44" t="s">
        <v>180</v>
      </c>
      <c r="Z37" s="44" t="s">
        <v>192</v>
      </c>
      <c r="AA37" s="44"/>
      <c r="AB37" s="44" t="s">
        <v>262</v>
      </c>
      <c r="AC37" s="44" t="s">
        <v>262</v>
      </c>
      <c r="AD37" s="44" t="s">
        <v>262</v>
      </c>
      <c r="AE37" s="44" t="s">
        <v>262</v>
      </c>
      <c r="AF37" s="44" t="s">
        <v>263</v>
      </c>
      <c r="AG37" s="44" t="s">
        <v>263</v>
      </c>
      <c r="AH37" s="44" t="s">
        <v>262</v>
      </c>
      <c r="AI37" s="44">
        <v>0.05</v>
      </c>
      <c r="AJ37" s="47" t="s">
        <v>263</v>
      </c>
    </row>
    <row r="38" spans="1:36" x14ac:dyDescent="0.45">
      <c r="A38" s="43">
        <v>45</v>
      </c>
      <c r="B38" s="44">
        <v>736</v>
      </c>
      <c r="C38" s="44" t="s">
        <v>252</v>
      </c>
      <c r="D38" s="44" t="s">
        <v>84</v>
      </c>
      <c r="E38" s="44"/>
      <c r="F38" s="44" t="s">
        <v>1061</v>
      </c>
      <c r="G38" s="44" t="s">
        <v>254</v>
      </c>
      <c r="H38" s="44" t="s">
        <v>273</v>
      </c>
      <c r="I38" s="44" t="s">
        <v>1061</v>
      </c>
      <c r="J38" s="44" t="s">
        <v>347</v>
      </c>
      <c r="K38" s="44" t="s">
        <v>257</v>
      </c>
      <c r="L38" s="44" t="s">
        <v>274</v>
      </c>
      <c r="M38" s="44" t="s">
        <v>347</v>
      </c>
      <c r="N38" s="44" t="s">
        <v>348</v>
      </c>
      <c r="O38" s="44" t="s">
        <v>258</v>
      </c>
      <c r="P38" s="44" t="s">
        <v>275</v>
      </c>
      <c r="Q38" s="44" t="s">
        <v>348</v>
      </c>
      <c r="R38" s="46">
        <v>1</v>
      </c>
      <c r="S38" s="44">
        <v>1</v>
      </c>
      <c r="T38" s="44" t="s">
        <v>137</v>
      </c>
      <c r="U38" s="44" t="s">
        <v>169</v>
      </c>
      <c r="V38" s="44" t="s">
        <v>259</v>
      </c>
      <c r="W38" s="44" t="s">
        <v>260</v>
      </c>
      <c r="X38" s="44" t="s">
        <v>261</v>
      </c>
      <c r="Y38" s="44" t="s">
        <v>180</v>
      </c>
      <c r="Z38" s="44" t="s">
        <v>192</v>
      </c>
      <c r="AA38" s="44"/>
      <c r="AB38" s="44" t="s">
        <v>262</v>
      </c>
      <c r="AC38" s="44" t="s">
        <v>262</v>
      </c>
      <c r="AD38" s="44" t="s">
        <v>262</v>
      </c>
      <c r="AE38" s="44" t="s">
        <v>262</v>
      </c>
      <c r="AF38" s="44" t="s">
        <v>263</v>
      </c>
      <c r="AG38" s="44" t="s">
        <v>263</v>
      </c>
      <c r="AH38" s="44" t="s">
        <v>262</v>
      </c>
      <c r="AI38" s="44">
        <v>0.05</v>
      </c>
      <c r="AJ38" s="47" t="s">
        <v>263</v>
      </c>
    </row>
    <row r="39" spans="1:36" x14ac:dyDescent="0.45">
      <c r="A39" s="43">
        <v>46</v>
      </c>
      <c r="B39" s="44">
        <v>737</v>
      </c>
      <c r="C39" s="44" t="s">
        <v>252</v>
      </c>
      <c r="D39" s="44" t="s">
        <v>84</v>
      </c>
      <c r="E39" s="44"/>
      <c r="F39" s="44" t="s">
        <v>1062</v>
      </c>
      <c r="G39" s="44" t="s">
        <v>254</v>
      </c>
      <c r="H39" s="44" t="s">
        <v>273</v>
      </c>
      <c r="I39" s="44" t="s">
        <v>1062</v>
      </c>
      <c r="J39" s="44" t="s">
        <v>349</v>
      </c>
      <c r="K39" s="44" t="s">
        <v>257</v>
      </c>
      <c r="L39" s="44" t="s">
        <v>274</v>
      </c>
      <c r="M39" s="44" t="s">
        <v>349</v>
      </c>
      <c r="N39" s="44" t="s">
        <v>350</v>
      </c>
      <c r="O39" s="44" t="s">
        <v>258</v>
      </c>
      <c r="P39" s="44" t="s">
        <v>275</v>
      </c>
      <c r="Q39" s="44" t="s">
        <v>350</v>
      </c>
      <c r="R39" s="46">
        <v>1</v>
      </c>
      <c r="S39" s="44">
        <v>1</v>
      </c>
      <c r="T39" s="44" t="s">
        <v>137</v>
      </c>
      <c r="U39" s="44" t="s">
        <v>169</v>
      </c>
      <c r="V39" s="44" t="s">
        <v>259</v>
      </c>
      <c r="W39" s="44" t="s">
        <v>260</v>
      </c>
      <c r="X39" s="44" t="s">
        <v>261</v>
      </c>
      <c r="Y39" s="44" t="s">
        <v>180</v>
      </c>
      <c r="Z39" s="44" t="s">
        <v>192</v>
      </c>
      <c r="AA39" s="44"/>
      <c r="AB39" s="44" t="s">
        <v>262</v>
      </c>
      <c r="AC39" s="44" t="s">
        <v>262</v>
      </c>
      <c r="AD39" s="44" t="s">
        <v>262</v>
      </c>
      <c r="AE39" s="44" t="s">
        <v>262</v>
      </c>
      <c r="AF39" s="44" t="s">
        <v>263</v>
      </c>
      <c r="AG39" s="44" t="s">
        <v>263</v>
      </c>
      <c r="AH39" s="44" t="s">
        <v>262</v>
      </c>
      <c r="AI39" s="44">
        <v>0.05</v>
      </c>
      <c r="AJ39" s="47" t="s">
        <v>263</v>
      </c>
    </row>
    <row r="40" spans="1:36" x14ac:dyDescent="0.45">
      <c r="A40" s="43">
        <v>47</v>
      </c>
      <c r="B40" s="44">
        <v>738</v>
      </c>
      <c r="C40" s="44" t="s">
        <v>252</v>
      </c>
      <c r="D40" s="44" t="s">
        <v>84</v>
      </c>
      <c r="E40" s="44"/>
      <c r="F40" s="44" t="s">
        <v>1063</v>
      </c>
      <c r="G40" s="44" t="s">
        <v>254</v>
      </c>
      <c r="H40" s="44" t="s">
        <v>255</v>
      </c>
      <c r="I40" s="44" t="s">
        <v>351</v>
      </c>
      <c r="J40" s="44" t="s">
        <v>352</v>
      </c>
      <c r="K40" s="44" t="s">
        <v>257</v>
      </c>
      <c r="L40" s="44" t="s">
        <v>255</v>
      </c>
      <c r="M40" s="44" t="s">
        <v>353</v>
      </c>
      <c r="N40" s="44" t="s">
        <v>354</v>
      </c>
      <c r="O40" s="44" t="s">
        <v>258</v>
      </c>
      <c r="P40" s="44" t="s">
        <v>255</v>
      </c>
      <c r="Q40" s="44" t="s">
        <v>355</v>
      </c>
      <c r="R40" s="46">
        <v>0.25</v>
      </c>
      <c r="S40" s="44">
        <v>1</v>
      </c>
      <c r="T40" s="44" t="s">
        <v>130</v>
      </c>
      <c r="U40" s="44" t="s">
        <v>169</v>
      </c>
      <c r="V40" s="44" t="s">
        <v>259</v>
      </c>
      <c r="W40" s="44" t="s">
        <v>260</v>
      </c>
      <c r="X40" s="44" t="s">
        <v>261</v>
      </c>
      <c r="Y40" s="44" t="s">
        <v>180</v>
      </c>
      <c r="Z40" s="44" t="s">
        <v>192</v>
      </c>
      <c r="AA40" s="44"/>
      <c r="AB40" s="44" t="s">
        <v>262</v>
      </c>
      <c r="AC40" s="44" t="s">
        <v>262</v>
      </c>
      <c r="AD40" s="44" t="s">
        <v>262</v>
      </c>
      <c r="AE40" s="44" t="s">
        <v>262</v>
      </c>
      <c r="AF40" s="44" t="s">
        <v>263</v>
      </c>
      <c r="AG40" s="44" t="s">
        <v>263</v>
      </c>
      <c r="AH40" s="44" t="s">
        <v>262</v>
      </c>
      <c r="AI40" s="44">
        <v>0.05</v>
      </c>
      <c r="AJ40" s="47" t="s">
        <v>263</v>
      </c>
    </row>
    <row r="41" spans="1:36" x14ac:dyDescent="0.45">
      <c r="A41" s="43">
        <v>48</v>
      </c>
      <c r="B41" s="44">
        <v>739</v>
      </c>
      <c r="C41" s="44" t="s">
        <v>252</v>
      </c>
      <c r="D41" s="44" t="s">
        <v>84</v>
      </c>
      <c r="E41" s="44"/>
      <c r="F41" s="44" t="s">
        <v>1063</v>
      </c>
      <c r="G41" s="44" t="s">
        <v>254</v>
      </c>
      <c r="H41" s="44" t="s">
        <v>268</v>
      </c>
      <c r="I41" s="44" t="s">
        <v>356</v>
      </c>
      <c r="J41" s="44" t="s">
        <v>352</v>
      </c>
      <c r="K41" s="44" t="s">
        <v>257</v>
      </c>
      <c r="L41" s="44" t="s">
        <v>268</v>
      </c>
      <c r="M41" s="44" t="s">
        <v>357</v>
      </c>
      <c r="N41" s="44" t="s">
        <v>354</v>
      </c>
      <c r="O41" s="44" t="s">
        <v>258</v>
      </c>
      <c r="P41" s="44" t="s">
        <v>268</v>
      </c>
      <c r="Q41" s="44" t="s">
        <v>358</v>
      </c>
      <c r="R41" s="46">
        <v>0.5</v>
      </c>
      <c r="S41" s="44">
        <v>1</v>
      </c>
      <c r="T41" s="44" t="s">
        <v>130</v>
      </c>
      <c r="U41" s="44" t="s">
        <v>169</v>
      </c>
      <c r="V41" s="44" t="s">
        <v>259</v>
      </c>
      <c r="W41" s="44" t="s">
        <v>260</v>
      </c>
      <c r="X41" s="44" t="s">
        <v>261</v>
      </c>
      <c r="Y41" s="44" t="s">
        <v>180</v>
      </c>
      <c r="Z41" s="44" t="s">
        <v>192</v>
      </c>
      <c r="AA41" s="44"/>
      <c r="AB41" s="44" t="s">
        <v>262</v>
      </c>
      <c r="AC41" s="44" t="s">
        <v>262</v>
      </c>
      <c r="AD41" s="44" t="s">
        <v>262</v>
      </c>
      <c r="AE41" s="44" t="s">
        <v>262</v>
      </c>
      <c r="AF41" s="44" t="s">
        <v>263</v>
      </c>
      <c r="AG41" s="44" t="s">
        <v>263</v>
      </c>
      <c r="AH41" s="44" t="s">
        <v>262</v>
      </c>
      <c r="AI41" s="44">
        <v>0.05</v>
      </c>
      <c r="AJ41" s="47" t="s">
        <v>263</v>
      </c>
    </row>
    <row r="42" spans="1:36" x14ac:dyDescent="0.45">
      <c r="A42" s="43">
        <v>49</v>
      </c>
      <c r="B42" s="44">
        <v>740</v>
      </c>
      <c r="C42" s="44" t="s">
        <v>252</v>
      </c>
      <c r="D42" s="44" t="s">
        <v>84</v>
      </c>
      <c r="E42" s="44"/>
      <c r="F42" s="44" t="s">
        <v>1064</v>
      </c>
      <c r="G42" s="44" t="s">
        <v>254</v>
      </c>
      <c r="H42" s="44" t="s">
        <v>359</v>
      </c>
      <c r="I42" s="44" t="s">
        <v>360</v>
      </c>
      <c r="J42" s="44" t="s">
        <v>1065</v>
      </c>
      <c r="K42" s="44" t="s">
        <v>257</v>
      </c>
      <c r="L42" s="44" t="s">
        <v>359</v>
      </c>
      <c r="M42" s="44" t="s">
        <v>361</v>
      </c>
      <c r="N42" s="44" t="s">
        <v>362</v>
      </c>
      <c r="O42" s="44" t="s">
        <v>258</v>
      </c>
      <c r="P42" s="44" t="s">
        <v>359</v>
      </c>
      <c r="Q42" s="44" t="s">
        <v>363</v>
      </c>
      <c r="R42" s="46">
        <v>0.4</v>
      </c>
      <c r="S42" s="44">
        <v>1</v>
      </c>
      <c r="T42" s="44" t="s">
        <v>130</v>
      </c>
      <c r="U42" s="44" t="s">
        <v>169</v>
      </c>
      <c r="V42" s="44" t="s">
        <v>259</v>
      </c>
      <c r="W42" s="44" t="s">
        <v>260</v>
      </c>
      <c r="X42" s="44" t="s">
        <v>261</v>
      </c>
      <c r="Y42" s="44" t="s">
        <v>180</v>
      </c>
      <c r="Z42" s="44" t="s">
        <v>192</v>
      </c>
      <c r="AA42" s="44"/>
      <c r="AB42" s="44" t="s">
        <v>262</v>
      </c>
      <c r="AC42" s="44" t="s">
        <v>262</v>
      </c>
      <c r="AD42" s="44" t="s">
        <v>262</v>
      </c>
      <c r="AE42" s="44" t="s">
        <v>262</v>
      </c>
      <c r="AF42" s="44" t="s">
        <v>263</v>
      </c>
      <c r="AG42" s="44" t="s">
        <v>263</v>
      </c>
      <c r="AH42" s="44" t="s">
        <v>262</v>
      </c>
      <c r="AI42" s="44">
        <v>0.05</v>
      </c>
      <c r="AJ42" s="47" t="s">
        <v>263</v>
      </c>
    </row>
    <row r="43" spans="1:36" x14ac:dyDescent="0.45">
      <c r="A43" s="43">
        <v>50</v>
      </c>
      <c r="B43" s="44">
        <v>741</v>
      </c>
      <c r="C43" s="44" t="s">
        <v>252</v>
      </c>
      <c r="D43" s="44" t="s">
        <v>84</v>
      </c>
      <c r="E43" s="44"/>
      <c r="F43" s="44" t="s">
        <v>1066</v>
      </c>
      <c r="G43" s="44" t="s">
        <v>254</v>
      </c>
      <c r="H43" s="44" t="s">
        <v>273</v>
      </c>
      <c r="I43" s="44" t="s">
        <v>1066</v>
      </c>
      <c r="J43" s="44" t="s">
        <v>1067</v>
      </c>
      <c r="K43" s="44" t="s">
        <v>257</v>
      </c>
      <c r="L43" s="44" t="s">
        <v>274</v>
      </c>
      <c r="M43" s="44" t="s">
        <v>1067</v>
      </c>
      <c r="N43" s="44" t="s">
        <v>1068</v>
      </c>
      <c r="O43" s="44" t="s">
        <v>258</v>
      </c>
      <c r="P43" s="44" t="s">
        <v>275</v>
      </c>
      <c r="Q43" s="44" t="s">
        <v>1068</v>
      </c>
      <c r="R43" s="46">
        <v>1</v>
      </c>
      <c r="S43" s="44">
        <v>1</v>
      </c>
      <c r="T43" s="44" t="s">
        <v>137</v>
      </c>
      <c r="U43" s="44" t="s">
        <v>169</v>
      </c>
      <c r="V43" s="44" t="s">
        <v>259</v>
      </c>
      <c r="W43" s="44" t="s">
        <v>260</v>
      </c>
      <c r="X43" s="44" t="s">
        <v>261</v>
      </c>
      <c r="Y43" s="44" t="s">
        <v>180</v>
      </c>
      <c r="Z43" s="44" t="s">
        <v>192</v>
      </c>
      <c r="AA43" s="44"/>
      <c r="AB43" s="44" t="s">
        <v>262</v>
      </c>
      <c r="AC43" s="44" t="s">
        <v>262</v>
      </c>
      <c r="AD43" s="44" t="s">
        <v>262</v>
      </c>
      <c r="AE43" s="44" t="s">
        <v>262</v>
      </c>
      <c r="AF43" s="44" t="s">
        <v>263</v>
      </c>
      <c r="AG43" s="44" t="s">
        <v>263</v>
      </c>
      <c r="AH43" s="44" t="s">
        <v>262</v>
      </c>
      <c r="AI43" s="44">
        <v>0.05</v>
      </c>
      <c r="AJ43" s="47" t="s">
        <v>263</v>
      </c>
    </row>
    <row r="44" spans="1:36" x14ac:dyDescent="0.45">
      <c r="A44" s="43">
        <v>51</v>
      </c>
      <c r="B44" s="44">
        <v>742</v>
      </c>
      <c r="C44" s="44" t="s">
        <v>252</v>
      </c>
      <c r="D44" s="44" t="s">
        <v>84</v>
      </c>
      <c r="E44" s="44"/>
      <c r="F44" s="44" t="s">
        <v>1069</v>
      </c>
      <c r="G44" s="44" t="s">
        <v>254</v>
      </c>
      <c r="H44" s="44" t="s">
        <v>273</v>
      </c>
      <c r="I44" s="44" t="s">
        <v>1069</v>
      </c>
      <c r="J44" s="44" t="s">
        <v>1070</v>
      </c>
      <c r="K44" s="44" t="s">
        <v>257</v>
      </c>
      <c r="L44" s="44" t="s">
        <v>274</v>
      </c>
      <c r="M44" s="44" t="s">
        <v>1070</v>
      </c>
      <c r="N44" s="44" t="s">
        <v>364</v>
      </c>
      <c r="O44" s="44" t="s">
        <v>258</v>
      </c>
      <c r="P44" s="44" t="s">
        <v>275</v>
      </c>
      <c r="Q44" s="44" t="s">
        <v>364</v>
      </c>
      <c r="R44" s="46">
        <v>1</v>
      </c>
      <c r="S44" s="44">
        <v>1</v>
      </c>
      <c r="T44" s="44" t="s">
        <v>137</v>
      </c>
      <c r="U44" s="44" t="s">
        <v>169</v>
      </c>
      <c r="V44" s="44" t="s">
        <v>259</v>
      </c>
      <c r="W44" s="44" t="s">
        <v>260</v>
      </c>
      <c r="X44" s="44" t="s">
        <v>261</v>
      </c>
      <c r="Y44" s="44" t="s">
        <v>180</v>
      </c>
      <c r="Z44" s="44" t="s">
        <v>192</v>
      </c>
      <c r="AA44" s="44"/>
      <c r="AB44" s="44" t="s">
        <v>262</v>
      </c>
      <c r="AC44" s="44" t="s">
        <v>262</v>
      </c>
      <c r="AD44" s="44" t="s">
        <v>262</v>
      </c>
      <c r="AE44" s="44" t="s">
        <v>262</v>
      </c>
      <c r="AF44" s="44" t="s">
        <v>263</v>
      </c>
      <c r="AG44" s="44" t="s">
        <v>263</v>
      </c>
      <c r="AH44" s="44" t="s">
        <v>262</v>
      </c>
      <c r="AI44" s="44">
        <v>0.05</v>
      </c>
      <c r="AJ44" s="47" t="s">
        <v>263</v>
      </c>
    </row>
    <row r="45" spans="1:36" x14ac:dyDescent="0.45">
      <c r="A45" s="43">
        <v>52</v>
      </c>
      <c r="B45" s="44">
        <v>743</v>
      </c>
      <c r="C45" s="44" t="s">
        <v>252</v>
      </c>
      <c r="D45" s="44" t="s">
        <v>84</v>
      </c>
      <c r="E45" s="44"/>
      <c r="F45" s="44" t="s">
        <v>1071</v>
      </c>
      <c r="G45" s="44" t="s">
        <v>254</v>
      </c>
      <c r="H45" s="44" t="s">
        <v>273</v>
      </c>
      <c r="I45" s="44" t="s">
        <v>1071</v>
      </c>
      <c r="J45" s="44" t="s">
        <v>365</v>
      </c>
      <c r="K45" s="44" t="s">
        <v>257</v>
      </c>
      <c r="L45" s="44" t="s">
        <v>274</v>
      </c>
      <c r="M45" s="44" t="s">
        <v>365</v>
      </c>
      <c r="N45" s="44" t="s">
        <v>366</v>
      </c>
      <c r="O45" s="44" t="s">
        <v>258</v>
      </c>
      <c r="P45" s="44" t="s">
        <v>275</v>
      </c>
      <c r="Q45" s="44" t="s">
        <v>366</v>
      </c>
      <c r="R45" s="46">
        <v>1</v>
      </c>
      <c r="S45" s="44">
        <v>1</v>
      </c>
      <c r="T45" s="44" t="s">
        <v>137</v>
      </c>
      <c r="U45" s="44" t="s">
        <v>169</v>
      </c>
      <c r="V45" s="44" t="s">
        <v>259</v>
      </c>
      <c r="W45" s="44" t="s">
        <v>260</v>
      </c>
      <c r="X45" s="44" t="s">
        <v>261</v>
      </c>
      <c r="Y45" s="44" t="s">
        <v>180</v>
      </c>
      <c r="Z45" s="44" t="s">
        <v>192</v>
      </c>
      <c r="AA45" s="44"/>
      <c r="AB45" s="44" t="s">
        <v>262</v>
      </c>
      <c r="AC45" s="44" t="s">
        <v>262</v>
      </c>
      <c r="AD45" s="44" t="s">
        <v>262</v>
      </c>
      <c r="AE45" s="44" t="s">
        <v>262</v>
      </c>
      <c r="AF45" s="44" t="s">
        <v>263</v>
      </c>
      <c r="AG45" s="44" t="s">
        <v>263</v>
      </c>
      <c r="AH45" s="44" t="s">
        <v>262</v>
      </c>
      <c r="AI45" s="44">
        <v>0.05</v>
      </c>
      <c r="AJ45" s="47" t="s">
        <v>263</v>
      </c>
    </row>
    <row r="46" spans="1:36" x14ac:dyDescent="0.45">
      <c r="A46" s="43">
        <v>53</v>
      </c>
      <c r="B46" s="44">
        <v>744</v>
      </c>
      <c r="C46" s="44" t="s">
        <v>252</v>
      </c>
      <c r="D46" s="44" t="s">
        <v>84</v>
      </c>
      <c r="E46" s="44"/>
      <c r="F46" s="44" t="s">
        <v>1072</v>
      </c>
      <c r="G46" s="44" t="s">
        <v>254</v>
      </c>
      <c r="H46" s="44" t="s">
        <v>273</v>
      </c>
      <c r="I46" s="44" t="s">
        <v>1072</v>
      </c>
      <c r="J46" s="44" t="s">
        <v>367</v>
      </c>
      <c r="K46" s="44" t="s">
        <v>257</v>
      </c>
      <c r="L46" s="44" t="s">
        <v>274</v>
      </c>
      <c r="M46" s="44" t="s">
        <v>367</v>
      </c>
      <c r="N46" s="44" t="s">
        <v>368</v>
      </c>
      <c r="O46" s="44" t="s">
        <v>258</v>
      </c>
      <c r="P46" s="44" t="s">
        <v>275</v>
      </c>
      <c r="Q46" s="44" t="s">
        <v>368</v>
      </c>
      <c r="R46" s="46">
        <v>1</v>
      </c>
      <c r="S46" s="44">
        <v>1</v>
      </c>
      <c r="T46" s="44" t="s">
        <v>137</v>
      </c>
      <c r="U46" s="44" t="s">
        <v>169</v>
      </c>
      <c r="V46" s="44" t="s">
        <v>259</v>
      </c>
      <c r="W46" s="44" t="s">
        <v>260</v>
      </c>
      <c r="X46" s="44" t="s">
        <v>261</v>
      </c>
      <c r="Y46" s="44" t="s">
        <v>180</v>
      </c>
      <c r="Z46" s="44" t="s">
        <v>192</v>
      </c>
      <c r="AA46" s="44"/>
      <c r="AB46" s="44" t="s">
        <v>262</v>
      </c>
      <c r="AC46" s="44" t="s">
        <v>262</v>
      </c>
      <c r="AD46" s="44" t="s">
        <v>262</v>
      </c>
      <c r="AE46" s="44" t="s">
        <v>262</v>
      </c>
      <c r="AF46" s="44" t="s">
        <v>263</v>
      </c>
      <c r="AG46" s="44" t="s">
        <v>263</v>
      </c>
      <c r="AH46" s="44" t="s">
        <v>262</v>
      </c>
      <c r="AI46" s="44">
        <v>0.05</v>
      </c>
      <c r="AJ46" s="47" t="s">
        <v>263</v>
      </c>
    </row>
    <row r="47" spans="1:36" x14ac:dyDescent="0.45">
      <c r="A47" s="43">
        <v>54</v>
      </c>
      <c r="B47" s="44">
        <v>745</v>
      </c>
      <c r="C47" s="44" t="s">
        <v>252</v>
      </c>
      <c r="D47" s="44" t="s">
        <v>84</v>
      </c>
      <c r="E47" s="44"/>
      <c r="F47" s="44" t="s">
        <v>1073</v>
      </c>
      <c r="G47" s="44" t="s">
        <v>254</v>
      </c>
      <c r="H47" s="44" t="s">
        <v>273</v>
      </c>
      <c r="I47" s="44" t="s">
        <v>1073</v>
      </c>
      <c r="J47" s="44" t="s">
        <v>369</v>
      </c>
      <c r="K47" s="44" t="s">
        <v>257</v>
      </c>
      <c r="L47" s="44" t="s">
        <v>274</v>
      </c>
      <c r="M47" s="44" t="s">
        <v>369</v>
      </c>
      <c r="N47" s="44" t="s">
        <v>370</v>
      </c>
      <c r="O47" s="44" t="s">
        <v>258</v>
      </c>
      <c r="P47" s="44" t="s">
        <v>275</v>
      </c>
      <c r="Q47" s="44" t="s">
        <v>370</v>
      </c>
      <c r="R47" s="46">
        <v>1</v>
      </c>
      <c r="S47" s="44">
        <v>1</v>
      </c>
      <c r="T47" s="44" t="s">
        <v>137</v>
      </c>
      <c r="U47" s="44" t="s">
        <v>169</v>
      </c>
      <c r="V47" s="44" t="s">
        <v>259</v>
      </c>
      <c r="W47" s="44" t="s">
        <v>260</v>
      </c>
      <c r="X47" s="44" t="s">
        <v>261</v>
      </c>
      <c r="Y47" s="44" t="s">
        <v>180</v>
      </c>
      <c r="Z47" s="44" t="s">
        <v>192</v>
      </c>
      <c r="AA47" s="44"/>
      <c r="AB47" s="44" t="s">
        <v>262</v>
      </c>
      <c r="AC47" s="44" t="s">
        <v>262</v>
      </c>
      <c r="AD47" s="44" t="s">
        <v>262</v>
      </c>
      <c r="AE47" s="44" t="s">
        <v>262</v>
      </c>
      <c r="AF47" s="44" t="s">
        <v>263</v>
      </c>
      <c r="AG47" s="44" t="s">
        <v>263</v>
      </c>
      <c r="AH47" s="44" t="s">
        <v>262</v>
      </c>
      <c r="AI47" s="44">
        <v>0.05</v>
      </c>
      <c r="AJ47" s="47" t="s">
        <v>263</v>
      </c>
    </row>
    <row r="48" spans="1:36" x14ac:dyDescent="0.45">
      <c r="A48" s="43">
        <v>55</v>
      </c>
      <c r="B48" s="44">
        <v>746</v>
      </c>
      <c r="C48" s="44" t="s">
        <v>252</v>
      </c>
      <c r="D48" s="44" t="s">
        <v>84</v>
      </c>
      <c r="E48" s="44"/>
      <c r="F48" s="44" t="s">
        <v>1074</v>
      </c>
      <c r="G48" s="44" t="s">
        <v>254</v>
      </c>
      <c r="H48" s="44" t="s">
        <v>273</v>
      </c>
      <c r="I48" s="44" t="s">
        <v>1074</v>
      </c>
      <c r="J48" s="44" t="s">
        <v>1075</v>
      </c>
      <c r="K48" s="44" t="s">
        <v>257</v>
      </c>
      <c r="L48" s="44" t="s">
        <v>274</v>
      </c>
      <c r="M48" s="44" t="s">
        <v>1075</v>
      </c>
      <c r="N48" s="44" t="s">
        <v>371</v>
      </c>
      <c r="O48" s="44" t="s">
        <v>258</v>
      </c>
      <c r="P48" s="44" t="s">
        <v>275</v>
      </c>
      <c r="Q48" s="44" t="s">
        <v>371</v>
      </c>
      <c r="R48" s="46">
        <v>1</v>
      </c>
      <c r="S48" s="44">
        <v>1</v>
      </c>
      <c r="T48" s="44" t="s">
        <v>137</v>
      </c>
      <c r="U48" s="44" t="s">
        <v>169</v>
      </c>
      <c r="V48" s="44" t="s">
        <v>259</v>
      </c>
      <c r="W48" s="44" t="s">
        <v>260</v>
      </c>
      <c r="X48" s="44" t="s">
        <v>261</v>
      </c>
      <c r="Y48" s="44" t="s">
        <v>180</v>
      </c>
      <c r="Z48" s="44" t="s">
        <v>192</v>
      </c>
      <c r="AA48" s="44"/>
      <c r="AB48" s="44" t="s">
        <v>262</v>
      </c>
      <c r="AC48" s="44" t="s">
        <v>262</v>
      </c>
      <c r="AD48" s="44" t="s">
        <v>262</v>
      </c>
      <c r="AE48" s="44" t="s">
        <v>262</v>
      </c>
      <c r="AF48" s="44" t="s">
        <v>263</v>
      </c>
      <c r="AG48" s="44" t="s">
        <v>263</v>
      </c>
      <c r="AH48" s="44" t="s">
        <v>262</v>
      </c>
      <c r="AI48" s="44">
        <v>0.05</v>
      </c>
      <c r="AJ48" s="47" t="s">
        <v>263</v>
      </c>
    </row>
    <row r="49" spans="1:36" x14ac:dyDescent="0.45">
      <c r="A49" s="43">
        <v>18</v>
      </c>
      <c r="B49" s="44">
        <v>800</v>
      </c>
      <c r="C49" s="44" t="s">
        <v>252</v>
      </c>
      <c r="D49" s="44" t="s">
        <v>84</v>
      </c>
      <c r="E49" s="44"/>
      <c r="F49" s="44" t="s">
        <v>372</v>
      </c>
      <c r="G49" s="44" t="s">
        <v>254</v>
      </c>
      <c r="H49" s="44" t="s">
        <v>273</v>
      </c>
      <c r="I49" s="44" t="s">
        <v>372</v>
      </c>
      <c r="J49" s="44" t="s">
        <v>373</v>
      </c>
      <c r="K49" s="44" t="s">
        <v>257</v>
      </c>
      <c r="L49" s="44" t="s">
        <v>274</v>
      </c>
      <c r="M49" s="44" t="s">
        <v>373</v>
      </c>
      <c r="N49" s="44" t="s">
        <v>374</v>
      </c>
      <c r="O49" s="44" t="s">
        <v>258</v>
      </c>
      <c r="P49" s="44" t="s">
        <v>275</v>
      </c>
      <c r="Q49" s="44" t="s">
        <v>374</v>
      </c>
      <c r="R49" s="46">
        <v>1</v>
      </c>
      <c r="S49" s="44">
        <v>1</v>
      </c>
      <c r="T49" s="44" t="s">
        <v>137</v>
      </c>
      <c r="U49" s="44" t="s">
        <v>169</v>
      </c>
      <c r="V49" s="44" t="s">
        <v>259</v>
      </c>
      <c r="W49" s="44" t="s">
        <v>375</v>
      </c>
      <c r="X49" s="44" t="s">
        <v>376</v>
      </c>
      <c r="Y49" s="44" t="s">
        <v>180</v>
      </c>
      <c r="Z49" s="44" t="s">
        <v>192</v>
      </c>
      <c r="AA49" s="44"/>
      <c r="AB49" s="44" t="s">
        <v>262</v>
      </c>
      <c r="AC49" s="44" t="s">
        <v>262</v>
      </c>
      <c r="AD49" s="44" t="s">
        <v>262</v>
      </c>
      <c r="AE49" s="44" t="s">
        <v>262</v>
      </c>
      <c r="AF49" s="44" t="s">
        <v>263</v>
      </c>
      <c r="AG49" s="44" t="s">
        <v>263</v>
      </c>
      <c r="AH49" s="44" t="s">
        <v>262</v>
      </c>
      <c r="AI49" s="44">
        <v>0.05</v>
      </c>
      <c r="AJ49" s="47" t="s">
        <v>263</v>
      </c>
    </row>
    <row r="50" spans="1:36" x14ac:dyDescent="0.45">
      <c r="A50" s="43">
        <v>34</v>
      </c>
      <c r="B50" s="44">
        <v>801</v>
      </c>
      <c r="C50" s="44" t="s">
        <v>252</v>
      </c>
      <c r="D50" s="44" t="s">
        <v>84</v>
      </c>
      <c r="E50" s="44"/>
      <c r="F50" s="44" t="s">
        <v>377</v>
      </c>
      <c r="G50" s="44" t="s">
        <v>254</v>
      </c>
      <c r="H50" s="44" t="s">
        <v>273</v>
      </c>
      <c r="I50" s="44" t="s">
        <v>377</v>
      </c>
      <c r="J50" s="44" t="s">
        <v>377</v>
      </c>
      <c r="K50" s="44" t="s">
        <v>257</v>
      </c>
      <c r="L50" s="44" t="s">
        <v>274</v>
      </c>
      <c r="M50" s="44" t="s">
        <v>377</v>
      </c>
      <c r="N50" s="44" t="s">
        <v>1076</v>
      </c>
      <c r="O50" s="44" t="s">
        <v>258</v>
      </c>
      <c r="P50" s="44" t="s">
        <v>275</v>
      </c>
      <c r="Q50" s="44" t="s">
        <v>1076</v>
      </c>
      <c r="R50" s="46">
        <v>1</v>
      </c>
      <c r="S50" s="44">
        <v>1</v>
      </c>
      <c r="T50" s="44" t="s">
        <v>137</v>
      </c>
      <c r="U50" s="44" t="s">
        <v>169</v>
      </c>
      <c r="V50" s="44" t="s">
        <v>259</v>
      </c>
      <c r="W50" s="44" t="s">
        <v>375</v>
      </c>
      <c r="X50" s="44" t="s">
        <v>376</v>
      </c>
      <c r="Y50" s="44" t="s">
        <v>180</v>
      </c>
      <c r="Z50" s="44" t="s">
        <v>192</v>
      </c>
      <c r="AA50" s="44"/>
      <c r="AB50" s="44" t="s">
        <v>262</v>
      </c>
      <c r="AC50" s="44" t="s">
        <v>262</v>
      </c>
      <c r="AD50" s="44" t="s">
        <v>262</v>
      </c>
      <c r="AE50" s="44" t="s">
        <v>262</v>
      </c>
      <c r="AF50" s="44" t="s">
        <v>263</v>
      </c>
      <c r="AG50" s="44" t="s">
        <v>263</v>
      </c>
      <c r="AH50" s="44" t="s">
        <v>262</v>
      </c>
      <c r="AI50" s="44">
        <v>0.05</v>
      </c>
      <c r="AJ50" s="47" t="s">
        <v>263</v>
      </c>
    </row>
    <row r="51" spans="1:36" x14ac:dyDescent="0.45">
      <c r="A51" s="43">
        <v>38</v>
      </c>
      <c r="B51" s="44">
        <v>802</v>
      </c>
      <c r="C51" s="44" t="s">
        <v>503</v>
      </c>
      <c r="D51" s="44" t="s">
        <v>84</v>
      </c>
      <c r="E51" s="44"/>
      <c r="F51" s="44" t="s">
        <v>336</v>
      </c>
      <c r="G51" s="44" t="s">
        <v>254</v>
      </c>
      <c r="H51" s="44" t="s">
        <v>1154</v>
      </c>
      <c r="I51" s="44" t="s">
        <v>1155</v>
      </c>
      <c r="J51" s="44" t="s">
        <v>336</v>
      </c>
      <c r="K51" s="44" t="s">
        <v>257</v>
      </c>
      <c r="L51" s="44" t="s">
        <v>1154</v>
      </c>
      <c r="M51" s="44" t="s">
        <v>1155</v>
      </c>
      <c r="N51" s="44" t="s">
        <v>337</v>
      </c>
      <c r="O51" s="44" t="s">
        <v>258</v>
      </c>
      <c r="P51" s="44" t="s">
        <v>1154</v>
      </c>
      <c r="Q51" s="44" t="s">
        <v>1156</v>
      </c>
      <c r="R51" s="46">
        <v>1</v>
      </c>
      <c r="S51" s="44">
        <v>100</v>
      </c>
      <c r="T51" s="44" t="s">
        <v>130</v>
      </c>
      <c r="U51" s="44" t="s">
        <v>168</v>
      </c>
      <c r="V51" s="44" t="s">
        <v>259</v>
      </c>
      <c r="W51" s="44" t="s">
        <v>375</v>
      </c>
      <c r="X51" s="44" t="s">
        <v>381</v>
      </c>
      <c r="Y51" s="44" t="s">
        <v>180</v>
      </c>
      <c r="Z51" s="44" t="s">
        <v>192</v>
      </c>
      <c r="AA51" s="44"/>
      <c r="AB51" s="44" t="s">
        <v>262</v>
      </c>
      <c r="AC51" s="44" t="s">
        <v>262</v>
      </c>
      <c r="AD51" s="44" t="s">
        <v>262</v>
      </c>
      <c r="AE51" s="44" t="s">
        <v>262</v>
      </c>
      <c r="AF51" s="44" t="s">
        <v>263</v>
      </c>
      <c r="AG51" s="44" t="s">
        <v>263</v>
      </c>
      <c r="AH51" s="44" t="s">
        <v>262</v>
      </c>
      <c r="AI51" s="44">
        <v>0</v>
      </c>
      <c r="AJ51" s="47" t="s">
        <v>263</v>
      </c>
    </row>
    <row r="52" spans="1:36" x14ac:dyDescent="0.45">
      <c r="A52" s="43">
        <v>38</v>
      </c>
      <c r="B52" s="44">
        <v>803</v>
      </c>
      <c r="C52" s="44" t="s">
        <v>252</v>
      </c>
      <c r="D52" s="44" t="s">
        <v>84</v>
      </c>
      <c r="E52" s="44"/>
      <c r="F52" s="44" t="s">
        <v>336</v>
      </c>
      <c r="G52" s="44" t="s">
        <v>254</v>
      </c>
      <c r="H52" s="44" t="s">
        <v>1157</v>
      </c>
      <c r="I52" s="44" t="s">
        <v>1158</v>
      </c>
      <c r="J52" s="44" t="s">
        <v>336</v>
      </c>
      <c r="K52" s="44" t="s">
        <v>257</v>
      </c>
      <c r="L52" s="44" t="s">
        <v>1159</v>
      </c>
      <c r="M52" s="44" t="s">
        <v>1160</v>
      </c>
      <c r="N52" s="44" t="s">
        <v>337</v>
      </c>
      <c r="O52" s="44" t="s">
        <v>258</v>
      </c>
      <c r="P52" s="44" t="s">
        <v>1161</v>
      </c>
      <c r="Q52" s="44" t="s">
        <v>1162</v>
      </c>
      <c r="R52" s="46">
        <v>1</v>
      </c>
      <c r="S52" s="44">
        <v>1</v>
      </c>
      <c r="T52" s="44" t="s">
        <v>137</v>
      </c>
      <c r="U52" s="44" t="s">
        <v>169</v>
      </c>
      <c r="V52" s="44" t="s">
        <v>259</v>
      </c>
      <c r="W52" s="44" t="s">
        <v>375</v>
      </c>
      <c r="X52" s="44" t="s">
        <v>381</v>
      </c>
      <c r="Y52" s="44" t="s">
        <v>180</v>
      </c>
      <c r="Z52" s="44" t="s">
        <v>192</v>
      </c>
      <c r="AA52" s="44"/>
      <c r="AB52" s="44" t="s">
        <v>262</v>
      </c>
      <c r="AC52" s="44" t="s">
        <v>262</v>
      </c>
      <c r="AD52" s="44" t="s">
        <v>262</v>
      </c>
      <c r="AE52" s="44" t="s">
        <v>262</v>
      </c>
      <c r="AF52" s="44" t="s">
        <v>263</v>
      </c>
      <c r="AG52" s="44" t="s">
        <v>263</v>
      </c>
      <c r="AH52" s="44" t="s">
        <v>262</v>
      </c>
      <c r="AI52" s="44">
        <v>0</v>
      </c>
      <c r="AJ52" s="47" t="s">
        <v>263</v>
      </c>
    </row>
    <row r="53" spans="1:36" x14ac:dyDescent="0.45">
      <c r="A53" s="43">
        <v>19</v>
      </c>
      <c r="B53" s="44">
        <v>804</v>
      </c>
      <c r="C53" s="44" t="s">
        <v>503</v>
      </c>
      <c r="D53" s="44" t="s">
        <v>84</v>
      </c>
      <c r="E53" s="44"/>
      <c r="F53" s="44" t="s">
        <v>378</v>
      </c>
      <c r="G53" s="44" t="s">
        <v>254</v>
      </c>
      <c r="H53" s="44" t="s">
        <v>1154</v>
      </c>
      <c r="I53" s="44" t="s">
        <v>1163</v>
      </c>
      <c r="J53" s="44" t="s">
        <v>379</v>
      </c>
      <c r="K53" s="44" t="s">
        <v>257</v>
      </c>
      <c r="L53" s="44" t="s">
        <v>1154</v>
      </c>
      <c r="M53" s="44" t="s">
        <v>1164</v>
      </c>
      <c r="N53" s="44" t="s">
        <v>380</v>
      </c>
      <c r="O53" s="44" t="s">
        <v>258</v>
      </c>
      <c r="P53" s="44" t="s">
        <v>1154</v>
      </c>
      <c r="Q53" s="44" t="s">
        <v>1165</v>
      </c>
      <c r="R53" s="46">
        <v>1</v>
      </c>
      <c r="S53" s="44">
        <v>100</v>
      </c>
      <c r="T53" s="44" t="s">
        <v>130</v>
      </c>
      <c r="U53" s="44" t="s">
        <v>168</v>
      </c>
      <c r="V53" s="44" t="s">
        <v>259</v>
      </c>
      <c r="W53" s="44" t="s">
        <v>375</v>
      </c>
      <c r="X53" s="44" t="s">
        <v>381</v>
      </c>
      <c r="Y53" s="44" t="s">
        <v>180</v>
      </c>
      <c r="Z53" s="44" t="s">
        <v>192</v>
      </c>
      <c r="AA53" s="44"/>
      <c r="AB53" s="44" t="s">
        <v>262</v>
      </c>
      <c r="AC53" s="44" t="s">
        <v>262</v>
      </c>
      <c r="AD53" s="44" t="s">
        <v>262</v>
      </c>
      <c r="AE53" s="44" t="s">
        <v>262</v>
      </c>
      <c r="AF53" s="44" t="s">
        <v>263</v>
      </c>
      <c r="AG53" s="44" t="s">
        <v>263</v>
      </c>
      <c r="AH53" s="44" t="s">
        <v>262</v>
      </c>
      <c r="AI53" s="44">
        <v>0</v>
      </c>
      <c r="AJ53" s="47" t="s">
        <v>263</v>
      </c>
    </row>
    <row r="54" spans="1:36" x14ac:dyDescent="0.45">
      <c r="A54" s="43">
        <v>19</v>
      </c>
      <c r="B54" s="44">
        <v>805</v>
      </c>
      <c r="C54" s="44" t="s">
        <v>252</v>
      </c>
      <c r="D54" s="44" t="s">
        <v>84</v>
      </c>
      <c r="E54" s="44"/>
      <c r="F54" s="44" t="s">
        <v>378</v>
      </c>
      <c r="G54" s="44" t="s">
        <v>254</v>
      </c>
      <c r="H54" s="44" t="s">
        <v>1157</v>
      </c>
      <c r="I54" s="44" t="s">
        <v>1166</v>
      </c>
      <c r="J54" s="44" t="s">
        <v>379</v>
      </c>
      <c r="K54" s="44" t="s">
        <v>257</v>
      </c>
      <c r="L54" s="44" t="s">
        <v>1159</v>
      </c>
      <c r="M54" s="44" t="s">
        <v>1167</v>
      </c>
      <c r="N54" s="44" t="s">
        <v>380</v>
      </c>
      <c r="O54" s="44" t="s">
        <v>258</v>
      </c>
      <c r="P54" s="44" t="s">
        <v>1161</v>
      </c>
      <c r="Q54" s="44" t="s">
        <v>1168</v>
      </c>
      <c r="R54" s="46">
        <v>1</v>
      </c>
      <c r="S54" s="44">
        <v>1</v>
      </c>
      <c r="T54" s="44" t="s">
        <v>137</v>
      </c>
      <c r="U54" s="44" t="s">
        <v>169</v>
      </c>
      <c r="V54" s="44" t="s">
        <v>259</v>
      </c>
      <c r="W54" s="44" t="s">
        <v>375</v>
      </c>
      <c r="X54" s="44" t="s">
        <v>381</v>
      </c>
      <c r="Y54" s="44" t="s">
        <v>180</v>
      </c>
      <c r="Z54" s="44" t="s">
        <v>192</v>
      </c>
      <c r="AA54" s="44"/>
      <c r="AB54" s="44" t="s">
        <v>262</v>
      </c>
      <c r="AC54" s="44" t="s">
        <v>262</v>
      </c>
      <c r="AD54" s="44" t="s">
        <v>262</v>
      </c>
      <c r="AE54" s="44" t="s">
        <v>262</v>
      </c>
      <c r="AF54" s="44" t="s">
        <v>263</v>
      </c>
      <c r="AG54" s="44" t="s">
        <v>263</v>
      </c>
      <c r="AH54" s="44" t="s">
        <v>262</v>
      </c>
      <c r="AI54" s="44">
        <v>0</v>
      </c>
      <c r="AJ54" s="47" t="s">
        <v>263</v>
      </c>
    </row>
    <row r="55" spans="1:36" x14ac:dyDescent="0.45">
      <c r="A55" s="43">
        <v>20</v>
      </c>
      <c r="B55" s="44">
        <v>806</v>
      </c>
      <c r="C55" s="44" t="s">
        <v>252</v>
      </c>
      <c r="D55" s="44" t="s">
        <v>84</v>
      </c>
      <c r="E55" s="44"/>
      <c r="F55" s="44" t="s">
        <v>382</v>
      </c>
      <c r="G55" s="44" t="s">
        <v>254</v>
      </c>
      <c r="H55" s="44" t="s">
        <v>273</v>
      </c>
      <c r="I55" s="44" t="s">
        <v>382</v>
      </c>
      <c r="J55" s="44" t="s">
        <v>383</v>
      </c>
      <c r="K55" s="44" t="s">
        <v>257</v>
      </c>
      <c r="L55" s="44" t="s">
        <v>274</v>
      </c>
      <c r="M55" s="44" t="s">
        <v>383</v>
      </c>
      <c r="N55" s="44" t="s">
        <v>384</v>
      </c>
      <c r="O55" s="44" t="s">
        <v>258</v>
      </c>
      <c r="P55" s="44" t="s">
        <v>275</v>
      </c>
      <c r="Q55" s="44" t="s">
        <v>384</v>
      </c>
      <c r="R55" s="46">
        <v>1</v>
      </c>
      <c r="S55" s="44">
        <v>1</v>
      </c>
      <c r="T55" s="44" t="s">
        <v>137</v>
      </c>
      <c r="U55" s="44" t="s">
        <v>169</v>
      </c>
      <c r="V55" s="44" t="s">
        <v>259</v>
      </c>
      <c r="W55" s="44" t="s">
        <v>385</v>
      </c>
      <c r="X55" s="44" t="s">
        <v>385</v>
      </c>
      <c r="Y55" s="44" t="s">
        <v>180</v>
      </c>
      <c r="Z55" s="44" t="s">
        <v>192</v>
      </c>
      <c r="AA55" s="44"/>
      <c r="AB55" s="44" t="s">
        <v>262</v>
      </c>
      <c r="AC55" s="44" t="s">
        <v>262</v>
      </c>
      <c r="AD55" s="44" t="s">
        <v>262</v>
      </c>
      <c r="AE55" s="44" t="s">
        <v>262</v>
      </c>
      <c r="AF55" s="44" t="s">
        <v>263</v>
      </c>
      <c r="AG55" s="44" t="s">
        <v>263</v>
      </c>
      <c r="AH55" s="44" t="s">
        <v>262</v>
      </c>
      <c r="AI55" s="44">
        <v>0.05</v>
      </c>
      <c r="AJ55" s="47" t="s">
        <v>263</v>
      </c>
    </row>
    <row r="56" spans="1:36" x14ac:dyDescent="0.45">
      <c r="A56" s="43">
        <v>21</v>
      </c>
      <c r="B56" s="44">
        <v>807</v>
      </c>
      <c r="C56" s="44" t="s">
        <v>252</v>
      </c>
      <c r="D56" s="44" t="s">
        <v>84</v>
      </c>
      <c r="E56" s="44"/>
      <c r="F56" s="44" t="s">
        <v>386</v>
      </c>
      <c r="G56" s="44" t="s">
        <v>254</v>
      </c>
      <c r="H56" s="44" t="s">
        <v>401</v>
      </c>
      <c r="I56" s="44" t="s">
        <v>1169</v>
      </c>
      <c r="J56" s="44" t="s">
        <v>389</v>
      </c>
      <c r="K56" s="44" t="s">
        <v>257</v>
      </c>
      <c r="L56" s="44" t="s">
        <v>401</v>
      </c>
      <c r="M56" s="44" t="s">
        <v>1170</v>
      </c>
      <c r="N56" s="44" t="s">
        <v>391</v>
      </c>
      <c r="O56" s="44" t="s">
        <v>258</v>
      </c>
      <c r="P56" s="44" t="s">
        <v>401</v>
      </c>
      <c r="Q56" s="44" t="s">
        <v>1171</v>
      </c>
      <c r="R56" s="46">
        <v>0.5</v>
      </c>
      <c r="S56" s="44">
        <v>1</v>
      </c>
      <c r="T56" s="44" t="s">
        <v>133</v>
      </c>
      <c r="U56" s="44" t="s">
        <v>169</v>
      </c>
      <c r="V56" s="44" t="s">
        <v>259</v>
      </c>
      <c r="W56" s="44" t="s">
        <v>385</v>
      </c>
      <c r="X56" s="44" t="s">
        <v>385</v>
      </c>
      <c r="Y56" s="44" t="s">
        <v>180</v>
      </c>
      <c r="Z56" s="44" t="s">
        <v>192</v>
      </c>
      <c r="AA56" s="44"/>
      <c r="AB56" s="44" t="s">
        <v>262</v>
      </c>
      <c r="AC56" s="44" t="s">
        <v>262</v>
      </c>
      <c r="AD56" s="44" t="s">
        <v>262</v>
      </c>
      <c r="AE56" s="44" t="s">
        <v>262</v>
      </c>
      <c r="AF56" s="44" t="s">
        <v>263</v>
      </c>
      <c r="AG56" s="44" t="s">
        <v>263</v>
      </c>
      <c r="AH56" s="44" t="s">
        <v>262</v>
      </c>
      <c r="AI56" s="44">
        <v>0.05</v>
      </c>
      <c r="AJ56" s="47" t="s">
        <v>263</v>
      </c>
    </row>
    <row r="57" spans="1:36" x14ac:dyDescent="0.45">
      <c r="A57" s="43">
        <v>21</v>
      </c>
      <c r="B57" s="44">
        <v>808</v>
      </c>
      <c r="C57" s="44" t="s">
        <v>252</v>
      </c>
      <c r="D57" s="44" t="s">
        <v>84</v>
      </c>
      <c r="E57" s="44"/>
      <c r="F57" s="44" t="s">
        <v>386</v>
      </c>
      <c r="G57" s="44" t="s">
        <v>254</v>
      </c>
      <c r="H57" s="44" t="s">
        <v>387</v>
      </c>
      <c r="I57" s="44" t="s">
        <v>388</v>
      </c>
      <c r="J57" s="44" t="s">
        <v>389</v>
      </c>
      <c r="K57" s="44" t="s">
        <v>257</v>
      </c>
      <c r="L57" s="44" t="s">
        <v>387</v>
      </c>
      <c r="M57" s="44" t="s">
        <v>390</v>
      </c>
      <c r="N57" s="44" t="s">
        <v>391</v>
      </c>
      <c r="O57" s="44" t="s">
        <v>258</v>
      </c>
      <c r="P57" s="44" t="s">
        <v>387</v>
      </c>
      <c r="Q57" s="44" t="s">
        <v>392</v>
      </c>
      <c r="R57" s="46">
        <v>1</v>
      </c>
      <c r="S57" s="44">
        <v>1</v>
      </c>
      <c r="T57" s="44" t="s">
        <v>133</v>
      </c>
      <c r="U57" s="44" t="s">
        <v>169</v>
      </c>
      <c r="V57" s="44" t="s">
        <v>259</v>
      </c>
      <c r="W57" s="44" t="s">
        <v>385</v>
      </c>
      <c r="X57" s="44" t="s">
        <v>385</v>
      </c>
      <c r="Y57" s="44" t="s">
        <v>180</v>
      </c>
      <c r="Z57" s="44" t="s">
        <v>192</v>
      </c>
      <c r="AA57" s="44"/>
      <c r="AB57" s="44" t="s">
        <v>262</v>
      </c>
      <c r="AC57" s="44" t="s">
        <v>262</v>
      </c>
      <c r="AD57" s="44" t="s">
        <v>262</v>
      </c>
      <c r="AE57" s="44" t="s">
        <v>262</v>
      </c>
      <c r="AF57" s="44" t="s">
        <v>263</v>
      </c>
      <c r="AG57" s="44" t="s">
        <v>263</v>
      </c>
      <c r="AH57" s="44" t="s">
        <v>262</v>
      </c>
      <c r="AI57" s="44">
        <v>0.05</v>
      </c>
      <c r="AJ57" s="47" t="s">
        <v>263</v>
      </c>
    </row>
    <row r="58" spans="1:36" x14ac:dyDescent="0.45">
      <c r="A58" s="43">
        <v>62</v>
      </c>
      <c r="B58" s="44">
        <v>809</v>
      </c>
      <c r="C58" s="44" t="s">
        <v>252</v>
      </c>
      <c r="D58" s="44" t="s">
        <v>84</v>
      </c>
      <c r="E58" s="44"/>
      <c r="F58" s="44" t="s">
        <v>1077</v>
      </c>
      <c r="G58" s="44" t="s">
        <v>254</v>
      </c>
      <c r="H58" s="44" t="s">
        <v>268</v>
      </c>
      <c r="I58" s="44" t="s">
        <v>393</v>
      </c>
      <c r="J58" s="44" t="s">
        <v>1078</v>
      </c>
      <c r="K58" s="44" t="s">
        <v>257</v>
      </c>
      <c r="L58" s="44" t="s">
        <v>268</v>
      </c>
      <c r="M58" s="44" t="s">
        <v>394</v>
      </c>
      <c r="N58" s="44" t="s">
        <v>1079</v>
      </c>
      <c r="O58" s="44" t="s">
        <v>258</v>
      </c>
      <c r="P58" s="44" t="s">
        <v>268</v>
      </c>
      <c r="Q58" s="44" t="s">
        <v>395</v>
      </c>
      <c r="R58" s="46">
        <v>0.5</v>
      </c>
      <c r="S58" s="44">
        <v>1</v>
      </c>
      <c r="T58" s="44" t="s">
        <v>131</v>
      </c>
      <c r="U58" s="44" t="s">
        <v>169</v>
      </c>
      <c r="V58" s="44" t="s">
        <v>396</v>
      </c>
      <c r="W58" s="44" t="s">
        <v>397</v>
      </c>
      <c r="X58" s="44" t="s">
        <v>397</v>
      </c>
      <c r="Y58" s="44" t="s">
        <v>180</v>
      </c>
      <c r="Z58" s="44" t="s">
        <v>192</v>
      </c>
      <c r="AA58" s="44"/>
      <c r="AB58" s="44" t="s">
        <v>262</v>
      </c>
      <c r="AC58" s="44" t="s">
        <v>262</v>
      </c>
      <c r="AD58" s="44" t="s">
        <v>262</v>
      </c>
      <c r="AE58" s="44" t="s">
        <v>262</v>
      </c>
      <c r="AF58" s="44" t="s">
        <v>263</v>
      </c>
      <c r="AG58" s="44" t="s">
        <v>263</v>
      </c>
      <c r="AH58" s="44" t="s">
        <v>262</v>
      </c>
      <c r="AI58" s="44">
        <v>0.05</v>
      </c>
      <c r="AJ58" s="47" t="s">
        <v>263</v>
      </c>
    </row>
    <row r="59" spans="1:36" x14ac:dyDescent="0.45">
      <c r="A59" s="43">
        <v>62</v>
      </c>
      <c r="B59" s="44">
        <v>810</v>
      </c>
      <c r="C59" s="44" t="s">
        <v>252</v>
      </c>
      <c r="D59" s="44" t="s">
        <v>84</v>
      </c>
      <c r="E59" s="44"/>
      <c r="F59" s="44" t="s">
        <v>1077</v>
      </c>
      <c r="G59" s="44" t="s">
        <v>254</v>
      </c>
      <c r="H59" s="44" t="s">
        <v>307</v>
      </c>
      <c r="I59" s="44" t="s">
        <v>398</v>
      </c>
      <c r="J59" s="44" t="s">
        <v>1078</v>
      </c>
      <c r="K59" s="44" t="s">
        <v>257</v>
      </c>
      <c r="L59" s="44" t="s">
        <v>307</v>
      </c>
      <c r="M59" s="44" t="s">
        <v>399</v>
      </c>
      <c r="N59" s="44" t="s">
        <v>1079</v>
      </c>
      <c r="O59" s="44" t="s">
        <v>258</v>
      </c>
      <c r="P59" s="44" t="s">
        <v>307</v>
      </c>
      <c r="Q59" s="44" t="s">
        <v>400</v>
      </c>
      <c r="R59" s="46">
        <v>1</v>
      </c>
      <c r="S59" s="44">
        <v>1</v>
      </c>
      <c r="T59" s="44" t="s">
        <v>131</v>
      </c>
      <c r="U59" s="44" t="s">
        <v>169</v>
      </c>
      <c r="V59" s="44" t="s">
        <v>396</v>
      </c>
      <c r="W59" s="44" t="s">
        <v>397</v>
      </c>
      <c r="X59" s="44" t="s">
        <v>397</v>
      </c>
      <c r="Y59" s="44" t="s">
        <v>180</v>
      </c>
      <c r="Z59" s="44" t="s">
        <v>192</v>
      </c>
      <c r="AA59" s="44"/>
      <c r="AB59" s="44" t="s">
        <v>262</v>
      </c>
      <c r="AC59" s="44" t="s">
        <v>262</v>
      </c>
      <c r="AD59" s="44" t="s">
        <v>262</v>
      </c>
      <c r="AE59" s="44" t="s">
        <v>262</v>
      </c>
      <c r="AF59" s="44" t="s">
        <v>263</v>
      </c>
      <c r="AG59" s="44" t="s">
        <v>263</v>
      </c>
      <c r="AH59" s="44" t="s">
        <v>262</v>
      </c>
      <c r="AI59" s="44">
        <v>0.05</v>
      </c>
      <c r="AJ59" s="47" t="s">
        <v>263</v>
      </c>
    </row>
    <row r="60" spans="1:36" x14ac:dyDescent="0.45">
      <c r="A60" s="43">
        <v>64</v>
      </c>
      <c r="B60" s="44">
        <v>811</v>
      </c>
      <c r="C60" s="44" t="s">
        <v>252</v>
      </c>
      <c r="D60" s="44" t="s">
        <v>84</v>
      </c>
      <c r="E60" s="44"/>
      <c r="F60" s="44" t="s">
        <v>1080</v>
      </c>
      <c r="G60" s="44" t="s">
        <v>254</v>
      </c>
      <c r="H60" s="44" t="s">
        <v>401</v>
      </c>
      <c r="I60" s="44" t="s">
        <v>402</v>
      </c>
      <c r="J60" s="44" t="s">
        <v>403</v>
      </c>
      <c r="K60" s="44" t="s">
        <v>257</v>
      </c>
      <c r="L60" s="44" t="s">
        <v>401</v>
      </c>
      <c r="M60" s="44" t="s">
        <v>404</v>
      </c>
      <c r="N60" s="44" t="s">
        <v>405</v>
      </c>
      <c r="O60" s="44" t="s">
        <v>258</v>
      </c>
      <c r="P60" s="44" t="s">
        <v>401</v>
      </c>
      <c r="Q60" s="44" t="s">
        <v>406</v>
      </c>
      <c r="R60" s="46">
        <v>0.5</v>
      </c>
      <c r="S60" s="44">
        <v>1</v>
      </c>
      <c r="T60" s="44" t="s">
        <v>133</v>
      </c>
      <c r="U60" s="44" t="s">
        <v>169</v>
      </c>
      <c r="V60" s="44" t="s">
        <v>396</v>
      </c>
      <c r="W60" s="44" t="s">
        <v>407</v>
      </c>
      <c r="X60" s="44" t="s">
        <v>407</v>
      </c>
      <c r="Y60" s="44" t="s">
        <v>180</v>
      </c>
      <c r="Z60" s="44" t="s">
        <v>192</v>
      </c>
      <c r="AA60" s="44"/>
      <c r="AB60" s="44" t="s">
        <v>262</v>
      </c>
      <c r="AC60" s="44" t="s">
        <v>262</v>
      </c>
      <c r="AD60" s="44" t="s">
        <v>262</v>
      </c>
      <c r="AE60" s="44" t="s">
        <v>262</v>
      </c>
      <c r="AF60" s="44" t="s">
        <v>263</v>
      </c>
      <c r="AG60" s="44" t="s">
        <v>263</v>
      </c>
      <c r="AH60" s="44" t="s">
        <v>262</v>
      </c>
      <c r="AI60" s="44">
        <v>0.05</v>
      </c>
      <c r="AJ60" s="47" t="s">
        <v>263</v>
      </c>
    </row>
    <row r="61" spans="1:36" x14ac:dyDescent="0.45">
      <c r="A61" s="43">
        <v>64</v>
      </c>
      <c r="B61" s="44">
        <v>812</v>
      </c>
      <c r="C61" s="44" t="s">
        <v>252</v>
      </c>
      <c r="D61" s="44" t="s">
        <v>84</v>
      </c>
      <c r="E61" s="44"/>
      <c r="F61" s="44" t="s">
        <v>1080</v>
      </c>
      <c r="G61" s="44" t="s">
        <v>254</v>
      </c>
      <c r="H61" s="44" t="s">
        <v>387</v>
      </c>
      <c r="I61" s="44" t="s">
        <v>408</v>
      </c>
      <c r="J61" s="44" t="s">
        <v>403</v>
      </c>
      <c r="K61" s="44" t="s">
        <v>257</v>
      </c>
      <c r="L61" s="44" t="s">
        <v>387</v>
      </c>
      <c r="M61" s="44" t="s">
        <v>409</v>
      </c>
      <c r="N61" s="44" t="s">
        <v>405</v>
      </c>
      <c r="O61" s="44" t="s">
        <v>258</v>
      </c>
      <c r="P61" s="44" t="s">
        <v>387</v>
      </c>
      <c r="Q61" s="44" t="s">
        <v>410</v>
      </c>
      <c r="R61" s="46">
        <v>1</v>
      </c>
      <c r="S61" s="44">
        <v>1</v>
      </c>
      <c r="T61" s="44" t="s">
        <v>133</v>
      </c>
      <c r="U61" s="44" t="s">
        <v>169</v>
      </c>
      <c r="V61" s="44" t="s">
        <v>396</v>
      </c>
      <c r="W61" s="44" t="s">
        <v>407</v>
      </c>
      <c r="X61" s="44" t="s">
        <v>407</v>
      </c>
      <c r="Y61" s="44" t="s">
        <v>180</v>
      </c>
      <c r="Z61" s="44" t="s">
        <v>192</v>
      </c>
      <c r="AA61" s="44"/>
      <c r="AB61" s="44" t="s">
        <v>262</v>
      </c>
      <c r="AC61" s="44" t="s">
        <v>262</v>
      </c>
      <c r="AD61" s="44" t="s">
        <v>262</v>
      </c>
      <c r="AE61" s="44" t="s">
        <v>262</v>
      </c>
      <c r="AF61" s="44" t="s">
        <v>263</v>
      </c>
      <c r="AG61" s="44" t="s">
        <v>263</v>
      </c>
      <c r="AH61" s="44" t="s">
        <v>262</v>
      </c>
      <c r="AI61" s="44">
        <v>0.05</v>
      </c>
      <c r="AJ61" s="47" t="s">
        <v>263</v>
      </c>
    </row>
    <row r="62" spans="1:36" x14ac:dyDescent="0.45">
      <c r="A62" s="43">
        <v>63</v>
      </c>
      <c r="B62" s="44">
        <v>813</v>
      </c>
      <c r="C62" s="44" t="s">
        <v>252</v>
      </c>
      <c r="D62" s="44" t="s">
        <v>84</v>
      </c>
      <c r="E62" s="44"/>
      <c r="F62" s="44" t="s">
        <v>411</v>
      </c>
      <c r="G62" s="44" t="s">
        <v>254</v>
      </c>
      <c r="H62" s="44" t="s">
        <v>273</v>
      </c>
      <c r="I62" s="44" t="s">
        <v>411</v>
      </c>
      <c r="J62" s="44" t="s">
        <v>412</v>
      </c>
      <c r="K62" s="44" t="s">
        <v>257</v>
      </c>
      <c r="L62" s="44" t="s">
        <v>274</v>
      </c>
      <c r="M62" s="44" t="s">
        <v>412</v>
      </c>
      <c r="N62" s="44" t="s">
        <v>413</v>
      </c>
      <c r="O62" s="44" t="s">
        <v>258</v>
      </c>
      <c r="P62" s="44" t="s">
        <v>275</v>
      </c>
      <c r="Q62" s="44" t="s">
        <v>413</v>
      </c>
      <c r="R62" s="46">
        <v>1</v>
      </c>
      <c r="S62" s="44">
        <v>1</v>
      </c>
      <c r="T62" s="44" t="s">
        <v>137</v>
      </c>
      <c r="U62" s="44" t="s">
        <v>169</v>
      </c>
      <c r="V62" s="44" t="s">
        <v>396</v>
      </c>
      <c r="W62" s="44" t="s">
        <v>414</v>
      </c>
      <c r="X62" s="44" t="s">
        <v>414</v>
      </c>
      <c r="Y62" s="44" t="s">
        <v>180</v>
      </c>
      <c r="Z62" s="44" t="s">
        <v>192</v>
      </c>
      <c r="AA62" s="44"/>
      <c r="AB62" s="44" t="s">
        <v>262</v>
      </c>
      <c r="AC62" s="44" t="s">
        <v>262</v>
      </c>
      <c r="AD62" s="44" t="s">
        <v>262</v>
      </c>
      <c r="AE62" s="44" t="s">
        <v>262</v>
      </c>
      <c r="AF62" s="44" t="s">
        <v>263</v>
      </c>
      <c r="AG62" s="44" t="s">
        <v>263</v>
      </c>
      <c r="AH62" s="44" t="s">
        <v>262</v>
      </c>
      <c r="AI62" s="44">
        <v>0.05</v>
      </c>
      <c r="AJ62" s="47" t="s">
        <v>263</v>
      </c>
    </row>
    <row r="63" spans="1:36" x14ac:dyDescent="0.45">
      <c r="A63" s="43">
        <v>56</v>
      </c>
      <c r="B63" s="44">
        <v>814</v>
      </c>
      <c r="C63" s="44" t="s">
        <v>252</v>
      </c>
      <c r="D63" s="44" t="s">
        <v>84</v>
      </c>
      <c r="E63" s="44"/>
      <c r="F63" s="44" t="s">
        <v>415</v>
      </c>
      <c r="G63" s="44" t="s">
        <v>254</v>
      </c>
      <c r="H63" s="44" t="s">
        <v>416</v>
      </c>
      <c r="I63" s="44" t="s">
        <v>417</v>
      </c>
      <c r="J63" s="44" t="s">
        <v>418</v>
      </c>
      <c r="K63" s="44" t="s">
        <v>257</v>
      </c>
      <c r="L63" s="44" t="s">
        <v>416</v>
      </c>
      <c r="M63" s="44" t="s">
        <v>419</v>
      </c>
      <c r="N63" s="44" t="s">
        <v>420</v>
      </c>
      <c r="O63" s="44" t="s">
        <v>258</v>
      </c>
      <c r="P63" s="44" t="s">
        <v>416</v>
      </c>
      <c r="Q63" s="44" t="s">
        <v>421</v>
      </c>
      <c r="R63" s="46">
        <v>0.1</v>
      </c>
      <c r="S63" s="44">
        <v>1</v>
      </c>
      <c r="T63" s="44" t="s">
        <v>130</v>
      </c>
      <c r="U63" s="44" t="s">
        <v>169</v>
      </c>
      <c r="V63" s="44" t="s">
        <v>396</v>
      </c>
      <c r="W63" s="44" t="s">
        <v>422</v>
      </c>
      <c r="X63" s="44" t="s">
        <v>422</v>
      </c>
      <c r="Y63" s="44" t="s">
        <v>180</v>
      </c>
      <c r="Z63" s="44" t="s">
        <v>192</v>
      </c>
      <c r="AA63" s="44"/>
      <c r="AB63" s="44" t="s">
        <v>262</v>
      </c>
      <c r="AC63" s="44" t="s">
        <v>262</v>
      </c>
      <c r="AD63" s="44" t="s">
        <v>262</v>
      </c>
      <c r="AE63" s="44" t="s">
        <v>262</v>
      </c>
      <c r="AF63" s="44" t="s">
        <v>263</v>
      </c>
      <c r="AG63" s="44" t="s">
        <v>263</v>
      </c>
      <c r="AH63" s="44" t="s">
        <v>262</v>
      </c>
      <c r="AI63" s="44">
        <v>0.05</v>
      </c>
      <c r="AJ63" s="47" t="s">
        <v>263</v>
      </c>
    </row>
    <row r="64" spans="1:36" x14ac:dyDescent="0.45">
      <c r="A64" s="43">
        <v>56</v>
      </c>
      <c r="B64" s="44">
        <v>815</v>
      </c>
      <c r="C64" s="44" t="s">
        <v>252</v>
      </c>
      <c r="D64" s="44" t="s">
        <v>84</v>
      </c>
      <c r="E64" s="44"/>
      <c r="F64" s="44" t="s">
        <v>415</v>
      </c>
      <c r="G64" s="44" t="s">
        <v>254</v>
      </c>
      <c r="H64" s="44" t="s">
        <v>255</v>
      </c>
      <c r="I64" s="44" t="s">
        <v>423</v>
      </c>
      <c r="J64" s="44" t="s">
        <v>418</v>
      </c>
      <c r="K64" s="44" t="s">
        <v>257</v>
      </c>
      <c r="L64" s="44" t="s">
        <v>255</v>
      </c>
      <c r="M64" s="44" t="s">
        <v>424</v>
      </c>
      <c r="N64" s="44" t="s">
        <v>420</v>
      </c>
      <c r="O64" s="44" t="s">
        <v>258</v>
      </c>
      <c r="P64" s="44" t="s">
        <v>255</v>
      </c>
      <c r="Q64" s="44" t="s">
        <v>425</v>
      </c>
      <c r="R64" s="46">
        <v>0.25</v>
      </c>
      <c r="S64" s="44">
        <v>1</v>
      </c>
      <c r="T64" s="44" t="s">
        <v>130</v>
      </c>
      <c r="U64" s="44" t="s">
        <v>169</v>
      </c>
      <c r="V64" s="44" t="s">
        <v>396</v>
      </c>
      <c r="W64" s="44" t="s">
        <v>422</v>
      </c>
      <c r="X64" s="44" t="s">
        <v>422</v>
      </c>
      <c r="Y64" s="44" t="s">
        <v>180</v>
      </c>
      <c r="Z64" s="44" t="s">
        <v>192</v>
      </c>
      <c r="AA64" s="44"/>
      <c r="AB64" s="44" t="s">
        <v>262</v>
      </c>
      <c r="AC64" s="44" t="s">
        <v>262</v>
      </c>
      <c r="AD64" s="44" t="s">
        <v>262</v>
      </c>
      <c r="AE64" s="44" t="s">
        <v>262</v>
      </c>
      <c r="AF64" s="44" t="s">
        <v>263</v>
      </c>
      <c r="AG64" s="44" t="s">
        <v>263</v>
      </c>
      <c r="AH64" s="44" t="s">
        <v>262</v>
      </c>
      <c r="AI64" s="44">
        <v>0.05</v>
      </c>
      <c r="AJ64" s="47" t="s">
        <v>263</v>
      </c>
    </row>
    <row r="65" spans="1:36" x14ac:dyDescent="0.45">
      <c r="A65" s="43">
        <v>57</v>
      </c>
      <c r="B65" s="44">
        <v>816</v>
      </c>
      <c r="C65" s="44" t="s">
        <v>252</v>
      </c>
      <c r="D65" s="44" t="s">
        <v>84</v>
      </c>
      <c r="E65" s="44"/>
      <c r="F65" s="44" t="s">
        <v>426</v>
      </c>
      <c r="G65" s="44" t="s">
        <v>254</v>
      </c>
      <c r="H65" s="44" t="s">
        <v>273</v>
      </c>
      <c r="I65" s="44" t="s">
        <v>426</v>
      </c>
      <c r="J65" s="44" t="s">
        <v>427</v>
      </c>
      <c r="K65" s="44" t="s">
        <v>257</v>
      </c>
      <c r="L65" s="44" t="s">
        <v>274</v>
      </c>
      <c r="M65" s="44" t="s">
        <v>427</v>
      </c>
      <c r="N65" s="44" t="s">
        <v>428</v>
      </c>
      <c r="O65" s="44" t="s">
        <v>258</v>
      </c>
      <c r="P65" s="44" t="s">
        <v>275</v>
      </c>
      <c r="Q65" s="44" t="s">
        <v>428</v>
      </c>
      <c r="R65" s="46">
        <v>1</v>
      </c>
      <c r="S65" s="44">
        <v>1</v>
      </c>
      <c r="T65" s="44" t="s">
        <v>137</v>
      </c>
      <c r="U65" s="44" t="s">
        <v>169</v>
      </c>
      <c r="V65" s="44" t="s">
        <v>396</v>
      </c>
      <c r="W65" s="44" t="s">
        <v>422</v>
      </c>
      <c r="X65" s="44" t="s">
        <v>422</v>
      </c>
      <c r="Y65" s="44" t="s">
        <v>180</v>
      </c>
      <c r="Z65" s="44" t="s">
        <v>192</v>
      </c>
      <c r="AA65" s="44"/>
      <c r="AB65" s="44" t="s">
        <v>262</v>
      </c>
      <c r="AC65" s="44" t="s">
        <v>262</v>
      </c>
      <c r="AD65" s="44" t="s">
        <v>262</v>
      </c>
      <c r="AE65" s="44" t="s">
        <v>262</v>
      </c>
      <c r="AF65" s="44" t="s">
        <v>263</v>
      </c>
      <c r="AG65" s="44" t="s">
        <v>263</v>
      </c>
      <c r="AH65" s="44" t="s">
        <v>262</v>
      </c>
      <c r="AI65" s="44">
        <v>0</v>
      </c>
      <c r="AJ65" s="47" t="s">
        <v>263</v>
      </c>
    </row>
    <row r="66" spans="1:36" x14ac:dyDescent="0.45">
      <c r="A66" s="43">
        <v>58</v>
      </c>
      <c r="B66" s="44">
        <v>817</v>
      </c>
      <c r="C66" s="44" t="s">
        <v>252</v>
      </c>
      <c r="D66" s="44" t="s">
        <v>84</v>
      </c>
      <c r="E66" s="45"/>
      <c r="F66" s="44" t="s">
        <v>1081</v>
      </c>
      <c r="G66" s="44" t="s">
        <v>254</v>
      </c>
      <c r="H66" s="44" t="s">
        <v>255</v>
      </c>
      <c r="I66" s="44" t="s">
        <v>429</v>
      </c>
      <c r="J66" s="44" t="s">
        <v>430</v>
      </c>
      <c r="K66" s="44" t="s">
        <v>257</v>
      </c>
      <c r="L66" s="44" t="s">
        <v>255</v>
      </c>
      <c r="M66" s="44" t="s">
        <v>431</v>
      </c>
      <c r="N66" s="44" t="s">
        <v>1082</v>
      </c>
      <c r="O66" s="44" t="s">
        <v>258</v>
      </c>
      <c r="P66" s="44" t="s">
        <v>255</v>
      </c>
      <c r="Q66" s="44" t="s">
        <v>432</v>
      </c>
      <c r="R66" s="46">
        <v>0.25</v>
      </c>
      <c r="S66" s="44">
        <v>1</v>
      </c>
      <c r="T66" s="44" t="s">
        <v>130</v>
      </c>
      <c r="U66" s="44" t="s">
        <v>169</v>
      </c>
      <c r="V66" s="44" t="s">
        <v>396</v>
      </c>
      <c r="W66" s="44" t="s">
        <v>422</v>
      </c>
      <c r="X66" s="44" t="s">
        <v>422</v>
      </c>
      <c r="Y66" s="44" t="s">
        <v>180</v>
      </c>
      <c r="Z66" s="44" t="s">
        <v>192</v>
      </c>
      <c r="AA66" s="44"/>
      <c r="AB66" s="44" t="s">
        <v>262</v>
      </c>
      <c r="AC66" s="44" t="s">
        <v>262</v>
      </c>
      <c r="AD66" s="44" t="s">
        <v>262</v>
      </c>
      <c r="AE66" s="44" t="s">
        <v>262</v>
      </c>
      <c r="AF66" s="44" t="s">
        <v>263</v>
      </c>
      <c r="AG66" s="44" t="s">
        <v>263</v>
      </c>
      <c r="AH66" s="44" t="s">
        <v>262</v>
      </c>
      <c r="AI66" s="44">
        <v>0.05</v>
      </c>
      <c r="AJ66" s="47" t="s">
        <v>263</v>
      </c>
    </row>
    <row r="67" spans="1:36" x14ac:dyDescent="0.45">
      <c r="A67" s="43">
        <v>59</v>
      </c>
      <c r="B67" s="44">
        <v>818</v>
      </c>
      <c r="C67" s="44" t="s">
        <v>252</v>
      </c>
      <c r="D67" s="44" t="s">
        <v>84</v>
      </c>
      <c r="E67" s="45"/>
      <c r="F67" s="44" t="s">
        <v>1081</v>
      </c>
      <c r="G67" s="44" t="s">
        <v>254</v>
      </c>
      <c r="H67" s="44" t="s">
        <v>268</v>
      </c>
      <c r="I67" s="44" t="s">
        <v>433</v>
      </c>
      <c r="J67" s="44" t="s">
        <v>430</v>
      </c>
      <c r="K67" s="44" t="s">
        <v>257</v>
      </c>
      <c r="L67" s="44" t="s">
        <v>268</v>
      </c>
      <c r="M67" s="44" t="s">
        <v>434</v>
      </c>
      <c r="N67" s="44" t="s">
        <v>1082</v>
      </c>
      <c r="O67" s="44" t="s">
        <v>258</v>
      </c>
      <c r="P67" s="44" t="s">
        <v>268</v>
      </c>
      <c r="Q67" s="44" t="s">
        <v>435</v>
      </c>
      <c r="R67" s="46">
        <v>0.5</v>
      </c>
      <c r="S67" s="44">
        <v>1</v>
      </c>
      <c r="T67" s="44" t="s">
        <v>130</v>
      </c>
      <c r="U67" s="44" t="s">
        <v>169</v>
      </c>
      <c r="V67" s="44" t="s">
        <v>396</v>
      </c>
      <c r="W67" s="44" t="s">
        <v>422</v>
      </c>
      <c r="X67" s="44" t="s">
        <v>422</v>
      </c>
      <c r="Y67" s="44" t="s">
        <v>180</v>
      </c>
      <c r="Z67" s="44" t="s">
        <v>192</v>
      </c>
      <c r="AA67" s="44"/>
      <c r="AB67" s="44" t="s">
        <v>262</v>
      </c>
      <c r="AC67" s="44" t="s">
        <v>262</v>
      </c>
      <c r="AD67" s="44" t="s">
        <v>262</v>
      </c>
      <c r="AE67" s="44" t="s">
        <v>262</v>
      </c>
      <c r="AF67" s="44" t="s">
        <v>263</v>
      </c>
      <c r="AG67" s="44" t="s">
        <v>263</v>
      </c>
      <c r="AH67" s="44" t="s">
        <v>262</v>
      </c>
      <c r="AI67" s="44">
        <v>0.05</v>
      </c>
      <c r="AJ67" s="47" t="s">
        <v>263</v>
      </c>
    </row>
    <row r="68" spans="1:36" x14ac:dyDescent="0.45">
      <c r="A68" s="43">
        <v>61</v>
      </c>
      <c r="B68" s="44">
        <v>819</v>
      </c>
      <c r="C68" s="44" t="s">
        <v>252</v>
      </c>
      <c r="D68" s="44" t="s">
        <v>84</v>
      </c>
      <c r="E68" s="45"/>
      <c r="F68" s="44" t="s">
        <v>436</v>
      </c>
      <c r="G68" s="44" t="s">
        <v>254</v>
      </c>
      <c r="H68" s="44" t="s">
        <v>437</v>
      </c>
      <c r="I68" s="44" t="s">
        <v>438</v>
      </c>
      <c r="J68" s="44" t="s">
        <v>1083</v>
      </c>
      <c r="K68" s="44" t="s">
        <v>257</v>
      </c>
      <c r="L68" s="44" t="s">
        <v>437</v>
      </c>
      <c r="M68" s="44" t="s">
        <v>439</v>
      </c>
      <c r="N68" s="44" t="s">
        <v>1084</v>
      </c>
      <c r="O68" s="44" t="s">
        <v>258</v>
      </c>
      <c r="P68" s="44" t="s">
        <v>437</v>
      </c>
      <c r="Q68" s="44" t="s">
        <v>440</v>
      </c>
      <c r="R68" s="46">
        <v>0.15</v>
      </c>
      <c r="S68" s="44">
        <v>1</v>
      </c>
      <c r="T68" s="44" t="s">
        <v>130</v>
      </c>
      <c r="U68" s="44" t="s">
        <v>169</v>
      </c>
      <c r="V68" s="44" t="s">
        <v>396</v>
      </c>
      <c r="W68" s="44" t="s">
        <v>422</v>
      </c>
      <c r="X68" s="44" t="s">
        <v>422</v>
      </c>
      <c r="Y68" s="44" t="s">
        <v>180</v>
      </c>
      <c r="Z68" s="44" t="s">
        <v>192</v>
      </c>
      <c r="AA68" s="44"/>
      <c r="AB68" s="44" t="s">
        <v>262</v>
      </c>
      <c r="AC68" s="44" t="s">
        <v>262</v>
      </c>
      <c r="AD68" s="44" t="s">
        <v>262</v>
      </c>
      <c r="AE68" s="44" t="s">
        <v>262</v>
      </c>
      <c r="AF68" s="44" t="s">
        <v>263</v>
      </c>
      <c r="AG68" s="44" t="s">
        <v>263</v>
      </c>
      <c r="AH68" s="44" t="s">
        <v>262</v>
      </c>
      <c r="AI68" s="44">
        <v>0.05</v>
      </c>
      <c r="AJ68" s="47" t="s">
        <v>263</v>
      </c>
    </row>
    <row r="69" spans="1:36" x14ac:dyDescent="0.45">
      <c r="A69" s="43">
        <v>61</v>
      </c>
      <c r="B69" s="44">
        <v>820</v>
      </c>
      <c r="C69" s="44" t="s">
        <v>252</v>
      </c>
      <c r="D69" s="44" t="s">
        <v>84</v>
      </c>
      <c r="E69" s="45"/>
      <c r="F69" s="44" t="s">
        <v>436</v>
      </c>
      <c r="G69" s="44" t="s">
        <v>254</v>
      </c>
      <c r="H69" s="44" t="s">
        <v>255</v>
      </c>
      <c r="I69" s="44" t="s">
        <v>441</v>
      </c>
      <c r="J69" s="44" t="s">
        <v>1083</v>
      </c>
      <c r="K69" s="44" t="s">
        <v>257</v>
      </c>
      <c r="L69" s="44" t="s">
        <v>255</v>
      </c>
      <c r="M69" s="44" t="s">
        <v>442</v>
      </c>
      <c r="N69" s="44" t="s">
        <v>1084</v>
      </c>
      <c r="O69" s="44" t="s">
        <v>258</v>
      </c>
      <c r="P69" s="44" t="s">
        <v>255</v>
      </c>
      <c r="Q69" s="44" t="s">
        <v>443</v>
      </c>
      <c r="R69" s="46">
        <v>0.25</v>
      </c>
      <c r="S69" s="44">
        <v>1</v>
      </c>
      <c r="T69" s="44" t="s">
        <v>130</v>
      </c>
      <c r="U69" s="44" t="s">
        <v>169</v>
      </c>
      <c r="V69" s="44" t="s">
        <v>396</v>
      </c>
      <c r="W69" s="44" t="s">
        <v>422</v>
      </c>
      <c r="X69" s="44" t="s">
        <v>422</v>
      </c>
      <c r="Y69" s="44" t="s">
        <v>180</v>
      </c>
      <c r="Z69" s="44" t="s">
        <v>192</v>
      </c>
      <c r="AA69" s="44"/>
      <c r="AB69" s="44" t="s">
        <v>262</v>
      </c>
      <c r="AC69" s="44" t="s">
        <v>262</v>
      </c>
      <c r="AD69" s="44" t="s">
        <v>262</v>
      </c>
      <c r="AE69" s="44" t="s">
        <v>262</v>
      </c>
      <c r="AF69" s="44" t="s">
        <v>263</v>
      </c>
      <c r="AG69" s="44" t="s">
        <v>263</v>
      </c>
      <c r="AH69" s="44" t="s">
        <v>262</v>
      </c>
      <c r="AI69" s="44">
        <v>0.05</v>
      </c>
      <c r="AJ69" s="47" t="s">
        <v>263</v>
      </c>
    </row>
    <row r="70" spans="1:36" x14ac:dyDescent="0.45">
      <c r="A70" s="43">
        <v>61</v>
      </c>
      <c r="B70" s="44">
        <v>821</v>
      </c>
      <c r="C70" s="44" t="s">
        <v>252</v>
      </c>
      <c r="D70" s="44" t="s">
        <v>84</v>
      </c>
      <c r="E70" s="45"/>
      <c r="F70" s="44" t="s">
        <v>436</v>
      </c>
      <c r="G70" s="44" t="s">
        <v>254</v>
      </c>
      <c r="H70" s="44" t="s">
        <v>444</v>
      </c>
      <c r="I70" s="44" t="s">
        <v>445</v>
      </c>
      <c r="J70" s="44" t="s">
        <v>1083</v>
      </c>
      <c r="K70" s="44" t="s">
        <v>257</v>
      </c>
      <c r="L70" s="44" t="s">
        <v>444</v>
      </c>
      <c r="M70" s="44" t="s">
        <v>446</v>
      </c>
      <c r="N70" s="44" t="s">
        <v>1084</v>
      </c>
      <c r="O70" s="44" t="s">
        <v>258</v>
      </c>
      <c r="P70" s="44" t="s">
        <v>444</v>
      </c>
      <c r="Q70" s="44" t="s">
        <v>447</v>
      </c>
      <c r="R70" s="46">
        <v>0.35</v>
      </c>
      <c r="S70" s="44">
        <v>1</v>
      </c>
      <c r="T70" s="44" t="s">
        <v>130</v>
      </c>
      <c r="U70" s="44" t="s">
        <v>169</v>
      </c>
      <c r="V70" s="44" t="s">
        <v>396</v>
      </c>
      <c r="W70" s="44" t="s">
        <v>422</v>
      </c>
      <c r="X70" s="44" t="s">
        <v>422</v>
      </c>
      <c r="Y70" s="44" t="s">
        <v>180</v>
      </c>
      <c r="Z70" s="44" t="s">
        <v>192</v>
      </c>
      <c r="AA70" s="44"/>
      <c r="AB70" s="44" t="s">
        <v>262</v>
      </c>
      <c r="AC70" s="44" t="s">
        <v>262</v>
      </c>
      <c r="AD70" s="44" t="s">
        <v>262</v>
      </c>
      <c r="AE70" s="44" t="s">
        <v>262</v>
      </c>
      <c r="AF70" s="44" t="s">
        <v>263</v>
      </c>
      <c r="AG70" s="44" t="s">
        <v>263</v>
      </c>
      <c r="AH70" s="44" t="s">
        <v>262</v>
      </c>
      <c r="AI70" s="44">
        <v>0.05</v>
      </c>
      <c r="AJ70" s="47" t="s">
        <v>263</v>
      </c>
    </row>
    <row r="71" spans="1:36" x14ac:dyDescent="0.45">
      <c r="A71" s="43">
        <v>61</v>
      </c>
      <c r="B71" s="44">
        <v>822</v>
      </c>
      <c r="C71" s="44" t="s">
        <v>252</v>
      </c>
      <c r="D71" s="44" t="s">
        <v>84</v>
      </c>
      <c r="E71" s="45"/>
      <c r="F71" s="44" t="s">
        <v>436</v>
      </c>
      <c r="G71" s="44" t="s">
        <v>254</v>
      </c>
      <c r="H71" s="44" t="s">
        <v>448</v>
      </c>
      <c r="I71" s="44" t="s">
        <v>449</v>
      </c>
      <c r="J71" s="44" t="s">
        <v>1083</v>
      </c>
      <c r="K71" s="44" t="s">
        <v>257</v>
      </c>
      <c r="L71" s="44" t="s">
        <v>448</v>
      </c>
      <c r="M71" s="44" t="s">
        <v>450</v>
      </c>
      <c r="N71" s="44" t="s">
        <v>1084</v>
      </c>
      <c r="O71" s="44" t="s">
        <v>258</v>
      </c>
      <c r="P71" s="44" t="s">
        <v>448</v>
      </c>
      <c r="Q71" s="44" t="s">
        <v>451</v>
      </c>
      <c r="R71" s="46">
        <v>0.45</v>
      </c>
      <c r="S71" s="44">
        <v>1</v>
      </c>
      <c r="T71" s="44" t="s">
        <v>130</v>
      </c>
      <c r="U71" s="44" t="s">
        <v>169</v>
      </c>
      <c r="V71" s="44" t="s">
        <v>396</v>
      </c>
      <c r="W71" s="44" t="s">
        <v>422</v>
      </c>
      <c r="X71" s="44" t="s">
        <v>422</v>
      </c>
      <c r="Y71" s="44" t="s">
        <v>180</v>
      </c>
      <c r="Z71" s="44" t="s">
        <v>192</v>
      </c>
      <c r="AA71" s="44"/>
      <c r="AB71" s="44" t="s">
        <v>262</v>
      </c>
      <c r="AC71" s="44" t="s">
        <v>262</v>
      </c>
      <c r="AD71" s="44" t="s">
        <v>262</v>
      </c>
      <c r="AE71" s="44" t="s">
        <v>262</v>
      </c>
      <c r="AF71" s="44" t="s">
        <v>263</v>
      </c>
      <c r="AG71" s="44" t="s">
        <v>263</v>
      </c>
      <c r="AH71" s="44" t="s">
        <v>262</v>
      </c>
      <c r="AI71" s="44">
        <v>0.05</v>
      </c>
      <c r="AJ71" s="47" t="s">
        <v>263</v>
      </c>
    </row>
    <row r="72" spans="1:36" x14ac:dyDescent="0.45">
      <c r="A72" s="43">
        <v>60</v>
      </c>
      <c r="B72" s="44">
        <v>823</v>
      </c>
      <c r="C72" s="44" t="s">
        <v>252</v>
      </c>
      <c r="D72" s="44" t="s">
        <v>84</v>
      </c>
      <c r="E72" s="45"/>
      <c r="F72" s="44" t="s">
        <v>1172</v>
      </c>
      <c r="G72" s="44" t="s">
        <v>254</v>
      </c>
      <c r="H72" s="44" t="s">
        <v>273</v>
      </c>
      <c r="I72" s="44" t="s">
        <v>1172</v>
      </c>
      <c r="J72" s="44" t="s">
        <v>1173</v>
      </c>
      <c r="K72" s="44" t="s">
        <v>257</v>
      </c>
      <c r="L72" s="44" t="s">
        <v>274</v>
      </c>
      <c r="M72" s="44" t="s">
        <v>1173</v>
      </c>
      <c r="N72" s="44" t="s">
        <v>1174</v>
      </c>
      <c r="O72" s="44" t="s">
        <v>258</v>
      </c>
      <c r="P72" s="44" t="s">
        <v>275</v>
      </c>
      <c r="Q72" s="44" t="s">
        <v>1174</v>
      </c>
      <c r="R72" s="46">
        <v>1</v>
      </c>
      <c r="S72" s="44">
        <v>1</v>
      </c>
      <c r="T72" s="44" t="s">
        <v>137</v>
      </c>
      <c r="U72" s="44" t="s">
        <v>169</v>
      </c>
      <c r="V72" s="44" t="s">
        <v>396</v>
      </c>
      <c r="W72" s="44" t="s">
        <v>452</v>
      </c>
      <c r="X72" s="44" t="s">
        <v>452</v>
      </c>
      <c r="Y72" s="44" t="s">
        <v>180</v>
      </c>
      <c r="Z72" s="44" t="s">
        <v>192</v>
      </c>
      <c r="AA72" s="44"/>
      <c r="AB72" s="44" t="s">
        <v>262</v>
      </c>
      <c r="AC72" s="44" t="s">
        <v>262</v>
      </c>
      <c r="AD72" s="44" t="s">
        <v>262</v>
      </c>
      <c r="AE72" s="44" t="s">
        <v>262</v>
      </c>
      <c r="AF72" s="44" t="s">
        <v>263</v>
      </c>
      <c r="AG72" s="44" t="s">
        <v>263</v>
      </c>
      <c r="AH72" s="44" t="s">
        <v>262</v>
      </c>
      <c r="AI72" s="44">
        <v>0.05</v>
      </c>
      <c r="AJ72" s="47" t="s">
        <v>263</v>
      </c>
    </row>
    <row r="73" spans="1:36" x14ac:dyDescent="0.45">
      <c r="A73" s="43">
        <v>74</v>
      </c>
      <c r="B73" s="44">
        <v>824</v>
      </c>
      <c r="C73" s="44" t="s">
        <v>252</v>
      </c>
      <c r="D73" s="44" t="s">
        <v>84</v>
      </c>
      <c r="E73" s="45"/>
      <c r="F73" s="44" t="s">
        <v>453</v>
      </c>
      <c r="G73" s="44" t="s">
        <v>254</v>
      </c>
      <c r="H73" s="44" t="s">
        <v>454</v>
      </c>
      <c r="I73" s="44" t="s">
        <v>455</v>
      </c>
      <c r="J73" s="44" t="s">
        <v>456</v>
      </c>
      <c r="K73" s="44" t="s">
        <v>257</v>
      </c>
      <c r="L73" s="44" t="s">
        <v>457</v>
      </c>
      <c r="M73" s="44" t="s">
        <v>458</v>
      </c>
      <c r="N73" s="44" t="s">
        <v>459</v>
      </c>
      <c r="O73" s="44" t="s">
        <v>258</v>
      </c>
      <c r="P73" s="44" t="s">
        <v>460</v>
      </c>
      <c r="Q73" s="44" t="s">
        <v>461</v>
      </c>
      <c r="R73" s="46">
        <v>4</v>
      </c>
      <c r="S73" s="44">
        <v>1</v>
      </c>
      <c r="T73" s="44" t="s">
        <v>137</v>
      </c>
      <c r="U73" s="44" t="s">
        <v>169</v>
      </c>
      <c r="V73" s="44" t="s">
        <v>462</v>
      </c>
      <c r="W73" s="44" t="s">
        <v>1085</v>
      </c>
      <c r="X73" s="44" t="s">
        <v>453</v>
      </c>
      <c r="Y73" s="44" t="s">
        <v>180</v>
      </c>
      <c r="Z73" s="44" t="s">
        <v>192</v>
      </c>
      <c r="AA73" s="44"/>
      <c r="AB73" s="44" t="s">
        <v>262</v>
      </c>
      <c r="AC73" s="44" t="s">
        <v>262</v>
      </c>
      <c r="AD73" s="44" t="s">
        <v>262</v>
      </c>
      <c r="AE73" s="44" t="s">
        <v>262</v>
      </c>
      <c r="AF73" s="44" t="s">
        <v>263</v>
      </c>
      <c r="AG73" s="44" t="s">
        <v>263</v>
      </c>
      <c r="AH73" s="44" t="s">
        <v>262</v>
      </c>
      <c r="AI73" s="44">
        <v>0.05</v>
      </c>
      <c r="AJ73" s="47" t="s">
        <v>263</v>
      </c>
    </row>
    <row r="74" spans="1:36" x14ac:dyDescent="0.45">
      <c r="A74" s="43">
        <v>75</v>
      </c>
      <c r="B74" s="44">
        <v>825</v>
      </c>
      <c r="C74" s="44" t="s">
        <v>252</v>
      </c>
      <c r="D74" s="44" t="s">
        <v>84</v>
      </c>
      <c r="E74" s="45"/>
      <c r="F74" s="44" t="s">
        <v>1086</v>
      </c>
      <c r="G74" s="44" t="s">
        <v>254</v>
      </c>
      <c r="H74" s="44" t="s">
        <v>463</v>
      </c>
      <c r="I74" s="44" t="s">
        <v>464</v>
      </c>
      <c r="J74" s="44" t="s">
        <v>456</v>
      </c>
      <c r="K74" s="44" t="s">
        <v>257</v>
      </c>
      <c r="L74" s="44" t="s">
        <v>465</v>
      </c>
      <c r="M74" s="44" t="s">
        <v>466</v>
      </c>
      <c r="N74" s="44" t="s">
        <v>459</v>
      </c>
      <c r="O74" s="44" t="s">
        <v>258</v>
      </c>
      <c r="P74" s="44" t="s">
        <v>467</v>
      </c>
      <c r="Q74" s="44" t="s">
        <v>468</v>
      </c>
      <c r="R74" s="46">
        <v>10</v>
      </c>
      <c r="S74" s="44">
        <v>1</v>
      </c>
      <c r="T74" s="44" t="s">
        <v>137</v>
      </c>
      <c r="U74" s="44" t="s">
        <v>169</v>
      </c>
      <c r="V74" s="44" t="s">
        <v>462</v>
      </c>
      <c r="W74" s="44" t="s">
        <v>1085</v>
      </c>
      <c r="X74" s="44" t="s">
        <v>453</v>
      </c>
      <c r="Y74" s="44" t="s">
        <v>180</v>
      </c>
      <c r="Z74" s="44" t="s">
        <v>192</v>
      </c>
      <c r="AA74" s="44"/>
      <c r="AB74" s="44" t="s">
        <v>262</v>
      </c>
      <c r="AC74" s="44" t="s">
        <v>262</v>
      </c>
      <c r="AD74" s="44" t="s">
        <v>262</v>
      </c>
      <c r="AE74" s="44" t="s">
        <v>262</v>
      </c>
      <c r="AF74" s="44" t="s">
        <v>263</v>
      </c>
      <c r="AG74" s="44" t="s">
        <v>263</v>
      </c>
      <c r="AH74" s="44" t="s">
        <v>262</v>
      </c>
      <c r="AI74" s="44">
        <v>0.05</v>
      </c>
      <c r="AJ74" s="47" t="s">
        <v>263</v>
      </c>
    </row>
    <row r="75" spans="1:36" x14ac:dyDescent="0.45">
      <c r="A75" s="43">
        <v>76</v>
      </c>
      <c r="B75" s="44">
        <v>826</v>
      </c>
      <c r="C75" s="44" t="s">
        <v>252</v>
      </c>
      <c r="D75" s="44" t="s">
        <v>84</v>
      </c>
      <c r="E75" s="45"/>
      <c r="F75" s="44" t="s">
        <v>1086</v>
      </c>
      <c r="G75" s="44" t="s">
        <v>254</v>
      </c>
      <c r="H75" s="44" t="s">
        <v>273</v>
      </c>
      <c r="I75" s="44" t="s">
        <v>469</v>
      </c>
      <c r="J75" s="44" t="s">
        <v>470</v>
      </c>
      <c r="K75" s="44" t="s">
        <v>257</v>
      </c>
      <c r="L75" s="44" t="s">
        <v>274</v>
      </c>
      <c r="M75" s="44" t="s">
        <v>471</v>
      </c>
      <c r="N75" s="44" t="s">
        <v>472</v>
      </c>
      <c r="O75" s="44" t="s">
        <v>258</v>
      </c>
      <c r="P75" s="44" t="s">
        <v>275</v>
      </c>
      <c r="Q75" s="44" t="s">
        <v>473</v>
      </c>
      <c r="R75" s="46">
        <v>1</v>
      </c>
      <c r="S75" s="44">
        <v>1</v>
      </c>
      <c r="T75" s="44" t="s">
        <v>137</v>
      </c>
      <c r="U75" s="44" t="s">
        <v>169</v>
      </c>
      <c r="V75" s="44" t="s">
        <v>462</v>
      </c>
      <c r="W75" s="44" t="s">
        <v>1085</v>
      </c>
      <c r="X75" s="44" t="s">
        <v>453</v>
      </c>
      <c r="Y75" s="44" t="s">
        <v>180</v>
      </c>
      <c r="Z75" s="44" t="s">
        <v>192</v>
      </c>
      <c r="AA75" s="44"/>
      <c r="AB75" s="44" t="s">
        <v>262</v>
      </c>
      <c r="AC75" s="44" t="s">
        <v>262</v>
      </c>
      <c r="AD75" s="44" t="s">
        <v>262</v>
      </c>
      <c r="AE75" s="44" t="s">
        <v>262</v>
      </c>
      <c r="AF75" s="44" t="s">
        <v>263</v>
      </c>
      <c r="AG75" s="44" t="s">
        <v>263</v>
      </c>
      <c r="AH75" s="44" t="s">
        <v>262</v>
      </c>
      <c r="AI75" s="44">
        <v>0.05</v>
      </c>
      <c r="AJ75" s="47" t="s">
        <v>263</v>
      </c>
    </row>
    <row r="76" spans="1:36" x14ac:dyDescent="0.45">
      <c r="A76" s="43">
        <v>77</v>
      </c>
      <c r="B76" s="44">
        <v>827</v>
      </c>
      <c r="C76" s="44" t="s">
        <v>252</v>
      </c>
      <c r="D76" s="44" t="s">
        <v>84</v>
      </c>
      <c r="E76" s="45"/>
      <c r="F76" s="44" t="s">
        <v>1086</v>
      </c>
      <c r="G76" s="44" t="s">
        <v>254</v>
      </c>
      <c r="H76" s="44" t="s">
        <v>474</v>
      </c>
      <c r="I76" s="44" t="s">
        <v>475</v>
      </c>
      <c r="J76" s="44" t="s">
        <v>456</v>
      </c>
      <c r="K76" s="44" t="s">
        <v>257</v>
      </c>
      <c r="L76" s="44" t="s">
        <v>476</v>
      </c>
      <c r="M76" s="44" t="s">
        <v>477</v>
      </c>
      <c r="N76" s="44" t="s">
        <v>459</v>
      </c>
      <c r="O76" s="44" t="s">
        <v>258</v>
      </c>
      <c r="P76" s="44" t="s">
        <v>478</v>
      </c>
      <c r="Q76" s="44" t="s">
        <v>479</v>
      </c>
      <c r="R76" s="46">
        <v>6</v>
      </c>
      <c r="S76" s="44">
        <v>1</v>
      </c>
      <c r="T76" s="44" t="s">
        <v>137</v>
      </c>
      <c r="U76" s="44" t="s">
        <v>169</v>
      </c>
      <c r="V76" s="44" t="s">
        <v>462</v>
      </c>
      <c r="W76" s="44" t="s">
        <v>1085</v>
      </c>
      <c r="X76" s="44" t="s">
        <v>453</v>
      </c>
      <c r="Y76" s="44" t="s">
        <v>180</v>
      </c>
      <c r="Z76" s="44" t="s">
        <v>192</v>
      </c>
      <c r="AA76" s="44"/>
      <c r="AB76" s="44" t="s">
        <v>262</v>
      </c>
      <c r="AC76" s="44" t="s">
        <v>262</v>
      </c>
      <c r="AD76" s="44" t="s">
        <v>262</v>
      </c>
      <c r="AE76" s="44" t="s">
        <v>262</v>
      </c>
      <c r="AF76" s="44" t="s">
        <v>263</v>
      </c>
      <c r="AG76" s="44" t="s">
        <v>263</v>
      </c>
      <c r="AH76" s="44" t="s">
        <v>262</v>
      </c>
      <c r="AI76" s="44">
        <v>0.05</v>
      </c>
      <c r="AJ76" s="47" t="s">
        <v>263</v>
      </c>
    </row>
    <row r="77" spans="1:36" x14ac:dyDescent="0.45">
      <c r="A77" s="43">
        <v>94</v>
      </c>
      <c r="B77" s="44">
        <v>828</v>
      </c>
      <c r="C77" s="44" t="s">
        <v>252</v>
      </c>
      <c r="D77" s="44" t="s">
        <v>84</v>
      </c>
      <c r="E77" s="45"/>
      <c r="F77" s="44" t="s">
        <v>480</v>
      </c>
      <c r="G77" s="44" t="s">
        <v>254</v>
      </c>
      <c r="H77" s="44" t="s">
        <v>474</v>
      </c>
      <c r="I77" s="44" t="s">
        <v>481</v>
      </c>
      <c r="J77" s="44" t="s">
        <v>1087</v>
      </c>
      <c r="K77" s="44" t="s">
        <v>257</v>
      </c>
      <c r="L77" s="44" t="s">
        <v>476</v>
      </c>
      <c r="M77" s="44" t="s">
        <v>482</v>
      </c>
      <c r="N77" s="44" t="s">
        <v>483</v>
      </c>
      <c r="O77" s="44" t="s">
        <v>258</v>
      </c>
      <c r="P77" s="44" t="s">
        <v>478</v>
      </c>
      <c r="Q77" s="44" t="s">
        <v>484</v>
      </c>
      <c r="R77" s="46">
        <v>6</v>
      </c>
      <c r="S77" s="44">
        <v>1</v>
      </c>
      <c r="T77" s="44" t="s">
        <v>137</v>
      </c>
      <c r="U77" s="44" t="s">
        <v>169</v>
      </c>
      <c r="V77" s="44" t="s">
        <v>462</v>
      </c>
      <c r="W77" s="44" t="s">
        <v>1085</v>
      </c>
      <c r="X77" s="44" t="s">
        <v>453</v>
      </c>
      <c r="Y77" s="44" t="s">
        <v>180</v>
      </c>
      <c r="Z77" s="44" t="s">
        <v>192</v>
      </c>
      <c r="AA77" s="44"/>
      <c r="AB77" s="44" t="s">
        <v>262</v>
      </c>
      <c r="AC77" s="44" t="s">
        <v>262</v>
      </c>
      <c r="AD77" s="44" t="s">
        <v>262</v>
      </c>
      <c r="AE77" s="44" t="s">
        <v>262</v>
      </c>
      <c r="AF77" s="44" t="s">
        <v>263</v>
      </c>
      <c r="AG77" s="44" t="s">
        <v>263</v>
      </c>
      <c r="AH77" s="44" t="s">
        <v>262</v>
      </c>
      <c r="AI77" s="44">
        <v>0.05</v>
      </c>
      <c r="AJ77" s="47" t="s">
        <v>263</v>
      </c>
    </row>
    <row r="78" spans="1:36" x14ac:dyDescent="0.45">
      <c r="A78" s="43">
        <v>95</v>
      </c>
      <c r="B78" s="44">
        <v>829</v>
      </c>
      <c r="C78" s="44" t="s">
        <v>252</v>
      </c>
      <c r="D78" s="44" t="s">
        <v>84</v>
      </c>
      <c r="E78" s="45"/>
      <c r="F78" s="44" t="s">
        <v>1088</v>
      </c>
      <c r="G78" s="44" t="s">
        <v>254</v>
      </c>
      <c r="H78" s="44" t="s">
        <v>273</v>
      </c>
      <c r="I78" s="44" t="s">
        <v>485</v>
      </c>
      <c r="J78" s="44" t="s">
        <v>486</v>
      </c>
      <c r="K78" s="44" t="s">
        <v>257</v>
      </c>
      <c r="L78" s="44" t="s">
        <v>274</v>
      </c>
      <c r="M78" s="44" t="s">
        <v>487</v>
      </c>
      <c r="N78" s="44" t="s">
        <v>488</v>
      </c>
      <c r="O78" s="44" t="s">
        <v>258</v>
      </c>
      <c r="P78" s="44" t="s">
        <v>275</v>
      </c>
      <c r="Q78" s="44" t="s">
        <v>489</v>
      </c>
      <c r="R78" s="46">
        <v>1</v>
      </c>
      <c r="S78" s="44">
        <v>1</v>
      </c>
      <c r="T78" s="44" t="s">
        <v>137</v>
      </c>
      <c r="U78" s="44" t="s">
        <v>169</v>
      </c>
      <c r="V78" s="44" t="s">
        <v>462</v>
      </c>
      <c r="W78" s="44" t="s">
        <v>1085</v>
      </c>
      <c r="X78" s="44" t="s">
        <v>453</v>
      </c>
      <c r="Y78" s="44" t="s">
        <v>180</v>
      </c>
      <c r="Z78" s="44" t="s">
        <v>192</v>
      </c>
      <c r="AA78" s="44"/>
      <c r="AB78" s="44" t="s">
        <v>262</v>
      </c>
      <c r="AC78" s="44" t="s">
        <v>262</v>
      </c>
      <c r="AD78" s="44" t="s">
        <v>262</v>
      </c>
      <c r="AE78" s="44" t="s">
        <v>262</v>
      </c>
      <c r="AF78" s="44" t="s">
        <v>263</v>
      </c>
      <c r="AG78" s="44" t="s">
        <v>263</v>
      </c>
      <c r="AH78" s="44" t="s">
        <v>262</v>
      </c>
      <c r="AI78" s="44">
        <v>0.05</v>
      </c>
      <c r="AJ78" s="47" t="s">
        <v>263</v>
      </c>
    </row>
    <row r="79" spans="1:36" x14ac:dyDescent="0.45">
      <c r="A79" s="43">
        <v>100</v>
      </c>
      <c r="B79" s="44">
        <v>830</v>
      </c>
      <c r="C79" s="44" t="s">
        <v>252</v>
      </c>
      <c r="D79" s="44" t="s">
        <v>84</v>
      </c>
      <c r="E79" s="45"/>
      <c r="F79" s="44" t="s">
        <v>490</v>
      </c>
      <c r="G79" s="44" t="s">
        <v>254</v>
      </c>
      <c r="H79" s="44" t="s">
        <v>491</v>
      </c>
      <c r="I79" s="44" t="s">
        <v>492</v>
      </c>
      <c r="J79" s="44" t="s">
        <v>493</v>
      </c>
      <c r="K79" s="44" t="s">
        <v>257</v>
      </c>
      <c r="L79" s="44" t="s">
        <v>494</v>
      </c>
      <c r="M79" s="44" t="s">
        <v>495</v>
      </c>
      <c r="N79" s="44" t="s">
        <v>496</v>
      </c>
      <c r="O79" s="44" t="s">
        <v>258</v>
      </c>
      <c r="P79" s="44" t="s">
        <v>497</v>
      </c>
      <c r="Q79" s="44" t="s">
        <v>498</v>
      </c>
      <c r="R79" s="46">
        <v>8</v>
      </c>
      <c r="S79" s="44">
        <v>1</v>
      </c>
      <c r="T79" s="44" t="s">
        <v>137</v>
      </c>
      <c r="U79" s="44" t="s">
        <v>169</v>
      </c>
      <c r="V79" s="44" t="s">
        <v>462</v>
      </c>
      <c r="W79" s="44" t="s">
        <v>1085</v>
      </c>
      <c r="X79" s="44" t="s">
        <v>453</v>
      </c>
      <c r="Y79" s="44" t="s">
        <v>180</v>
      </c>
      <c r="Z79" s="44" t="s">
        <v>192</v>
      </c>
      <c r="AA79" s="44"/>
      <c r="AB79" s="44" t="s">
        <v>262</v>
      </c>
      <c r="AC79" s="44" t="s">
        <v>262</v>
      </c>
      <c r="AD79" s="44" t="s">
        <v>262</v>
      </c>
      <c r="AE79" s="44" t="s">
        <v>262</v>
      </c>
      <c r="AF79" s="44" t="s">
        <v>263</v>
      </c>
      <c r="AG79" s="44" t="s">
        <v>263</v>
      </c>
      <c r="AH79" s="44" t="s">
        <v>262</v>
      </c>
      <c r="AI79" s="44">
        <v>0.05</v>
      </c>
      <c r="AJ79" s="47" t="s">
        <v>263</v>
      </c>
    </row>
    <row r="80" spans="1:36" x14ac:dyDescent="0.45">
      <c r="A80" s="43">
        <v>100</v>
      </c>
      <c r="B80" s="44">
        <v>831</v>
      </c>
      <c r="C80" s="44" t="s">
        <v>252</v>
      </c>
      <c r="D80" s="44" t="s">
        <v>84</v>
      </c>
      <c r="E80" s="45"/>
      <c r="F80" s="44" t="s">
        <v>490</v>
      </c>
      <c r="G80" s="44" t="s">
        <v>254</v>
      </c>
      <c r="H80" s="44" t="s">
        <v>474</v>
      </c>
      <c r="I80" s="44" t="s">
        <v>499</v>
      </c>
      <c r="J80" s="44" t="s">
        <v>493</v>
      </c>
      <c r="K80" s="44" t="s">
        <v>257</v>
      </c>
      <c r="L80" s="44" t="s">
        <v>476</v>
      </c>
      <c r="M80" s="44" t="s">
        <v>500</v>
      </c>
      <c r="N80" s="44" t="s">
        <v>496</v>
      </c>
      <c r="O80" s="44" t="s">
        <v>258</v>
      </c>
      <c r="P80" s="44" t="s">
        <v>478</v>
      </c>
      <c r="Q80" s="44" t="s">
        <v>501</v>
      </c>
      <c r="R80" s="46">
        <v>6</v>
      </c>
      <c r="S80" s="44">
        <v>1</v>
      </c>
      <c r="T80" s="44" t="s">
        <v>137</v>
      </c>
      <c r="U80" s="44" t="s">
        <v>169</v>
      </c>
      <c r="V80" s="44" t="s">
        <v>462</v>
      </c>
      <c r="W80" s="44" t="s">
        <v>1085</v>
      </c>
      <c r="X80" s="44" t="s">
        <v>453</v>
      </c>
      <c r="Y80" s="44" t="s">
        <v>180</v>
      </c>
      <c r="Z80" s="44" t="s">
        <v>192</v>
      </c>
      <c r="AA80" s="44"/>
      <c r="AB80" s="44" t="s">
        <v>262</v>
      </c>
      <c r="AC80" s="44" t="s">
        <v>262</v>
      </c>
      <c r="AD80" s="44" t="s">
        <v>262</v>
      </c>
      <c r="AE80" s="44" t="s">
        <v>262</v>
      </c>
      <c r="AF80" s="44" t="s">
        <v>263</v>
      </c>
      <c r="AG80" s="44" t="s">
        <v>263</v>
      </c>
      <c r="AH80" s="44" t="s">
        <v>262</v>
      </c>
      <c r="AI80" s="44">
        <v>0.05</v>
      </c>
      <c r="AJ80" s="47" t="s">
        <v>263</v>
      </c>
    </row>
    <row r="81" spans="1:36" x14ac:dyDescent="0.45">
      <c r="A81" s="43">
        <v>100</v>
      </c>
      <c r="B81" s="44">
        <v>832</v>
      </c>
      <c r="C81" s="44" t="s">
        <v>252</v>
      </c>
      <c r="D81" s="44" t="s">
        <v>84</v>
      </c>
      <c r="E81" s="45"/>
      <c r="F81" s="44" t="s">
        <v>490</v>
      </c>
      <c r="G81" s="44" t="s">
        <v>254</v>
      </c>
      <c r="H81" s="44" t="s">
        <v>273</v>
      </c>
      <c r="I81" s="44" t="s">
        <v>502</v>
      </c>
      <c r="J81" s="44" t="s">
        <v>493</v>
      </c>
      <c r="K81" s="44" t="s">
        <v>257</v>
      </c>
      <c r="L81" s="44" t="s">
        <v>274</v>
      </c>
      <c r="M81" s="44" t="s">
        <v>493</v>
      </c>
      <c r="N81" s="44" t="s">
        <v>496</v>
      </c>
      <c r="O81" s="44" t="s">
        <v>258</v>
      </c>
      <c r="P81" s="44" t="s">
        <v>275</v>
      </c>
      <c r="Q81" s="44" t="s">
        <v>496</v>
      </c>
      <c r="R81" s="46">
        <v>1</v>
      </c>
      <c r="S81" s="44">
        <v>1</v>
      </c>
      <c r="T81" s="44" t="s">
        <v>137</v>
      </c>
      <c r="U81" s="44" t="s">
        <v>169</v>
      </c>
      <c r="V81" s="44" t="s">
        <v>462</v>
      </c>
      <c r="W81" s="44" t="s">
        <v>1085</v>
      </c>
      <c r="X81" s="44" t="s">
        <v>453</v>
      </c>
      <c r="Y81" s="44" t="s">
        <v>180</v>
      </c>
      <c r="Z81" s="44" t="s">
        <v>192</v>
      </c>
      <c r="AA81" s="44"/>
      <c r="AB81" s="44" t="s">
        <v>262</v>
      </c>
      <c r="AC81" s="44" t="s">
        <v>262</v>
      </c>
      <c r="AD81" s="44" t="s">
        <v>262</v>
      </c>
      <c r="AE81" s="44" t="s">
        <v>262</v>
      </c>
      <c r="AF81" s="44" t="s">
        <v>263</v>
      </c>
      <c r="AG81" s="44" t="s">
        <v>263</v>
      </c>
      <c r="AH81" s="44" t="s">
        <v>262</v>
      </c>
      <c r="AI81" s="44">
        <v>0.05</v>
      </c>
      <c r="AJ81" s="47" t="s">
        <v>263</v>
      </c>
    </row>
    <row r="82" spans="1:36" x14ac:dyDescent="0.45">
      <c r="A82" s="43">
        <v>73</v>
      </c>
      <c r="B82" s="44">
        <v>833</v>
      </c>
      <c r="C82" s="44" t="s">
        <v>503</v>
      </c>
      <c r="D82" s="44" t="s">
        <v>84</v>
      </c>
      <c r="E82" s="45"/>
      <c r="F82" s="44" t="s">
        <v>1089</v>
      </c>
      <c r="G82" s="44" t="s">
        <v>254</v>
      </c>
      <c r="H82" s="44" t="s">
        <v>273</v>
      </c>
      <c r="I82" s="44" t="s">
        <v>1089</v>
      </c>
      <c r="J82" s="44" t="s">
        <v>504</v>
      </c>
      <c r="K82" s="44" t="s">
        <v>257</v>
      </c>
      <c r="L82" s="44" t="s">
        <v>274</v>
      </c>
      <c r="M82" s="44" t="s">
        <v>504</v>
      </c>
      <c r="N82" s="44" t="s">
        <v>505</v>
      </c>
      <c r="O82" s="44" t="s">
        <v>258</v>
      </c>
      <c r="P82" s="44" t="s">
        <v>275</v>
      </c>
      <c r="Q82" s="44" t="s">
        <v>505</v>
      </c>
      <c r="R82" s="46">
        <v>1</v>
      </c>
      <c r="S82" s="44">
        <v>100</v>
      </c>
      <c r="T82" s="44" t="s">
        <v>130</v>
      </c>
      <c r="U82" s="44" t="s">
        <v>168</v>
      </c>
      <c r="V82" s="44" t="s">
        <v>462</v>
      </c>
      <c r="W82" s="44" t="s">
        <v>506</v>
      </c>
      <c r="X82" s="44" t="s">
        <v>507</v>
      </c>
      <c r="Y82" s="44" t="s">
        <v>180</v>
      </c>
      <c r="Z82" s="44" t="s">
        <v>192</v>
      </c>
      <c r="AA82" s="44"/>
      <c r="AB82" s="44" t="s">
        <v>262</v>
      </c>
      <c r="AC82" s="44" t="s">
        <v>262</v>
      </c>
      <c r="AD82" s="44" t="s">
        <v>262</v>
      </c>
      <c r="AE82" s="44" t="s">
        <v>262</v>
      </c>
      <c r="AF82" s="44" t="s">
        <v>263</v>
      </c>
      <c r="AG82" s="44" t="s">
        <v>263</v>
      </c>
      <c r="AH82" s="44" t="s">
        <v>262</v>
      </c>
      <c r="AI82" s="44">
        <v>0.05</v>
      </c>
      <c r="AJ82" s="47" t="s">
        <v>263</v>
      </c>
    </row>
    <row r="83" spans="1:36" x14ac:dyDescent="0.45">
      <c r="A83" s="43">
        <v>98</v>
      </c>
      <c r="B83" s="44">
        <v>834</v>
      </c>
      <c r="C83" s="44" t="s">
        <v>503</v>
      </c>
      <c r="D83" s="44" t="s">
        <v>84</v>
      </c>
      <c r="E83" s="45"/>
      <c r="F83" s="44" t="s">
        <v>508</v>
      </c>
      <c r="G83" s="44" t="s">
        <v>254</v>
      </c>
      <c r="H83" s="44" t="s">
        <v>273</v>
      </c>
      <c r="I83" s="44" t="s">
        <v>508</v>
      </c>
      <c r="J83" s="44" t="s">
        <v>509</v>
      </c>
      <c r="K83" s="44" t="s">
        <v>257</v>
      </c>
      <c r="L83" s="44" t="s">
        <v>274</v>
      </c>
      <c r="M83" s="44" t="s">
        <v>509</v>
      </c>
      <c r="N83" s="44" t="s">
        <v>510</v>
      </c>
      <c r="O83" s="44" t="s">
        <v>258</v>
      </c>
      <c r="P83" s="44" t="s">
        <v>275</v>
      </c>
      <c r="Q83" s="44" t="s">
        <v>510</v>
      </c>
      <c r="R83" s="46">
        <v>1</v>
      </c>
      <c r="S83" s="44">
        <v>100</v>
      </c>
      <c r="T83" s="44" t="s">
        <v>130</v>
      </c>
      <c r="U83" s="44" t="s">
        <v>168</v>
      </c>
      <c r="V83" s="44" t="s">
        <v>462</v>
      </c>
      <c r="W83" s="44" t="s">
        <v>506</v>
      </c>
      <c r="X83" s="44" t="s">
        <v>511</v>
      </c>
      <c r="Y83" s="44" t="s">
        <v>180</v>
      </c>
      <c r="Z83" s="44" t="s">
        <v>192</v>
      </c>
      <c r="AA83" s="44"/>
      <c r="AB83" s="44" t="s">
        <v>262</v>
      </c>
      <c r="AC83" s="44" t="s">
        <v>262</v>
      </c>
      <c r="AD83" s="44" t="s">
        <v>262</v>
      </c>
      <c r="AE83" s="44" t="s">
        <v>262</v>
      </c>
      <c r="AF83" s="44" t="s">
        <v>263</v>
      </c>
      <c r="AG83" s="44" t="s">
        <v>263</v>
      </c>
      <c r="AH83" s="44" t="s">
        <v>262</v>
      </c>
      <c r="AI83" s="44">
        <v>0.05</v>
      </c>
      <c r="AJ83" s="47" t="s">
        <v>263</v>
      </c>
    </row>
    <row r="84" spans="1:36" x14ac:dyDescent="0.45">
      <c r="A84" s="43">
        <v>99</v>
      </c>
      <c r="B84" s="44">
        <v>835</v>
      </c>
      <c r="C84" s="44" t="s">
        <v>503</v>
      </c>
      <c r="D84" s="44" t="s">
        <v>84</v>
      </c>
      <c r="E84" s="45"/>
      <c r="F84" s="44" t="s">
        <v>512</v>
      </c>
      <c r="G84" s="44" t="s">
        <v>254</v>
      </c>
      <c r="H84" s="44" t="s">
        <v>1154</v>
      </c>
      <c r="I84" s="44" t="s">
        <v>1175</v>
      </c>
      <c r="J84" s="44" t="s">
        <v>513</v>
      </c>
      <c r="K84" s="44" t="s">
        <v>257</v>
      </c>
      <c r="L84" s="44" t="s">
        <v>1154</v>
      </c>
      <c r="M84" s="44" t="s">
        <v>1176</v>
      </c>
      <c r="N84" s="44" t="s">
        <v>514</v>
      </c>
      <c r="O84" s="44" t="s">
        <v>258</v>
      </c>
      <c r="P84" s="44" t="s">
        <v>1154</v>
      </c>
      <c r="Q84" s="44" t="s">
        <v>1177</v>
      </c>
      <c r="R84" s="46">
        <v>1</v>
      </c>
      <c r="S84" s="44">
        <v>100</v>
      </c>
      <c r="T84" s="44" t="s">
        <v>130</v>
      </c>
      <c r="U84" s="44" t="s">
        <v>168</v>
      </c>
      <c r="V84" s="44" t="s">
        <v>462</v>
      </c>
      <c r="W84" s="44" t="s">
        <v>515</v>
      </c>
      <c r="X84" s="44" t="s">
        <v>516</v>
      </c>
      <c r="Y84" s="44" t="s">
        <v>180</v>
      </c>
      <c r="Z84" s="44" t="s">
        <v>192</v>
      </c>
      <c r="AA84" s="44"/>
      <c r="AB84" s="44" t="s">
        <v>262</v>
      </c>
      <c r="AC84" s="44" t="s">
        <v>262</v>
      </c>
      <c r="AD84" s="44" t="s">
        <v>262</v>
      </c>
      <c r="AE84" s="44" t="s">
        <v>262</v>
      </c>
      <c r="AF84" s="44" t="s">
        <v>263</v>
      </c>
      <c r="AG84" s="44" t="s">
        <v>263</v>
      </c>
      <c r="AH84" s="44" t="s">
        <v>262</v>
      </c>
      <c r="AI84" s="44">
        <v>0</v>
      </c>
      <c r="AJ84" s="47" t="s">
        <v>263</v>
      </c>
    </row>
    <row r="85" spans="1:36" x14ac:dyDescent="0.45">
      <c r="A85" s="43">
        <v>99</v>
      </c>
      <c r="B85" s="44">
        <v>836</v>
      </c>
      <c r="C85" s="44" t="s">
        <v>252</v>
      </c>
      <c r="D85" s="44" t="s">
        <v>84</v>
      </c>
      <c r="E85" s="45"/>
      <c r="F85" s="44" t="s">
        <v>512</v>
      </c>
      <c r="G85" s="44" t="s">
        <v>254</v>
      </c>
      <c r="H85" s="44" t="s">
        <v>1157</v>
      </c>
      <c r="I85" s="44" t="s">
        <v>1178</v>
      </c>
      <c r="J85" s="44" t="s">
        <v>513</v>
      </c>
      <c r="K85" s="44" t="s">
        <v>257</v>
      </c>
      <c r="L85" s="44" t="s">
        <v>1159</v>
      </c>
      <c r="M85" s="44" t="s">
        <v>1179</v>
      </c>
      <c r="N85" s="44" t="s">
        <v>514</v>
      </c>
      <c r="O85" s="44" t="s">
        <v>258</v>
      </c>
      <c r="P85" s="44" t="s">
        <v>1161</v>
      </c>
      <c r="Q85" s="44" t="s">
        <v>1180</v>
      </c>
      <c r="R85" s="46">
        <v>1</v>
      </c>
      <c r="S85" s="44">
        <v>1</v>
      </c>
      <c r="T85" s="44" t="s">
        <v>137</v>
      </c>
      <c r="U85" s="44" t="s">
        <v>169</v>
      </c>
      <c r="V85" s="44" t="s">
        <v>462</v>
      </c>
      <c r="W85" s="44" t="s">
        <v>515</v>
      </c>
      <c r="X85" s="44" t="s">
        <v>516</v>
      </c>
      <c r="Y85" s="44" t="s">
        <v>180</v>
      </c>
      <c r="Z85" s="44" t="s">
        <v>192</v>
      </c>
      <c r="AA85" s="44"/>
      <c r="AB85" s="44" t="s">
        <v>262</v>
      </c>
      <c r="AC85" s="44" t="s">
        <v>262</v>
      </c>
      <c r="AD85" s="44" t="s">
        <v>262</v>
      </c>
      <c r="AE85" s="44" t="s">
        <v>262</v>
      </c>
      <c r="AF85" s="44" t="s">
        <v>263</v>
      </c>
      <c r="AG85" s="44" t="s">
        <v>263</v>
      </c>
      <c r="AH85" s="44" t="s">
        <v>262</v>
      </c>
      <c r="AI85" s="44">
        <v>0</v>
      </c>
      <c r="AJ85" s="47" t="s">
        <v>263</v>
      </c>
    </row>
    <row r="86" spans="1:36" x14ac:dyDescent="0.45">
      <c r="A86" s="43">
        <v>101</v>
      </c>
      <c r="B86" s="44">
        <v>837</v>
      </c>
      <c r="C86" s="44" t="s">
        <v>503</v>
      </c>
      <c r="D86" s="44" t="s">
        <v>84</v>
      </c>
      <c r="E86" s="45"/>
      <c r="F86" s="44" t="s">
        <v>611</v>
      </c>
      <c r="G86" s="44" t="s">
        <v>254</v>
      </c>
      <c r="H86" s="44" t="s">
        <v>1154</v>
      </c>
      <c r="I86" s="44" t="s">
        <v>1181</v>
      </c>
      <c r="J86" s="44" t="s">
        <v>517</v>
      </c>
      <c r="K86" s="44" t="s">
        <v>257</v>
      </c>
      <c r="L86" s="44" t="s">
        <v>1154</v>
      </c>
      <c r="M86" s="44" t="s">
        <v>1182</v>
      </c>
      <c r="N86" s="44" t="s">
        <v>518</v>
      </c>
      <c r="O86" s="44" t="s">
        <v>258</v>
      </c>
      <c r="P86" s="44" t="s">
        <v>1154</v>
      </c>
      <c r="Q86" s="44" t="s">
        <v>1183</v>
      </c>
      <c r="R86" s="46">
        <v>1</v>
      </c>
      <c r="S86" s="44">
        <v>100</v>
      </c>
      <c r="T86" s="44" t="s">
        <v>130</v>
      </c>
      <c r="U86" s="44" t="s">
        <v>168</v>
      </c>
      <c r="V86" s="44" t="s">
        <v>462</v>
      </c>
      <c r="W86" s="44" t="s">
        <v>515</v>
      </c>
      <c r="X86" s="44" t="s">
        <v>516</v>
      </c>
      <c r="Y86" s="44" t="s">
        <v>180</v>
      </c>
      <c r="Z86" s="44" t="s">
        <v>192</v>
      </c>
      <c r="AA86" s="44"/>
      <c r="AB86" s="44" t="s">
        <v>262</v>
      </c>
      <c r="AC86" s="44" t="s">
        <v>262</v>
      </c>
      <c r="AD86" s="44" t="s">
        <v>262</v>
      </c>
      <c r="AE86" s="44" t="s">
        <v>262</v>
      </c>
      <c r="AF86" s="44" t="s">
        <v>263</v>
      </c>
      <c r="AG86" s="44" t="s">
        <v>263</v>
      </c>
      <c r="AH86" s="44" t="s">
        <v>262</v>
      </c>
      <c r="AI86" s="44">
        <v>0</v>
      </c>
      <c r="AJ86" s="47" t="s">
        <v>263</v>
      </c>
    </row>
    <row r="87" spans="1:36" x14ac:dyDescent="0.45">
      <c r="A87" s="43">
        <v>101</v>
      </c>
      <c r="B87" s="44">
        <v>838</v>
      </c>
      <c r="C87" s="44" t="s">
        <v>252</v>
      </c>
      <c r="D87" s="44" t="s">
        <v>84</v>
      </c>
      <c r="E87" s="45"/>
      <c r="F87" s="44" t="s">
        <v>611</v>
      </c>
      <c r="G87" s="44" t="s">
        <v>254</v>
      </c>
      <c r="H87" s="44" t="s">
        <v>1157</v>
      </c>
      <c r="I87" s="44" t="s">
        <v>1184</v>
      </c>
      <c r="J87" s="44" t="s">
        <v>517</v>
      </c>
      <c r="K87" s="44" t="s">
        <v>257</v>
      </c>
      <c r="L87" s="44" t="s">
        <v>1159</v>
      </c>
      <c r="M87" s="44" t="s">
        <v>1185</v>
      </c>
      <c r="N87" s="44" t="s">
        <v>518</v>
      </c>
      <c r="O87" s="44" t="s">
        <v>258</v>
      </c>
      <c r="P87" s="44" t="s">
        <v>1161</v>
      </c>
      <c r="Q87" s="44" t="s">
        <v>1186</v>
      </c>
      <c r="R87" s="46">
        <v>1</v>
      </c>
      <c r="S87" s="44">
        <v>1</v>
      </c>
      <c r="T87" s="44" t="s">
        <v>137</v>
      </c>
      <c r="U87" s="44" t="s">
        <v>169</v>
      </c>
      <c r="V87" s="44" t="s">
        <v>462</v>
      </c>
      <c r="W87" s="44" t="s">
        <v>515</v>
      </c>
      <c r="X87" s="44" t="s">
        <v>516</v>
      </c>
      <c r="Y87" s="44" t="s">
        <v>180</v>
      </c>
      <c r="Z87" s="44" t="s">
        <v>192</v>
      </c>
      <c r="AA87" s="44"/>
      <c r="AB87" s="44" t="s">
        <v>262</v>
      </c>
      <c r="AC87" s="44" t="s">
        <v>262</v>
      </c>
      <c r="AD87" s="44" t="s">
        <v>262</v>
      </c>
      <c r="AE87" s="44" t="s">
        <v>262</v>
      </c>
      <c r="AF87" s="44" t="s">
        <v>263</v>
      </c>
      <c r="AG87" s="44" t="s">
        <v>263</v>
      </c>
      <c r="AH87" s="44" t="s">
        <v>262</v>
      </c>
      <c r="AI87" s="44">
        <v>0</v>
      </c>
      <c r="AJ87" s="47" t="s">
        <v>263</v>
      </c>
    </row>
    <row r="88" spans="1:36" x14ac:dyDescent="0.45">
      <c r="A88" s="43">
        <v>66</v>
      </c>
      <c r="B88" s="44">
        <v>839</v>
      </c>
      <c r="C88" s="44" t="s">
        <v>252</v>
      </c>
      <c r="D88" s="44" t="s">
        <v>84</v>
      </c>
      <c r="E88" s="45"/>
      <c r="F88" s="44" t="s">
        <v>519</v>
      </c>
      <c r="G88" s="44" t="s">
        <v>254</v>
      </c>
      <c r="H88" s="44" t="s">
        <v>520</v>
      </c>
      <c r="I88" s="44" t="s">
        <v>521</v>
      </c>
      <c r="J88" s="44" t="s">
        <v>522</v>
      </c>
      <c r="K88" s="44" t="s">
        <v>257</v>
      </c>
      <c r="L88" s="44" t="s">
        <v>523</v>
      </c>
      <c r="M88" s="44" t="s">
        <v>519</v>
      </c>
      <c r="N88" s="44" t="s">
        <v>519</v>
      </c>
      <c r="O88" s="44" t="s">
        <v>258</v>
      </c>
      <c r="P88" s="44" t="s">
        <v>524</v>
      </c>
      <c r="Q88" s="44" t="s">
        <v>525</v>
      </c>
      <c r="R88" s="46">
        <v>2</v>
      </c>
      <c r="S88" s="44">
        <v>1</v>
      </c>
      <c r="T88" s="44" t="s">
        <v>137</v>
      </c>
      <c r="U88" s="44" t="s">
        <v>169</v>
      </c>
      <c r="V88" s="44" t="s">
        <v>462</v>
      </c>
      <c r="W88" s="44" t="s">
        <v>526</v>
      </c>
      <c r="X88" s="44" t="s">
        <v>526</v>
      </c>
      <c r="Y88" s="44" t="s">
        <v>180</v>
      </c>
      <c r="Z88" s="44" t="s">
        <v>192</v>
      </c>
      <c r="AA88" s="44"/>
      <c r="AB88" s="44" t="s">
        <v>262</v>
      </c>
      <c r="AC88" s="44" t="s">
        <v>262</v>
      </c>
      <c r="AD88" s="44" t="s">
        <v>262</v>
      </c>
      <c r="AE88" s="44" t="s">
        <v>262</v>
      </c>
      <c r="AF88" s="44" t="s">
        <v>263</v>
      </c>
      <c r="AG88" s="44" t="s">
        <v>263</v>
      </c>
      <c r="AH88" s="44" t="s">
        <v>262</v>
      </c>
      <c r="AI88" s="44">
        <v>0.05</v>
      </c>
      <c r="AJ88" s="47" t="s">
        <v>263</v>
      </c>
    </row>
    <row r="89" spans="1:36" x14ac:dyDescent="0.45">
      <c r="A89" s="43">
        <v>79</v>
      </c>
      <c r="B89" s="44">
        <v>840</v>
      </c>
      <c r="C89" s="44" t="s">
        <v>252</v>
      </c>
      <c r="D89" s="44" t="s">
        <v>84</v>
      </c>
      <c r="E89" s="45"/>
      <c r="F89" s="44" t="s">
        <v>527</v>
      </c>
      <c r="G89" s="44" t="s">
        <v>254</v>
      </c>
      <c r="H89" s="44" t="s">
        <v>359</v>
      </c>
      <c r="I89" s="44" t="s">
        <v>528</v>
      </c>
      <c r="J89" s="44" t="s">
        <v>527</v>
      </c>
      <c r="K89" s="44" t="s">
        <v>257</v>
      </c>
      <c r="L89" s="44" t="s">
        <v>359</v>
      </c>
      <c r="M89" s="44" t="s">
        <v>528</v>
      </c>
      <c r="N89" s="44" t="s">
        <v>527</v>
      </c>
      <c r="O89" s="44" t="s">
        <v>258</v>
      </c>
      <c r="P89" s="44" t="s">
        <v>359</v>
      </c>
      <c r="Q89" s="44" t="s">
        <v>528</v>
      </c>
      <c r="R89" s="46">
        <v>0.4</v>
      </c>
      <c r="S89" s="44">
        <v>100</v>
      </c>
      <c r="T89" s="44" t="s">
        <v>130</v>
      </c>
      <c r="U89" s="44" t="s">
        <v>169</v>
      </c>
      <c r="V89" s="44" t="s">
        <v>462</v>
      </c>
      <c r="W89" s="44" t="s">
        <v>526</v>
      </c>
      <c r="X89" s="44" t="s">
        <v>526</v>
      </c>
      <c r="Y89" s="44" t="s">
        <v>180</v>
      </c>
      <c r="Z89" s="44" t="s">
        <v>192</v>
      </c>
      <c r="AA89" s="44"/>
      <c r="AB89" s="44" t="s">
        <v>262</v>
      </c>
      <c r="AC89" s="44" t="s">
        <v>262</v>
      </c>
      <c r="AD89" s="44" t="s">
        <v>262</v>
      </c>
      <c r="AE89" s="44" t="s">
        <v>262</v>
      </c>
      <c r="AF89" s="44" t="s">
        <v>263</v>
      </c>
      <c r="AG89" s="44" t="s">
        <v>263</v>
      </c>
      <c r="AH89" s="44" t="s">
        <v>262</v>
      </c>
      <c r="AI89" s="44">
        <v>0.05</v>
      </c>
      <c r="AJ89" s="47" t="s">
        <v>263</v>
      </c>
    </row>
    <row r="90" spans="1:36" x14ac:dyDescent="0.45">
      <c r="A90" s="43">
        <v>80</v>
      </c>
      <c r="B90" s="44">
        <v>841</v>
      </c>
      <c r="C90" s="44" t="s">
        <v>252</v>
      </c>
      <c r="D90" s="44" t="s">
        <v>84</v>
      </c>
      <c r="E90" s="45"/>
      <c r="F90" s="44" t="s">
        <v>527</v>
      </c>
      <c r="G90" s="44" t="s">
        <v>254</v>
      </c>
      <c r="H90" s="44" t="s">
        <v>529</v>
      </c>
      <c r="I90" s="44" t="s">
        <v>530</v>
      </c>
      <c r="J90" s="44" t="s">
        <v>527</v>
      </c>
      <c r="K90" s="44" t="s">
        <v>257</v>
      </c>
      <c r="L90" s="44" t="s">
        <v>529</v>
      </c>
      <c r="M90" s="44" t="s">
        <v>530</v>
      </c>
      <c r="N90" s="44" t="s">
        <v>527</v>
      </c>
      <c r="O90" s="44" t="s">
        <v>258</v>
      </c>
      <c r="P90" s="44" t="s">
        <v>529</v>
      </c>
      <c r="Q90" s="44" t="s">
        <v>530</v>
      </c>
      <c r="R90" s="46">
        <v>0.6</v>
      </c>
      <c r="S90" s="44">
        <v>100</v>
      </c>
      <c r="T90" s="44" t="s">
        <v>130</v>
      </c>
      <c r="U90" s="44" t="s">
        <v>169</v>
      </c>
      <c r="V90" s="44" t="s">
        <v>462</v>
      </c>
      <c r="W90" s="44" t="s">
        <v>526</v>
      </c>
      <c r="X90" s="44" t="s">
        <v>526</v>
      </c>
      <c r="Y90" s="44" t="s">
        <v>180</v>
      </c>
      <c r="Z90" s="44" t="s">
        <v>192</v>
      </c>
      <c r="AA90" s="44"/>
      <c r="AB90" s="44" t="s">
        <v>262</v>
      </c>
      <c r="AC90" s="44" t="s">
        <v>262</v>
      </c>
      <c r="AD90" s="44" t="s">
        <v>262</v>
      </c>
      <c r="AE90" s="44" t="s">
        <v>262</v>
      </c>
      <c r="AF90" s="44" t="s">
        <v>263</v>
      </c>
      <c r="AG90" s="44" t="s">
        <v>263</v>
      </c>
      <c r="AH90" s="44" t="s">
        <v>262</v>
      </c>
      <c r="AI90" s="44">
        <v>0.05</v>
      </c>
      <c r="AJ90" s="47" t="s">
        <v>263</v>
      </c>
    </row>
    <row r="91" spans="1:36" x14ac:dyDescent="0.45">
      <c r="A91" s="43">
        <v>81</v>
      </c>
      <c r="B91" s="44">
        <v>842</v>
      </c>
      <c r="C91" s="44" t="s">
        <v>252</v>
      </c>
      <c r="D91" s="44" t="s">
        <v>84</v>
      </c>
      <c r="E91" s="45"/>
      <c r="F91" s="44" t="s">
        <v>527</v>
      </c>
      <c r="G91" s="44" t="s">
        <v>254</v>
      </c>
      <c r="H91" s="44" t="s">
        <v>531</v>
      </c>
      <c r="I91" s="44" t="s">
        <v>532</v>
      </c>
      <c r="J91" s="44" t="s">
        <v>527</v>
      </c>
      <c r="K91" s="44" t="s">
        <v>257</v>
      </c>
      <c r="L91" s="44" t="s">
        <v>531</v>
      </c>
      <c r="M91" s="44" t="s">
        <v>532</v>
      </c>
      <c r="N91" s="44" t="s">
        <v>527</v>
      </c>
      <c r="O91" s="44" t="s">
        <v>258</v>
      </c>
      <c r="P91" s="44" t="s">
        <v>531</v>
      </c>
      <c r="Q91" s="44" t="s">
        <v>532</v>
      </c>
      <c r="R91" s="46">
        <v>0.8</v>
      </c>
      <c r="S91" s="44">
        <v>100</v>
      </c>
      <c r="T91" s="44" t="s">
        <v>130</v>
      </c>
      <c r="U91" s="44" t="s">
        <v>169</v>
      </c>
      <c r="V91" s="44" t="s">
        <v>462</v>
      </c>
      <c r="W91" s="44" t="s">
        <v>526</v>
      </c>
      <c r="X91" s="44" t="s">
        <v>526</v>
      </c>
      <c r="Y91" s="44" t="s">
        <v>180</v>
      </c>
      <c r="Z91" s="44" t="s">
        <v>192</v>
      </c>
      <c r="AA91" s="44"/>
      <c r="AB91" s="44" t="s">
        <v>262</v>
      </c>
      <c r="AC91" s="44" t="s">
        <v>262</v>
      </c>
      <c r="AD91" s="44" t="s">
        <v>262</v>
      </c>
      <c r="AE91" s="44" t="s">
        <v>262</v>
      </c>
      <c r="AF91" s="44" t="s">
        <v>263</v>
      </c>
      <c r="AG91" s="44" t="s">
        <v>263</v>
      </c>
      <c r="AH91" s="44" t="s">
        <v>262</v>
      </c>
      <c r="AI91" s="44">
        <v>0.05</v>
      </c>
      <c r="AJ91" s="47" t="s">
        <v>263</v>
      </c>
    </row>
    <row r="92" spans="1:36" x14ac:dyDescent="0.45">
      <c r="A92" s="43">
        <v>82</v>
      </c>
      <c r="B92" s="44">
        <v>843</v>
      </c>
      <c r="C92" s="44" t="s">
        <v>503</v>
      </c>
      <c r="D92" s="44" t="s">
        <v>84</v>
      </c>
      <c r="E92" s="45"/>
      <c r="F92" s="44" t="s">
        <v>533</v>
      </c>
      <c r="G92" s="44" t="s">
        <v>254</v>
      </c>
      <c r="H92" s="44" t="s">
        <v>520</v>
      </c>
      <c r="I92" s="44" t="s">
        <v>534</v>
      </c>
      <c r="J92" s="44" t="s">
        <v>1090</v>
      </c>
      <c r="K92" s="44" t="s">
        <v>257</v>
      </c>
      <c r="L92" s="44" t="s">
        <v>523</v>
      </c>
      <c r="M92" s="44" t="s">
        <v>535</v>
      </c>
      <c r="N92" s="44" t="s">
        <v>536</v>
      </c>
      <c r="O92" s="44" t="s">
        <v>258</v>
      </c>
      <c r="P92" s="44" t="s">
        <v>524</v>
      </c>
      <c r="Q92" s="44" t="s">
        <v>537</v>
      </c>
      <c r="R92" s="46">
        <v>2</v>
      </c>
      <c r="S92" s="44">
        <v>100</v>
      </c>
      <c r="T92" s="44" t="s">
        <v>130</v>
      </c>
      <c r="U92" s="44" t="s">
        <v>168</v>
      </c>
      <c r="V92" s="44" t="s">
        <v>462</v>
      </c>
      <c r="W92" s="44" t="s">
        <v>526</v>
      </c>
      <c r="X92" s="44" t="s">
        <v>526</v>
      </c>
      <c r="Y92" s="44" t="s">
        <v>180</v>
      </c>
      <c r="Z92" s="44" t="s">
        <v>192</v>
      </c>
      <c r="AA92" s="44"/>
      <c r="AB92" s="44" t="s">
        <v>262</v>
      </c>
      <c r="AC92" s="44" t="s">
        <v>262</v>
      </c>
      <c r="AD92" s="44" t="s">
        <v>262</v>
      </c>
      <c r="AE92" s="44" t="s">
        <v>262</v>
      </c>
      <c r="AF92" s="44" t="s">
        <v>263</v>
      </c>
      <c r="AG92" s="44" t="s">
        <v>263</v>
      </c>
      <c r="AH92" s="44" t="s">
        <v>262</v>
      </c>
      <c r="AI92" s="44">
        <v>0.05</v>
      </c>
      <c r="AJ92" s="47" t="s">
        <v>263</v>
      </c>
    </row>
    <row r="93" spans="1:36" x14ac:dyDescent="0.45">
      <c r="A93" s="43">
        <v>83</v>
      </c>
      <c r="B93" s="44">
        <v>844</v>
      </c>
      <c r="C93" s="44" t="s">
        <v>503</v>
      </c>
      <c r="D93" s="44" t="s">
        <v>84</v>
      </c>
      <c r="E93" s="45"/>
      <c r="F93" s="44" t="s">
        <v>538</v>
      </c>
      <c r="G93" s="44" t="s">
        <v>254</v>
      </c>
      <c r="H93" s="44" t="s">
        <v>273</v>
      </c>
      <c r="I93" s="44" t="s">
        <v>538</v>
      </c>
      <c r="J93" s="44" t="s">
        <v>1091</v>
      </c>
      <c r="K93" s="44" t="s">
        <v>257</v>
      </c>
      <c r="L93" s="44" t="s">
        <v>274</v>
      </c>
      <c r="M93" s="44" t="s">
        <v>1091</v>
      </c>
      <c r="N93" s="44" t="s">
        <v>1091</v>
      </c>
      <c r="O93" s="44" t="s">
        <v>258</v>
      </c>
      <c r="P93" s="44" t="s">
        <v>275</v>
      </c>
      <c r="Q93" s="44" t="s">
        <v>1091</v>
      </c>
      <c r="R93" s="46">
        <v>1</v>
      </c>
      <c r="S93" s="44">
        <v>100</v>
      </c>
      <c r="T93" s="44" t="s">
        <v>130</v>
      </c>
      <c r="U93" s="44" t="s">
        <v>168</v>
      </c>
      <c r="V93" s="44" t="s">
        <v>462</v>
      </c>
      <c r="W93" s="44" t="s">
        <v>526</v>
      </c>
      <c r="X93" s="44" t="s">
        <v>526</v>
      </c>
      <c r="Y93" s="44" t="s">
        <v>180</v>
      </c>
      <c r="Z93" s="44" t="s">
        <v>192</v>
      </c>
      <c r="AA93" s="44"/>
      <c r="AB93" s="44" t="s">
        <v>262</v>
      </c>
      <c r="AC93" s="44" t="s">
        <v>262</v>
      </c>
      <c r="AD93" s="44" t="s">
        <v>262</v>
      </c>
      <c r="AE93" s="44" t="s">
        <v>262</v>
      </c>
      <c r="AF93" s="44" t="s">
        <v>263</v>
      </c>
      <c r="AG93" s="44" t="s">
        <v>263</v>
      </c>
      <c r="AH93" s="44" t="s">
        <v>262</v>
      </c>
      <c r="AI93" s="44">
        <v>0.05</v>
      </c>
      <c r="AJ93" s="47" t="s">
        <v>263</v>
      </c>
    </row>
    <row r="94" spans="1:36" x14ac:dyDescent="0.45">
      <c r="A94" s="43">
        <v>87</v>
      </c>
      <c r="B94" s="44">
        <v>845</v>
      </c>
      <c r="C94" s="44" t="s">
        <v>503</v>
      </c>
      <c r="D94" s="44" t="s">
        <v>84</v>
      </c>
      <c r="E94" s="45"/>
      <c r="F94" s="44" t="s">
        <v>539</v>
      </c>
      <c r="G94" s="44" t="s">
        <v>254</v>
      </c>
      <c r="H94" s="44" t="s">
        <v>1154</v>
      </c>
      <c r="I94" s="44" t="s">
        <v>1187</v>
      </c>
      <c r="J94" s="44" t="s">
        <v>540</v>
      </c>
      <c r="K94" s="44" t="s">
        <v>257</v>
      </c>
      <c r="L94" s="44" t="s">
        <v>1154</v>
      </c>
      <c r="M94" s="44" t="s">
        <v>1188</v>
      </c>
      <c r="N94" s="44" t="s">
        <v>541</v>
      </c>
      <c r="O94" s="44" t="s">
        <v>258</v>
      </c>
      <c r="P94" s="44" t="s">
        <v>1154</v>
      </c>
      <c r="Q94" s="44" t="s">
        <v>1189</v>
      </c>
      <c r="R94" s="46">
        <v>1</v>
      </c>
      <c r="S94" s="44">
        <v>100</v>
      </c>
      <c r="T94" s="44" t="s">
        <v>130</v>
      </c>
      <c r="U94" s="44" t="s">
        <v>168</v>
      </c>
      <c r="V94" s="44" t="s">
        <v>462</v>
      </c>
      <c r="W94" s="44" t="s">
        <v>526</v>
      </c>
      <c r="X94" s="44" t="s">
        <v>526</v>
      </c>
      <c r="Y94" s="44" t="s">
        <v>180</v>
      </c>
      <c r="Z94" s="44" t="s">
        <v>192</v>
      </c>
      <c r="AA94" s="44"/>
      <c r="AB94" s="44" t="s">
        <v>262</v>
      </c>
      <c r="AC94" s="44" t="s">
        <v>262</v>
      </c>
      <c r="AD94" s="44" t="s">
        <v>262</v>
      </c>
      <c r="AE94" s="44" t="s">
        <v>262</v>
      </c>
      <c r="AF94" s="44" t="s">
        <v>263</v>
      </c>
      <c r="AG94" s="44" t="s">
        <v>263</v>
      </c>
      <c r="AH94" s="44" t="s">
        <v>262</v>
      </c>
      <c r="AI94" s="44">
        <v>0</v>
      </c>
      <c r="AJ94" s="47" t="s">
        <v>263</v>
      </c>
    </row>
    <row r="95" spans="1:36" x14ac:dyDescent="0.45">
      <c r="A95" s="43">
        <v>87</v>
      </c>
      <c r="B95" s="44">
        <v>846</v>
      </c>
      <c r="C95" s="44" t="s">
        <v>252</v>
      </c>
      <c r="D95" s="44" t="s">
        <v>84</v>
      </c>
      <c r="E95" s="45"/>
      <c r="F95" s="44" t="s">
        <v>539</v>
      </c>
      <c r="G95" s="44" t="s">
        <v>254</v>
      </c>
      <c r="H95" s="44" t="s">
        <v>1157</v>
      </c>
      <c r="I95" s="44" t="s">
        <v>1190</v>
      </c>
      <c r="J95" s="44" t="s">
        <v>540</v>
      </c>
      <c r="K95" s="44" t="s">
        <v>257</v>
      </c>
      <c r="L95" s="44" t="s">
        <v>1159</v>
      </c>
      <c r="M95" s="44" t="s">
        <v>1191</v>
      </c>
      <c r="N95" s="44" t="s">
        <v>541</v>
      </c>
      <c r="O95" s="44" t="s">
        <v>258</v>
      </c>
      <c r="P95" s="44" t="s">
        <v>1161</v>
      </c>
      <c r="Q95" s="44" t="s">
        <v>1192</v>
      </c>
      <c r="R95" s="46">
        <v>1</v>
      </c>
      <c r="S95" s="44">
        <v>1</v>
      </c>
      <c r="T95" s="44" t="s">
        <v>137</v>
      </c>
      <c r="U95" s="44" t="s">
        <v>169</v>
      </c>
      <c r="V95" s="44" t="s">
        <v>462</v>
      </c>
      <c r="W95" s="44" t="s">
        <v>526</v>
      </c>
      <c r="X95" s="44" t="s">
        <v>526</v>
      </c>
      <c r="Y95" s="44" t="s">
        <v>180</v>
      </c>
      <c r="Z95" s="44" t="s">
        <v>192</v>
      </c>
      <c r="AA95" s="44"/>
      <c r="AB95" s="44" t="s">
        <v>262</v>
      </c>
      <c r="AC95" s="44" t="s">
        <v>262</v>
      </c>
      <c r="AD95" s="44" t="s">
        <v>262</v>
      </c>
      <c r="AE95" s="44" t="s">
        <v>262</v>
      </c>
      <c r="AF95" s="44" t="s">
        <v>263</v>
      </c>
      <c r="AG95" s="44" t="s">
        <v>263</v>
      </c>
      <c r="AH95" s="44" t="s">
        <v>262</v>
      </c>
      <c r="AI95" s="44">
        <v>0</v>
      </c>
      <c r="AJ95" s="47" t="s">
        <v>263</v>
      </c>
    </row>
    <row r="96" spans="1:36" x14ac:dyDescent="0.45">
      <c r="A96" s="43">
        <v>88</v>
      </c>
      <c r="B96" s="44">
        <v>847</v>
      </c>
      <c r="C96" s="44" t="s">
        <v>503</v>
      </c>
      <c r="D96" s="44" t="s">
        <v>84</v>
      </c>
      <c r="E96" s="45"/>
      <c r="F96" s="44" t="s">
        <v>542</v>
      </c>
      <c r="G96" s="44" t="s">
        <v>254</v>
      </c>
      <c r="H96" s="44" t="s">
        <v>1154</v>
      </c>
      <c r="I96" s="44" t="s">
        <v>1193</v>
      </c>
      <c r="J96" s="44" t="s">
        <v>1092</v>
      </c>
      <c r="K96" s="44" t="s">
        <v>257</v>
      </c>
      <c r="L96" s="44" t="s">
        <v>1154</v>
      </c>
      <c r="M96" s="44" t="s">
        <v>1194</v>
      </c>
      <c r="N96" s="44" t="s">
        <v>543</v>
      </c>
      <c r="O96" s="44" t="s">
        <v>258</v>
      </c>
      <c r="P96" s="44" t="s">
        <v>1154</v>
      </c>
      <c r="Q96" s="44" t="s">
        <v>1195</v>
      </c>
      <c r="R96" s="46">
        <v>1</v>
      </c>
      <c r="S96" s="44">
        <v>100</v>
      </c>
      <c r="T96" s="44" t="s">
        <v>130</v>
      </c>
      <c r="U96" s="44" t="s">
        <v>168</v>
      </c>
      <c r="V96" s="44" t="s">
        <v>462</v>
      </c>
      <c r="W96" s="44" t="s">
        <v>526</v>
      </c>
      <c r="X96" s="44" t="s">
        <v>526</v>
      </c>
      <c r="Y96" s="44" t="s">
        <v>180</v>
      </c>
      <c r="Z96" s="44" t="s">
        <v>192</v>
      </c>
      <c r="AA96" s="44"/>
      <c r="AB96" s="44" t="s">
        <v>262</v>
      </c>
      <c r="AC96" s="44" t="s">
        <v>262</v>
      </c>
      <c r="AD96" s="44" t="s">
        <v>262</v>
      </c>
      <c r="AE96" s="44" t="s">
        <v>262</v>
      </c>
      <c r="AF96" s="44" t="s">
        <v>263</v>
      </c>
      <c r="AG96" s="44" t="s">
        <v>263</v>
      </c>
      <c r="AH96" s="44" t="s">
        <v>262</v>
      </c>
      <c r="AI96" s="44">
        <v>0</v>
      </c>
      <c r="AJ96" s="47" t="s">
        <v>263</v>
      </c>
    </row>
    <row r="97" spans="1:36" x14ac:dyDescent="0.45">
      <c r="A97" s="43">
        <v>88</v>
      </c>
      <c r="B97" s="44">
        <v>848</v>
      </c>
      <c r="C97" s="44" t="s">
        <v>252</v>
      </c>
      <c r="D97" s="44" t="s">
        <v>84</v>
      </c>
      <c r="E97" s="45"/>
      <c r="F97" s="44" t="s">
        <v>542</v>
      </c>
      <c r="G97" s="44" t="s">
        <v>254</v>
      </c>
      <c r="H97" s="44" t="s">
        <v>1157</v>
      </c>
      <c r="I97" s="44" t="s">
        <v>1196</v>
      </c>
      <c r="J97" s="44" t="s">
        <v>1092</v>
      </c>
      <c r="K97" s="44" t="s">
        <v>257</v>
      </c>
      <c r="L97" s="44" t="s">
        <v>1159</v>
      </c>
      <c r="M97" s="44" t="s">
        <v>1197</v>
      </c>
      <c r="N97" s="44" t="s">
        <v>543</v>
      </c>
      <c r="O97" s="44" t="s">
        <v>258</v>
      </c>
      <c r="P97" s="44" t="s">
        <v>1161</v>
      </c>
      <c r="Q97" s="44" t="s">
        <v>1198</v>
      </c>
      <c r="R97" s="46">
        <v>1</v>
      </c>
      <c r="S97" s="44">
        <v>1</v>
      </c>
      <c r="T97" s="44" t="s">
        <v>137</v>
      </c>
      <c r="U97" s="44" t="s">
        <v>169</v>
      </c>
      <c r="V97" s="44" t="s">
        <v>462</v>
      </c>
      <c r="W97" s="44" t="s">
        <v>526</v>
      </c>
      <c r="X97" s="44" t="s">
        <v>526</v>
      </c>
      <c r="Y97" s="44" t="s">
        <v>180</v>
      </c>
      <c r="Z97" s="44" t="s">
        <v>192</v>
      </c>
      <c r="AA97" s="44"/>
      <c r="AB97" s="44" t="s">
        <v>262</v>
      </c>
      <c r="AC97" s="44" t="s">
        <v>262</v>
      </c>
      <c r="AD97" s="44" t="s">
        <v>262</v>
      </c>
      <c r="AE97" s="44" t="s">
        <v>262</v>
      </c>
      <c r="AF97" s="44" t="s">
        <v>263</v>
      </c>
      <c r="AG97" s="44" t="s">
        <v>263</v>
      </c>
      <c r="AH97" s="44" t="s">
        <v>262</v>
      </c>
      <c r="AI97" s="44">
        <v>0</v>
      </c>
      <c r="AJ97" s="47" t="s">
        <v>263</v>
      </c>
    </row>
    <row r="98" spans="1:36" x14ac:dyDescent="0.45">
      <c r="A98" s="43">
        <v>93</v>
      </c>
      <c r="B98" s="44">
        <v>849</v>
      </c>
      <c r="C98" s="44" t="s">
        <v>503</v>
      </c>
      <c r="D98" s="44" t="s">
        <v>84</v>
      </c>
      <c r="E98" s="45"/>
      <c r="F98" s="44" t="s">
        <v>544</v>
      </c>
      <c r="G98" s="44" t="s">
        <v>254</v>
      </c>
      <c r="H98" s="44" t="s">
        <v>273</v>
      </c>
      <c r="I98" s="44" t="s">
        <v>544</v>
      </c>
      <c r="J98" s="44" t="s">
        <v>1093</v>
      </c>
      <c r="K98" s="44" t="s">
        <v>257</v>
      </c>
      <c r="L98" s="44" t="s">
        <v>274</v>
      </c>
      <c r="M98" s="44" t="s">
        <v>1093</v>
      </c>
      <c r="N98" s="44" t="s">
        <v>545</v>
      </c>
      <c r="O98" s="44" t="s">
        <v>258</v>
      </c>
      <c r="P98" s="44" t="s">
        <v>275</v>
      </c>
      <c r="Q98" s="44" t="s">
        <v>545</v>
      </c>
      <c r="R98" s="46">
        <v>1</v>
      </c>
      <c r="S98" s="44">
        <v>100</v>
      </c>
      <c r="T98" s="44" t="s">
        <v>130</v>
      </c>
      <c r="U98" s="44" t="s">
        <v>168</v>
      </c>
      <c r="V98" s="44" t="s">
        <v>462</v>
      </c>
      <c r="W98" s="44" t="s">
        <v>526</v>
      </c>
      <c r="X98" s="44" t="s">
        <v>526</v>
      </c>
      <c r="Y98" s="44" t="s">
        <v>180</v>
      </c>
      <c r="Z98" s="44" t="s">
        <v>192</v>
      </c>
      <c r="AA98" s="44"/>
      <c r="AB98" s="44" t="s">
        <v>262</v>
      </c>
      <c r="AC98" s="44" t="s">
        <v>262</v>
      </c>
      <c r="AD98" s="44" t="s">
        <v>262</v>
      </c>
      <c r="AE98" s="44" t="s">
        <v>262</v>
      </c>
      <c r="AF98" s="44" t="s">
        <v>263</v>
      </c>
      <c r="AG98" s="44" t="s">
        <v>263</v>
      </c>
      <c r="AH98" s="44" t="s">
        <v>262</v>
      </c>
      <c r="AI98" s="44">
        <v>0.05</v>
      </c>
      <c r="AJ98" s="47" t="s">
        <v>263</v>
      </c>
    </row>
    <row r="99" spans="1:36" x14ac:dyDescent="0.45">
      <c r="A99" s="43">
        <v>96</v>
      </c>
      <c r="B99" s="44">
        <v>850</v>
      </c>
      <c r="C99" s="44" t="s">
        <v>503</v>
      </c>
      <c r="D99" s="44" t="s">
        <v>84</v>
      </c>
      <c r="E99" s="45"/>
      <c r="F99" s="44" t="s">
        <v>546</v>
      </c>
      <c r="G99" s="44" t="s">
        <v>254</v>
      </c>
      <c r="H99" s="44" t="s">
        <v>273</v>
      </c>
      <c r="I99" s="44" t="s">
        <v>546</v>
      </c>
      <c r="J99" s="44" t="s">
        <v>1094</v>
      </c>
      <c r="K99" s="44" t="s">
        <v>257</v>
      </c>
      <c r="L99" s="44" t="s">
        <v>274</v>
      </c>
      <c r="M99" s="44" t="s">
        <v>1094</v>
      </c>
      <c r="N99" s="44" t="s">
        <v>546</v>
      </c>
      <c r="O99" s="44" t="s">
        <v>258</v>
      </c>
      <c r="P99" s="44" t="s">
        <v>275</v>
      </c>
      <c r="Q99" s="44" t="s">
        <v>546</v>
      </c>
      <c r="R99" s="46">
        <v>1</v>
      </c>
      <c r="S99" s="44">
        <v>100</v>
      </c>
      <c r="T99" s="44" t="s">
        <v>130</v>
      </c>
      <c r="U99" s="44" t="s">
        <v>168</v>
      </c>
      <c r="V99" s="44" t="s">
        <v>462</v>
      </c>
      <c r="W99" s="44" t="s">
        <v>526</v>
      </c>
      <c r="X99" s="44" t="s">
        <v>526</v>
      </c>
      <c r="Y99" s="44" t="s">
        <v>180</v>
      </c>
      <c r="Z99" s="44" t="s">
        <v>192</v>
      </c>
      <c r="AA99" s="44"/>
      <c r="AB99" s="44" t="s">
        <v>262</v>
      </c>
      <c r="AC99" s="44" t="s">
        <v>262</v>
      </c>
      <c r="AD99" s="44" t="s">
        <v>262</v>
      </c>
      <c r="AE99" s="44" t="s">
        <v>262</v>
      </c>
      <c r="AF99" s="44" t="s">
        <v>263</v>
      </c>
      <c r="AG99" s="44" t="s">
        <v>263</v>
      </c>
      <c r="AH99" s="44" t="s">
        <v>262</v>
      </c>
      <c r="AI99" s="44">
        <v>0.05</v>
      </c>
      <c r="AJ99" s="47" t="s">
        <v>263</v>
      </c>
    </row>
    <row r="100" spans="1:36" x14ac:dyDescent="0.45">
      <c r="A100" s="43">
        <v>102</v>
      </c>
      <c r="B100" s="44">
        <v>851</v>
      </c>
      <c r="C100" s="44" t="s">
        <v>252</v>
      </c>
      <c r="D100" s="44" t="s">
        <v>84</v>
      </c>
      <c r="E100" s="45"/>
      <c r="F100" s="44" t="s">
        <v>547</v>
      </c>
      <c r="G100" s="44" t="s">
        <v>254</v>
      </c>
      <c r="H100" s="44" t="s">
        <v>273</v>
      </c>
      <c r="I100" s="44" t="s">
        <v>547</v>
      </c>
      <c r="J100" s="44" t="s">
        <v>547</v>
      </c>
      <c r="K100" s="44" t="s">
        <v>257</v>
      </c>
      <c r="L100" s="44" t="s">
        <v>274</v>
      </c>
      <c r="M100" s="44" t="s">
        <v>547</v>
      </c>
      <c r="N100" s="44" t="s">
        <v>547</v>
      </c>
      <c r="O100" s="44" t="s">
        <v>258</v>
      </c>
      <c r="P100" s="44" t="s">
        <v>275</v>
      </c>
      <c r="Q100" s="44" t="s">
        <v>547</v>
      </c>
      <c r="R100" s="46">
        <v>1</v>
      </c>
      <c r="S100" s="44">
        <v>1</v>
      </c>
      <c r="T100" s="44" t="s">
        <v>137</v>
      </c>
      <c r="U100" s="44" t="s">
        <v>169</v>
      </c>
      <c r="V100" s="44" t="s">
        <v>462</v>
      </c>
      <c r="W100" s="44" t="s">
        <v>526</v>
      </c>
      <c r="X100" s="44" t="s">
        <v>526</v>
      </c>
      <c r="Y100" s="44" t="s">
        <v>180</v>
      </c>
      <c r="Z100" s="44" t="s">
        <v>192</v>
      </c>
      <c r="AA100" s="44"/>
      <c r="AB100" s="44" t="s">
        <v>262</v>
      </c>
      <c r="AC100" s="44" t="s">
        <v>262</v>
      </c>
      <c r="AD100" s="44" t="s">
        <v>262</v>
      </c>
      <c r="AE100" s="44" t="s">
        <v>262</v>
      </c>
      <c r="AF100" s="44" t="s">
        <v>263</v>
      </c>
      <c r="AG100" s="44" t="s">
        <v>263</v>
      </c>
      <c r="AH100" s="44" t="s">
        <v>262</v>
      </c>
      <c r="AI100" s="44">
        <v>0.05</v>
      </c>
      <c r="AJ100" s="47" t="s">
        <v>263</v>
      </c>
    </row>
    <row r="101" spans="1:36" x14ac:dyDescent="0.45">
      <c r="A101" s="43">
        <v>67</v>
      </c>
      <c r="B101" s="44">
        <v>852</v>
      </c>
      <c r="C101" s="44" t="s">
        <v>252</v>
      </c>
      <c r="D101" s="44" t="s">
        <v>84</v>
      </c>
      <c r="E101" s="45"/>
      <c r="F101" s="44" t="s">
        <v>1095</v>
      </c>
      <c r="G101" s="44" t="s">
        <v>254</v>
      </c>
      <c r="H101" s="44" t="s">
        <v>416</v>
      </c>
      <c r="I101" s="44" t="s">
        <v>548</v>
      </c>
      <c r="J101" s="44" t="s">
        <v>1096</v>
      </c>
      <c r="K101" s="44" t="s">
        <v>257</v>
      </c>
      <c r="L101" s="44" t="s">
        <v>416</v>
      </c>
      <c r="M101" s="44" t="s">
        <v>549</v>
      </c>
      <c r="N101" s="44" t="s">
        <v>1097</v>
      </c>
      <c r="O101" s="44" t="s">
        <v>258</v>
      </c>
      <c r="P101" s="44" t="s">
        <v>416</v>
      </c>
      <c r="Q101" s="44" t="s">
        <v>550</v>
      </c>
      <c r="R101" s="46">
        <v>0.1</v>
      </c>
      <c r="S101" s="44">
        <v>100</v>
      </c>
      <c r="T101" s="44" t="s">
        <v>130</v>
      </c>
      <c r="U101" s="44" t="s">
        <v>169</v>
      </c>
      <c r="V101" s="44" t="s">
        <v>462</v>
      </c>
      <c r="W101" s="44" t="s">
        <v>1085</v>
      </c>
      <c r="X101" s="44" t="s">
        <v>551</v>
      </c>
      <c r="Y101" s="44" t="s">
        <v>180</v>
      </c>
      <c r="Z101" s="44" t="s">
        <v>192</v>
      </c>
      <c r="AA101" s="44"/>
      <c r="AB101" s="44" t="s">
        <v>262</v>
      </c>
      <c r="AC101" s="44" t="s">
        <v>262</v>
      </c>
      <c r="AD101" s="44" t="s">
        <v>262</v>
      </c>
      <c r="AE101" s="44" t="s">
        <v>262</v>
      </c>
      <c r="AF101" s="44" t="s">
        <v>263</v>
      </c>
      <c r="AG101" s="44" t="s">
        <v>263</v>
      </c>
      <c r="AH101" s="44" t="s">
        <v>262</v>
      </c>
      <c r="AI101" s="44">
        <v>0.05</v>
      </c>
      <c r="AJ101" s="47" t="s">
        <v>263</v>
      </c>
    </row>
    <row r="102" spans="1:36" x14ac:dyDescent="0.45">
      <c r="A102" s="43">
        <v>68</v>
      </c>
      <c r="B102" s="44">
        <v>853</v>
      </c>
      <c r="C102" s="44" t="s">
        <v>252</v>
      </c>
      <c r="D102" s="44" t="s">
        <v>84</v>
      </c>
      <c r="E102" s="45"/>
      <c r="F102" s="44" t="s">
        <v>1095</v>
      </c>
      <c r="G102" s="44" t="s">
        <v>254</v>
      </c>
      <c r="H102" s="44" t="s">
        <v>552</v>
      </c>
      <c r="I102" s="44" t="s">
        <v>553</v>
      </c>
      <c r="J102" s="44" t="s">
        <v>554</v>
      </c>
      <c r="K102" s="44" t="s">
        <v>257</v>
      </c>
      <c r="L102" s="44" t="s">
        <v>552</v>
      </c>
      <c r="M102" s="44" t="s">
        <v>555</v>
      </c>
      <c r="N102" s="44" t="s">
        <v>1097</v>
      </c>
      <c r="O102" s="44" t="s">
        <v>258</v>
      </c>
      <c r="P102" s="44" t="s">
        <v>552</v>
      </c>
      <c r="Q102" s="44" t="s">
        <v>556</v>
      </c>
      <c r="R102" s="46">
        <v>0.2</v>
      </c>
      <c r="S102" s="44">
        <v>100</v>
      </c>
      <c r="T102" s="44" t="s">
        <v>130</v>
      </c>
      <c r="U102" s="44" t="s">
        <v>169</v>
      </c>
      <c r="V102" s="44" t="s">
        <v>462</v>
      </c>
      <c r="W102" s="44" t="s">
        <v>1085</v>
      </c>
      <c r="X102" s="44" t="s">
        <v>551</v>
      </c>
      <c r="Y102" s="44" t="s">
        <v>180</v>
      </c>
      <c r="Z102" s="44" t="s">
        <v>192</v>
      </c>
      <c r="AA102" s="44"/>
      <c r="AB102" s="44" t="s">
        <v>262</v>
      </c>
      <c r="AC102" s="44" t="s">
        <v>262</v>
      </c>
      <c r="AD102" s="44" t="s">
        <v>262</v>
      </c>
      <c r="AE102" s="44" t="s">
        <v>262</v>
      </c>
      <c r="AF102" s="44" t="s">
        <v>263</v>
      </c>
      <c r="AG102" s="44" t="s">
        <v>263</v>
      </c>
      <c r="AH102" s="44" t="s">
        <v>262</v>
      </c>
      <c r="AI102" s="44">
        <v>0.05</v>
      </c>
      <c r="AJ102" s="47" t="s">
        <v>263</v>
      </c>
    </row>
    <row r="103" spans="1:36" x14ac:dyDescent="0.45">
      <c r="A103" s="43">
        <v>69</v>
      </c>
      <c r="B103" s="44">
        <v>854</v>
      </c>
      <c r="C103" s="44" t="s">
        <v>252</v>
      </c>
      <c r="D103" s="44" t="s">
        <v>84</v>
      </c>
      <c r="E103" s="45"/>
      <c r="F103" s="44" t="s">
        <v>1095</v>
      </c>
      <c r="G103" s="44" t="s">
        <v>254</v>
      </c>
      <c r="H103" s="44" t="s">
        <v>255</v>
      </c>
      <c r="I103" s="44" t="s">
        <v>557</v>
      </c>
      <c r="J103" s="44" t="s">
        <v>554</v>
      </c>
      <c r="K103" s="44" t="s">
        <v>257</v>
      </c>
      <c r="L103" s="44" t="s">
        <v>255</v>
      </c>
      <c r="M103" s="44" t="s">
        <v>558</v>
      </c>
      <c r="N103" s="44" t="s">
        <v>1097</v>
      </c>
      <c r="O103" s="44" t="s">
        <v>258</v>
      </c>
      <c r="P103" s="44" t="s">
        <v>255</v>
      </c>
      <c r="Q103" s="44" t="s">
        <v>559</v>
      </c>
      <c r="R103" s="46">
        <v>0.25</v>
      </c>
      <c r="S103" s="44">
        <v>100</v>
      </c>
      <c r="T103" s="44" t="s">
        <v>130</v>
      </c>
      <c r="U103" s="44" t="s">
        <v>169</v>
      </c>
      <c r="V103" s="44" t="s">
        <v>462</v>
      </c>
      <c r="W103" s="44" t="s">
        <v>1085</v>
      </c>
      <c r="X103" s="44" t="s">
        <v>551</v>
      </c>
      <c r="Y103" s="44" t="s">
        <v>180</v>
      </c>
      <c r="Z103" s="44" t="s">
        <v>192</v>
      </c>
      <c r="AA103" s="44"/>
      <c r="AB103" s="44" t="s">
        <v>262</v>
      </c>
      <c r="AC103" s="44" t="s">
        <v>262</v>
      </c>
      <c r="AD103" s="44" t="s">
        <v>262</v>
      </c>
      <c r="AE103" s="44" t="s">
        <v>262</v>
      </c>
      <c r="AF103" s="44" t="s">
        <v>263</v>
      </c>
      <c r="AG103" s="44" t="s">
        <v>263</v>
      </c>
      <c r="AH103" s="44" t="s">
        <v>262</v>
      </c>
      <c r="AI103" s="44">
        <v>0.05</v>
      </c>
      <c r="AJ103" s="47" t="s">
        <v>263</v>
      </c>
    </row>
    <row r="104" spans="1:36" x14ac:dyDescent="0.45">
      <c r="A104" s="43">
        <v>71</v>
      </c>
      <c r="B104" s="44">
        <v>855</v>
      </c>
      <c r="C104" s="44" t="s">
        <v>252</v>
      </c>
      <c r="D104" s="44" t="s">
        <v>84</v>
      </c>
      <c r="E104" s="45"/>
      <c r="F104" s="44" t="s">
        <v>560</v>
      </c>
      <c r="G104" s="44" t="s">
        <v>254</v>
      </c>
      <c r="H104" s="44" t="s">
        <v>561</v>
      </c>
      <c r="I104" s="44" t="s">
        <v>562</v>
      </c>
      <c r="J104" s="44" t="s">
        <v>563</v>
      </c>
      <c r="K104" s="44" t="s">
        <v>257</v>
      </c>
      <c r="L104" s="44" t="s">
        <v>561</v>
      </c>
      <c r="M104" s="44" t="s">
        <v>564</v>
      </c>
      <c r="N104" s="44" t="s">
        <v>565</v>
      </c>
      <c r="O104" s="44" t="s">
        <v>258</v>
      </c>
      <c r="P104" s="44" t="s">
        <v>561</v>
      </c>
      <c r="Q104" s="44" t="s">
        <v>566</v>
      </c>
      <c r="R104" s="46">
        <v>0.2</v>
      </c>
      <c r="S104" s="44">
        <v>100</v>
      </c>
      <c r="T104" s="44" t="s">
        <v>134</v>
      </c>
      <c r="U104" s="44" t="s">
        <v>169</v>
      </c>
      <c r="V104" s="44" t="s">
        <v>462</v>
      </c>
      <c r="W104" s="44" t="s">
        <v>1085</v>
      </c>
      <c r="X104" s="44" t="s">
        <v>551</v>
      </c>
      <c r="Y104" s="44" t="s">
        <v>180</v>
      </c>
      <c r="Z104" s="44" t="s">
        <v>192</v>
      </c>
      <c r="AA104" s="44"/>
      <c r="AB104" s="44" t="s">
        <v>262</v>
      </c>
      <c r="AC104" s="44" t="s">
        <v>262</v>
      </c>
      <c r="AD104" s="44" t="s">
        <v>262</v>
      </c>
      <c r="AE104" s="44" t="s">
        <v>262</v>
      </c>
      <c r="AF104" s="44" t="s">
        <v>263</v>
      </c>
      <c r="AG104" s="44" t="s">
        <v>263</v>
      </c>
      <c r="AH104" s="44" t="s">
        <v>262</v>
      </c>
      <c r="AI104" s="44">
        <v>0.05</v>
      </c>
      <c r="AJ104" s="47" t="s">
        <v>263</v>
      </c>
    </row>
    <row r="105" spans="1:36" x14ac:dyDescent="0.45">
      <c r="A105" s="43">
        <v>72</v>
      </c>
      <c r="B105" s="44">
        <v>856</v>
      </c>
      <c r="C105" s="44" t="s">
        <v>252</v>
      </c>
      <c r="D105" s="44" t="s">
        <v>84</v>
      </c>
      <c r="E105" s="45"/>
      <c r="F105" s="44" t="s">
        <v>560</v>
      </c>
      <c r="G105" s="44" t="s">
        <v>254</v>
      </c>
      <c r="H105" s="44" t="s">
        <v>567</v>
      </c>
      <c r="I105" s="44" t="s">
        <v>568</v>
      </c>
      <c r="J105" s="44" t="s">
        <v>563</v>
      </c>
      <c r="K105" s="44" t="s">
        <v>257</v>
      </c>
      <c r="L105" s="44" t="s">
        <v>567</v>
      </c>
      <c r="M105" s="44" t="s">
        <v>569</v>
      </c>
      <c r="N105" s="44" t="s">
        <v>565</v>
      </c>
      <c r="O105" s="44" t="s">
        <v>258</v>
      </c>
      <c r="P105" s="44" t="s">
        <v>567</v>
      </c>
      <c r="Q105" s="44" t="s">
        <v>570</v>
      </c>
      <c r="R105" s="46">
        <v>0.25</v>
      </c>
      <c r="S105" s="44">
        <v>100</v>
      </c>
      <c r="T105" s="44" t="s">
        <v>134</v>
      </c>
      <c r="U105" s="44" t="s">
        <v>169</v>
      </c>
      <c r="V105" s="44" t="s">
        <v>462</v>
      </c>
      <c r="W105" s="44" t="s">
        <v>1085</v>
      </c>
      <c r="X105" s="44" t="s">
        <v>551</v>
      </c>
      <c r="Y105" s="44" t="s">
        <v>180</v>
      </c>
      <c r="Z105" s="44" t="s">
        <v>192</v>
      </c>
      <c r="AA105" s="44"/>
      <c r="AB105" s="44" t="s">
        <v>262</v>
      </c>
      <c r="AC105" s="44" t="s">
        <v>262</v>
      </c>
      <c r="AD105" s="44" t="s">
        <v>262</v>
      </c>
      <c r="AE105" s="44" t="s">
        <v>262</v>
      </c>
      <c r="AF105" s="44" t="s">
        <v>263</v>
      </c>
      <c r="AG105" s="44" t="s">
        <v>263</v>
      </c>
      <c r="AH105" s="44" t="s">
        <v>262</v>
      </c>
      <c r="AI105" s="44">
        <v>0.05</v>
      </c>
      <c r="AJ105" s="47" t="s">
        <v>263</v>
      </c>
    </row>
    <row r="106" spans="1:36" x14ac:dyDescent="0.45">
      <c r="A106" s="43">
        <v>85</v>
      </c>
      <c r="B106" s="44">
        <v>857</v>
      </c>
      <c r="C106" s="44" t="s">
        <v>252</v>
      </c>
      <c r="D106" s="44" t="s">
        <v>84</v>
      </c>
      <c r="E106" s="45"/>
      <c r="F106" s="44" t="s">
        <v>571</v>
      </c>
      <c r="G106" s="44" t="s">
        <v>254</v>
      </c>
      <c r="H106" s="44" t="s">
        <v>572</v>
      </c>
      <c r="I106" s="44" t="s">
        <v>573</v>
      </c>
      <c r="J106" s="44" t="s">
        <v>574</v>
      </c>
      <c r="K106" s="44" t="s">
        <v>257</v>
      </c>
      <c r="L106" s="44" t="s">
        <v>572</v>
      </c>
      <c r="M106" s="44" t="s">
        <v>575</v>
      </c>
      <c r="N106" s="44" t="s">
        <v>574</v>
      </c>
      <c r="O106" s="44" t="s">
        <v>258</v>
      </c>
      <c r="P106" s="44" t="s">
        <v>572</v>
      </c>
      <c r="Q106" s="44" t="s">
        <v>575</v>
      </c>
      <c r="R106" s="46">
        <v>0.13</v>
      </c>
      <c r="S106" s="44">
        <v>100</v>
      </c>
      <c r="T106" s="44" t="s">
        <v>130</v>
      </c>
      <c r="U106" s="44" t="s">
        <v>169</v>
      </c>
      <c r="V106" s="44" t="s">
        <v>462</v>
      </c>
      <c r="W106" s="44" t="s">
        <v>1085</v>
      </c>
      <c r="X106" s="44" t="s">
        <v>551</v>
      </c>
      <c r="Y106" s="44" t="s">
        <v>180</v>
      </c>
      <c r="Z106" s="44" t="s">
        <v>192</v>
      </c>
      <c r="AA106" s="44"/>
      <c r="AB106" s="44" t="s">
        <v>262</v>
      </c>
      <c r="AC106" s="44" t="s">
        <v>262</v>
      </c>
      <c r="AD106" s="44" t="s">
        <v>262</v>
      </c>
      <c r="AE106" s="44" t="s">
        <v>262</v>
      </c>
      <c r="AF106" s="44" t="s">
        <v>263</v>
      </c>
      <c r="AG106" s="44" t="s">
        <v>263</v>
      </c>
      <c r="AH106" s="44" t="s">
        <v>262</v>
      </c>
      <c r="AI106" s="44">
        <v>0.05</v>
      </c>
      <c r="AJ106" s="47" t="s">
        <v>263</v>
      </c>
    </row>
    <row r="107" spans="1:36" x14ac:dyDescent="0.45">
      <c r="A107" s="43">
        <v>85</v>
      </c>
      <c r="B107" s="44">
        <v>858</v>
      </c>
      <c r="C107" s="44" t="s">
        <v>252</v>
      </c>
      <c r="D107" s="44" t="s">
        <v>84</v>
      </c>
      <c r="E107" s="45"/>
      <c r="F107" s="44" t="s">
        <v>571</v>
      </c>
      <c r="G107" s="44" t="s">
        <v>254</v>
      </c>
      <c r="H107" s="44" t="s">
        <v>437</v>
      </c>
      <c r="I107" s="44" t="s">
        <v>576</v>
      </c>
      <c r="J107" s="44" t="s">
        <v>574</v>
      </c>
      <c r="K107" s="44" t="s">
        <v>257</v>
      </c>
      <c r="L107" s="44" t="s">
        <v>437</v>
      </c>
      <c r="M107" s="44" t="s">
        <v>577</v>
      </c>
      <c r="N107" s="44" t="s">
        <v>574</v>
      </c>
      <c r="O107" s="44" t="s">
        <v>258</v>
      </c>
      <c r="P107" s="44" t="s">
        <v>437</v>
      </c>
      <c r="Q107" s="44" t="s">
        <v>577</v>
      </c>
      <c r="R107" s="46">
        <v>0.15</v>
      </c>
      <c r="S107" s="44">
        <v>100</v>
      </c>
      <c r="T107" s="44" t="s">
        <v>130</v>
      </c>
      <c r="U107" s="44" t="s">
        <v>169</v>
      </c>
      <c r="V107" s="44" t="s">
        <v>462</v>
      </c>
      <c r="W107" s="44" t="s">
        <v>1085</v>
      </c>
      <c r="X107" s="44" t="s">
        <v>551</v>
      </c>
      <c r="Y107" s="44" t="s">
        <v>180</v>
      </c>
      <c r="Z107" s="44" t="s">
        <v>192</v>
      </c>
      <c r="AA107" s="44"/>
      <c r="AB107" s="44" t="s">
        <v>262</v>
      </c>
      <c r="AC107" s="44" t="s">
        <v>262</v>
      </c>
      <c r="AD107" s="44" t="s">
        <v>262</v>
      </c>
      <c r="AE107" s="44" t="s">
        <v>262</v>
      </c>
      <c r="AF107" s="44" t="s">
        <v>263</v>
      </c>
      <c r="AG107" s="44" t="s">
        <v>263</v>
      </c>
      <c r="AH107" s="44" t="s">
        <v>262</v>
      </c>
      <c r="AI107" s="44">
        <v>0.05</v>
      </c>
      <c r="AJ107" s="47" t="s">
        <v>263</v>
      </c>
    </row>
    <row r="108" spans="1:36" x14ac:dyDescent="0.45">
      <c r="A108" s="43">
        <v>85</v>
      </c>
      <c r="B108" s="44">
        <v>859</v>
      </c>
      <c r="C108" s="44" t="s">
        <v>252</v>
      </c>
      <c r="D108" s="44" t="s">
        <v>84</v>
      </c>
      <c r="E108" s="45"/>
      <c r="F108" s="44" t="s">
        <v>571</v>
      </c>
      <c r="G108" s="44" t="s">
        <v>254</v>
      </c>
      <c r="H108" s="44" t="s">
        <v>578</v>
      </c>
      <c r="I108" s="44" t="s">
        <v>579</v>
      </c>
      <c r="J108" s="44" t="s">
        <v>574</v>
      </c>
      <c r="K108" s="44" t="s">
        <v>257</v>
      </c>
      <c r="L108" s="44" t="s">
        <v>578</v>
      </c>
      <c r="M108" s="44" t="s">
        <v>580</v>
      </c>
      <c r="N108" s="44" t="s">
        <v>574</v>
      </c>
      <c r="O108" s="44" t="s">
        <v>258</v>
      </c>
      <c r="P108" s="44" t="s">
        <v>578</v>
      </c>
      <c r="Q108" s="44" t="s">
        <v>580</v>
      </c>
      <c r="R108" s="46">
        <v>0.18</v>
      </c>
      <c r="S108" s="44">
        <v>100</v>
      </c>
      <c r="T108" s="44" t="s">
        <v>130</v>
      </c>
      <c r="U108" s="44" t="s">
        <v>169</v>
      </c>
      <c r="V108" s="44" t="s">
        <v>462</v>
      </c>
      <c r="W108" s="44" t="s">
        <v>1085</v>
      </c>
      <c r="X108" s="44" t="s">
        <v>551</v>
      </c>
      <c r="Y108" s="44" t="s">
        <v>180</v>
      </c>
      <c r="Z108" s="44" t="s">
        <v>192</v>
      </c>
      <c r="AA108" s="44"/>
      <c r="AB108" s="44" t="s">
        <v>262</v>
      </c>
      <c r="AC108" s="44" t="s">
        <v>262</v>
      </c>
      <c r="AD108" s="44" t="s">
        <v>262</v>
      </c>
      <c r="AE108" s="44" t="s">
        <v>262</v>
      </c>
      <c r="AF108" s="44" t="s">
        <v>263</v>
      </c>
      <c r="AG108" s="44" t="s">
        <v>263</v>
      </c>
      <c r="AH108" s="44" t="s">
        <v>262</v>
      </c>
      <c r="AI108" s="44">
        <v>0.05</v>
      </c>
      <c r="AJ108" s="47" t="s">
        <v>263</v>
      </c>
    </row>
    <row r="109" spans="1:36" x14ac:dyDescent="0.45">
      <c r="A109" s="43">
        <v>85</v>
      </c>
      <c r="B109" s="44">
        <v>860</v>
      </c>
      <c r="C109" s="44" t="s">
        <v>252</v>
      </c>
      <c r="D109" s="44" t="s">
        <v>84</v>
      </c>
      <c r="E109" s="45"/>
      <c r="F109" s="44" t="s">
        <v>571</v>
      </c>
      <c r="G109" s="44" t="s">
        <v>254</v>
      </c>
      <c r="H109" s="44" t="s">
        <v>552</v>
      </c>
      <c r="I109" s="44" t="s">
        <v>581</v>
      </c>
      <c r="J109" s="44" t="s">
        <v>574</v>
      </c>
      <c r="K109" s="44" t="s">
        <v>257</v>
      </c>
      <c r="L109" s="44" t="s">
        <v>552</v>
      </c>
      <c r="M109" s="44" t="s">
        <v>582</v>
      </c>
      <c r="N109" s="44" t="s">
        <v>574</v>
      </c>
      <c r="O109" s="44" t="s">
        <v>258</v>
      </c>
      <c r="P109" s="44" t="s">
        <v>552</v>
      </c>
      <c r="Q109" s="44" t="s">
        <v>582</v>
      </c>
      <c r="R109" s="46">
        <v>0.2</v>
      </c>
      <c r="S109" s="44">
        <v>100</v>
      </c>
      <c r="T109" s="44" t="s">
        <v>130</v>
      </c>
      <c r="U109" s="44" t="s">
        <v>169</v>
      </c>
      <c r="V109" s="44" t="s">
        <v>462</v>
      </c>
      <c r="W109" s="44" t="s">
        <v>1085</v>
      </c>
      <c r="X109" s="44" t="s">
        <v>551</v>
      </c>
      <c r="Y109" s="44" t="s">
        <v>180</v>
      </c>
      <c r="Z109" s="44" t="s">
        <v>192</v>
      </c>
      <c r="AA109" s="44"/>
      <c r="AB109" s="44" t="s">
        <v>262</v>
      </c>
      <c r="AC109" s="44" t="s">
        <v>262</v>
      </c>
      <c r="AD109" s="44" t="s">
        <v>262</v>
      </c>
      <c r="AE109" s="44" t="s">
        <v>262</v>
      </c>
      <c r="AF109" s="44" t="s">
        <v>263</v>
      </c>
      <c r="AG109" s="44" t="s">
        <v>263</v>
      </c>
      <c r="AH109" s="44" t="s">
        <v>262</v>
      </c>
      <c r="AI109" s="44">
        <v>0.05</v>
      </c>
      <c r="AJ109" s="47" t="s">
        <v>263</v>
      </c>
    </row>
    <row r="110" spans="1:36" x14ac:dyDescent="0.45">
      <c r="A110" s="43">
        <v>85</v>
      </c>
      <c r="B110" s="44">
        <v>861</v>
      </c>
      <c r="C110" s="44" t="s">
        <v>252</v>
      </c>
      <c r="D110" s="44" t="s">
        <v>84</v>
      </c>
      <c r="E110" s="45"/>
      <c r="F110" s="44" t="s">
        <v>571</v>
      </c>
      <c r="G110" s="44" t="s">
        <v>254</v>
      </c>
      <c r="H110" s="44" t="s">
        <v>255</v>
      </c>
      <c r="I110" s="44" t="s">
        <v>583</v>
      </c>
      <c r="J110" s="44" t="s">
        <v>574</v>
      </c>
      <c r="K110" s="44" t="s">
        <v>257</v>
      </c>
      <c r="L110" s="44" t="s">
        <v>255</v>
      </c>
      <c r="M110" s="44" t="s">
        <v>584</v>
      </c>
      <c r="N110" s="44" t="s">
        <v>574</v>
      </c>
      <c r="O110" s="44" t="s">
        <v>258</v>
      </c>
      <c r="P110" s="44" t="s">
        <v>255</v>
      </c>
      <c r="Q110" s="44" t="s">
        <v>584</v>
      </c>
      <c r="R110" s="46">
        <v>0.25</v>
      </c>
      <c r="S110" s="44">
        <v>100</v>
      </c>
      <c r="T110" s="44" t="s">
        <v>130</v>
      </c>
      <c r="U110" s="44" t="s">
        <v>169</v>
      </c>
      <c r="V110" s="44" t="s">
        <v>462</v>
      </c>
      <c r="W110" s="44" t="s">
        <v>1085</v>
      </c>
      <c r="X110" s="44" t="s">
        <v>551</v>
      </c>
      <c r="Y110" s="44" t="s">
        <v>180</v>
      </c>
      <c r="Z110" s="44" t="s">
        <v>192</v>
      </c>
      <c r="AA110" s="44"/>
      <c r="AB110" s="44" t="s">
        <v>262</v>
      </c>
      <c r="AC110" s="44" t="s">
        <v>262</v>
      </c>
      <c r="AD110" s="44" t="s">
        <v>262</v>
      </c>
      <c r="AE110" s="44" t="s">
        <v>262</v>
      </c>
      <c r="AF110" s="44" t="s">
        <v>263</v>
      </c>
      <c r="AG110" s="44" t="s">
        <v>263</v>
      </c>
      <c r="AH110" s="44" t="s">
        <v>262</v>
      </c>
      <c r="AI110" s="44">
        <v>0.05</v>
      </c>
      <c r="AJ110" s="47" t="s">
        <v>263</v>
      </c>
    </row>
    <row r="111" spans="1:36" x14ac:dyDescent="0.45">
      <c r="A111" s="43">
        <v>86</v>
      </c>
      <c r="B111" s="44">
        <v>862</v>
      </c>
      <c r="C111" s="44" t="s">
        <v>252</v>
      </c>
      <c r="D111" s="44" t="s">
        <v>84</v>
      </c>
      <c r="E111" s="45"/>
      <c r="F111" s="44" t="s">
        <v>571</v>
      </c>
      <c r="G111" s="44" t="s">
        <v>254</v>
      </c>
      <c r="H111" s="44" t="s">
        <v>359</v>
      </c>
      <c r="I111" s="44" t="s">
        <v>585</v>
      </c>
      <c r="J111" s="44" t="s">
        <v>574</v>
      </c>
      <c r="K111" s="44" t="s">
        <v>257</v>
      </c>
      <c r="L111" s="44" t="s">
        <v>359</v>
      </c>
      <c r="M111" s="44" t="s">
        <v>586</v>
      </c>
      <c r="N111" s="44" t="s">
        <v>574</v>
      </c>
      <c r="O111" s="44" t="s">
        <v>258</v>
      </c>
      <c r="P111" s="44" t="s">
        <v>359</v>
      </c>
      <c r="Q111" s="44" t="s">
        <v>586</v>
      </c>
      <c r="R111" s="46">
        <v>0.4</v>
      </c>
      <c r="S111" s="44">
        <v>100</v>
      </c>
      <c r="T111" s="44" t="s">
        <v>130</v>
      </c>
      <c r="U111" s="44" t="s">
        <v>169</v>
      </c>
      <c r="V111" s="44" t="s">
        <v>462</v>
      </c>
      <c r="W111" s="44" t="s">
        <v>1085</v>
      </c>
      <c r="X111" s="44" t="s">
        <v>551</v>
      </c>
      <c r="Y111" s="44" t="s">
        <v>180</v>
      </c>
      <c r="Z111" s="44" t="s">
        <v>192</v>
      </c>
      <c r="AA111" s="44"/>
      <c r="AB111" s="44" t="s">
        <v>262</v>
      </c>
      <c r="AC111" s="44" t="s">
        <v>262</v>
      </c>
      <c r="AD111" s="44" t="s">
        <v>262</v>
      </c>
      <c r="AE111" s="44" t="s">
        <v>262</v>
      </c>
      <c r="AF111" s="44" t="s">
        <v>263</v>
      </c>
      <c r="AG111" s="44" t="s">
        <v>263</v>
      </c>
      <c r="AH111" s="44" t="s">
        <v>262</v>
      </c>
      <c r="AI111" s="44">
        <v>0.05</v>
      </c>
      <c r="AJ111" s="47" t="s">
        <v>263</v>
      </c>
    </row>
    <row r="112" spans="1:36" x14ac:dyDescent="0.45">
      <c r="A112" s="43">
        <v>86</v>
      </c>
      <c r="B112" s="44">
        <v>863</v>
      </c>
      <c r="C112" s="44" t="s">
        <v>252</v>
      </c>
      <c r="D112" s="44" t="s">
        <v>84</v>
      </c>
      <c r="E112" s="45"/>
      <c r="F112" s="44" t="s">
        <v>571</v>
      </c>
      <c r="G112" s="44" t="s">
        <v>254</v>
      </c>
      <c r="H112" s="44" t="s">
        <v>268</v>
      </c>
      <c r="I112" s="44" t="s">
        <v>587</v>
      </c>
      <c r="J112" s="44" t="s">
        <v>574</v>
      </c>
      <c r="K112" s="44" t="s">
        <v>257</v>
      </c>
      <c r="L112" s="44" t="s">
        <v>268</v>
      </c>
      <c r="M112" s="44" t="s">
        <v>588</v>
      </c>
      <c r="N112" s="44" t="s">
        <v>574</v>
      </c>
      <c r="O112" s="44" t="s">
        <v>258</v>
      </c>
      <c r="P112" s="44" t="s">
        <v>268</v>
      </c>
      <c r="Q112" s="44" t="s">
        <v>588</v>
      </c>
      <c r="R112" s="46">
        <v>0.5</v>
      </c>
      <c r="S112" s="44">
        <v>100</v>
      </c>
      <c r="T112" s="44" t="s">
        <v>130</v>
      </c>
      <c r="U112" s="44" t="s">
        <v>169</v>
      </c>
      <c r="V112" s="44" t="s">
        <v>462</v>
      </c>
      <c r="W112" s="44" t="s">
        <v>1085</v>
      </c>
      <c r="X112" s="44" t="s">
        <v>551</v>
      </c>
      <c r="Y112" s="44" t="s">
        <v>180</v>
      </c>
      <c r="Z112" s="44" t="s">
        <v>192</v>
      </c>
      <c r="AA112" s="44"/>
      <c r="AB112" s="44" t="s">
        <v>262</v>
      </c>
      <c r="AC112" s="44" t="s">
        <v>262</v>
      </c>
      <c r="AD112" s="44" t="s">
        <v>262</v>
      </c>
      <c r="AE112" s="44" t="s">
        <v>262</v>
      </c>
      <c r="AF112" s="44" t="s">
        <v>263</v>
      </c>
      <c r="AG112" s="44" t="s">
        <v>263</v>
      </c>
      <c r="AH112" s="44" t="s">
        <v>262</v>
      </c>
      <c r="AI112" s="44">
        <v>0.05</v>
      </c>
      <c r="AJ112" s="47" t="s">
        <v>263</v>
      </c>
    </row>
    <row r="113" spans="1:36" x14ac:dyDescent="0.45">
      <c r="A113" s="43">
        <v>89</v>
      </c>
      <c r="B113" s="44">
        <v>864</v>
      </c>
      <c r="C113" s="44" t="s">
        <v>252</v>
      </c>
      <c r="D113" s="44" t="s">
        <v>84</v>
      </c>
      <c r="E113" s="45"/>
      <c r="F113" s="44" t="s">
        <v>1098</v>
      </c>
      <c r="G113" s="44" t="s">
        <v>254</v>
      </c>
      <c r="H113" s="44" t="s">
        <v>589</v>
      </c>
      <c r="I113" s="44" t="s">
        <v>590</v>
      </c>
      <c r="J113" s="44" t="s">
        <v>591</v>
      </c>
      <c r="K113" s="44" t="s">
        <v>257</v>
      </c>
      <c r="L113" s="44" t="s">
        <v>589</v>
      </c>
      <c r="M113" s="44" t="s">
        <v>592</v>
      </c>
      <c r="N113" s="44" t="s">
        <v>593</v>
      </c>
      <c r="O113" s="44" t="s">
        <v>258</v>
      </c>
      <c r="P113" s="44" t="s">
        <v>589</v>
      </c>
      <c r="Q113" s="44" t="s">
        <v>594</v>
      </c>
      <c r="R113" s="46">
        <v>0.04</v>
      </c>
      <c r="S113" s="44">
        <v>100</v>
      </c>
      <c r="T113" s="44" t="s">
        <v>130</v>
      </c>
      <c r="U113" s="44" t="s">
        <v>169</v>
      </c>
      <c r="V113" s="44" t="s">
        <v>462</v>
      </c>
      <c r="W113" s="44" t="s">
        <v>1085</v>
      </c>
      <c r="X113" s="44" t="s">
        <v>551</v>
      </c>
      <c r="Y113" s="44" t="s">
        <v>180</v>
      </c>
      <c r="Z113" s="44" t="s">
        <v>192</v>
      </c>
      <c r="AA113" s="44"/>
      <c r="AB113" s="44" t="s">
        <v>262</v>
      </c>
      <c r="AC113" s="44" t="s">
        <v>262</v>
      </c>
      <c r="AD113" s="44" t="s">
        <v>262</v>
      </c>
      <c r="AE113" s="44" t="s">
        <v>262</v>
      </c>
      <c r="AF113" s="44" t="s">
        <v>263</v>
      </c>
      <c r="AG113" s="44" t="s">
        <v>263</v>
      </c>
      <c r="AH113" s="44" t="s">
        <v>262</v>
      </c>
      <c r="AI113" s="44">
        <v>0.05</v>
      </c>
      <c r="AJ113" s="47" t="s">
        <v>263</v>
      </c>
    </row>
    <row r="114" spans="1:36" x14ac:dyDescent="0.45">
      <c r="A114" s="43">
        <v>89</v>
      </c>
      <c r="B114" s="44">
        <v>865</v>
      </c>
      <c r="C114" s="44" t="s">
        <v>252</v>
      </c>
      <c r="D114" s="44" t="s">
        <v>84</v>
      </c>
      <c r="E114" s="45"/>
      <c r="F114" s="44" t="s">
        <v>1098</v>
      </c>
      <c r="G114" s="44" t="s">
        <v>254</v>
      </c>
      <c r="H114" s="44" t="s">
        <v>595</v>
      </c>
      <c r="I114" s="44" t="s">
        <v>596</v>
      </c>
      <c r="J114" s="44" t="s">
        <v>591</v>
      </c>
      <c r="K114" s="44" t="s">
        <v>257</v>
      </c>
      <c r="L114" s="44" t="s">
        <v>595</v>
      </c>
      <c r="M114" s="44" t="s">
        <v>597</v>
      </c>
      <c r="N114" s="44" t="s">
        <v>593</v>
      </c>
      <c r="O114" s="44" t="s">
        <v>258</v>
      </c>
      <c r="P114" s="44" t="s">
        <v>595</v>
      </c>
      <c r="Q114" s="44" t="s">
        <v>598</v>
      </c>
      <c r="R114" s="46">
        <v>0.06</v>
      </c>
      <c r="S114" s="44">
        <v>100</v>
      </c>
      <c r="T114" s="44" t="s">
        <v>130</v>
      </c>
      <c r="U114" s="44" t="s">
        <v>169</v>
      </c>
      <c r="V114" s="44" t="s">
        <v>462</v>
      </c>
      <c r="W114" s="44" t="s">
        <v>1085</v>
      </c>
      <c r="X114" s="44" t="s">
        <v>551</v>
      </c>
      <c r="Y114" s="44" t="s">
        <v>180</v>
      </c>
      <c r="Z114" s="44" t="s">
        <v>192</v>
      </c>
      <c r="AA114" s="44"/>
      <c r="AB114" s="44" t="s">
        <v>262</v>
      </c>
      <c r="AC114" s="44" t="s">
        <v>262</v>
      </c>
      <c r="AD114" s="44" t="s">
        <v>262</v>
      </c>
      <c r="AE114" s="44" t="s">
        <v>262</v>
      </c>
      <c r="AF114" s="44" t="s">
        <v>263</v>
      </c>
      <c r="AG114" s="44" t="s">
        <v>263</v>
      </c>
      <c r="AH114" s="44" t="s">
        <v>262</v>
      </c>
      <c r="AI114" s="44">
        <v>0.05</v>
      </c>
      <c r="AJ114" s="47" t="s">
        <v>263</v>
      </c>
    </row>
    <row r="115" spans="1:36" x14ac:dyDescent="0.45">
      <c r="A115" s="43">
        <v>89</v>
      </c>
      <c r="B115" s="44">
        <v>866</v>
      </c>
      <c r="C115" s="44" t="s">
        <v>252</v>
      </c>
      <c r="D115" s="44" t="s">
        <v>84</v>
      </c>
      <c r="E115" s="45"/>
      <c r="F115" s="44" t="s">
        <v>1098</v>
      </c>
      <c r="G115" s="44" t="s">
        <v>254</v>
      </c>
      <c r="H115" s="44" t="s">
        <v>416</v>
      </c>
      <c r="I115" s="44" t="s">
        <v>599</v>
      </c>
      <c r="J115" s="44" t="s">
        <v>591</v>
      </c>
      <c r="K115" s="44" t="s">
        <v>257</v>
      </c>
      <c r="L115" s="44" t="s">
        <v>416</v>
      </c>
      <c r="M115" s="44" t="s">
        <v>600</v>
      </c>
      <c r="N115" s="44" t="s">
        <v>593</v>
      </c>
      <c r="O115" s="44" t="s">
        <v>258</v>
      </c>
      <c r="P115" s="44" t="s">
        <v>416</v>
      </c>
      <c r="Q115" s="44" t="s">
        <v>601</v>
      </c>
      <c r="R115" s="46">
        <v>0.1</v>
      </c>
      <c r="S115" s="44">
        <v>100</v>
      </c>
      <c r="T115" s="44" t="s">
        <v>130</v>
      </c>
      <c r="U115" s="44" t="s">
        <v>169</v>
      </c>
      <c r="V115" s="44" t="s">
        <v>462</v>
      </c>
      <c r="W115" s="44" t="s">
        <v>1085</v>
      </c>
      <c r="X115" s="44" t="s">
        <v>551</v>
      </c>
      <c r="Y115" s="44" t="s">
        <v>180</v>
      </c>
      <c r="Z115" s="44" t="s">
        <v>192</v>
      </c>
      <c r="AA115" s="44"/>
      <c r="AB115" s="44" t="s">
        <v>262</v>
      </c>
      <c r="AC115" s="44" t="s">
        <v>262</v>
      </c>
      <c r="AD115" s="44" t="s">
        <v>262</v>
      </c>
      <c r="AE115" s="44" t="s">
        <v>262</v>
      </c>
      <c r="AF115" s="44" t="s">
        <v>263</v>
      </c>
      <c r="AG115" s="44" t="s">
        <v>263</v>
      </c>
      <c r="AH115" s="44" t="s">
        <v>262</v>
      </c>
      <c r="AI115" s="44">
        <v>0.05</v>
      </c>
      <c r="AJ115" s="47" t="s">
        <v>263</v>
      </c>
    </row>
    <row r="116" spans="1:36" x14ac:dyDescent="0.45">
      <c r="A116" s="43">
        <v>92</v>
      </c>
      <c r="B116" s="44">
        <v>867</v>
      </c>
      <c r="C116" s="44" t="s">
        <v>252</v>
      </c>
      <c r="D116" s="44" t="s">
        <v>84</v>
      </c>
      <c r="E116" s="45"/>
      <c r="F116" s="44" t="s">
        <v>602</v>
      </c>
      <c r="G116" s="44" t="s">
        <v>254</v>
      </c>
      <c r="H116" s="44" t="s">
        <v>1157</v>
      </c>
      <c r="I116" s="44" t="s">
        <v>1199</v>
      </c>
      <c r="J116" s="44" t="s">
        <v>603</v>
      </c>
      <c r="K116" s="44" t="s">
        <v>257</v>
      </c>
      <c r="L116" s="44" t="s">
        <v>1159</v>
      </c>
      <c r="M116" s="44" t="s">
        <v>1200</v>
      </c>
      <c r="N116" s="44" t="s">
        <v>604</v>
      </c>
      <c r="O116" s="44" t="s">
        <v>258</v>
      </c>
      <c r="P116" s="44" t="s">
        <v>1161</v>
      </c>
      <c r="Q116" s="44" t="s">
        <v>1201</v>
      </c>
      <c r="R116" s="46">
        <v>1</v>
      </c>
      <c r="S116" s="44">
        <v>1</v>
      </c>
      <c r="T116" s="44" t="s">
        <v>137</v>
      </c>
      <c r="U116" s="44" t="s">
        <v>169</v>
      </c>
      <c r="V116" s="44" t="s">
        <v>462</v>
      </c>
      <c r="W116" s="44" t="s">
        <v>1085</v>
      </c>
      <c r="X116" s="44" t="s">
        <v>551</v>
      </c>
      <c r="Y116" s="44" t="s">
        <v>180</v>
      </c>
      <c r="Z116" s="44" t="s">
        <v>192</v>
      </c>
      <c r="AA116" s="44"/>
      <c r="AB116" s="44" t="s">
        <v>262</v>
      </c>
      <c r="AC116" s="44" t="s">
        <v>262</v>
      </c>
      <c r="AD116" s="44" t="s">
        <v>262</v>
      </c>
      <c r="AE116" s="44" t="s">
        <v>262</v>
      </c>
      <c r="AF116" s="44" t="s">
        <v>263</v>
      </c>
      <c r="AG116" s="44" t="s">
        <v>263</v>
      </c>
      <c r="AH116" s="44" t="s">
        <v>262</v>
      </c>
      <c r="AI116" s="44">
        <v>0</v>
      </c>
      <c r="AJ116" s="47" t="s">
        <v>263</v>
      </c>
    </row>
    <row r="117" spans="1:36" x14ac:dyDescent="0.45">
      <c r="A117" s="43">
        <v>78</v>
      </c>
      <c r="B117" s="44">
        <v>868</v>
      </c>
      <c r="C117" s="44" t="s">
        <v>503</v>
      </c>
      <c r="D117" s="44" t="s">
        <v>84</v>
      </c>
      <c r="E117" s="45"/>
      <c r="F117" s="44" t="s">
        <v>605</v>
      </c>
      <c r="G117" s="44" t="s">
        <v>254</v>
      </c>
      <c r="H117" s="44" t="s">
        <v>1154</v>
      </c>
      <c r="I117" s="44" t="s">
        <v>1202</v>
      </c>
      <c r="J117" s="44" t="s">
        <v>1099</v>
      </c>
      <c r="K117" s="44" t="s">
        <v>257</v>
      </c>
      <c r="L117" s="44" t="s">
        <v>1154</v>
      </c>
      <c r="M117" s="44" t="s">
        <v>1203</v>
      </c>
      <c r="N117" s="44" t="s">
        <v>1100</v>
      </c>
      <c r="O117" s="44" t="s">
        <v>258</v>
      </c>
      <c r="P117" s="44" t="s">
        <v>1154</v>
      </c>
      <c r="Q117" s="44" t="s">
        <v>1204</v>
      </c>
      <c r="R117" s="46">
        <v>1</v>
      </c>
      <c r="S117" s="44">
        <v>100</v>
      </c>
      <c r="T117" s="44" t="s">
        <v>130</v>
      </c>
      <c r="U117" s="44" t="s">
        <v>168</v>
      </c>
      <c r="V117" s="44" t="s">
        <v>462</v>
      </c>
      <c r="W117" s="44" t="s">
        <v>506</v>
      </c>
      <c r="X117" s="44" t="s">
        <v>606</v>
      </c>
      <c r="Y117" s="44" t="s">
        <v>180</v>
      </c>
      <c r="Z117" s="44" t="s">
        <v>192</v>
      </c>
      <c r="AA117" s="44"/>
      <c r="AB117" s="44" t="s">
        <v>262</v>
      </c>
      <c r="AC117" s="44" t="s">
        <v>262</v>
      </c>
      <c r="AD117" s="44" t="s">
        <v>262</v>
      </c>
      <c r="AE117" s="44" t="s">
        <v>262</v>
      </c>
      <c r="AF117" s="44" t="s">
        <v>263</v>
      </c>
      <c r="AG117" s="44" t="s">
        <v>263</v>
      </c>
      <c r="AH117" s="44" t="s">
        <v>262</v>
      </c>
      <c r="AI117" s="44">
        <v>0</v>
      </c>
      <c r="AJ117" s="47" t="s">
        <v>263</v>
      </c>
    </row>
    <row r="118" spans="1:36" x14ac:dyDescent="0.45">
      <c r="A118" s="43">
        <v>78</v>
      </c>
      <c r="B118" s="44">
        <v>869</v>
      </c>
      <c r="C118" s="44" t="s">
        <v>252</v>
      </c>
      <c r="D118" s="44" t="s">
        <v>84</v>
      </c>
      <c r="E118" s="45"/>
      <c r="F118" s="44" t="s">
        <v>605</v>
      </c>
      <c r="G118" s="44" t="s">
        <v>254</v>
      </c>
      <c r="H118" s="44" t="s">
        <v>1157</v>
      </c>
      <c r="I118" s="44" t="s">
        <v>1205</v>
      </c>
      <c r="J118" s="44" t="s">
        <v>1099</v>
      </c>
      <c r="K118" s="44" t="s">
        <v>257</v>
      </c>
      <c r="L118" s="44" t="s">
        <v>1159</v>
      </c>
      <c r="M118" s="44" t="s">
        <v>1206</v>
      </c>
      <c r="N118" s="44" t="s">
        <v>1100</v>
      </c>
      <c r="O118" s="44" t="s">
        <v>258</v>
      </c>
      <c r="P118" s="44" t="s">
        <v>1161</v>
      </c>
      <c r="Q118" s="44" t="s">
        <v>1207</v>
      </c>
      <c r="R118" s="46">
        <v>1</v>
      </c>
      <c r="S118" s="44">
        <v>1</v>
      </c>
      <c r="T118" s="44" t="s">
        <v>137</v>
      </c>
      <c r="U118" s="44" t="s">
        <v>169</v>
      </c>
      <c r="V118" s="44" t="s">
        <v>462</v>
      </c>
      <c r="W118" s="44" t="s">
        <v>506</v>
      </c>
      <c r="X118" s="44" t="s">
        <v>606</v>
      </c>
      <c r="Y118" s="44" t="s">
        <v>180</v>
      </c>
      <c r="Z118" s="44" t="s">
        <v>192</v>
      </c>
      <c r="AA118" s="44"/>
      <c r="AB118" s="44" t="s">
        <v>262</v>
      </c>
      <c r="AC118" s="44" t="s">
        <v>262</v>
      </c>
      <c r="AD118" s="44" t="s">
        <v>262</v>
      </c>
      <c r="AE118" s="44" t="s">
        <v>262</v>
      </c>
      <c r="AF118" s="44" t="s">
        <v>263</v>
      </c>
      <c r="AG118" s="44" t="s">
        <v>263</v>
      </c>
      <c r="AH118" s="44" t="s">
        <v>262</v>
      </c>
      <c r="AI118" s="44">
        <v>0</v>
      </c>
      <c r="AJ118" s="47" t="s">
        <v>263</v>
      </c>
    </row>
    <row r="119" spans="1:36" x14ac:dyDescent="0.45">
      <c r="A119" s="43">
        <v>65</v>
      </c>
      <c r="B119" s="44">
        <v>870</v>
      </c>
      <c r="C119" s="44" t="s">
        <v>503</v>
      </c>
      <c r="D119" s="44" t="s">
        <v>84</v>
      </c>
      <c r="E119" s="45"/>
      <c r="F119" s="44" t="s">
        <v>1101</v>
      </c>
      <c r="G119" s="44" t="s">
        <v>254</v>
      </c>
      <c r="H119" s="44" t="s">
        <v>520</v>
      </c>
      <c r="I119" s="44" t="s">
        <v>607</v>
      </c>
      <c r="J119" s="44" t="s">
        <v>1102</v>
      </c>
      <c r="K119" s="44" t="s">
        <v>257</v>
      </c>
      <c r="L119" s="44" t="s">
        <v>523</v>
      </c>
      <c r="M119" s="44" t="s">
        <v>608</v>
      </c>
      <c r="N119" s="44" t="s">
        <v>609</v>
      </c>
      <c r="O119" s="44" t="s">
        <v>258</v>
      </c>
      <c r="P119" s="44" t="s">
        <v>524</v>
      </c>
      <c r="Q119" s="44" t="s">
        <v>610</v>
      </c>
      <c r="R119" s="46">
        <v>2</v>
      </c>
      <c r="S119" s="44">
        <v>100</v>
      </c>
      <c r="T119" s="44" t="s">
        <v>130</v>
      </c>
      <c r="U119" s="44" t="s">
        <v>168</v>
      </c>
      <c r="V119" s="44" t="s">
        <v>462</v>
      </c>
      <c r="W119" s="44" t="s">
        <v>515</v>
      </c>
      <c r="X119" s="44" t="s">
        <v>611</v>
      </c>
      <c r="Y119" s="44" t="s">
        <v>180</v>
      </c>
      <c r="Z119" s="44" t="s">
        <v>192</v>
      </c>
      <c r="AA119" s="44"/>
      <c r="AB119" s="44" t="s">
        <v>262</v>
      </c>
      <c r="AC119" s="44" t="s">
        <v>262</v>
      </c>
      <c r="AD119" s="44" t="s">
        <v>262</v>
      </c>
      <c r="AE119" s="44" t="s">
        <v>262</v>
      </c>
      <c r="AF119" s="44" t="s">
        <v>263</v>
      </c>
      <c r="AG119" s="44" t="s">
        <v>263</v>
      </c>
      <c r="AH119" s="44" t="s">
        <v>262</v>
      </c>
      <c r="AI119" s="44">
        <v>0.05</v>
      </c>
      <c r="AJ119" s="47" t="s">
        <v>263</v>
      </c>
    </row>
    <row r="120" spans="1:36" x14ac:dyDescent="0.45">
      <c r="A120" s="43">
        <v>70</v>
      </c>
      <c r="B120" s="44">
        <v>871</v>
      </c>
      <c r="C120" s="44" t="s">
        <v>503</v>
      </c>
      <c r="D120" s="44" t="s">
        <v>84</v>
      </c>
      <c r="E120" s="45"/>
      <c r="F120" s="44" t="s">
        <v>1103</v>
      </c>
      <c r="G120" s="44" t="s">
        <v>254</v>
      </c>
      <c r="H120" s="44" t="s">
        <v>520</v>
      </c>
      <c r="I120" s="44" t="s">
        <v>612</v>
      </c>
      <c r="J120" s="44" t="s">
        <v>1104</v>
      </c>
      <c r="K120" s="44" t="s">
        <v>257</v>
      </c>
      <c r="L120" s="44" t="s">
        <v>523</v>
      </c>
      <c r="M120" s="44" t="s">
        <v>613</v>
      </c>
      <c r="N120" s="44" t="s">
        <v>1103</v>
      </c>
      <c r="O120" s="44" t="s">
        <v>258</v>
      </c>
      <c r="P120" s="44" t="s">
        <v>524</v>
      </c>
      <c r="Q120" s="44" t="s">
        <v>614</v>
      </c>
      <c r="R120" s="46">
        <v>2</v>
      </c>
      <c r="S120" s="44">
        <v>100</v>
      </c>
      <c r="T120" s="44" t="s">
        <v>130</v>
      </c>
      <c r="U120" s="44" t="s">
        <v>168</v>
      </c>
      <c r="V120" s="44" t="s">
        <v>462</v>
      </c>
      <c r="W120" s="44" t="s">
        <v>515</v>
      </c>
      <c r="X120" s="44" t="s">
        <v>611</v>
      </c>
      <c r="Y120" s="44" t="s">
        <v>180</v>
      </c>
      <c r="Z120" s="44" t="s">
        <v>192</v>
      </c>
      <c r="AA120" s="44"/>
      <c r="AB120" s="44" t="s">
        <v>262</v>
      </c>
      <c r="AC120" s="44" t="s">
        <v>262</v>
      </c>
      <c r="AD120" s="44" t="s">
        <v>262</v>
      </c>
      <c r="AE120" s="44" t="s">
        <v>262</v>
      </c>
      <c r="AF120" s="44" t="s">
        <v>263</v>
      </c>
      <c r="AG120" s="44" t="s">
        <v>263</v>
      </c>
      <c r="AH120" s="44" t="s">
        <v>262</v>
      </c>
      <c r="AI120" s="44">
        <v>0.05</v>
      </c>
      <c r="AJ120" s="47" t="s">
        <v>263</v>
      </c>
    </row>
    <row r="121" spans="1:36" x14ac:dyDescent="0.45">
      <c r="A121" s="43">
        <v>84</v>
      </c>
      <c r="B121" s="44">
        <v>872</v>
      </c>
      <c r="C121" s="44" t="s">
        <v>503</v>
      </c>
      <c r="D121" s="44" t="s">
        <v>84</v>
      </c>
      <c r="E121" s="45"/>
      <c r="F121" s="44" t="s">
        <v>1105</v>
      </c>
      <c r="G121" s="44" t="s">
        <v>254</v>
      </c>
      <c r="H121" s="44" t="s">
        <v>520</v>
      </c>
      <c r="I121" s="44" t="s">
        <v>615</v>
      </c>
      <c r="J121" s="44" t="s">
        <v>1106</v>
      </c>
      <c r="K121" s="44" t="s">
        <v>257</v>
      </c>
      <c r="L121" s="44" t="s">
        <v>523</v>
      </c>
      <c r="M121" s="44" t="s">
        <v>616</v>
      </c>
      <c r="N121" s="44" t="s">
        <v>1107</v>
      </c>
      <c r="O121" s="44" t="s">
        <v>258</v>
      </c>
      <c r="P121" s="44" t="s">
        <v>524</v>
      </c>
      <c r="Q121" s="44" t="s">
        <v>617</v>
      </c>
      <c r="R121" s="46">
        <v>2</v>
      </c>
      <c r="S121" s="44">
        <v>100</v>
      </c>
      <c r="T121" s="44" t="s">
        <v>130</v>
      </c>
      <c r="U121" s="44" t="s">
        <v>168</v>
      </c>
      <c r="V121" s="44" t="s">
        <v>462</v>
      </c>
      <c r="W121" s="44" t="s">
        <v>515</v>
      </c>
      <c r="X121" s="44" t="s">
        <v>611</v>
      </c>
      <c r="Y121" s="44" t="s">
        <v>180</v>
      </c>
      <c r="Z121" s="44" t="s">
        <v>192</v>
      </c>
      <c r="AA121" s="44"/>
      <c r="AB121" s="44" t="s">
        <v>262</v>
      </c>
      <c r="AC121" s="44" t="s">
        <v>262</v>
      </c>
      <c r="AD121" s="44" t="s">
        <v>262</v>
      </c>
      <c r="AE121" s="44" t="s">
        <v>262</v>
      </c>
      <c r="AF121" s="44" t="s">
        <v>263</v>
      </c>
      <c r="AG121" s="44" t="s">
        <v>263</v>
      </c>
      <c r="AH121" s="44" t="s">
        <v>262</v>
      </c>
      <c r="AI121" s="44">
        <v>0.05</v>
      </c>
      <c r="AJ121" s="47" t="s">
        <v>263</v>
      </c>
    </row>
    <row r="122" spans="1:36" x14ac:dyDescent="0.45">
      <c r="A122" s="43">
        <v>90</v>
      </c>
      <c r="B122" s="44">
        <v>873</v>
      </c>
      <c r="C122" s="44" t="s">
        <v>503</v>
      </c>
      <c r="D122" s="44" t="s">
        <v>84</v>
      </c>
      <c r="E122" s="45"/>
      <c r="F122" s="44" t="s">
        <v>1108</v>
      </c>
      <c r="G122" s="44" t="s">
        <v>254</v>
      </c>
      <c r="H122" s="44" t="s">
        <v>520</v>
      </c>
      <c r="I122" s="44" t="s">
        <v>618</v>
      </c>
      <c r="J122" s="44" t="s">
        <v>619</v>
      </c>
      <c r="K122" s="44" t="s">
        <v>257</v>
      </c>
      <c r="L122" s="44" t="s">
        <v>523</v>
      </c>
      <c r="M122" s="44" t="s">
        <v>620</v>
      </c>
      <c r="N122" s="44" t="s">
        <v>621</v>
      </c>
      <c r="O122" s="44" t="s">
        <v>258</v>
      </c>
      <c r="P122" s="44" t="s">
        <v>524</v>
      </c>
      <c r="Q122" s="44" t="s">
        <v>622</v>
      </c>
      <c r="R122" s="46">
        <v>2</v>
      </c>
      <c r="S122" s="44">
        <v>100</v>
      </c>
      <c r="T122" s="44" t="s">
        <v>130</v>
      </c>
      <c r="U122" s="44" t="s">
        <v>168</v>
      </c>
      <c r="V122" s="44" t="s">
        <v>462</v>
      </c>
      <c r="W122" s="44" t="s">
        <v>515</v>
      </c>
      <c r="X122" s="44" t="s">
        <v>611</v>
      </c>
      <c r="Y122" s="44" t="s">
        <v>180</v>
      </c>
      <c r="Z122" s="44" t="s">
        <v>192</v>
      </c>
      <c r="AA122" s="44"/>
      <c r="AB122" s="44" t="s">
        <v>262</v>
      </c>
      <c r="AC122" s="44" t="s">
        <v>262</v>
      </c>
      <c r="AD122" s="44" t="s">
        <v>262</v>
      </c>
      <c r="AE122" s="44" t="s">
        <v>262</v>
      </c>
      <c r="AF122" s="44" t="s">
        <v>263</v>
      </c>
      <c r="AG122" s="44" t="s">
        <v>263</v>
      </c>
      <c r="AH122" s="44" t="s">
        <v>262</v>
      </c>
      <c r="AI122" s="44">
        <v>0.05</v>
      </c>
      <c r="AJ122" s="47" t="s">
        <v>263</v>
      </c>
    </row>
    <row r="123" spans="1:36" x14ac:dyDescent="0.45">
      <c r="A123" s="43">
        <v>91</v>
      </c>
      <c r="B123" s="44">
        <v>874</v>
      </c>
      <c r="C123" s="44" t="s">
        <v>503</v>
      </c>
      <c r="D123" s="44" t="s">
        <v>84</v>
      </c>
      <c r="E123" s="45"/>
      <c r="F123" s="44" t="s">
        <v>1109</v>
      </c>
      <c r="G123" s="44" t="s">
        <v>254</v>
      </c>
      <c r="H123" s="44" t="s">
        <v>520</v>
      </c>
      <c r="I123" s="44" t="s">
        <v>623</v>
      </c>
      <c r="J123" s="44" t="s">
        <v>624</v>
      </c>
      <c r="K123" s="44" t="s">
        <v>257</v>
      </c>
      <c r="L123" s="44" t="s">
        <v>523</v>
      </c>
      <c r="M123" s="44" t="s">
        <v>625</v>
      </c>
      <c r="N123" s="44" t="s">
        <v>626</v>
      </c>
      <c r="O123" s="44" t="s">
        <v>258</v>
      </c>
      <c r="P123" s="44" t="s">
        <v>524</v>
      </c>
      <c r="Q123" s="44" t="s">
        <v>627</v>
      </c>
      <c r="R123" s="46">
        <v>2</v>
      </c>
      <c r="S123" s="44">
        <v>100</v>
      </c>
      <c r="T123" s="44" t="s">
        <v>130</v>
      </c>
      <c r="U123" s="44" t="s">
        <v>168</v>
      </c>
      <c r="V123" s="44" t="s">
        <v>462</v>
      </c>
      <c r="W123" s="44" t="s">
        <v>515</v>
      </c>
      <c r="X123" s="44" t="s">
        <v>611</v>
      </c>
      <c r="Y123" s="44" t="s">
        <v>180</v>
      </c>
      <c r="Z123" s="44" t="s">
        <v>192</v>
      </c>
      <c r="AA123" s="44"/>
      <c r="AB123" s="44" t="s">
        <v>262</v>
      </c>
      <c r="AC123" s="44" t="s">
        <v>262</v>
      </c>
      <c r="AD123" s="44" t="s">
        <v>262</v>
      </c>
      <c r="AE123" s="44" t="s">
        <v>262</v>
      </c>
      <c r="AF123" s="44" t="s">
        <v>263</v>
      </c>
      <c r="AG123" s="44" t="s">
        <v>263</v>
      </c>
      <c r="AH123" s="44" t="s">
        <v>262</v>
      </c>
      <c r="AI123" s="44">
        <v>0.05</v>
      </c>
      <c r="AJ123" s="47" t="s">
        <v>263</v>
      </c>
    </row>
    <row r="124" spans="1:36" x14ac:dyDescent="0.45">
      <c r="A124" s="43">
        <v>97</v>
      </c>
      <c r="B124" s="44">
        <v>875</v>
      </c>
      <c r="C124" s="44" t="s">
        <v>503</v>
      </c>
      <c r="D124" s="44" t="s">
        <v>84</v>
      </c>
      <c r="E124" s="45"/>
      <c r="F124" s="44" t="s">
        <v>1110</v>
      </c>
      <c r="G124" s="44" t="s">
        <v>254</v>
      </c>
      <c r="H124" s="44" t="s">
        <v>520</v>
      </c>
      <c r="I124" s="44" t="s">
        <v>628</v>
      </c>
      <c r="J124" s="44" t="s">
        <v>629</v>
      </c>
      <c r="K124" s="44" t="s">
        <v>257</v>
      </c>
      <c r="L124" s="44" t="s">
        <v>523</v>
      </c>
      <c r="M124" s="44" t="s">
        <v>630</v>
      </c>
      <c r="N124" s="44" t="s">
        <v>1111</v>
      </c>
      <c r="O124" s="44" t="s">
        <v>258</v>
      </c>
      <c r="P124" s="44" t="s">
        <v>524</v>
      </c>
      <c r="Q124" s="44" t="s">
        <v>631</v>
      </c>
      <c r="R124" s="46">
        <v>2</v>
      </c>
      <c r="S124" s="44">
        <v>100</v>
      </c>
      <c r="T124" s="44" t="s">
        <v>130</v>
      </c>
      <c r="U124" s="44" t="s">
        <v>168</v>
      </c>
      <c r="V124" s="44" t="s">
        <v>462</v>
      </c>
      <c r="W124" s="44" t="s">
        <v>515</v>
      </c>
      <c r="X124" s="44" t="s">
        <v>611</v>
      </c>
      <c r="Y124" s="44" t="s">
        <v>180</v>
      </c>
      <c r="Z124" s="44" t="s">
        <v>192</v>
      </c>
      <c r="AA124" s="44"/>
      <c r="AB124" s="44" t="s">
        <v>262</v>
      </c>
      <c r="AC124" s="44" t="s">
        <v>262</v>
      </c>
      <c r="AD124" s="44" t="s">
        <v>262</v>
      </c>
      <c r="AE124" s="44" t="s">
        <v>262</v>
      </c>
      <c r="AF124" s="44" t="s">
        <v>263</v>
      </c>
      <c r="AG124" s="44" t="s">
        <v>263</v>
      </c>
      <c r="AH124" s="44" t="s">
        <v>262</v>
      </c>
      <c r="AI124" s="44">
        <v>0.05</v>
      </c>
      <c r="AJ124" s="47" t="s">
        <v>263</v>
      </c>
    </row>
    <row r="125" spans="1:36" x14ac:dyDescent="0.45">
      <c r="A125" s="43">
        <v>109</v>
      </c>
      <c r="B125" s="44">
        <v>876</v>
      </c>
      <c r="C125" s="44" t="s">
        <v>252</v>
      </c>
      <c r="D125" s="44" t="s">
        <v>84</v>
      </c>
      <c r="E125" s="45"/>
      <c r="F125" s="44" t="s">
        <v>191</v>
      </c>
      <c r="G125" s="44" t="s">
        <v>254</v>
      </c>
      <c r="H125" s="44" t="s">
        <v>632</v>
      </c>
      <c r="I125" s="44" t="s">
        <v>633</v>
      </c>
      <c r="J125" s="44" t="s">
        <v>199</v>
      </c>
      <c r="K125" s="44" t="s">
        <v>257</v>
      </c>
      <c r="L125" s="44" t="s">
        <v>632</v>
      </c>
      <c r="M125" s="44" t="s">
        <v>634</v>
      </c>
      <c r="N125" s="44" t="s">
        <v>205</v>
      </c>
      <c r="O125" s="44" t="s">
        <v>258</v>
      </c>
      <c r="P125" s="44" t="s">
        <v>632</v>
      </c>
      <c r="Q125" s="44" t="s">
        <v>635</v>
      </c>
      <c r="R125" s="46">
        <f>6*0.25</f>
        <v>1.5</v>
      </c>
      <c r="S125" s="44">
        <v>10</v>
      </c>
      <c r="T125" s="44" t="s">
        <v>128</v>
      </c>
      <c r="U125" s="44" t="s">
        <v>169</v>
      </c>
      <c r="V125" s="44" t="s">
        <v>636</v>
      </c>
      <c r="W125" s="44" t="s">
        <v>191</v>
      </c>
      <c r="X125" s="44" t="s">
        <v>191</v>
      </c>
      <c r="Y125" s="44" t="s">
        <v>179</v>
      </c>
      <c r="Z125" s="44" t="s">
        <v>191</v>
      </c>
      <c r="AA125" s="44"/>
      <c r="AB125" s="44" t="s">
        <v>262</v>
      </c>
      <c r="AC125" s="44" t="s">
        <v>262</v>
      </c>
      <c r="AD125" s="44" t="s">
        <v>262</v>
      </c>
      <c r="AE125" s="44" t="s">
        <v>262</v>
      </c>
      <c r="AF125" s="44" t="s">
        <v>263</v>
      </c>
      <c r="AG125" s="44" t="s">
        <v>263</v>
      </c>
      <c r="AH125" s="44" t="s">
        <v>262</v>
      </c>
      <c r="AI125" s="44">
        <v>0.05</v>
      </c>
      <c r="AJ125" s="47" t="s">
        <v>263</v>
      </c>
    </row>
    <row r="126" spans="1:36" x14ac:dyDescent="0.45">
      <c r="A126" s="43">
        <v>109</v>
      </c>
      <c r="B126" s="44">
        <v>877</v>
      </c>
      <c r="C126" s="44" t="s">
        <v>252</v>
      </c>
      <c r="D126" s="44" t="s">
        <v>84</v>
      </c>
      <c r="E126" s="45"/>
      <c r="F126" s="44" t="s">
        <v>191</v>
      </c>
      <c r="G126" s="44" t="s">
        <v>254</v>
      </c>
      <c r="H126" s="44" t="s">
        <v>637</v>
      </c>
      <c r="I126" s="44" t="s">
        <v>638</v>
      </c>
      <c r="J126" s="44" t="s">
        <v>199</v>
      </c>
      <c r="K126" s="44" t="s">
        <v>257</v>
      </c>
      <c r="L126" s="44" t="s">
        <v>637</v>
      </c>
      <c r="M126" s="44" t="s">
        <v>639</v>
      </c>
      <c r="N126" s="44" t="s">
        <v>205</v>
      </c>
      <c r="O126" s="44" t="s">
        <v>258</v>
      </c>
      <c r="P126" s="44" t="s">
        <v>637</v>
      </c>
      <c r="Q126" s="44" t="s">
        <v>640</v>
      </c>
      <c r="R126" s="46">
        <f>4*0.25</f>
        <v>1</v>
      </c>
      <c r="S126" s="44">
        <v>10</v>
      </c>
      <c r="T126" s="44" t="s">
        <v>128</v>
      </c>
      <c r="U126" s="44" t="s">
        <v>169</v>
      </c>
      <c r="V126" s="44" t="s">
        <v>636</v>
      </c>
      <c r="W126" s="44" t="s">
        <v>191</v>
      </c>
      <c r="X126" s="44" t="s">
        <v>191</v>
      </c>
      <c r="Y126" s="44" t="s">
        <v>179</v>
      </c>
      <c r="Z126" s="44" t="s">
        <v>191</v>
      </c>
      <c r="AA126" s="44"/>
      <c r="AB126" s="44" t="s">
        <v>262</v>
      </c>
      <c r="AC126" s="44" t="s">
        <v>262</v>
      </c>
      <c r="AD126" s="44" t="s">
        <v>262</v>
      </c>
      <c r="AE126" s="44" t="s">
        <v>262</v>
      </c>
      <c r="AF126" s="44" t="s">
        <v>263</v>
      </c>
      <c r="AG126" s="44" t="s">
        <v>263</v>
      </c>
      <c r="AH126" s="44" t="s">
        <v>262</v>
      </c>
      <c r="AI126" s="44">
        <v>0.05</v>
      </c>
      <c r="AJ126" s="47" t="s">
        <v>263</v>
      </c>
    </row>
    <row r="127" spans="1:36" x14ac:dyDescent="0.45">
      <c r="A127" s="43">
        <v>109</v>
      </c>
      <c r="B127" s="44">
        <v>878</v>
      </c>
      <c r="C127" s="44" t="s">
        <v>252</v>
      </c>
      <c r="D127" s="44" t="s">
        <v>84</v>
      </c>
      <c r="E127" s="45"/>
      <c r="F127" s="44" t="s">
        <v>191</v>
      </c>
      <c r="G127" s="44" t="s">
        <v>254</v>
      </c>
      <c r="H127" s="44" t="s">
        <v>641</v>
      </c>
      <c r="I127" s="44" t="s">
        <v>642</v>
      </c>
      <c r="J127" s="44" t="s">
        <v>199</v>
      </c>
      <c r="K127" s="44" t="s">
        <v>257</v>
      </c>
      <c r="L127" s="44" t="s">
        <v>641</v>
      </c>
      <c r="M127" s="44" t="s">
        <v>643</v>
      </c>
      <c r="N127" s="44" t="s">
        <v>205</v>
      </c>
      <c r="O127" s="44" t="s">
        <v>258</v>
      </c>
      <c r="P127" s="44" t="s">
        <v>641</v>
      </c>
      <c r="Q127" s="44" t="s">
        <v>644</v>
      </c>
      <c r="R127" s="46">
        <v>0.25</v>
      </c>
      <c r="S127" s="44">
        <v>10</v>
      </c>
      <c r="T127" s="44" t="s">
        <v>128</v>
      </c>
      <c r="U127" s="44" t="s">
        <v>169</v>
      </c>
      <c r="V127" s="44" t="s">
        <v>636</v>
      </c>
      <c r="W127" s="44" t="s">
        <v>191</v>
      </c>
      <c r="X127" s="44" t="s">
        <v>191</v>
      </c>
      <c r="Y127" s="44" t="s">
        <v>179</v>
      </c>
      <c r="Z127" s="44" t="s">
        <v>191</v>
      </c>
      <c r="AA127" s="44"/>
      <c r="AB127" s="44" t="s">
        <v>262</v>
      </c>
      <c r="AC127" s="44" t="s">
        <v>262</v>
      </c>
      <c r="AD127" s="44" t="s">
        <v>262</v>
      </c>
      <c r="AE127" s="44" t="s">
        <v>262</v>
      </c>
      <c r="AF127" s="44" t="s">
        <v>263</v>
      </c>
      <c r="AG127" s="44" t="s">
        <v>263</v>
      </c>
      <c r="AH127" s="44" t="s">
        <v>262</v>
      </c>
      <c r="AI127" s="44">
        <v>0.05</v>
      </c>
      <c r="AJ127" s="47" t="s">
        <v>263</v>
      </c>
    </row>
    <row r="128" spans="1:36" x14ac:dyDescent="0.45">
      <c r="A128" s="43">
        <v>108</v>
      </c>
      <c r="B128" s="44">
        <v>879</v>
      </c>
      <c r="C128" s="44" t="s">
        <v>252</v>
      </c>
      <c r="D128" s="44" t="s">
        <v>84</v>
      </c>
      <c r="E128" s="45"/>
      <c r="F128" s="44" t="s">
        <v>191</v>
      </c>
      <c r="G128" s="44" t="s">
        <v>254</v>
      </c>
      <c r="H128" s="44" t="s">
        <v>645</v>
      </c>
      <c r="I128" s="44" t="s">
        <v>646</v>
      </c>
      <c r="J128" s="44" t="s">
        <v>199</v>
      </c>
      <c r="K128" s="44" t="s">
        <v>257</v>
      </c>
      <c r="L128" s="44" t="s">
        <v>645</v>
      </c>
      <c r="M128" s="44" t="s">
        <v>647</v>
      </c>
      <c r="N128" s="44" t="s">
        <v>205</v>
      </c>
      <c r="O128" s="44" t="s">
        <v>258</v>
      </c>
      <c r="P128" s="44" t="s">
        <v>645</v>
      </c>
      <c r="Q128" s="44" t="s">
        <v>648</v>
      </c>
      <c r="R128" s="46">
        <f>10*0.33</f>
        <v>3.3000000000000003</v>
      </c>
      <c r="S128" s="44">
        <v>10</v>
      </c>
      <c r="T128" s="44" t="s">
        <v>128</v>
      </c>
      <c r="U128" s="44" t="s">
        <v>169</v>
      </c>
      <c r="V128" s="44" t="s">
        <v>636</v>
      </c>
      <c r="W128" s="44" t="s">
        <v>191</v>
      </c>
      <c r="X128" s="44" t="s">
        <v>191</v>
      </c>
      <c r="Y128" s="44" t="s">
        <v>179</v>
      </c>
      <c r="Z128" s="44" t="s">
        <v>191</v>
      </c>
      <c r="AA128" s="44"/>
      <c r="AB128" s="44" t="s">
        <v>262</v>
      </c>
      <c r="AC128" s="44" t="s">
        <v>262</v>
      </c>
      <c r="AD128" s="44" t="s">
        <v>262</v>
      </c>
      <c r="AE128" s="44" t="s">
        <v>262</v>
      </c>
      <c r="AF128" s="44" t="s">
        <v>263</v>
      </c>
      <c r="AG128" s="44" t="s">
        <v>263</v>
      </c>
      <c r="AH128" s="44" t="s">
        <v>262</v>
      </c>
      <c r="AI128" s="44">
        <v>0.05</v>
      </c>
      <c r="AJ128" s="47" t="s">
        <v>263</v>
      </c>
    </row>
    <row r="129" spans="1:36" x14ac:dyDescent="0.45">
      <c r="A129" s="43">
        <v>108</v>
      </c>
      <c r="B129" s="44">
        <v>880</v>
      </c>
      <c r="C129" s="44" t="s">
        <v>252</v>
      </c>
      <c r="D129" s="44" t="s">
        <v>84</v>
      </c>
      <c r="E129" s="45"/>
      <c r="F129" s="44" t="s">
        <v>191</v>
      </c>
      <c r="G129" s="44" t="s">
        <v>254</v>
      </c>
      <c r="H129" s="44" t="s">
        <v>649</v>
      </c>
      <c r="I129" s="44" t="s">
        <v>650</v>
      </c>
      <c r="J129" s="44" t="s">
        <v>199</v>
      </c>
      <c r="K129" s="44" t="s">
        <v>257</v>
      </c>
      <c r="L129" s="44" t="s">
        <v>649</v>
      </c>
      <c r="M129" s="44" t="s">
        <v>651</v>
      </c>
      <c r="N129" s="44" t="s">
        <v>205</v>
      </c>
      <c r="O129" s="44" t="s">
        <v>258</v>
      </c>
      <c r="P129" s="44" t="s">
        <v>649</v>
      </c>
      <c r="Q129" s="44" t="s">
        <v>652</v>
      </c>
      <c r="R129" s="46">
        <f>6*0.33</f>
        <v>1.98</v>
      </c>
      <c r="S129" s="44">
        <v>10</v>
      </c>
      <c r="T129" s="44" t="s">
        <v>128</v>
      </c>
      <c r="U129" s="44" t="s">
        <v>169</v>
      </c>
      <c r="V129" s="44" t="s">
        <v>636</v>
      </c>
      <c r="W129" s="44" t="s">
        <v>191</v>
      </c>
      <c r="X129" s="44" t="s">
        <v>191</v>
      </c>
      <c r="Y129" s="44" t="s">
        <v>179</v>
      </c>
      <c r="Z129" s="44" t="s">
        <v>191</v>
      </c>
      <c r="AA129" s="44"/>
      <c r="AB129" s="44" t="s">
        <v>262</v>
      </c>
      <c r="AC129" s="44" t="s">
        <v>262</v>
      </c>
      <c r="AD129" s="44" t="s">
        <v>262</v>
      </c>
      <c r="AE129" s="44" t="s">
        <v>262</v>
      </c>
      <c r="AF129" s="44" t="s">
        <v>263</v>
      </c>
      <c r="AG129" s="44" t="s">
        <v>263</v>
      </c>
      <c r="AH129" s="44" t="s">
        <v>262</v>
      </c>
      <c r="AI129" s="44">
        <v>0.05</v>
      </c>
      <c r="AJ129" s="47" t="s">
        <v>263</v>
      </c>
    </row>
    <row r="130" spans="1:36" x14ac:dyDescent="0.45">
      <c r="A130" s="43">
        <v>108</v>
      </c>
      <c r="B130" s="44">
        <v>881</v>
      </c>
      <c r="C130" s="44" t="s">
        <v>252</v>
      </c>
      <c r="D130" s="44" t="s">
        <v>84</v>
      </c>
      <c r="E130" s="45"/>
      <c r="F130" s="44" t="s">
        <v>191</v>
      </c>
      <c r="G130" s="44" t="s">
        <v>254</v>
      </c>
      <c r="H130" s="44" t="s">
        <v>653</v>
      </c>
      <c r="I130" s="44" t="s">
        <v>654</v>
      </c>
      <c r="J130" s="44" t="s">
        <v>199</v>
      </c>
      <c r="K130" s="44" t="s">
        <v>257</v>
      </c>
      <c r="L130" s="44" t="s">
        <v>653</v>
      </c>
      <c r="M130" s="44" t="s">
        <v>655</v>
      </c>
      <c r="N130" s="44" t="s">
        <v>205</v>
      </c>
      <c r="O130" s="44" t="s">
        <v>258</v>
      </c>
      <c r="P130" s="44" t="s">
        <v>653</v>
      </c>
      <c r="Q130" s="44" t="s">
        <v>656</v>
      </c>
      <c r="R130" s="46">
        <f>4*0.33</f>
        <v>1.32</v>
      </c>
      <c r="S130" s="44">
        <v>10</v>
      </c>
      <c r="T130" s="44" t="s">
        <v>128</v>
      </c>
      <c r="U130" s="44" t="s">
        <v>169</v>
      </c>
      <c r="V130" s="44" t="s">
        <v>636</v>
      </c>
      <c r="W130" s="44" t="s">
        <v>191</v>
      </c>
      <c r="X130" s="44" t="s">
        <v>191</v>
      </c>
      <c r="Y130" s="44" t="s">
        <v>179</v>
      </c>
      <c r="Z130" s="44" t="s">
        <v>191</v>
      </c>
      <c r="AA130" s="44"/>
      <c r="AB130" s="44" t="s">
        <v>262</v>
      </c>
      <c r="AC130" s="44" t="s">
        <v>262</v>
      </c>
      <c r="AD130" s="44" t="s">
        <v>262</v>
      </c>
      <c r="AE130" s="44" t="s">
        <v>262</v>
      </c>
      <c r="AF130" s="44" t="s">
        <v>263</v>
      </c>
      <c r="AG130" s="44" t="s">
        <v>263</v>
      </c>
      <c r="AH130" s="44" t="s">
        <v>262</v>
      </c>
      <c r="AI130" s="44">
        <v>0.05</v>
      </c>
      <c r="AJ130" s="47" t="s">
        <v>263</v>
      </c>
    </row>
    <row r="131" spans="1:36" x14ac:dyDescent="0.45">
      <c r="A131" s="43">
        <v>108</v>
      </c>
      <c r="B131" s="44">
        <v>882</v>
      </c>
      <c r="C131" s="44" t="s">
        <v>252</v>
      </c>
      <c r="D131" s="44" t="s">
        <v>84</v>
      </c>
      <c r="E131" s="45"/>
      <c r="F131" s="44" t="s">
        <v>191</v>
      </c>
      <c r="G131" s="44" t="s">
        <v>254</v>
      </c>
      <c r="H131" s="44" t="s">
        <v>657</v>
      </c>
      <c r="I131" s="44" t="s">
        <v>658</v>
      </c>
      <c r="J131" s="44" t="s">
        <v>199</v>
      </c>
      <c r="K131" s="44" t="s">
        <v>257</v>
      </c>
      <c r="L131" s="44" t="s">
        <v>657</v>
      </c>
      <c r="M131" s="44" t="s">
        <v>659</v>
      </c>
      <c r="N131" s="44" t="s">
        <v>205</v>
      </c>
      <c r="O131" s="44" t="s">
        <v>258</v>
      </c>
      <c r="P131" s="44" t="s">
        <v>657</v>
      </c>
      <c r="Q131" s="44" t="s">
        <v>660</v>
      </c>
      <c r="R131" s="46">
        <f>3*0.33</f>
        <v>0.99</v>
      </c>
      <c r="S131" s="44">
        <v>10</v>
      </c>
      <c r="T131" s="44" t="s">
        <v>128</v>
      </c>
      <c r="U131" s="44" t="s">
        <v>169</v>
      </c>
      <c r="V131" s="44" t="s">
        <v>636</v>
      </c>
      <c r="W131" s="44" t="s">
        <v>191</v>
      </c>
      <c r="X131" s="44" t="s">
        <v>191</v>
      </c>
      <c r="Y131" s="44" t="s">
        <v>179</v>
      </c>
      <c r="Z131" s="44" t="s">
        <v>191</v>
      </c>
      <c r="AA131" s="44"/>
      <c r="AB131" s="44" t="s">
        <v>262</v>
      </c>
      <c r="AC131" s="44" t="s">
        <v>262</v>
      </c>
      <c r="AD131" s="44" t="s">
        <v>262</v>
      </c>
      <c r="AE131" s="44" t="s">
        <v>262</v>
      </c>
      <c r="AF131" s="44" t="s">
        <v>263</v>
      </c>
      <c r="AG131" s="44" t="s">
        <v>263</v>
      </c>
      <c r="AH131" s="44" t="s">
        <v>262</v>
      </c>
      <c r="AI131" s="44">
        <v>0.05</v>
      </c>
      <c r="AJ131" s="47" t="s">
        <v>263</v>
      </c>
    </row>
    <row r="132" spans="1:36" x14ac:dyDescent="0.45">
      <c r="A132" s="43">
        <v>108</v>
      </c>
      <c r="B132" s="44">
        <v>883</v>
      </c>
      <c r="C132" s="44" t="s">
        <v>252</v>
      </c>
      <c r="D132" s="44" t="s">
        <v>84</v>
      </c>
      <c r="E132" s="45"/>
      <c r="F132" s="44" t="s">
        <v>191</v>
      </c>
      <c r="G132" s="44" t="s">
        <v>254</v>
      </c>
      <c r="H132" s="44" t="s">
        <v>661</v>
      </c>
      <c r="I132" s="44" t="s">
        <v>662</v>
      </c>
      <c r="J132" s="44" t="s">
        <v>199</v>
      </c>
      <c r="K132" s="44" t="s">
        <v>257</v>
      </c>
      <c r="L132" s="44" t="s">
        <v>661</v>
      </c>
      <c r="M132" s="44" t="s">
        <v>663</v>
      </c>
      <c r="N132" s="44" t="s">
        <v>205</v>
      </c>
      <c r="O132" s="44" t="s">
        <v>258</v>
      </c>
      <c r="P132" s="44" t="s">
        <v>661</v>
      </c>
      <c r="Q132" s="44" t="s">
        <v>664</v>
      </c>
      <c r="R132" s="46">
        <v>0.33</v>
      </c>
      <c r="S132" s="44">
        <v>10</v>
      </c>
      <c r="T132" s="44" t="s">
        <v>128</v>
      </c>
      <c r="U132" s="44" t="s">
        <v>169</v>
      </c>
      <c r="V132" s="44" t="s">
        <v>636</v>
      </c>
      <c r="W132" s="44" t="s">
        <v>191</v>
      </c>
      <c r="X132" s="44" t="s">
        <v>191</v>
      </c>
      <c r="Y132" s="44" t="s">
        <v>179</v>
      </c>
      <c r="Z132" s="44" t="s">
        <v>191</v>
      </c>
      <c r="AA132" s="44"/>
      <c r="AB132" s="44" t="s">
        <v>262</v>
      </c>
      <c r="AC132" s="44" t="s">
        <v>262</v>
      </c>
      <c r="AD132" s="44" t="s">
        <v>262</v>
      </c>
      <c r="AE132" s="44" t="s">
        <v>262</v>
      </c>
      <c r="AF132" s="44" t="s">
        <v>263</v>
      </c>
      <c r="AG132" s="44" t="s">
        <v>263</v>
      </c>
      <c r="AH132" s="44" t="s">
        <v>262</v>
      </c>
      <c r="AI132" s="44">
        <v>0.05</v>
      </c>
      <c r="AJ132" s="47" t="s">
        <v>263</v>
      </c>
    </row>
    <row r="133" spans="1:36" x14ac:dyDescent="0.45">
      <c r="A133" s="43">
        <v>109</v>
      </c>
      <c r="B133" s="44">
        <v>884</v>
      </c>
      <c r="C133" s="44" t="s">
        <v>252</v>
      </c>
      <c r="D133" s="44" t="s">
        <v>84</v>
      </c>
      <c r="E133" s="45"/>
      <c r="F133" s="44" t="s">
        <v>191</v>
      </c>
      <c r="G133" s="44" t="s">
        <v>254</v>
      </c>
      <c r="H133" s="44" t="s">
        <v>665</v>
      </c>
      <c r="I133" s="44" t="s">
        <v>666</v>
      </c>
      <c r="J133" s="44" t="s">
        <v>199</v>
      </c>
      <c r="K133" s="44" t="s">
        <v>257</v>
      </c>
      <c r="L133" s="44" t="s">
        <v>665</v>
      </c>
      <c r="M133" s="44" t="s">
        <v>667</v>
      </c>
      <c r="N133" s="44" t="s">
        <v>205</v>
      </c>
      <c r="O133" s="44" t="s">
        <v>258</v>
      </c>
      <c r="P133" s="44" t="s">
        <v>665</v>
      </c>
      <c r="Q133" s="44" t="s">
        <v>668</v>
      </c>
      <c r="R133" s="46">
        <f>6*0.5</f>
        <v>3</v>
      </c>
      <c r="S133" s="44">
        <v>10</v>
      </c>
      <c r="T133" s="44" t="s">
        <v>128</v>
      </c>
      <c r="U133" s="44" t="s">
        <v>169</v>
      </c>
      <c r="V133" s="44" t="s">
        <v>636</v>
      </c>
      <c r="W133" s="44" t="s">
        <v>191</v>
      </c>
      <c r="X133" s="44" t="s">
        <v>191</v>
      </c>
      <c r="Y133" s="44" t="s">
        <v>179</v>
      </c>
      <c r="Z133" s="44" t="s">
        <v>191</v>
      </c>
      <c r="AA133" s="44"/>
      <c r="AB133" s="44" t="s">
        <v>262</v>
      </c>
      <c r="AC133" s="44" t="s">
        <v>262</v>
      </c>
      <c r="AD133" s="44" t="s">
        <v>262</v>
      </c>
      <c r="AE133" s="44" t="s">
        <v>262</v>
      </c>
      <c r="AF133" s="44" t="s">
        <v>263</v>
      </c>
      <c r="AG133" s="44" t="s">
        <v>263</v>
      </c>
      <c r="AH133" s="44" t="s">
        <v>262</v>
      </c>
      <c r="AI133" s="44">
        <v>0.05</v>
      </c>
      <c r="AJ133" s="47" t="s">
        <v>263</v>
      </c>
    </row>
    <row r="134" spans="1:36" x14ac:dyDescent="0.45">
      <c r="A134" s="43">
        <v>109</v>
      </c>
      <c r="B134" s="44">
        <v>885</v>
      </c>
      <c r="C134" s="44" t="s">
        <v>252</v>
      </c>
      <c r="D134" s="44" t="s">
        <v>84</v>
      </c>
      <c r="E134" s="45"/>
      <c r="F134" s="44" t="s">
        <v>191</v>
      </c>
      <c r="G134" s="44" t="s">
        <v>254</v>
      </c>
      <c r="H134" s="44" t="s">
        <v>669</v>
      </c>
      <c r="I134" s="44" t="s">
        <v>670</v>
      </c>
      <c r="J134" s="44" t="s">
        <v>199</v>
      </c>
      <c r="K134" s="44" t="s">
        <v>257</v>
      </c>
      <c r="L134" s="44" t="s">
        <v>669</v>
      </c>
      <c r="M134" s="44" t="s">
        <v>671</v>
      </c>
      <c r="N134" s="44" t="s">
        <v>205</v>
      </c>
      <c r="O134" s="44" t="s">
        <v>258</v>
      </c>
      <c r="P134" s="44" t="s">
        <v>669</v>
      </c>
      <c r="Q134" s="44" t="s">
        <v>672</v>
      </c>
      <c r="R134" s="46">
        <f>4*0.5</f>
        <v>2</v>
      </c>
      <c r="S134" s="44">
        <v>10</v>
      </c>
      <c r="T134" s="44" t="s">
        <v>128</v>
      </c>
      <c r="U134" s="44" t="s">
        <v>169</v>
      </c>
      <c r="V134" s="44" t="s">
        <v>636</v>
      </c>
      <c r="W134" s="44" t="s">
        <v>191</v>
      </c>
      <c r="X134" s="44" t="s">
        <v>191</v>
      </c>
      <c r="Y134" s="44" t="s">
        <v>179</v>
      </c>
      <c r="Z134" s="44" t="s">
        <v>191</v>
      </c>
      <c r="AA134" s="44"/>
      <c r="AB134" s="44" t="s">
        <v>262</v>
      </c>
      <c r="AC134" s="44" t="s">
        <v>262</v>
      </c>
      <c r="AD134" s="44" t="s">
        <v>262</v>
      </c>
      <c r="AE134" s="44" t="s">
        <v>262</v>
      </c>
      <c r="AF134" s="44" t="s">
        <v>263</v>
      </c>
      <c r="AG134" s="44" t="s">
        <v>263</v>
      </c>
      <c r="AH134" s="44" t="s">
        <v>262</v>
      </c>
      <c r="AI134" s="44">
        <v>0.05</v>
      </c>
      <c r="AJ134" s="47" t="s">
        <v>263</v>
      </c>
    </row>
    <row r="135" spans="1:36" x14ac:dyDescent="0.45">
      <c r="A135" s="43">
        <v>109</v>
      </c>
      <c r="B135" s="44">
        <v>886</v>
      </c>
      <c r="C135" s="44" t="s">
        <v>252</v>
      </c>
      <c r="D135" s="44" t="s">
        <v>84</v>
      </c>
      <c r="E135" s="45"/>
      <c r="F135" s="44" t="s">
        <v>191</v>
      </c>
      <c r="G135" s="44" t="s">
        <v>254</v>
      </c>
      <c r="H135" s="44" t="s">
        <v>673</v>
      </c>
      <c r="I135" s="44" t="s">
        <v>674</v>
      </c>
      <c r="J135" s="44" t="s">
        <v>199</v>
      </c>
      <c r="K135" s="44" t="s">
        <v>257</v>
      </c>
      <c r="L135" s="44" t="s">
        <v>673</v>
      </c>
      <c r="M135" s="44" t="s">
        <v>675</v>
      </c>
      <c r="N135" s="44" t="s">
        <v>205</v>
      </c>
      <c r="O135" s="44" t="s">
        <v>258</v>
      </c>
      <c r="P135" s="44" t="s">
        <v>673</v>
      </c>
      <c r="Q135" s="44" t="s">
        <v>676</v>
      </c>
      <c r="R135" s="46">
        <v>0.5</v>
      </c>
      <c r="S135" s="44">
        <v>10</v>
      </c>
      <c r="T135" s="44" t="s">
        <v>128</v>
      </c>
      <c r="U135" s="44" t="s">
        <v>169</v>
      </c>
      <c r="V135" s="44" t="s">
        <v>636</v>
      </c>
      <c r="W135" s="44" t="s">
        <v>191</v>
      </c>
      <c r="X135" s="44" t="s">
        <v>191</v>
      </c>
      <c r="Y135" s="44" t="s">
        <v>179</v>
      </c>
      <c r="Z135" s="44" t="s">
        <v>191</v>
      </c>
      <c r="AA135" s="44"/>
      <c r="AB135" s="44" t="s">
        <v>262</v>
      </c>
      <c r="AC135" s="44" t="s">
        <v>262</v>
      </c>
      <c r="AD135" s="44" t="s">
        <v>262</v>
      </c>
      <c r="AE135" s="44" t="s">
        <v>262</v>
      </c>
      <c r="AF135" s="44" t="s">
        <v>263</v>
      </c>
      <c r="AG135" s="44" t="s">
        <v>263</v>
      </c>
      <c r="AH135" s="44" t="s">
        <v>262</v>
      </c>
      <c r="AI135" s="44">
        <v>0.05</v>
      </c>
      <c r="AJ135" s="47" t="s">
        <v>263</v>
      </c>
    </row>
    <row r="136" spans="1:36" x14ac:dyDescent="0.45">
      <c r="A136" s="43">
        <v>109</v>
      </c>
      <c r="B136" s="44">
        <v>887</v>
      </c>
      <c r="C136" s="44" t="s">
        <v>252</v>
      </c>
      <c r="D136" s="44" t="s">
        <v>84</v>
      </c>
      <c r="E136" s="45"/>
      <c r="F136" s="44" t="s">
        <v>191</v>
      </c>
      <c r="G136" s="44" t="s">
        <v>254</v>
      </c>
      <c r="H136" s="44" t="s">
        <v>677</v>
      </c>
      <c r="I136" s="44" t="s">
        <v>678</v>
      </c>
      <c r="J136" s="44" t="s">
        <v>199</v>
      </c>
      <c r="K136" s="44" t="s">
        <v>257</v>
      </c>
      <c r="L136" s="44" t="s">
        <v>677</v>
      </c>
      <c r="M136" s="44" t="s">
        <v>679</v>
      </c>
      <c r="N136" s="44" t="s">
        <v>205</v>
      </c>
      <c r="O136" s="44" t="s">
        <v>258</v>
      </c>
      <c r="P136" s="44" t="s">
        <v>677</v>
      </c>
      <c r="Q136" s="44" t="s">
        <v>680</v>
      </c>
      <c r="R136" s="46">
        <v>0.75</v>
      </c>
      <c r="S136" s="44">
        <v>10</v>
      </c>
      <c r="T136" s="44" t="s">
        <v>128</v>
      </c>
      <c r="U136" s="44" t="s">
        <v>169</v>
      </c>
      <c r="V136" s="44" t="s">
        <v>636</v>
      </c>
      <c r="W136" s="44" t="s">
        <v>191</v>
      </c>
      <c r="X136" s="44" t="s">
        <v>191</v>
      </c>
      <c r="Y136" s="44" t="s">
        <v>179</v>
      </c>
      <c r="Z136" s="44" t="s">
        <v>191</v>
      </c>
      <c r="AA136" s="44"/>
      <c r="AB136" s="44" t="s">
        <v>262</v>
      </c>
      <c r="AC136" s="44" t="s">
        <v>262</v>
      </c>
      <c r="AD136" s="44" t="s">
        <v>262</v>
      </c>
      <c r="AE136" s="44" t="s">
        <v>262</v>
      </c>
      <c r="AF136" s="44" t="s">
        <v>263</v>
      </c>
      <c r="AG136" s="44" t="s">
        <v>263</v>
      </c>
      <c r="AH136" s="44" t="s">
        <v>262</v>
      </c>
      <c r="AI136" s="44">
        <v>0.05</v>
      </c>
      <c r="AJ136" s="47" t="s">
        <v>263</v>
      </c>
    </row>
    <row r="137" spans="1:36" x14ac:dyDescent="0.45">
      <c r="A137" s="43">
        <v>114</v>
      </c>
      <c r="B137" s="44">
        <v>888</v>
      </c>
      <c r="C137" s="44" t="s">
        <v>252</v>
      </c>
      <c r="D137" s="44" t="s">
        <v>84</v>
      </c>
      <c r="E137" s="45"/>
      <c r="F137" s="44" t="s">
        <v>1112</v>
      </c>
      <c r="G137" s="44" t="s">
        <v>254</v>
      </c>
      <c r="H137" s="44" t="s">
        <v>255</v>
      </c>
      <c r="I137" s="44" t="s">
        <v>1113</v>
      </c>
      <c r="J137" s="44" t="s">
        <v>1114</v>
      </c>
      <c r="K137" s="44" t="s">
        <v>257</v>
      </c>
      <c r="L137" s="44" t="s">
        <v>255</v>
      </c>
      <c r="M137" s="44" t="s">
        <v>1115</v>
      </c>
      <c r="N137" s="44" t="s">
        <v>1116</v>
      </c>
      <c r="O137" s="44" t="s">
        <v>258</v>
      </c>
      <c r="P137" s="44" t="s">
        <v>255</v>
      </c>
      <c r="Q137" s="44" t="s">
        <v>1117</v>
      </c>
      <c r="R137" s="46">
        <v>0.25</v>
      </c>
      <c r="S137" s="44">
        <v>100</v>
      </c>
      <c r="T137" s="44" t="s">
        <v>130</v>
      </c>
      <c r="U137" s="44" t="s">
        <v>169</v>
      </c>
      <c r="V137" s="44" t="s">
        <v>636</v>
      </c>
      <c r="W137" s="44" t="s">
        <v>681</v>
      </c>
      <c r="X137" s="44" t="s">
        <v>682</v>
      </c>
      <c r="Y137" s="44" t="s">
        <v>180</v>
      </c>
      <c r="Z137" s="44" t="s">
        <v>192</v>
      </c>
      <c r="AA137" s="44"/>
      <c r="AB137" s="44" t="s">
        <v>262</v>
      </c>
      <c r="AC137" s="44" t="s">
        <v>262</v>
      </c>
      <c r="AD137" s="44" t="s">
        <v>262</v>
      </c>
      <c r="AE137" s="44" t="s">
        <v>262</v>
      </c>
      <c r="AF137" s="44" t="s">
        <v>263</v>
      </c>
      <c r="AG137" s="44" t="s">
        <v>263</v>
      </c>
      <c r="AH137" s="44" t="s">
        <v>262</v>
      </c>
      <c r="AI137" s="44">
        <v>0.05</v>
      </c>
      <c r="AJ137" s="47" t="s">
        <v>263</v>
      </c>
    </row>
    <row r="138" spans="1:36" x14ac:dyDescent="0.45">
      <c r="A138" s="43">
        <v>114</v>
      </c>
      <c r="B138" s="44">
        <v>889</v>
      </c>
      <c r="C138" s="44" t="s">
        <v>252</v>
      </c>
      <c r="D138" s="44" t="s">
        <v>84</v>
      </c>
      <c r="E138" s="45"/>
      <c r="F138" s="44" t="s">
        <v>1112</v>
      </c>
      <c r="G138" s="44" t="s">
        <v>254</v>
      </c>
      <c r="H138" s="44" t="s">
        <v>268</v>
      </c>
      <c r="I138" s="44" t="s">
        <v>1118</v>
      </c>
      <c r="J138" s="44" t="s">
        <v>1114</v>
      </c>
      <c r="K138" s="44" t="s">
        <v>257</v>
      </c>
      <c r="L138" s="44" t="s">
        <v>268</v>
      </c>
      <c r="M138" s="44" t="s">
        <v>1119</v>
      </c>
      <c r="N138" s="44" t="s">
        <v>1116</v>
      </c>
      <c r="O138" s="44" t="s">
        <v>258</v>
      </c>
      <c r="P138" s="44" t="s">
        <v>268</v>
      </c>
      <c r="Q138" s="44" t="s">
        <v>1120</v>
      </c>
      <c r="R138" s="46">
        <v>0.5</v>
      </c>
      <c r="S138" s="44">
        <v>100</v>
      </c>
      <c r="T138" s="44" t="s">
        <v>130</v>
      </c>
      <c r="U138" s="44" t="s">
        <v>169</v>
      </c>
      <c r="V138" s="44" t="s">
        <v>636</v>
      </c>
      <c r="W138" s="44" t="s">
        <v>681</v>
      </c>
      <c r="X138" s="44" t="s">
        <v>682</v>
      </c>
      <c r="Y138" s="44" t="s">
        <v>180</v>
      </c>
      <c r="Z138" s="44" t="s">
        <v>192</v>
      </c>
      <c r="AA138" s="44"/>
      <c r="AB138" s="44" t="s">
        <v>262</v>
      </c>
      <c r="AC138" s="44" t="s">
        <v>262</v>
      </c>
      <c r="AD138" s="44" t="s">
        <v>262</v>
      </c>
      <c r="AE138" s="44" t="s">
        <v>262</v>
      </c>
      <c r="AF138" s="44" t="s">
        <v>263</v>
      </c>
      <c r="AG138" s="44" t="s">
        <v>263</v>
      </c>
      <c r="AH138" s="44" t="s">
        <v>262</v>
      </c>
      <c r="AI138" s="44">
        <v>0.05</v>
      </c>
      <c r="AJ138" s="47" t="s">
        <v>263</v>
      </c>
    </row>
    <row r="139" spans="1:36" x14ac:dyDescent="0.45">
      <c r="A139" s="43">
        <v>114</v>
      </c>
      <c r="B139" s="44">
        <v>890</v>
      </c>
      <c r="C139" s="44" t="s">
        <v>252</v>
      </c>
      <c r="D139" s="44" t="s">
        <v>84</v>
      </c>
      <c r="E139" s="45"/>
      <c r="F139" s="44" t="s">
        <v>1112</v>
      </c>
      <c r="G139" s="44" t="s">
        <v>254</v>
      </c>
      <c r="H139" s="44" t="s">
        <v>307</v>
      </c>
      <c r="I139" s="44" t="s">
        <v>1121</v>
      </c>
      <c r="J139" s="44" t="s">
        <v>1114</v>
      </c>
      <c r="K139" s="44" t="s">
        <v>257</v>
      </c>
      <c r="L139" s="44" t="s">
        <v>307</v>
      </c>
      <c r="M139" s="44" t="s">
        <v>1122</v>
      </c>
      <c r="N139" s="44" t="s">
        <v>1116</v>
      </c>
      <c r="O139" s="44" t="s">
        <v>258</v>
      </c>
      <c r="P139" s="44" t="s">
        <v>307</v>
      </c>
      <c r="Q139" s="44" t="s">
        <v>1123</v>
      </c>
      <c r="R139" s="46">
        <v>1</v>
      </c>
      <c r="S139" s="44">
        <v>100</v>
      </c>
      <c r="T139" s="44" t="s">
        <v>130</v>
      </c>
      <c r="U139" s="44" t="s">
        <v>169</v>
      </c>
      <c r="V139" s="44" t="s">
        <v>636</v>
      </c>
      <c r="W139" s="44" t="s">
        <v>681</v>
      </c>
      <c r="X139" s="44" t="s">
        <v>682</v>
      </c>
      <c r="Y139" s="44" t="s">
        <v>180</v>
      </c>
      <c r="Z139" s="44" t="s">
        <v>192</v>
      </c>
      <c r="AA139" s="44"/>
      <c r="AB139" s="44" t="s">
        <v>262</v>
      </c>
      <c r="AC139" s="44" t="s">
        <v>262</v>
      </c>
      <c r="AD139" s="44" t="s">
        <v>262</v>
      </c>
      <c r="AE139" s="44" t="s">
        <v>262</v>
      </c>
      <c r="AF139" s="44" t="s">
        <v>263</v>
      </c>
      <c r="AG139" s="44" t="s">
        <v>263</v>
      </c>
      <c r="AH139" s="44" t="s">
        <v>262</v>
      </c>
      <c r="AI139" s="44">
        <v>0.05</v>
      </c>
      <c r="AJ139" s="47" t="s">
        <v>263</v>
      </c>
    </row>
    <row r="140" spans="1:36" x14ac:dyDescent="0.45">
      <c r="A140" s="43">
        <v>115</v>
      </c>
      <c r="B140" s="44">
        <v>891</v>
      </c>
      <c r="C140" s="44" t="s">
        <v>252</v>
      </c>
      <c r="D140" s="44" t="s">
        <v>84</v>
      </c>
      <c r="E140" s="45"/>
      <c r="F140" s="44" t="s">
        <v>1124</v>
      </c>
      <c r="G140" s="44" t="s">
        <v>254</v>
      </c>
      <c r="H140" s="44" t="s">
        <v>273</v>
      </c>
      <c r="I140" s="44" t="s">
        <v>1124</v>
      </c>
      <c r="J140" s="44" t="s">
        <v>1125</v>
      </c>
      <c r="K140" s="44" t="s">
        <v>257</v>
      </c>
      <c r="L140" s="44" t="s">
        <v>274</v>
      </c>
      <c r="M140" s="44" t="s">
        <v>1125</v>
      </c>
      <c r="N140" s="44" t="s">
        <v>1208</v>
      </c>
      <c r="O140" s="44" t="s">
        <v>258</v>
      </c>
      <c r="P140" s="44" t="s">
        <v>275</v>
      </c>
      <c r="Q140" s="44" t="s">
        <v>1208</v>
      </c>
      <c r="R140" s="46">
        <v>1</v>
      </c>
      <c r="S140" s="44">
        <v>10</v>
      </c>
      <c r="T140" s="44" t="s">
        <v>128</v>
      </c>
      <c r="U140" s="44" t="s">
        <v>169</v>
      </c>
      <c r="V140" s="44" t="s">
        <v>636</v>
      </c>
      <c r="W140" s="44" t="s">
        <v>681</v>
      </c>
      <c r="X140" s="44" t="s">
        <v>682</v>
      </c>
      <c r="Y140" s="44" t="s">
        <v>180</v>
      </c>
      <c r="Z140" s="44" t="s">
        <v>192</v>
      </c>
      <c r="AA140" s="44"/>
      <c r="AB140" s="44" t="s">
        <v>262</v>
      </c>
      <c r="AC140" s="44" t="s">
        <v>262</v>
      </c>
      <c r="AD140" s="44" t="s">
        <v>262</v>
      </c>
      <c r="AE140" s="44" t="s">
        <v>262</v>
      </c>
      <c r="AF140" s="44" t="s">
        <v>263</v>
      </c>
      <c r="AG140" s="44" t="s">
        <v>263</v>
      </c>
      <c r="AH140" s="44" t="s">
        <v>262</v>
      </c>
      <c r="AI140" s="44">
        <v>0.05</v>
      </c>
      <c r="AJ140" s="47" t="s">
        <v>263</v>
      </c>
    </row>
    <row r="141" spans="1:36" x14ac:dyDescent="0.45">
      <c r="A141" s="43">
        <v>115</v>
      </c>
      <c r="B141" s="44">
        <v>892</v>
      </c>
      <c r="C141" s="44" t="s">
        <v>252</v>
      </c>
      <c r="D141" s="44" t="s">
        <v>84</v>
      </c>
      <c r="E141" s="45"/>
      <c r="F141" s="44" t="s">
        <v>1126</v>
      </c>
      <c r="G141" s="44" t="s">
        <v>254</v>
      </c>
      <c r="H141" s="44" t="s">
        <v>273</v>
      </c>
      <c r="I141" s="44" t="s">
        <v>1126</v>
      </c>
      <c r="J141" s="44" t="s">
        <v>1127</v>
      </c>
      <c r="K141" s="44" t="s">
        <v>257</v>
      </c>
      <c r="L141" s="44" t="s">
        <v>274</v>
      </c>
      <c r="M141" s="44" t="s">
        <v>1127</v>
      </c>
      <c r="N141" s="44" t="s">
        <v>1209</v>
      </c>
      <c r="O141" s="44" t="s">
        <v>258</v>
      </c>
      <c r="P141" s="44" t="s">
        <v>275</v>
      </c>
      <c r="Q141" s="44" t="s">
        <v>1209</v>
      </c>
      <c r="R141" s="46">
        <v>1</v>
      </c>
      <c r="S141" s="44">
        <v>10</v>
      </c>
      <c r="T141" s="44" t="s">
        <v>128</v>
      </c>
      <c r="U141" s="44" t="s">
        <v>169</v>
      </c>
      <c r="V141" s="44" t="s">
        <v>636</v>
      </c>
      <c r="W141" s="44" t="s">
        <v>681</v>
      </c>
      <c r="X141" s="44" t="s">
        <v>682</v>
      </c>
      <c r="Y141" s="44" t="s">
        <v>180</v>
      </c>
      <c r="Z141" s="44" t="s">
        <v>192</v>
      </c>
      <c r="AA141" s="44"/>
      <c r="AB141" s="44" t="s">
        <v>262</v>
      </c>
      <c r="AC141" s="44" t="s">
        <v>262</v>
      </c>
      <c r="AD141" s="44" t="s">
        <v>262</v>
      </c>
      <c r="AE141" s="44" t="s">
        <v>262</v>
      </c>
      <c r="AF141" s="44" t="s">
        <v>263</v>
      </c>
      <c r="AG141" s="44" t="s">
        <v>263</v>
      </c>
      <c r="AH141" s="44" t="s">
        <v>262</v>
      </c>
      <c r="AI141" s="44">
        <v>0.05</v>
      </c>
      <c r="AJ141" s="47" t="s">
        <v>263</v>
      </c>
    </row>
    <row r="142" spans="1:36" x14ac:dyDescent="0.45">
      <c r="A142" s="43">
        <v>115</v>
      </c>
      <c r="B142" s="44">
        <v>893</v>
      </c>
      <c r="C142" s="44" t="s">
        <v>252</v>
      </c>
      <c r="D142" s="44" t="s">
        <v>84</v>
      </c>
      <c r="E142" s="45"/>
      <c r="F142" s="44" t="s">
        <v>1128</v>
      </c>
      <c r="G142" s="44" t="s">
        <v>254</v>
      </c>
      <c r="H142" s="44" t="s">
        <v>273</v>
      </c>
      <c r="I142" s="44" t="s">
        <v>1128</v>
      </c>
      <c r="J142" s="44" t="s">
        <v>1129</v>
      </c>
      <c r="K142" s="44" t="s">
        <v>257</v>
      </c>
      <c r="L142" s="44" t="s">
        <v>274</v>
      </c>
      <c r="M142" s="44" t="s">
        <v>1129</v>
      </c>
      <c r="N142" s="44" t="s">
        <v>1210</v>
      </c>
      <c r="O142" s="44" t="s">
        <v>258</v>
      </c>
      <c r="P142" s="44" t="s">
        <v>275</v>
      </c>
      <c r="Q142" s="44" t="s">
        <v>1210</v>
      </c>
      <c r="R142" s="46">
        <v>1</v>
      </c>
      <c r="S142" s="44">
        <v>10</v>
      </c>
      <c r="T142" s="44" t="s">
        <v>128</v>
      </c>
      <c r="U142" s="44" t="s">
        <v>169</v>
      </c>
      <c r="V142" s="44" t="s">
        <v>636</v>
      </c>
      <c r="W142" s="44" t="s">
        <v>681</v>
      </c>
      <c r="X142" s="44" t="s">
        <v>682</v>
      </c>
      <c r="Y142" s="44" t="s">
        <v>180</v>
      </c>
      <c r="Z142" s="44" t="s">
        <v>192</v>
      </c>
      <c r="AA142" s="44"/>
      <c r="AB142" s="44" t="s">
        <v>262</v>
      </c>
      <c r="AC142" s="44" t="s">
        <v>262</v>
      </c>
      <c r="AD142" s="44" t="s">
        <v>262</v>
      </c>
      <c r="AE142" s="44" t="s">
        <v>262</v>
      </c>
      <c r="AF142" s="44" t="s">
        <v>263</v>
      </c>
      <c r="AG142" s="44" t="s">
        <v>263</v>
      </c>
      <c r="AH142" s="44" t="s">
        <v>262</v>
      </c>
      <c r="AI142" s="44">
        <v>0.05</v>
      </c>
      <c r="AJ142" s="47" t="s">
        <v>263</v>
      </c>
    </row>
    <row r="143" spans="1:36" x14ac:dyDescent="0.45">
      <c r="A143" s="43">
        <v>103</v>
      </c>
      <c r="B143" s="44">
        <v>894</v>
      </c>
      <c r="C143" s="44" t="s">
        <v>252</v>
      </c>
      <c r="D143" s="44" t="s">
        <v>84</v>
      </c>
      <c r="E143" s="45"/>
      <c r="F143" s="44" t="s">
        <v>683</v>
      </c>
      <c r="G143" s="44" t="s">
        <v>254</v>
      </c>
      <c r="H143" s="44" t="s">
        <v>387</v>
      </c>
      <c r="I143" s="44" t="s">
        <v>684</v>
      </c>
      <c r="J143" s="44" t="s">
        <v>685</v>
      </c>
      <c r="K143" s="44" t="s">
        <v>257</v>
      </c>
      <c r="L143" s="44" t="s">
        <v>387</v>
      </c>
      <c r="M143" s="44" t="s">
        <v>686</v>
      </c>
      <c r="N143" s="44" t="s">
        <v>687</v>
      </c>
      <c r="O143" s="44" t="s">
        <v>258</v>
      </c>
      <c r="P143" s="44" t="s">
        <v>387</v>
      </c>
      <c r="Q143" s="44" t="s">
        <v>688</v>
      </c>
      <c r="R143" s="46">
        <v>1</v>
      </c>
      <c r="S143" s="44">
        <v>10</v>
      </c>
      <c r="T143" s="44" t="s">
        <v>128</v>
      </c>
      <c r="U143" s="44" t="s">
        <v>169</v>
      </c>
      <c r="V143" s="44" t="s">
        <v>636</v>
      </c>
      <c r="W143" s="44" t="s">
        <v>194</v>
      </c>
      <c r="X143" s="44" t="s">
        <v>194</v>
      </c>
      <c r="Y143" s="44" t="s">
        <v>179</v>
      </c>
      <c r="Z143" s="44" t="s">
        <v>194</v>
      </c>
      <c r="AA143" s="44"/>
      <c r="AB143" s="44" t="s">
        <v>262</v>
      </c>
      <c r="AC143" s="44" t="s">
        <v>262</v>
      </c>
      <c r="AD143" s="44" t="s">
        <v>262</v>
      </c>
      <c r="AE143" s="44" t="s">
        <v>262</v>
      </c>
      <c r="AF143" s="44" t="s">
        <v>263</v>
      </c>
      <c r="AG143" s="44" t="s">
        <v>263</v>
      </c>
      <c r="AH143" s="44" t="s">
        <v>262</v>
      </c>
      <c r="AI143" s="44">
        <v>0.05</v>
      </c>
      <c r="AJ143" s="47" t="s">
        <v>263</v>
      </c>
    </row>
    <row r="144" spans="1:36" x14ac:dyDescent="0.45">
      <c r="A144" s="43">
        <v>104</v>
      </c>
      <c r="B144" s="44">
        <v>895</v>
      </c>
      <c r="C144" s="44" t="s">
        <v>252</v>
      </c>
      <c r="D144" s="44" t="s">
        <v>84</v>
      </c>
      <c r="E144" s="45"/>
      <c r="F144" s="44" t="s">
        <v>683</v>
      </c>
      <c r="G144" s="44" t="s">
        <v>254</v>
      </c>
      <c r="H144" s="44" t="s">
        <v>673</v>
      </c>
      <c r="I144" s="44" t="s">
        <v>689</v>
      </c>
      <c r="J144" s="44" t="s">
        <v>685</v>
      </c>
      <c r="K144" s="44" t="s">
        <v>257</v>
      </c>
      <c r="L144" s="44" t="s">
        <v>673</v>
      </c>
      <c r="M144" s="44" t="s">
        <v>690</v>
      </c>
      <c r="N144" s="44" t="s">
        <v>687</v>
      </c>
      <c r="O144" s="44" t="s">
        <v>258</v>
      </c>
      <c r="P144" s="44" t="s">
        <v>673</v>
      </c>
      <c r="Q144" s="44" t="s">
        <v>691</v>
      </c>
      <c r="R144" s="46">
        <v>0.5</v>
      </c>
      <c r="S144" s="44">
        <v>10</v>
      </c>
      <c r="T144" s="44" t="s">
        <v>128</v>
      </c>
      <c r="U144" s="44" t="s">
        <v>169</v>
      </c>
      <c r="V144" s="44" t="s">
        <v>636</v>
      </c>
      <c r="W144" s="44" t="s">
        <v>194</v>
      </c>
      <c r="X144" s="44" t="s">
        <v>194</v>
      </c>
      <c r="Y144" s="44" t="s">
        <v>179</v>
      </c>
      <c r="Z144" s="44" t="s">
        <v>194</v>
      </c>
      <c r="AA144" s="44"/>
      <c r="AB144" s="44" t="s">
        <v>262</v>
      </c>
      <c r="AC144" s="44" t="s">
        <v>262</v>
      </c>
      <c r="AD144" s="44" t="s">
        <v>262</v>
      </c>
      <c r="AE144" s="44" t="s">
        <v>262</v>
      </c>
      <c r="AF144" s="44" t="s">
        <v>263</v>
      </c>
      <c r="AG144" s="44" t="s">
        <v>263</v>
      </c>
      <c r="AH144" s="44" t="s">
        <v>262</v>
      </c>
      <c r="AI144" s="44">
        <v>0.05</v>
      </c>
      <c r="AJ144" s="47" t="s">
        <v>263</v>
      </c>
    </row>
    <row r="145" spans="1:36" x14ac:dyDescent="0.45">
      <c r="A145" s="43">
        <v>111</v>
      </c>
      <c r="B145" s="44">
        <v>896</v>
      </c>
      <c r="C145" s="48" t="s">
        <v>252</v>
      </c>
      <c r="D145" s="48" t="s">
        <v>84</v>
      </c>
      <c r="E145" s="48"/>
      <c r="F145" s="44" t="s">
        <v>692</v>
      </c>
      <c r="G145" s="48" t="s">
        <v>254</v>
      </c>
      <c r="H145" s="48" t="s">
        <v>387</v>
      </c>
      <c r="I145" s="44" t="s">
        <v>693</v>
      </c>
      <c r="J145" s="48" t="s">
        <v>692</v>
      </c>
      <c r="K145" s="48" t="s">
        <v>257</v>
      </c>
      <c r="L145" s="48" t="s">
        <v>387</v>
      </c>
      <c r="M145" s="48" t="s">
        <v>693</v>
      </c>
      <c r="N145" s="48" t="s">
        <v>692</v>
      </c>
      <c r="O145" s="48" t="s">
        <v>258</v>
      </c>
      <c r="P145" s="48" t="s">
        <v>387</v>
      </c>
      <c r="Q145" s="48" t="s">
        <v>693</v>
      </c>
      <c r="R145" s="46">
        <v>1</v>
      </c>
      <c r="S145" s="44">
        <v>10</v>
      </c>
      <c r="T145" s="44" t="s">
        <v>128</v>
      </c>
      <c r="U145" s="48" t="s">
        <v>169</v>
      </c>
      <c r="V145" s="48" t="s">
        <v>636</v>
      </c>
      <c r="W145" s="48" t="s">
        <v>194</v>
      </c>
      <c r="X145" s="48" t="s">
        <v>194</v>
      </c>
      <c r="Y145" s="44" t="s">
        <v>179</v>
      </c>
      <c r="Z145" s="44" t="s">
        <v>194</v>
      </c>
      <c r="AA145" s="44"/>
      <c r="AB145" s="48" t="s">
        <v>262</v>
      </c>
      <c r="AC145" s="48" t="s">
        <v>262</v>
      </c>
      <c r="AD145" s="48" t="s">
        <v>262</v>
      </c>
      <c r="AE145" s="48" t="s">
        <v>262</v>
      </c>
      <c r="AF145" s="44" t="s">
        <v>263</v>
      </c>
      <c r="AG145" s="48" t="s">
        <v>263</v>
      </c>
      <c r="AH145" s="48" t="s">
        <v>262</v>
      </c>
      <c r="AI145" s="44">
        <v>0.05</v>
      </c>
      <c r="AJ145" s="49" t="s">
        <v>263</v>
      </c>
    </row>
    <row r="146" spans="1:36" s="37" customFormat="1" x14ac:dyDescent="0.45">
      <c r="A146" s="43">
        <v>112</v>
      </c>
      <c r="B146" s="44">
        <v>897</v>
      </c>
      <c r="C146" s="48" t="s">
        <v>252</v>
      </c>
      <c r="D146" s="48" t="s">
        <v>84</v>
      </c>
      <c r="E146" s="48"/>
      <c r="F146" s="44" t="s">
        <v>692</v>
      </c>
      <c r="G146" s="48" t="s">
        <v>254</v>
      </c>
      <c r="H146" s="48" t="s">
        <v>673</v>
      </c>
      <c r="I146" s="44" t="s">
        <v>694</v>
      </c>
      <c r="J146" s="48" t="s">
        <v>692</v>
      </c>
      <c r="K146" s="48" t="s">
        <v>257</v>
      </c>
      <c r="L146" s="48" t="s">
        <v>673</v>
      </c>
      <c r="M146" s="48" t="s">
        <v>694</v>
      </c>
      <c r="N146" s="48" t="s">
        <v>692</v>
      </c>
      <c r="O146" s="48" t="s">
        <v>258</v>
      </c>
      <c r="P146" s="48" t="s">
        <v>673</v>
      </c>
      <c r="Q146" s="48" t="s">
        <v>694</v>
      </c>
      <c r="R146" s="46">
        <v>0.5</v>
      </c>
      <c r="S146" s="44">
        <v>10</v>
      </c>
      <c r="T146" s="44" t="s">
        <v>128</v>
      </c>
      <c r="U146" s="48" t="s">
        <v>169</v>
      </c>
      <c r="V146" s="48" t="s">
        <v>636</v>
      </c>
      <c r="W146" s="48" t="s">
        <v>194</v>
      </c>
      <c r="X146" s="48" t="s">
        <v>194</v>
      </c>
      <c r="Y146" s="44" t="s">
        <v>179</v>
      </c>
      <c r="Z146" s="44" t="s">
        <v>194</v>
      </c>
      <c r="AA146" s="44"/>
      <c r="AB146" s="48" t="s">
        <v>262</v>
      </c>
      <c r="AC146" s="48" t="s">
        <v>262</v>
      </c>
      <c r="AD146" s="48" t="s">
        <v>262</v>
      </c>
      <c r="AE146" s="48" t="s">
        <v>262</v>
      </c>
      <c r="AF146" s="44" t="s">
        <v>263</v>
      </c>
      <c r="AG146" s="48" t="s">
        <v>263</v>
      </c>
      <c r="AH146" s="48" t="s">
        <v>262</v>
      </c>
      <c r="AI146" s="44">
        <v>0.05</v>
      </c>
      <c r="AJ146" s="49" t="s">
        <v>263</v>
      </c>
    </row>
    <row r="147" spans="1:36" s="37" customFormat="1" x14ac:dyDescent="0.45">
      <c r="A147" s="43">
        <v>113</v>
      </c>
      <c r="B147" s="44">
        <v>898</v>
      </c>
      <c r="C147" s="48" t="s">
        <v>252</v>
      </c>
      <c r="D147" s="48" t="s">
        <v>84</v>
      </c>
      <c r="E147" s="48"/>
      <c r="F147" s="44" t="s">
        <v>692</v>
      </c>
      <c r="G147" s="48" t="s">
        <v>254</v>
      </c>
      <c r="H147" s="48" t="s">
        <v>695</v>
      </c>
      <c r="I147" s="44" t="s">
        <v>696</v>
      </c>
      <c r="J147" s="48" t="s">
        <v>692</v>
      </c>
      <c r="K147" s="48" t="s">
        <v>257</v>
      </c>
      <c r="L147" s="48" t="s">
        <v>695</v>
      </c>
      <c r="M147" s="48" t="s">
        <v>696</v>
      </c>
      <c r="N147" s="48" t="s">
        <v>692</v>
      </c>
      <c r="O147" s="48" t="s">
        <v>258</v>
      </c>
      <c r="P147" s="48" t="s">
        <v>695</v>
      </c>
      <c r="Q147" s="48" t="s">
        <v>696</v>
      </c>
      <c r="R147" s="46">
        <v>0.7</v>
      </c>
      <c r="S147" s="44">
        <v>10</v>
      </c>
      <c r="T147" s="44" t="s">
        <v>128</v>
      </c>
      <c r="U147" s="48" t="s">
        <v>169</v>
      </c>
      <c r="V147" s="48" t="s">
        <v>636</v>
      </c>
      <c r="W147" s="48" t="s">
        <v>194</v>
      </c>
      <c r="X147" s="48" t="s">
        <v>194</v>
      </c>
      <c r="Y147" s="44" t="s">
        <v>179</v>
      </c>
      <c r="Z147" s="44" t="s">
        <v>194</v>
      </c>
      <c r="AA147" s="44"/>
      <c r="AB147" s="48" t="s">
        <v>262</v>
      </c>
      <c r="AC147" s="48" t="s">
        <v>262</v>
      </c>
      <c r="AD147" s="48" t="s">
        <v>262</v>
      </c>
      <c r="AE147" s="48" t="s">
        <v>262</v>
      </c>
      <c r="AF147" s="44" t="s">
        <v>263</v>
      </c>
      <c r="AG147" s="48" t="s">
        <v>263</v>
      </c>
      <c r="AH147" s="48" t="s">
        <v>262</v>
      </c>
      <c r="AI147" s="44">
        <v>0.05</v>
      </c>
      <c r="AJ147" s="49" t="s">
        <v>263</v>
      </c>
    </row>
    <row r="148" spans="1:36" x14ac:dyDescent="0.45">
      <c r="A148" s="43">
        <v>117</v>
      </c>
      <c r="B148" s="44">
        <v>899</v>
      </c>
      <c r="C148" s="44" t="s">
        <v>252</v>
      </c>
      <c r="D148" s="44" t="s">
        <v>84</v>
      </c>
      <c r="E148" s="45"/>
      <c r="F148" s="44" t="s">
        <v>697</v>
      </c>
      <c r="G148" s="44" t="s">
        <v>254</v>
      </c>
      <c r="H148" s="44" t="s">
        <v>387</v>
      </c>
      <c r="I148" s="44" t="s">
        <v>698</v>
      </c>
      <c r="J148" s="44" t="s">
        <v>697</v>
      </c>
      <c r="K148" s="44" t="s">
        <v>257</v>
      </c>
      <c r="L148" s="44" t="s">
        <v>387</v>
      </c>
      <c r="M148" s="44" t="s">
        <v>698</v>
      </c>
      <c r="N148" s="44" t="s">
        <v>697</v>
      </c>
      <c r="O148" s="44" t="s">
        <v>258</v>
      </c>
      <c r="P148" s="44" t="s">
        <v>387</v>
      </c>
      <c r="Q148" s="44" t="s">
        <v>698</v>
      </c>
      <c r="R148" s="46">
        <v>1</v>
      </c>
      <c r="S148" s="44">
        <v>10</v>
      </c>
      <c r="T148" s="44" t="s">
        <v>128</v>
      </c>
      <c r="U148" s="44" t="s">
        <v>169</v>
      </c>
      <c r="V148" s="44" t="s">
        <v>636</v>
      </c>
      <c r="W148" s="44" t="s">
        <v>194</v>
      </c>
      <c r="X148" s="44" t="s">
        <v>194</v>
      </c>
      <c r="Y148" s="44" t="s">
        <v>179</v>
      </c>
      <c r="Z148" s="44" t="s">
        <v>194</v>
      </c>
      <c r="AA148" s="44"/>
      <c r="AB148" s="44" t="s">
        <v>262</v>
      </c>
      <c r="AC148" s="44" t="s">
        <v>262</v>
      </c>
      <c r="AD148" s="44" t="s">
        <v>262</v>
      </c>
      <c r="AE148" s="44" t="s">
        <v>262</v>
      </c>
      <c r="AF148" s="44" t="s">
        <v>263</v>
      </c>
      <c r="AG148" s="44" t="s">
        <v>263</v>
      </c>
      <c r="AH148" s="44" t="s">
        <v>262</v>
      </c>
      <c r="AI148" s="44">
        <v>0.05</v>
      </c>
      <c r="AJ148" s="47" t="s">
        <v>263</v>
      </c>
    </row>
    <row r="149" spans="1:36" x14ac:dyDescent="0.45">
      <c r="A149" s="43">
        <v>118</v>
      </c>
      <c r="B149" s="44">
        <v>900</v>
      </c>
      <c r="C149" s="44" t="s">
        <v>252</v>
      </c>
      <c r="D149" s="44" t="s">
        <v>84</v>
      </c>
      <c r="E149" s="45"/>
      <c r="F149" s="44" t="s">
        <v>699</v>
      </c>
      <c r="G149" s="44" t="s">
        <v>254</v>
      </c>
      <c r="H149" s="48" t="s">
        <v>387</v>
      </c>
      <c r="I149" s="44" t="s">
        <v>700</v>
      </c>
      <c r="J149" s="44" t="s">
        <v>699</v>
      </c>
      <c r="K149" s="44" t="s">
        <v>257</v>
      </c>
      <c r="L149" s="48" t="s">
        <v>387</v>
      </c>
      <c r="M149" s="44" t="s">
        <v>700</v>
      </c>
      <c r="N149" s="44" t="s">
        <v>699</v>
      </c>
      <c r="O149" s="44" t="s">
        <v>258</v>
      </c>
      <c r="P149" s="48" t="s">
        <v>387</v>
      </c>
      <c r="Q149" s="44" t="s">
        <v>700</v>
      </c>
      <c r="R149" s="46">
        <v>1</v>
      </c>
      <c r="S149" s="44">
        <v>10</v>
      </c>
      <c r="T149" s="44" t="s">
        <v>128</v>
      </c>
      <c r="U149" s="44" t="s">
        <v>169</v>
      </c>
      <c r="V149" s="44" t="s">
        <v>636</v>
      </c>
      <c r="W149" s="44" t="s">
        <v>194</v>
      </c>
      <c r="X149" s="44" t="s">
        <v>194</v>
      </c>
      <c r="Y149" s="44" t="s">
        <v>179</v>
      </c>
      <c r="Z149" s="44" t="s">
        <v>194</v>
      </c>
      <c r="AA149" s="44"/>
      <c r="AB149" s="44" t="s">
        <v>262</v>
      </c>
      <c r="AC149" s="44" t="s">
        <v>262</v>
      </c>
      <c r="AD149" s="44" t="s">
        <v>262</v>
      </c>
      <c r="AE149" s="44" t="s">
        <v>262</v>
      </c>
      <c r="AF149" s="44" t="s">
        <v>263</v>
      </c>
      <c r="AG149" s="44" t="s">
        <v>263</v>
      </c>
      <c r="AH149" s="44" t="s">
        <v>262</v>
      </c>
      <c r="AI149" s="44">
        <v>0.05</v>
      </c>
      <c r="AJ149" s="47" t="s">
        <v>263</v>
      </c>
    </row>
    <row r="150" spans="1:36" x14ac:dyDescent="0.45">
      <c r="A150" s="43">
        <v>119</v>
      </c>
      <c r="B150" s="44">
        <v>901</v>
      </c>
      <c r="C150" s="44" t="s">
        <v>252</v>
      </c>
      <c r="D150" s="44" t="s">
        <v>84</v>
      </c>
      <c r="E150" s="45"/>
      <c r="F150" s="44" t="s">
        <v>699</v>
      </c>
      <c r="G150" s="44" t="s">
        <v>254</v>
      </c>
      <c r="H150" s="48" t="s">
        <v>673</v>
      </c>
      <c r="I150" s="44" t="s">
        <v>701</v>
      </c>
      <c r="J150" s="44" t="s">
        <v>699</v>
      </c>
      <c r="K150" s="44" t="s">
        <v>257</v>
      </c>
      <c r="L150" s="48" t="s">
        <v>673</v>
      </c>
      <c r="M150" s="44" t="s">
        <v>701</v>
      </c>
      <c r="N150" s="44" t="s">
        <v>699</v>
      </c>
      <c r="O150" s="44" t="s">
        <v>258</v>
      </c>
      <c r="P150" s="48" t="s">
        <v>673</v>
      </c>
      <c r="Q150" s="44" t="s">
        <v>701</v>
      </c>
      <c r="R150" s="46">
        <v>0.5</v>
      </c>
      <c r="S150" s="44">
        <v>10</v>
      </c>
      <c r="T150" s="44" t="s">
        <v>128</v>
      </c>
      <c r="U150" s="44" t="s">
        <v>169</v>
      </c>
      <c r="V150" s="44" t="s">
        <v>636</v>
      </c>
      <c r="W150" s="44" t="s">
        <v>194</v>
      </c>
      <c r="X150" s="44" t="s">
        <v>194</v>
      </c>
      <c r="Y150" s="44" t="s">
        <v>179</v>
      </c>
      <c r="Z150" s="44" t="s">
        <v>194</v>
      </c>
      <c r="AA150" s="44"/>
      <c r="AB150" s="44" t="s">
        <v>262</v>
      </c>
      <c r="AC150" s="44" t="s">
        <v>262</v>
      </c>
      <c r="AD150" s="44" t="s">
        <v>262</v>
      </c>
      <c r="AE150" s="44" t="s">
        <v>262</v>
      </c>
      <c r="AF150" s="44" t="s">
        <v>263</v>
      </c>
      <c r="AG150" s="44" t="s">
        <v>263</v>
      </c>
      <c r="AH150" s="44" t="s">
        <v>262</v>
      </c>
      <c r="AI150" s="44">
        <v>0.05</v>
      </c>
      <c r="AJ150" s="47" t="s">
        <v>263</v>
      </c>
    </row>
    <row r="151" spans="1:36" x14ac:dyDescent="0.45">
      <c r="A151" s="43">
        <v>120</v>
      </c>
      <c r="B151" s="44">
        <v>902</v>
      </c>
      <c r="C151" s="44" t="s">
        <v>252</v>
      </c>
      <c r="D151" s="44" t="s">
        <v>84</v>
      </c>
      <c r="E151" s="45"/>
      <c r="F151" s="44" t="s">
        <v>699</v>
      </c>
      <c r="G151" s="44" t="s">
        <v>254</v>
      </c>
      <c r="H151" s="48" t="s">
        <v>695</v>
      </c>
      <c r="I151" s="44" t="s">
        <v>702</v>
      </c>
      <c r="J151" s="44" t="s">
        <v>699</v>
      </c>
      <c r="K151" s="44" t="s">
        <v>257</v>
      </c>
      <c r="L151" s="48" t="s">
        <v>695</v>
      </c>
      <c r="M151" s="44" t="s">
        <v>702</v>
      </c>
      <c r="N151" s="44" t="s">
        <v>699</v>
      </c>
      <c r="O151" s="44" t="s">
        <v>258</v>
      </c>
      <c r="P151" s="48" t="s">
        <v>695</v>
      </c>
      <c r="Q151" s="44" t="s">
        <v>702</v>
      </c>
      <c r="R151" s="46">
        <v>0.7</v>
      </c>
      <c r="S151" s="44">
        <v>10</v>
      </c>
      <c r="T151" s="44" t="s">
        <v>128</v>
      </c>
      <c r="U151" s="44" t="s">
        <v>169</v>
      </c>
      <c r="V151" s="44" t="s">
        <v>636</v>
      </c>
      <c r="W151" s="44" t="s">
        <v>194</v>
      </c>
      <c r="X151" s="44" t="s">
        <v>194</v>
      </c>
      <c r="Y151" s="44" t="s">
        <v>179</v>
      </c>
      <c r="Z151" s="44" t="s">
        <v>194</v>
      </c>
      <c r="AA151" s="44"/>
      <c r="AB151" s="44" t="s">
        <v>262</v>
      </c>
      <c r="AC151" s="44" t="s">
        <v>262</v>
      </c>
      <c r="AD151" s="44" t="s">
        <v>262</v>
      </c>
      <c r="AE151" s="44" t="s">
        <v>262</v>
      </c>
      <c r="AF151" s="44" t="s">
        <v>263</v>
      </c>
      <c r="AG151" s="44" t="s">
        <v>263</v>
      </c>
      <c r="AH151" s="44" t="s">
        <v>262</v>
      </c>
      <c r="AI151" s="44">
        <v>0.05</v>
      </c>
      <c r="AJ151" s="47" t="s">
        <v>263</v>
      </c>
    </row>
    <row r="152" spans="1:36" x14ac:dyDescent="0.45">
      <c r="A152" s="43">
        <v>105</v>
      </c>
      <c r="B152" s="44">
        <v>903</v>
      </c>
      <c r="C152" s="44" t="s">
        <v>252</v>
      </c>
      <c r="D152" s="44" t="s">
        <v>84</v>
      </c>
      <c r="E152" s="45"/>
      <c r="F152" s="44" t="s">
        <v>703</v>
      </c>
      <c r="G152" s="44" t="s">
        <v>254</v>
      </c>
      <c r="H152" s="44" t="s">
        <v>661</v>
      </c>
      <c r="I152" s="44" t="s">
        <v>704</v>
      </c>
      <c r="J152" s="44" t="s">
        <v>705</v>
      </c>
      <c r="K152" s="44" t="s">
        <v>257</v>
      </c>
      <c r="L152" s="44" t="s">
        <v>661</v>
      </c>
      <c r="M152" s="44" t="s">
        <v>706</v>
      </c>
      <c r="N152" s="44" t="s">
        <v>707</v>
      </c>
      <c r="O152" s="44" t="s">
        <v>258</v>
      </c>
      <c r="P152" s="44" t="s">
        <v>661</v>
      </c>
      <c r="Q152" s="44" t="s">
        <v>708</v>
      </c>
      <c r="R152" s="46">
        <v>0.33</v>
      </c>
      <c r="S152" s="44">
        <v>1</v>
      </c>
      <c r="T152" s="44" t="s">
        <v>133</v>
      </c>
      <c r="U152" s="44" t="s">
        <v>169</v>
      </c>
      <c r="V152" s="44" t="s">
        <v>636</v>
      </c>
      <c r="W152" s="44" t="s">
        <v>709</v>
      </c>
      <c r="X152" s="44" t="s">
        <v>709</v>
      </c>
      <c r="Y152" s="44" t="s">
        <v>180</v>
      </c>
      <c r="Z152" s="44" t="s">
        <v>192</v>
      </c>
      <c r="AA152" s="44"/>
      <c r="AB152" s="44" t="s">
        <v>262</v>
      </c>
      <c r="AC152" s="44" t="s">
        <v>262</v>
      </c>
      <c r="AD152" s="44" t="s">
        <v>262</v>
      </c>
      <c r="AE152" s="44" t="s">
        <v>262</v>
      </c>
      <c r="AF152" s="44" t="s">
        <v>263</v>
      </c>
      <c r="AG152" s="44" t="s">
        <v>263</v>
      </c>
      <c r="AH152" s="44" t="s">
        <v>262</v>
      </c>
      <c r="AI152" s="44">
        <v>0.05</v>
      </c>
      <c r="AJ152" s="47" t="s">
        <v>263</v>
      </c>
    </row>
    <row r="153" spans="1:36" x14ac:dyDescent="0.45">
      <c r="A153" s="43">
        <v>105</v>
      </c>
      <c r="B153" s="44">
        <v>904</v>
      </c>
      <c r="C153" s="44" t="s">
        <v>252</v>
      </c>
      <c r="D153" s="44" t="s">
        <v>84</v>
      </c>
      <c r="E153" s="45"/>
      <c r="F153" s="44" t="s">
        <v>703</v>
      </c>
      <c r="G153" s="44" t="s">
        <v>254</v>
      </c>
      <c r="H153" s="44" t="s">
        <v>673</v>
      </c>
      <c r="I153" s="44" t="s">
        <v>710</v>
      </c>
      <c r="J153" s="44" t="s">
        <v>705</v>
      </c>
      <c r="K153" s="44" t="s">
        <v>257</v>
      </c>
      <c r="L153" s="44" t="s">
        <v>673</v>
      </c>
      <c r="M153" s="44" t="s">
        <v>711</v>
      </c>
      <c r="N153" s="44" t="s">
        <v>707</v>
      </c>
      <c r="O153" s="44" t="s">
        <v>258</v>
      </c>
      <c r="P153" s="44" t="s">
        <v>673</v>
      </c>
      <c r="Q153" s="44" t="s">
        <v>712</v>
      </c>
      <c r="R153" s="46">
        <v>0.5</v>
      </c>
      <c r="S153" s="44">
        <v>1</v>
      </c>
      <c r="T153" s="44" t="s">
        <v>133</v>
      </c>
      <c r="U153" s="44" t="s">
        <v>169</v>
      </c>
      <c r="V153" s="44" t="s">
        <v>636</v>
      </c>
      <c r="W153" s="44" t="s">
        <v>709</v>
      </c>
      <c r="X153" s="44" t="s">
        <v>709</v>
      </c>
      <c r="Y153" s="44" t="s">
        <v>180</v>
      </c>
      <c r="Z153" s="44" t="s">
        <v>192</v>
      </c>
      <c r="AA153" s="44"/>
      <c r="AB153" s="44" t="s">
        <v>262</v>
      </c>
      <c r="AC153" s="44" t="s">
        <v>262</v>
      </c>
      <c r="AD153" s="44" t="s">
        <v>262</v>
      </c>
      <c r="AE153" s="44" t="s">
        <v>262</v>
      </c>
      <c r="AF153" s="44" t="s">
        <v>263</v>
      </c>
      <c r="AG153" s="44" t="s">
        <v>263</v>
      </c>
      <c r="AH153" s="44" t="s">
        <v>262</v>
      </c>
      <c r="AI153" s="44">
        <v>0.05</v>
      </c>
      <c r="AJ153" s="47" t="s">
        <v>263</v>
      </c>
    </row>
    <row r="154" spans="1:36" x14ac:dyDescent="0.45">
      <c r="A154" s="43">
        <v>105</v>
      </c>
      <c r="B154" s="44">
        <v>905</v>
      </c>
      <c r="C154" s="44" t="s">
        <v>252</v>
      </c>
      <c r="D154" s="44" t="s">
        <v>84</v>
      </c>
      <c r="E154" s="45"/>
      <c r="F154" s="44" t="s">
        <v>703</v>
      </c>
      <c r="G154" s="44" t="s">
        <v>254</v>
      </c>
      <c r="H154" s="44" t="s">
        <v>387</v>
      </c>
      <c r="I154" s="44" t="s">
        <v>713</v>
      </c>
      <c r="J154" s="44" t="s">
        <v>705</v>
      </c>
      <c r="K154" s="44" t="s">
        <v>257</v>
      </c>
      <c r="L154" s="44" t="s">
        <v>387</v>
      </c>
      <c r="M154" s="44" t="s">
        <v>714</v>
      </c>
      <c r="N154" s="44" t="s">
        <v>707</v>
      </c>
      <c r="O154" s="44" t="s">
        <v>258</v>
      </c>
      <c r="P154" s="44" t="s">
        <v>387</v>
      </c>
      <c r="Q154" s="44" t="s">
        <v>715</v>
      </c>
      <c r="R154" s="46">
        <v>1</v>
      </c>
      <c r="S154" s="44">
        <v>1</v>
      </c>
      <c r="T154" s="44" t="s">
        <v>133</v>
      </c>
      <c r="U154" s="44" t="s">
        <v>169</v>
      </c>
      <c r="V154" s="44" t="s">
        <v>636</v>
      </c>
      <c r="W154" s="44" t="s">
        <v>709</v>
      </c>
      <c r="X154" s="44" t="s">
        <v>709</v>
      </c>
      <c r="Y154" s="44" t="s">
        <v>180</v>
      </c>
      <c r="Z154" s="44" t="s">
        <v>192</v>
      </c>
      <c r="AA154" s="44"/>
      <c r="AB154" s="44" t="s">
        <v>262</v>
      </c>
      <c r="AC154" s="44" t="s">
        <v>262</v>
      </c>
      <c r="AD154" s="44" t="s">
        <v>262</v>
      </c>
      <c r="AE154" s="44" t="s">
        <v>262</v>
      </c>
      <c r="AF154" s="44" t="s">
        <v>263</v>
      </c>
      <c r="AG154" s="44" t="s">
        <v>263</v>
      </c>
      <c r="AH154" s="44" t="s">
        <v>262</v>
      </c>
      <c r="AI154" s="44">
        <v>0.05</v>
      </c>
      <c r="AJ154" s="47" t="s">
        <v>263</v>
      </c>
    </row>
    <row r="155" spans="1:36" x14ac:dyDescent="0.45">
      <c r="A155" s="43">
        <v>105</v>
      </c>
      <c r="B155" s="44">
        <v>906</v>
      </c>
      <c r="C155" s="44" t="s">
        <v>252</v>
      </c>
      <c r="D155" s="44" t="s">
        <v>84</v>
      </c>
      <c r="E155" s="45"/>
      <c r="F155" s="44" t="s">
        <v>703</v>
      </c>
      <c r="G155" s="44" t="s">
        <v>254</v>
      </c>
      <c r="H155" s="44" t="s">
        <v>716</v>
      </c>
      <c r="I155" s="44" t="s">
        <v>717</v>
      </c>
      <c r="J155" s="44" t="s">
        <v>705</v>
      </c>
      <c r="K155" s="44" t="s">
        <v>257</v>
      </c>
      <c r="L155" s="44" t="s">
        <v>716</v>
      </c>
      <c r="M155" s="44" t="s">
        <v>718</v>
      </c>
      <c r="N155" s="44" t="s">
        <v>707</v>
      </c>
      <c r="O155" s="44" t="s">
        <v>258</v>
      </c>
      <c r="P155" s="44" t="s">
        <v>716</v>
      </c>
      <c r="Q155" s="44" t="s">
        <v>719</v>
      </c>
      <c r="R155" s="46">
        <v>1.5</v>
      </c>
      <c r="S155" s="44">
        <v>1</v>
      </c>
      <c r="T155" s="44" t="s">
        <v>133</v>
      </c>
      <c r="U155" s="44" t="s">
        <v>169</v>
      </c>
      <c r="V155" s="44" t="s">
        <v>636</v>
      </c>
      <c r="W155" s="44" t="s">
        <v>709</v>
      </c>
      <c r="X155" s="44" t="s">
        <v>709</v>
      </c>
      <c r="Y155" s="44" t="s">
        <v>180</v>
      </c>
      <c r="Z155" s="44" t="s">
        <v>192</v>
      </c>
      <c r="AA155" s="44"/>
      <c r="AB155" s="44" t="s">
        <v>262</v>
      </c>
      <c r="AC155" s="44" t="s">
        <v>262</v>
      </c>
      <c r="AD155" s="44" t="s">
        <v>262</v>
      </c>
      <c r="AE155" s="44" t="s">
        <v>262</v>
      </c>
      <c r="AF155" s="44" t="s">
        <v>263</v>
      </c>
      <c r="AG155" s="44" t="s">
        <v>263</v>
      </c>
      <c r="AH155" s="44" t="s">
        <v>262</v>
      </c>
      <c r="AI155" s="44">
        <v>0.05</v>
      </c>
      <c r="AJ155" s="47" t="s">
        <v>263</v>
      </c>
    </row>
    <row r="156" spans="1:36" x14ac:dyDescent="0.45">
      <c r="A156" s="43">
        <v>106</v>
      </c>
      <c r="B156" s="44">
        <v>907</v>
      </c>
      <c r="C156" s="44" t="s">
        <v>252</v>
      </c>
      <c r="D156" s="44" t="s">
        <v>84</v>
      </c>
      <c r="E156" s="45"/>
      <c r="F156" s="44" t="s">
        <v>703</v>
      </c>
      <c r="G156" s="44" t="s">
        <v>254</v>
      </c>
      <c r="H156" s="44" t="s">
        <v>720</v>
      </c>
      <c r="I156" s="44" t="s">
        <v>721</v>
      </c>
      <c r="J156" s="44" t="s">
        <v>705</v>
      </c>
      <c r="K156" s="44" t="s">
        <v>257</v>
      </c>
      <c r="L156" s="44" t="s">
        <v>720</v>
      </c>
      <c r="M156" s="44" t="s">
        <v>722</v>
      </c>
      <c r="N156" s="44" t="s">
        <v>707</v>
      </c>
      <c r="O156" s="44" t="s">
        <v>258</v>
      </c>
      <c r="P156" s="44" t="s">
        <v>720</v>
      </c>
      <c r="Q156" s="44" t="s">
        <v>723</v>
      </c>
      <c r="R156" s="46">
        <v>10</v>
      </c>
      <c r="S156" s="44">
        <v>1</v>
      </c>
      <c r="T156" s="44" t="s">
        <v>133</v>
      </c>
      <c r="U156" s="44" t="s">
        <v>169</v>
      </c>
      <c r="V156" s="44" t="s">
        <v>636</v>
      </c>
      <c r="W156" s="44" t="s">
        <v>709</v>
      </c>
      <c r="X156" s="44" t="s">
        <v>709</v>
      </c>
      <c r="Y156" s="44" t="s">
        <v>180</v>
      </c>
      <c r="Z156" s="44" t="s">
        <v>192</v>
      </c>
      <c r="AA156" s="44"/>
      <c r="AB156" s="44" t="s">
        <v>262</v>
      </c>
      <c r="AC156" s="44" t="s">
        <v>262</v>
      </c>
      <c r="AD156" s="44" t="s">
        <v>262</v>
      </c>
      <c r="AE156" s="44" t="s">
        <v>262</v>
      </c>
      <c r="AF156" s="44" t="s">
        <v>263</v>
      </c>
      <c r="AG156" s="44" t="s">
        <v>263</v>
      </c>
      <c r="AH156" s="44" t="s">
        <v>262</v>
      </c>
      <c r="AI156" s="44">
        <v>0.05</v>
      </c>
      <c r="AJ156" s="47" t="s">
        <v>263</v>
      </c>
    </row>
    <row r="157" spans="1:36" x14ac:dyDescent="0.45">
      <c r="A157" s="43">
        <v>107</v>
      </c>
      <c r="B157" s="44">
        <v>908</v>
      </c>
      <c r="C157" s="44" t="s">
        <v>252</v>
      </c>
      <c r="D157" s="44" t="s">
        <v>84</v>
      </c>
      <c r="E157" s="45"/>
      <c r="F157" s="44" t="s">
        <v>703</v>
      </c>
      <c r="G157" s="44" t="s">
        <v>254</v>
      </c>
      <c r="H157" s="44" t="s">
        <v>724</v>
      </c>
      <c r="I157" s="44" t="s">
        <v>725</v>
      </c>
      <c r="J157" s="44" t="s">
        <v>705</v>
      </c>
      <c r="K157" s="44" t="s">
        <v>257</v>
      </c>
      <c r="L157" s="44" t="s">
        <v>724</v>
      </c>
      <c r="M157" s="44" t="s">
        <v>726</v>
      </c>
      <c r="N157" s="44" t="s">
        <v>707</v>
      </c>
      <c r="O157" s="44" t="s">
        <v>258</v>
      </c>
      <c r="P157" s="44" t="s">
        <v>724</v>
      </c>
      <c r="Q157" s="44" t="s">
        <v>727</v>
      </c>
      <c r="R157" s="46">
        <v>5</v>
      </c>
      <c r="S157" s="44">
        <v>1</v>
      </c>
      <c r="T157" s="44" t="s">
        <v>133</v>
      </c>
      <c r="U157" s="44" t="s">
        <v>169</v>
      </c>
      <c r="V157" s="44" t="s">
        <v>636</v>
      </c>
      <c r="W157" s="44" t="s">
        <v>709</v>
      </c>
      <c r="X157" s="44" t="s">
        <v>709</v>
      </c>
      <c r="Y157" s="44" t="s">
        <v>180</v>
      </c>
      <c r="Z157" s="44" t="s">
        <v>192</v>
      </c>
      <c r="AA157" s="44"/>
      <c r="AB157" s="44" t="s">
        <v>262</v>
      </c>
      <c r="AC157" s="44" t="s">
        <v>262</v>
      </c>
      <c r="AD157" s="44" t="s">
        <v>262</v>
      </c>
      <c r="AE157" s="44" t="s">
        <v>262</v>
      </c>
      <c r="AF157" s="44" t="s">
        <v>263</v>
      </c>
      <c r="AG157" s="44" t="s">
        <v>263</v>
      </c>
      <c r="AH157" s="44" t="s">
        <v>262</v>
      </c>
      <c r="AI157" s="44">
        <v>0.05</v>
      </c>
      <c r="AJ157" s="47" t="s">
        <v>263</v>
      </c>
    </row>
    <row r="158" spans="1:36" x14ac:dyDescent="0.45">
      <c r="A158" s="43">
        <v>107</v>
      </c>
      <c r="B158" s="44">
        <v>909</v>
      </c>
      <c r="C158" s="44" t="s">
        <v>252</v>
      </c>
      <c r="D158" s="44" t="s">
        <v>84</v>
      </c>
      <c r="E158" s="45"/>
      <c r="F158" s="44" t="s">
        <v>703</v>
      </c>
      <c r="G158" s="44" t="s">
        <v>254</v>
      </c>
      <c r="H158" s="44" t="s">
        <v>728</v>
      </c>
      <c r="I158" s="44" t="s">
        <v>729</v>
      </c>
      <c r="J158" s="44" t="s">
        <v>705</v>
      </c>
      <c r="K158" s="44" t="s">
        <v>257</v>
      </c>
      <c r="L158" s="44" t="s">
        <v>728</v>
      </c>
      <c r="M158" s="44" t="s">
        <v>730</v>
      </c>
      <c r="N158" s="44" t="s">
        <v>707</v>
      </c>
      <c r="O158" s="44" t="s">
        <v>258</v>
      </c>
      <c r="P158" s="44" t="s">
        <v>728</v>
      </c>
      <c r="Q158" s="44" t="s">
        <v>731</v>
      </c>
      <c r="R158" s="46">
        <v>3</v>
      </c>
      <c r="S158" s="44">
        <v>1</v>
      </c>
      <c r="T158" s="44" t="s">
        <v>133</v>
      </c>
      <c r="U158" s="44" t="s">
        <v>169</v>
      </c>
      <c r="V158" s="44" t="s">
        <v>636</v>
      </c>
      <c r="W158" s="44" t="s">
        <v>709</v>
      </c>
      <c r="X158" s="44" t="s">
        <v>709</v>
      </c>
      <c r="Y158" s="44" t="s">
        <v>180</v>
      </c>
      <c r="Z158" s="44" t="s">
        <v>192</v>
      </c>
      <c r="AA158" s="44"/>
      <c r="AB158" s="44" t="s">
        <v>262</v>
      </c>
      <c r="AC158" s="44" t="s">
        <v>262</v>
      </c>
      <c r="AD158" s="44" t="s">
        <v>262</v>
      </c>
      <c r="AE158" s="44" t="s">
        <v>262</v>
      </c>
      <c r="AF158" s="44" t="s">
        <v>263</v>
      </c>
      <c r="AG158" s="44" t="s">
        <v>263</v>
      </c>
      <c r="AH158" s="44" t="s">
        <v>262</v>
      </c>
      <c r="AI158" s="44">
        <v>0.05</v>
      </c>
      <c r="AJ158" s="47" t="s">
        <v>263</v>
      </c>
    </row>
    <row r="159" spans="1:36" x14ac:dyDescent="0.45">
      <c r="A159" s="43">
        <v>122</v>
      </c>
      <c r="B159" s="44">
        <v>910</v>
      </c>
      <c r="C159" s="44" t="s">
        <v>252</v>
      </c>
      <c r="D159" s="44" t="s">
        <v>84</v>
      </c>
      <c r="E159" s="45"/>
      <c r="F159" s="44" t="s">
        <v>732</v>
      </c>
      <c r="G159" s="44" t="s">
        <v>254</v>
      </c>
      <c r="H159" s="44" t="s">
        <v>661</v>
      </c>
      <c r="I159" s="44" t="s">
        <v>1211</v>
      </c>
      <c r="J159" s="44" t="s">
        <v>733</v>
      </c>
      <c r="K159" s="44" t="s">
        <v>257</v>
      </c>
      <c r="L159" s="44" t="s">
        <v>661</v>
      </c>
      <c r="M159" s="44" t="s">
        <v>734</v>
      </c>
      <c r="N159" s="44" t="s">
        <v>735</v>
      </c>
      <c r="O159" s="44" t="s">
        <v>258</v>
      </c>
      <c r="P159" s="44" t="s">
        <v>661</v>
      </c>
      <c r="Q159" s="44" t="s">
        <v>736</v>
      </c>
      <c r="R159" s="46">
        <v>0.33</v>
      </c>
      <c r="S159" s="44">
        <v>1</v>
      </c>
      <c r="T159" s="44" t="s">
        <v>133</v>
      </c>
      <c r="U159" s="44" t="s">
        <v>169</v>
      </c>
      <c r="V159" s="44" t="s">
        <v>636</v>
      </c>
      <c r="W159" s="44" t="s">
        <v>709</v>
      </c>
      <c r="X159" s="44" t="s">
        <v>709</v>
      </c>
      <c r="Y159" s="44" t="s">
        <v>180</v>
      </c>
      <c r="Z159" s="44" t="s">
        <v>192</v>
      </c>
      <c r="AA159" s="44"/>
      <c r="AB159" s="44" t="s">
        <v>262</v>
      </c>
      <c r="AC159" s="44" t="s">
        <v>262</v>
      </c>
      <c r="AD159" s="44" t="s">
        <v>262</v>
      </c>
      <c r="AE159" s="44" t="s">
        <v>262</v>
      </c>
      <c r="AF159" s="44" t="s">
        <v>263</v>
      </c>
      <c r="AG159" s="44" t="s">
        <v>263</v>
      </c>
      <c r="AH159" s="44" t="s">
        <v>262</v>
      </c>
      <c r="AI159" s="44">
        <v>0.05</v>
      </c>
      <c r="AJ159" s="47" t="s">
        <v>263</v>
      </c>
    </row>
    <row r="160" spans="1:36" x14ac:dyDescent="0.45">
      <c r="A160" s="43">
        <v>122</v>
      </c>
      <c r="B160" s="44">
        <v>911</v>
      </c>
      <c r="C160" s="44" t="s">
        <v>252</v>
      </c>
      <c r="D160" s="44" t="s">
        <v>84</v>
      </c>
      <c r="E160" s="45"/>
      <c r="F160" s="44" t="s">
        <v>732</v>
      </c>
      <c r="G160" s="44" t="s">
        <v>254</v>
      </c>
      <c r="H160" s="44" t="s">
        <v>673</v>
      </c>
      <c r="I160" s="44" t="s">
        <v>1212</v>
      </c>
      <c r="J160" s="44" t="s">
        <v>733</v>
      </c>
      <c r="K160" s="44" t="s">
        <v>257</v>
      </c>
      <c r="L160" s="44" t="s">
        <v>673</v>
      </c>
      <c r="M160" s="44" t="s">
        <v>737</v>
      </c>
      <c r="N160" s="44" t="s">
        <v>735</v>
      </c>
      <c r="O160" s="44" t="s">
        <v>258</v>
      </c>
      <c r="P160" s="44" t="s">
        <v>673</v>
      </c>
      <c r="Q160" s="44" t="s">
        <v>738</v>
      </c>
      <c r="R160" s="46">
        <v>0.5</v>
      </c>
      <c r="S160" s="44">
        <v>1</v>
      </c>
      <c r="T160" s="44" t="s">
        <v>133</v>
      </c>
      <c r="U160" s="44" t="s">
        <v>169</v>
      </c>
      <c r="V160" s="44" t="s">
        <v>636</v>
      </c>
      <c r="W160" s="44" t="s">
        <v>709</v>
      </c>
      <c r="X160" s="44" t="s">
        <v>709</v>
      </c>
      <c r="Y160" s="44" t="s">
        <v>180</v>
      </c>
      <c r="Z160" s="44" t="s">
        <v>192</v>
      </c>
      <c r="AA160" s="44"/>
      <c r="AB160" s="44" t="s">
        <v>262</v>
      </c>
      <c r="AC160" s="44" t="s">
        <v>262</v>
      </c>
      <c r="AD160" s="44" t="s">
        <v>262</v>
      </c>
      <c r="AE160" s="44" t="s">
        <v>262</v>
      </c>
      <c r="AF160" s="44" t="s">
        <v>263</v>
      </c>
      <c r="AG160" s="44" t="s">
        <v>263</v>
      </c>
      <c r="AH160" s="44" t="s">
        <v>262</v>
      </c>
      <c r="AI160" s="44">
        <v>0.05</v>
      </c>
      <c r="AJ160" s="47" t="s">
        <v>263</v>
      </c>
    </row>
    <row r="161" spans="1:36" x14ac:dyDescent="0.45">
      <c r="A161" s="43">
        <v>122</v>
      </c>
      <c r="B161" s="44">
        <v>912</v>
      </c>
      <c r="C161" s="44" t="s">
        <v>252</v>
      </c>
      <c r="D161" s="44" t="s">
        <v>84</v>
      </c>
      <c r="E161" s="45"/>
      <c r="F161" s="44" t="s">
        <v>732</v>
      </c>
      <c r="G161" s="44" t="s">
        <v>254</v>
      </c>
      <c r="H161" s="44" t="s">
        <v>387</v>
      </c>
      <c r="I161" s="44" t="s">
        <v>1213</v>
      </c>
      <c r="J161" s="44" t="s">
        <v>733</v>
      </c>
      <c r="K161" s="44" t="s">
        <v>257</v>
      </c>
      <c r="L161" s="44" t="s">
        <v>387</v>
      </c>
      <c r="M161" s="44" t="s">
        <v>739</v>
      </c>
      <c r="N161" s="44" t="s">
        <v>735</v>
      </c>
      <c r="O161" s="44" t="s">
        <v>258</v>
      </c>
      <c r="P161" s="44" t="s">
        <v>387</v>
      </c>
      <c r="Q161" s="44" t="s">
        <v>740</v>
      </c>
      <c r="R161" s="46">
        <v>1</v>
      </c>
      <c r="S161" s="44">
        <v>1</v>
      </c>
      <c r="T161" s="44" t="s">
        <v>133</v>
      </c>
      <c r="U161" s="44" t="s">
        <v>169</v>
      </c>
      <c r="V161" s="44" t="s">
        <v>636</v>
      </c>
      <c r="W161" s="44" t="s">
        <v>709</v>
      </c>
      <c r="X161" s="44" t="s">
        <v>709</v>
      </c>
      <c r="Y161" s="44" t="s">
        <v>180</v>
      </c>
      <c r="Z161" s="44" t="s">
        <v>192</v>
      </c>
      <c r="AA161" s="44"/>
      <c r="AB161" s="44" t="s">
        <v>262</v>
      </c>
      <c r="AC161" s="44" t="s">
        <v>262</v>
      </c>
      <c r="AD161" s="44" t="s">
        <v>262</v>
      </c>
      <c r="AE161" s="44" t="s">
        <v>262</v>
      </c>
      <c r="AF161" s="44" t="s">
        <v>263</v>
      </c>
      <c r="AG161" s="44" t="s">
        <v>263</v>
      </c>
      <c r="AH161" s="44" t="s">
        <v>262</v>
      </c>
      <c r="AI161" s="44">
        <v>0.05</v>
      </c>
      <c r="AJ161" s="47" t="s">
        <v>263</v>
      </c>
    </row>
    <row r="162" spans="1:36" x14ac:dyDescent="0.45">
      <c r="A162" s="43">
        <v>122</v>
      </c>
      <c r="B162" s="44">
        <v>913</v>
      </c>
      <c r="C162" s="44" t="s">
        <v>252</v>
      </c>
      <c r="D162" s="44" t="s">
        <v>84</v>
      </c>
      <c r="E162" s="45"/>
      <c r="F162" s="44" t="s">
        <v>732</v>
      </c>
      <c r="G162" s="44" t="s">
        <v>254</v>
      </c>
      <c r="H162" s="44" t="s">
        <v>716</v>
      </c>
      <c r="I162" s="44" t="s">
        <v>1214</v>
      </c>
      <c r="J162" s="44" t="s">
        <v>733</v>
      </c>
      <c r="K162" s="44" t="s">
        <v>257</v>
      </c>
      <c r="L162" s="44" t="s">
        <v>716</v>
      </c>
      <c r="M162" s="44" t="s">
        <v>741</v>
      </c>
      <c r="N162" s="44" t="s">
        <v>735</v>
      </c>
      <c r="O162" s="44" t="s">
        <v>258</v>
      </c>
      <c r="P162" s="44" t="s">
        <v>716</v>
      </c>
      <c r="Q162" s="44" t="s">
        <v>742</v>
      </c>
      <c r="R162" s="46">
        <v>1.5</v>
      </c>
      <c r="S162" s="44">
        <v>1</v>
      </c>
      <c r="T162" s="44" t="s">
        <v>133</v>
      </c>
      <c r="U162" s="44" t="s">
        <v>169</v>
      </c>
      <c r="V162" s="44" t="s">
        <v>636</v>
      </c>
      <c r="W162" s="44" t="s">
        <v>709</v>
      </c>
      <c r="X162" s="44" t="s">
        <v>709</v>
      </c>
      <c r="Y162" s="44" t="s">
        <v>180</v>
      </c>
      <c r="Z162" s="44" t="s">
        <v>192</v>
      </c>
      <c r="AA162" s="44"/>
      <c r="AB162" s="44" t="s">
        <v>262</v>
      </c>
      <c r="AC162" s="44" t="s">
        <v>262</v>
      </c>
      <c r="AD162" s="44" t="s">
        <v>262</v>
      </c>
      <c r="AE162" s="44" t="s">
        <v>262</v>
      </c>
      <c r="AF162" s="44" t="s">
        <v>263</v>
      </c>
      <c r="AG162" s="44" t="s">
        <v>263</v>
      </c>
      <c r="AH162" s="44" t="s">
        <v>262</v>
      </c>
      <c r="AI162" s="44">
        <v>0.05</v>
      </c>
      <c r="AJ162" s="47" t="s">
        <v>263</v>
      </c>
    </row>
    <row r="163" spans="1:36" x14ac:dyDescent="0.45">
      <c r="A163" s="43">
        <v>105</v>
      </c>
      <c r="B163" s="44">
        <v>914</v>
      </c>
      <c r="C163" s="44" t="s">
        <v>252</v>
      </c>
      <c r="D163" s="44" t="s">
        <v>84</v>
      </c>
      <c r="E163" s="45"/>
      <c r="F163" s="44" t="s">
        <v>743</v>
      </c>
      <c r="G163" s="44" t="s">
        <v>254</v>
      </c>
      <c r="H163" s="44" t="s">
        <v>661</v>
      </c>
      <c r="I163" s="44" t="s">
        <v>744</v>
      </c>
      <c r="J163" s="44" t="s">
        <v>745</v>
      </c>
      <c r="K163" s="44" t="s">
        <v>257</v>
      </c>
      <c r="L163" s="44" t="s">
        <v>661</v>
      </c>
      <c r="M163" s="44" t="s">
        <v>746</v>
      </c>
      <c r="N163" s="44" t="s">
        <v>747</v>
      </c>
      <c r="O163" s="44" t="s">
        <v>258</v>
      </c>
      <c r="P163" s="44" t="s">
        <v>661</v>
      </c>
      <c r="Q163" s="44" t="s">
        <v>748</v>
      </c>
      <c r="R163" s="46">
        <v>0.33</v>
      </c>
      <c r="S163" s="44">
        <v>1</v>
      </c>
      <c r="T163" s="44" t="s">
        <v>133</v>
      </c>
      <c r="U163" s="44" t="s">
        <v>169</v>
      </c>
      <c r="V163" s="44" t="s">
        <v>636</v>
      </c>
      <c r="W163" s="44" t="s">
        <v>709</v>
      </c>
      <c r="X163" s="44" t="s">
        <v>709</v>
      </c>
      <c r="Y163" s="44" t="s">
        <v>179</v>
      </c>
      <c r="Z163" s="44" t="s">
        <v>195</v>
      </c>
      <c r="AA163" s="44"/>
      <c r="AB163" s="44" t="s">
        <v>262</v>
      </c>
      <c r="AC163" s="44" t="s">
        <v>262</v>
      </c>
      <c r="AD163" s="44" t="s">
        <v>262</v>
      </c>
      <c r="AE163" s="44" t="s">
        <v>262</v>
      </c>
      <c r="AF163" s="44" t="s">
        <v>263</v>
      </c>
      <c r="AG163" s="44" t="s">
        <v>263</v>
      </c>
      <c r="AH163" s="44" t="s">
        <v>262</v>
      </c>
      <c r="AI163" s="44">
        <v>0.05</v>
      </c>
      <c r="AJ163" s="47" t="s">
        <v>263</v>
      </c>
    </row>
    <row r="164" spans="1:36" x14ac:dyDescent="0.45">
      <c r="A164" s="43">
        <v>105</v>
      </c>
      <c r="B164" s="44">
        <v>915</v>
      </c>
      <c r="C164" s="44" t="s">
        <v>252</v>
      </c>
      <c r="D164" s="44" t="s">
        <v>84</v>
      </c>
      <c r="E164" s="45"/>
      <c r="F164" s="44" t="s">
        <v>743</v>
      </c>
      <c r="G164" s="44" t="s">
        <v>254</v>
      </c>
      <c r="H164" s="44" t="s">
        <v>673</v>
      </c>
      <c r="I164" s="44" t="s">
        <v>749</v>
      </c>
      <c r="J164" s="44" t="s">
        <v>745</v>
      </c>
      <c r="K164" s="44" t="s">
        <v>257</v>
      </c>
      <c r="L164" s="44" t="s">
        <v>673</v>
      </c>
      <c r="M164" s="44" t="s">
        <v>750</v>
      </c>
      <c r="N164" s="44" t="s">
        <v>747</v>
      </c>
      <c r="O164" s="44" t="s">
        <v>258</v>
      </c>
      <c r="P164" s="44" t="s">
        <v>673</v>
      </c>
      <c r="Q164" s="44" t="s">
        <v>751</v>
      </c>
      <c r="R164" s="46">
        <v>0.5</v>
      </c>
      <c r="S164" s="44">
        <v>1</v>
      </c>
      <c r="T164" s="44" t="s">
        <v>133</v>
      </c>
      <c r="U164" s="44" t="s">
        <v>169</v>
      </c>
      <c r="V164" s="44" t="s">
        <v>636</v>
      </c>
      <c r="W164" s="44" t="s">
        <v>709</v>
      </c>
      <c r="X164" s="44" t="s">
        <v>709</v>
      </c>
      <c r="Y164" s="44" t="s">
        <v>179</v>
      </c>
      <c r="Z164" s="44" t="s">
        <v>195</v>
      </c>
      <c r="AA164" s="44"/>
      <c r="AB164" s="44" t="s">
        <v>262</v>
      </c>
      <c r="AC164" s="44" t="s">
        <v>262</v>
      </c>
      <c r="AD164" s="44" t="s">
        <v>262</v>
      </c>
      <c r="AE164" s="44" t="s">
        <v>262</v>
      </c>
      <c r="AF164" s="44" t="s">
        <v>263</v>
      </c>
      <c r="AG164" s="44" t="s">
        <v>263</v>
      </c>
      <c r="AH164" s="44" t="s">
        <v>262</v>
      </c>
      <c r="AI164" s="44">
        <v>0.05</v>
      </c>
      <c r="AJ164" s="47" t="s">
        <v>263</v>
      </c>
    </row>
    <row r="165" spans="1:36" x14ac:dyDescent="0.45">
      <c r="A165" s="43">
        <v>105</v>
      </c>
      <c r="B165" s="44">
        <v>916</v>
      </c>
      <c r="C165" s="44" t="s">
        <v>252</v>
      </c>
      <c r="D165" s="44" t="s">
        <v>84</v>
      </c>
      <c r="E165" s="45"/>
      <c r="F165" s="44" t="s">
        <v>743</v>
      </c>
      <c r="G165" s="44" t="s">
        <v>254</v>
      </c>
      <c r="H165" s="44" t="s">
        <v>677</v>
      </c>
      <c r="I165" s="44" t="s">
        <v>752</v>
      </c>
      <c r="J165" s="44" t="s">
        <v>745</v>
      </c>
      <c r="K165" s="44" t="s">
        <v>257</v>
      </c>
      <c r="L165" s="44" t="s">
        <v>677</v>
      </c>
      <c r="M165" s="44" t="s">
        <v>753</v>
      </c>
      <c r="N165" s="44" t="s">
        <v>747</v>
      </c>
      <c r="O165" s="44" t="s">
        <v>258</v>
      </c>
      <c r="P165" s="44" t="s">
        <v>677</v>
      </c>
      <c r="Q165" s="44" t="s">
        <v>754</v>
      </c>
      <c r="R165" s="46">
        <v>0.75</v>
      </c>
      <c r="S165" s="44">
        <v>1</v>
      </c>
      <c r="T165" s="44" t="s">
        <v>133</v>
      </c>
      <c r="U165" s="44" t="s">
        <v>169</v>
      </c>
      <c r="V165" s="44" t="s">
        <v>636</v>
      </c>
      <c r="W165" s="44" t="s">
        <v>709</v>
      </c>
      <c r="X165" s="44" t="s">
        <v>709</v>
      </c>
      <c r="Y165" s="44" t="s">
        <v>179</v>
      </c>
      <c r="Z165" s="44" t="s">
        <v>195</v>
      </c>
      <c r="AA165" s="44"/>
      <c r="AB165" s="44" t="s">
        <v>262</v>
      </c>
      <c r="AC165" s="44" t="s">
        <v>262</v>
      </c>
      <c r="AD165" s="44" t="s">
        <v>262</v>
      </c>
      <c r="AE165" s="44" t="s">
        <v>262</v>
      </c>
      <c r="AF165" s="44" t="s">
        <v>263</v>
      </c>
      <c r="AG165" s="44" t="s">
        <v>263</v>
      </c>
      <c r="AH165" s="44" t="s">
        <v>262</v>
      </c>
      <c r="AI165" s="44">
        <v>0.05</v>
      </c>
      <c r="AJ165" s="47" t="s">
        <v>263</v>
      </c>
    </row>
    <row r="166" spans="1:36" x14ac:dyDescent="0.45">
      <c r="A166" s="43">
        <v>105</v>
      </c>
      <c r="B166" s="44">
        <v>917</v>
      </c>
      <c r="C166" s="44" t="s">
        <v>252</v>
      </c>
      <c r="D166" s="44" t="s">
        <v>84</v>
      </c>
      <c r="E166" s="45"/>
      <c r="F166" s="44" t="s">
        <v>743</v>
      </c>
      <c r="G166" s="44" t="s">
        <v>254</v>
      </c>
      <c r="H166" s="44" t="s">
        <v>387</v>
      </c>
      <c r="I166" s="44" t="s">
        <v>755</v>
      </c>
      <c r="J166" s="44" t="s">
        <v>745</v>
      </c>
      <c r="K166" s="44" t="s">
        <v>257</v>
      </c>
      <c r="L166" s="44" t="s">
        <v>387</v>
      </c>
      <c r="M166" s="44" t="s">
        <v>756</v>
      </c>
      <c r="N166" s="44" t="s">
        <v>747</v>
      </c>
      <c r="O166" s="44" t="s">
        <v>258</v>
      </c>
      <c r="P166" s="44" t="s">
        <v>387</v>
      </c>
      <c r="Q166" s="44" t="s">
        <v>757</v>
      </c>
      <c r="R166" s="46">
        <v>1</v>
      </c>
      <c r="S166" s="44">
        <v>1</v>
      </c>
      <c r="T166" s="44" t="s">
        <v>133</v>
      </c>
      <c r="U166" s="44" t="s">
        <v>169</v>
      </c>
      <c r="V166" s="44" t="s">
        <v>636</v>
      </c>
      <c r="W166" s="44" t="s">
        <v>709</v>
      </c>
      <c r="X166" s="44" t="s">
        <v>709</v>
      </c>
      <c r="Y166" s="44" t="s">
        <v>179</v>
      </c>
      <c r="Z166" s="44" t="s">
        <v>195</v>
      </c>
      <c r="AA166" s="44"/>
      <c r="AB166" s="44" t="s">
        <v>262</v>
      </c>
      <c r="AC166" s="44" t="s">
        <v>262</v>
      </c>
      <c r="AD166" s="44" t="s">
        <v>262</v>
      </c>
      <c r="AE166" s="44" t="s">
        <v>262</v>
      </c>
      <c r="AF166" s="44" t="s">
        <v>263</v>
      </c>
      <c r="AG166" s="44" t="s">
        <v>263</v>
      </c>
      <c r="AH166" s="44" t="s">
        <v>262</v>
      </c>
      <c r="AI166" s="44">
        <v>0.05</v>
      </c>
      <c r="AJ166" s="47" t="s">
        <v>263</v>
      </c>
    </row>
    <row r="167" spans="1:36" x14ac:dyDescent="0.45">
      <c r="A167" s="43">
        <v>105</v>
      </c>
      <c r="B167" s="44">
        <v>918</v>
      </c>
      <c r="C167" s="44" t="s">
        <v>252</v>
      </c>
      <c r="D167" s="44" t="s">
        <v>84</v>
      </c>
      <c r="E167" s="45"/>
      <c r="F167" s="44" t="s">
        <v>743</v>
      </c>
      <c r="G167" s="44" t="s">
        <v>254</v>
      </c>
      <c r="H167" s="44" t="s">
        <v>716</v>
      </c>
      <c r="I167" s="44" t="s">
        <v>758</v>
      </c>
      <c r="J167" s="44" t="s">
        <v>745</v>
      </c>
      <c r="K167" s="44" t="s">
        <v>257</v>
      </c>
      <c r="L167" s="44" t="s">
        <v>716</v>
      </c>
      <c r="M167" s="44" t="s">
        <v>759</v>
      </c>
      <c r="N167" s="44" t="s">
        <v>747</v>
      </c>
      <c r="O167" s="44" t="s">
        <v>258</v>
      </c>
      <c r="P167" s="44" t="s">
        <v>716</v>
      </c>
      <c r="Q167" s="44" t="s">
        <v>760</v>
      </c>
      <c r="R167" s="46">
        <v>1.5</v>
      </c>
      <c r="S167" s="44">
        <v>1</v>
      </c>
      <c r="T167" s="44" t="s">
        <v>133</v>
      </c>
      <c r="U167" s="44" t="s">
        <v>169</v>
      </c>
      <c r="V167" s="44" t="s">
        <v>636</v>
      </c>
      <c r="W167" s="44" t="s">
        <v>709</v>
      </c>
      <c r="X167" s="44" t="s">
        <v>709</v>
      </c>
      <c r="Y167" s="44" t="s">
        <v>179</v>
      </c>
      <c r="Z167" s="44" t="s">
        <v>195</v>
      </c>
      <c r="AA167" s="44"/>
      <c r="AB167" s="44" t="s">
        <v>262</v>
      </c>
      <c r="AC167" s="44" t="s">
        <v>262</v>
      </c>
      <c r="AD167" s="44" t="s">
        <v>262</v>
      </c>
      <c r="AE167" s="44" t="s">
        <v>262</v>
      </c>
      <c r="AF167" s="44" t="s">
        <v>263</v>
      </c>
      <c r="AG167" s="44" t="s">
        <v>263</v>
      </c>
      <c r="AH167" s="44" t="s">
        <v>262</v>
      </c>
      <c r="AI167" s="44">
        <v>0.05</v>
      </c>
      <c r="AJ167" s="47" t="s">
        <v>263</v>
      </c>
    </row>
    <row r="168" spans="1:36" x14ac:dyDescent="0.45">
      <c r="A168" s="43">
        <v>121</v>
      </c>
      <c r="B168" s="44">
        <v>919</v>
      </c>
      <c r="C168" s="44" t="s">
        <v>252</v>
      </c>
      <c r="D168" s="44" t="s">
        <v>84</v>
      </c>
      <c r="E168" s="45"/>
      <c r="F168" s="44" t="s">
        <v>761</v>
      </c>
      <c r="G168" s="44" t="s">
        <v>254</v>
      </c>
      <c r="H168" s="44" t="s">
        <v>661</v>
      </c>
      <c r="I168" s="44" t="s">
        <v>762</v>
      </c>
      <c r="J168" s="44" t="s">
        <v>763</v>
      </c>
      <c r="K168" s="44" t="s">
        <v>257</v>
      </c>
      <c r="L168" s="44" t="s">
        <v>661</v>
      </c>
      <c r="M168" s="44" t="s">
        <v>764</v>
      </c>
      <c r="N168" s="44" t="s">
        <v>765</v>
      </c>
      <c r="O168" s="44" t="s">
        <v>258</v>
      </c>
      <c r="P168" s="44" t="s">
        <v>661</v>
      </c>
      <c r="Q168" s="44" t="s">
        <v>766</v>
      </c>
      <c r="R168" s="46">
        <v>0.33</v>
      </c>
      <c r="S168" s="44">
        <v>1</v>
      </c>
      <c r="T168" s="44" t="s">
        <v>133</v>
      </c>
      <c r="U168" s="44" t="s">
        <v>169</v>
      </c>
      <c r="V168" s="44" t="s">
        <v>636</v>
      </c>
      <c r="W168" s="44" t="s">
        <v>709</v>
      </c>
      <c r="X168" s="44" t="s">
        <v>709</v>
      </c>
      <c r="Y168" s="44" t="s">
        <v>179</v>
      </c>
      <c r="Z168" s="44" t="s">
        <v>195</v>
      </c>
      <c r="AA168" s="44"/>
      <c r="AB168" s="44" t="s">
        <v>262</v>
      </c>
      <c r="AC168" s="44" t="s">
        <v>262</v>
      </c>
      <c r="AD168" s="44" t="s">
        <v>262</v>
      </c>
      <c r="AE168" s="44" t="s">
        <v>262</v>
      </c>
      <c r="AF168" s="44" t="s">
        <v>263</v>
      </c>
      <c r="AG168" s="44" t="s">
        <v>263</v>
      </c>
      <c r="AH168" s="44" t="s">
        <v>262</v>
      </c>
      <c r="AI168" s="44">
        <v>0.05</v>
      </c>
      <c r="AJ168" s="47" t="s">
        <v>263</v>
      </c>
    </row>
    <row r="169" spans="1:36" x14ac:dyDescent="0.45">
      <c r="A169" s="43">
        <v>121</v>
      </c>
      <c r="B169" s="44">
        <v>920</v>
      </c>
      <c r="C169" s="44" t="s">
        <v>252</v>
      </c>
      <c r="D169" s="44" t="s">
        <v>84</v>
      </c>
      <c r="E169" s="45"/>
      <c r="F169" s="44" t="s">
        <v>761</v>
      </c>
      <c r="G169" s="44" t="s">
        <v>254</v>
      </c>
      <c r="H169" s="44" t="s">
        <v>673</v>
      </c>
      <c r="I169" s="44" t="s">
        <v>767</v>
      </c>
      <c r="J169" s="44" t="s">
        <v>763</v>
      </c>
      <c r="K169" s="44" t="s">
        <v>257</v>
      </c>
      <c r="L169" s="44" t="s">
        <v>673</v>
      </c>
      <c r="M169" s="44" t="s">
        <v>768</v>
      </c>
      <c r="N169" s="44" t="s">
        <v>765</v>
      </c>
      <c r="O169" s="44" t="s">
        <v>258</v>
      </c>
      <c r="P169" s="44" t="s">
        <v>673</v>
      </c>
      <c r="Q169" s="44" t="s">
        <v>769</v>
      </c>
      <c r="R169" s="46">
        <v>0.5</v>
      </c>
      <c r="S169" s="44">
        <v>1</v>
      </c>
      <c r="T169" s="44" t="s">
        <v>133</v>
      </c>
      <c r="U169" s="44" t="s">
        <v>169</v>
      </c>
      <c r="V169" s="44" t="s">
        <v>636</v>
      </c>
      <c r="W169" s="44" t="s">
        <v>709</v>
      </c>
      <c r="X169" s="44" t="s">
        <v>709</v>
      </c>
      <c r="Y169" s="44" t="s">
        <v>179</v>
      </c>
      <c r="Z169" s="44" t="s">
        <v>195</v>
      </c>
      <c r="AA169" s="44"/>
      <c r="AB169" s="44" t="s">
        <v>262</v>
      </c>
      <c r="AC169" s="44" t="s">
        <v>262</v>
      </c>
      <c r="AD169" s="44" t="s">
        <v>262</v>
      </c>
      <c r="AE169" s="44" t="s">
        <v>262</v>
      </c>
      <c r="AF169" s="44" t="s">
        <v>263</v>
      </c>
      <c r="AG169" s="44" t="s">
        <v>263</v>
      </c>
      <c r="AH169" s="44" t="s">
        <v>262</v>
      </c>
      <c r="AI169" s="44">
        <v>0.05</v>
      </c>
      <c r="AJ169" s="47" t="s">
        <v>263</v>
      </c>
    </row>
    <row r="170" spans="1:36" x14ac:dyDescent="0.45">
      <c r="A170" s="43">
        <v>121</v>
      </c>
      <c r="B170" s="44">
        <v>921</v>
      </c>
      <c r="C170" s="44" t="s">
        <v>252</v>
      </c>
      <c r="D170" s="44" t="s">
        <v>84</v>
      </c>
      <c r="E170" s="45"/>
      <c r="F170" s="44" t="s">
        <v>761</v>
      </c>
      <c r="G170" s="44" t="s">
        <v>254</v>
      </c>
      <c r="H170" s="44" t="s">
        <v>677</v>
      </c>
      <c r="I170" s="44" t="s">
        <v>770</v>
      </c>
      <c r="J170" s="44" t="s">
        <v>763</v>
      </c>
      <c r="K170" s="44" t="s">
        <v>257</v>
      </c>
      <c r="L170" s="44" t="s">
        <v>677</v>
      </c>
      <c r="M170" s="44" t="s">
        <v>771</v>
      </c>
      <c r="N170" s="44" t="s">
        <v>765</v>
      </c>
      <c r="O170" s="44" t="s">
        <v>258</v>
      </c>
      <c r="P170" s="44" t="s">
        <v>677</v>
      </c>
      <c r="Q170" s="44" t="s">
        <v>772</v>
      </c>
      <c r="R170" s="46">
        <v>0.75</v>
      </c>
      <c r="S170" s="44">
        <v>1</v>
      </c>
      <c r="T170" s="44" t="s">
        <v>133</v>
      </c>
      <c r="U170" s="44" t="s">
        <v>169</v>
      </c>
      <c r="V170" s="44" t="s">
        <v>636</v>
      </c>
      <c r="W170" s="44" t="s">
        <v>709</v>
      </c>
      <c r="X170" s="44" t="s">
        <v>709</v>
      </c>
      <c r="Y170" s="44" t="s">
        <v>179</v>
      </c>
      <c r="Z170" s="44" t="s">
        <v>195</v>
      </c>
      <c r="AA170" s="44"/>
      <c r="AB170" s="44" t="s">
        <v>262</v>
      </c>
      <c r="AC170" s="44" t="s">
        <v>262</v>
      </c>
      <c r="AD170" s="44" t="s">
        <v>262</v>
      </c>
      <c r="AE170" s="44" t="s">
        <v>262</v>
      </c>
      <c r="AF170" s="44" t="s">
        <v>263</v>
      </c>
      <c r="AG170" s="44" t="s">
        <v>263</v>
      </c>
      <c r="AH170" s="44" t="s">
        <v>262</v>
      </c>
      <c r="AI170" s="44">
        <v>0.05</v>
      </c>
      <c r="AJ170" s="47" t="s">
        <v>263</v>
      </c>
    </row>
    <row r="171" spans="1:36" x14ac:dyDescent="0.45">
      <c r="A171" s="43">
        <v>121</v>
      </c>
      <c r="B171" s="44">
        <v>922</v>
      </c>
      <c r="C171" s="44" t="s">
        <v>252</v>
      </c>
      <c r="D171" s="44" t="s">
        <v>84</v>
      </c>
      <c r="E171" s="45"/>
      <c r="F171" s="44" t="s">
        <v>761</v>
      </c>
      <c r="G171" s="44" t="s">
        <v>254</v>
      </c>
      <c r="H171" s="44" t="s">
        <v>387</v>
      </c>
      <c r="I171" s="44" t="s">
        <v>773</v>
      </c>
      <c r="J171" s="44" t="s">
        <v>763</v>
      </c>
      <c r="K171" s="44" t="s">
        <v>257</v>
      </c>
      <c r="L171" s="44" t="s">
        <v>387</v>
      </c>
      <c r="M171" s="44" t="s">
        <v>774</v>
      </c>
      <c r="N171" s="44" t="s">
        <v>765</v>
      </c>
      <c r="O171" s="44" t="s">
        <v>258</v>
      </c>
      <c r="P171" s="44" t="s">
        <v>387</v>
      </c>
      <c r="Q171" s="44" t="s">
        <v>775</v>
      </c>
      <c r="R171" s="46">
        <v>1</v>
      </c>
      <c r="S171" s="44">
        <v>1</v>
      </c>
      <c r="T171" s="44" t="s">
        <v>133</v>
      </c>
      <c r="U171" s="44" t="s">
        <v>169</v>
      </c>
      <c r="V171" s="44" t="s">
        <v>636</v>
      </c>
      <c r="W171" s="44" t="s">
        <v>709</v>
      </c>
      <c r="X171" s="44" t="s">
        <v>709</v>
      </c>
      <c r="Y171" s="44" t="s">
        <v>179</v>
      </c>
      <c r="Z171" s="44" t="s">
        <v>195</v>
      </c>
      <c r="AA171" s="44"/>
      <c r="AB171" s="44" t="s">
        <v>262</v>
      </c>
      <c r="AC171" s="44" t="s">
        <v>262</v>
      </c>
      <c r="AD171" s="44" t="s">
        <v>262</v>
      </c>
      <c r="AE171" s="44" t="s">
        <v>262</v>
      </c>
      <c r="AF171" s="44" t="s">
        <v>263</v>
      </c>
      <c r="AG171" s="44" t="s">
        <v>263</v>
      </c>
      <c r="AH171" s="44" t="s">
        <v>262</v>
      </c>
      <c r="AI171" s="44">
        <v>0.05</v>
      </c>
      <c r="AJ171" s="47" t="s">
        <v>263</v>
      </c>
    </row>
    <row r="172" spans="1:36" x14ac:dyDescent="0.45">
      <c r="A172" s="43">
        <v>121</v>
      </c>
      <c r="B172" s="44">
        <v>923</v>
      </c>
      <c r="C172" s="44" t="s">
        <v>252</v>
      </c>
      <c r="D172" s="44" t="s">
        <v>84</v>
      </c>
      <c r="E172" s="45"/>
      <c r="F172" s="44" t="s">
        <v>776</v>
      </c>
      <c r="G172" s="44" t="s">
        <v>254</v>
      </c>
      <c r="H172" s="44" t="s">
        <v>777</v>
      </c>
      <c r="I172" s="44" t="s">
        <v>778</v>
      </c>
      <c r="J172" s="44" t="s">
        <v>1130</v>
      </c>
      <c r="K172" s="44" t="s">
        <v>257</v>
      </c>
      <c r="L172" s="44" t="s">
        <v>777</v>
      </c>
      <c r="M172" s="44" t="s">
        <v>779</v>
      </c>
      <c r="N172" s="44" t="s">
        <v>780</v>
      </c>
      <c r="O172" s="44" t="s">
        <v>258</v>
      </c>
      <c r="P172" s="44" t="s">
        <v>777</v>
      </c>
      <c r="Q172" s="44" t="s">
        <v>781</v>
      </c>
      <c r="R172" s="46">
        <v>0.35</v>
      </c>
      <c r="S172" s="44">
        <v>1</v>
      </c>
      <c r="T172" s="44" t="s">
        <v>133</v>
      </c>
      <c r="U172" s="44" t="s">
        <v>169</v>
      </c>
      <c r="V172" s="44" t="s">
        <v>636</v>
      </c>
      <c r="W172" s="44" t="s">
        <v>709</v>
      </c>
      <c r="X172" s="44" t="s">
        <v>709</v>
      </c>
      <c r="Y172" s="44" t="s">
        <v>180</v>
      </c>
      <c r="Z172" s="44" t="s">
        <v>192</v>
      </c>
      <c r="AA172" s="44"/>
      <c r="AB172" s="44" t="s">
        <v>262</v>
      </c>
      <c r="AC172" s="44" t="s">
        <v>262</v>
      </c>
      <c r="AD172" s="44" t="s">
        <v>262</v>
      </c>
      <c r="AE172" s="44" t="s">
        <v>262</v>
      </c>
      <c r="AF172" s="44" t="s">
        <v>263</v>
      </c>
      <c r="AG172" s="44" t="s">
        <v>263</v>
      </c>
      <c r="AH172" s="44" t="s">
        <v>262</v>
      </c>
      <c r="AI172" s="44">
        <v>0.05</v>
      </c>
      <c r="AJ172" s="47" t="s">
        <v>263</v>
      </c>
    </row>
    <row r="173" spans="1:36" x14ac:dyDescent="0.45">
      <c r="A173" s="43">
        <v>121</v>
      </c>
      <c r="B173" s="44">
        <v>924</v>
      </c>
      <c r="C173" s="44" t="s">
        <v>252</v>
      </c>
      <c r="D173" s="44" t="s">
        <v>84</v>
      </c>
      <c r="E173" s="45"/>
      <c r="F173" s="44" t="s">
        <v>776</v>
      </c>
      <c r="G173" s="44" t="s">
        <v>254</v>
      </c>
      <c r="H173" s="44" t="s">
        <v>673</v>
      </c>
      <c r="I173" s="44" t="s">
        <v>782</v>
      </c>
      <c r="J173" s="44" t="s">
        <v>1130</v>
      </c>
      <c r="K173" s="44" t="s">
        <v>257</v>
      </c>
      <c r="L173" s="44" t="s">
        <v>673</v>
      </c>
      <c r="M173" s="44" t="s">
        <v>783</v>
      </c>
      <c r="N173" s="44" t="s">
        <v>780</v>
      </c>
      <c r="O173" s="44" t="s">
        <v>258</v>
      </c>
      <c r="P173" s="44" t="s">
        <v>673</v>
      </c>
      <c r="Q173" s="44" t="s">
        <v>784</v>
      </c>
      <c r="R173" s="46">
        <v>0.5</v>
      </c>
      <c r="S173" s="44">
        <v>1</v>
      </c>
      <c r="T173" s="44" t="s">
        <v>133</v>
      </c>
      <c r="U173" s="44" t="s">
        <v>169</v>
      </c>
      <c r="V173" s="44" t="s">
        <v>636</v>
      </c>
      <c r="W173" s="44" t="s">
        <v>709</v>
      </c>
      <c r="X173" s="44" t="s">
        <v>709</v>
      </c>
      <c r="Y173" s="44" t="s">
        <v>180</v>
      </c>
      <c r="Z173" s="44" t="s">
        <v>192</v>
      </c>
      <c r="AA173" s="44"/>
      <c r="AB173" s="44" t="s">
        <v>262</v>
      </c>
      <c r="AC173" s="44" t="s">
        <v>262</v>
      </c>
      <c r="AD173" s="44" t="s">
        <v>262</v>
      </c>
      <c r="AE173" s="44" t="s">
        <v>262</v>
      </c>
      <c r="AF173" s="44" t="s">
        <v>263</v>
      </c>
      <c r="AG173" s="44" t="s">
        <v>263</v>
      </c>
      <c r="AH173" s="44" t="s">
        <v>262</v>
      </c>
      <c r="AI173" s="44">
        <v>0.05</v>
      </c>
      <c r="AJ173" s="47" t="s">
        <v>263</v>
      </c>
    </row>
    <row r="174" spans="1:36" x14ac:dyDescent="0.45">
      <c r="A174" s="43">
        <v>121</v>
      </c>
      <c r="B174" s="44">
        <v>925</v>
      </c>
      <c r="C174" s="44" t="s">
        <v>252</v>
      </c>
      <c r="D174" s="44" t="s">
        <v>84</v>
      </c>
      <c r="E174" s="45"/>
      <c r="F174" s="44" t="s">
        <v>776</v>
      </c>
      <c r="G174" s="44" t="s">
        <v>254</v>
      </c>
      <c r="H174" s="44" t="s">
        <v>677</v>
      </c>
      <c r="I174" s="44" t="s">
        <v>785</v>
      </c>
      <c r="J174" s="44" t="s">
        <v>1130</v>
      </c>
      <c r="K174" s="44" t="s">
        <v>257</v>
      </c>
      <c r="L174" s="44" t="s">
        <v>677</v>
      </c>
      <c r="M174" s="44" t="s">
        <v>786</v>
      </c>
      <c r="N174" s="44" t="s">
        <v>780</v>
      </c>
      <c r="O174" s="44" t="s">
        <v>258</v>
      </c>
      <c r="P174" s="44" t="s">
        <v>677</v>
      </c>
      <c r="Q174" s="44" t="s">
        <v>787</v>
      </c>
      <c r="R174" s="46">
        <v>0.75</v>
      </c>
      <c r="S174" s="44">
        <v>1</v>
      </c>
      <c r="T174" s="44" t="s">
        <v>133</v>
      </c>
      <c r="U174" s="44" t="s">
        <v>169</v>
      </c>
      <c r="V174" s="44" t="s">
        <v>636</v>
      </c>
      <c r="W174" s="44" t="s">
        <v>709</v>
      </c>
      <c r="X174" s="44" t="s">
        <v>709</v>
      </c>
      <c r="Y174" s="44" t="s">
        <v>180</v>
      </c>
      <c r="Z174" s="44" t="s">
        <v>192</v>
      </c>
      <c r="AA174" s="44"/>
      <c r="AB174" s="44" t="s">
        <v>262</v>
      </c>
      <c r="AC174" s="44" t="s">
        <v>262</v>
      </c>
      <c r="AD174" s="44" t="s">
        <v>262</v>
      </c>
      <c r="AE174" s="44" t="s">
        <v>262</v>
      </c>
      <c r="AF174" s="44" t="s">
        <v>263</v>
      </c>
      <c r="AG174" s="44" t="s">
        <v>263</v>
      </c>
      <c r="AH174" s="44" t="s">
        <v>262</v>
      </c>
      <c r="AI174" s="44">
        <v>0.05</v>
      </c>
      <c r="AJ174" s="47" t="s">
        <v>263</v>
      </c>
    </row>
    <row r="175" spans="1:36" x14ac:dyDescent="0.45">
      <c r="A175" s="43">
        <v>121</v>
      </c>
      <c r="B175" s="44">
        <v>926</v>
      </c>
      <c r="C175" s="44" t="s">
        <v>252</v>
      </c>
      <c r="D175" s="44" t="s">
        <v>84</v>
      </c>
      <c r="E175" s="45"/>
      <c r="F175" s="44" t="s">
        <v>776</v>
      </c>
      <c r="G175" s="44" t="s">
        <v>254</v>
      </c>
      <c r="H175" s="44" t="s">
        <v>387</v>
      </c>
      <c r="I175" s="44" t="s">
        <v>788</v>
      </c>
      <c r="J175" s="44" t="s">
        <v>1130</v>
      </c>
      <c r="K175" s="44" t="s">
        <v>257</v>
      </c>
      <c r="L175" s="44" t="s">
        <v>387</v>
      </c>
      <c r="M175" s="44" t="s">
        <v>789</v>
      </c>
      <c r="N175" s="44" t="s">
        <v>780</v>
      </c>
      <c r="O175" s="44" t="s">
        <v>258</v>
      </c>
      <c r="P175" s="44" t="s">
        <v>387</v>
      </c>
      <c r="Q175" s="44" t="s">
        <v>790</v>
      </c>
      <c r="R175" s="46">
        <v>1</v>
      </c>
      <c r="S175" s="44">
        <v>1</v>
      </c>
      <c r="T175" s="44" t="s">
        <v>133</v>
      </c>
      <c r="U175" s="44" t="s">
        <v>169</v>
      </c>
      <c r="V175" s="44" t="s">
        <v>636</v>
      </c>
      <c r="W175" s="44" t="s">
        <v>709</v>
      </c>
      <c r="X175" s="44" t="s">
        <v>709</v>
      </c>
      <c r="Y175" s="44" t="s">
        <v>180</v>
      </c>
      <c r="Z175" s="44" t="s">
        <v>192</v>
      </c>
      <c r="AA175" s="44"/>
      <c r="AB175" s="44" t="s">
        <v>262</v>
      </c>
      <c r="AC175" s="44" t="s">
        <v>262</v>
      </c>
      <c r="AD175" s="44" t="s">
        <v>262</v>
      </c>
      <c r="AE175" s="44" t="s">
        <v>262</v>
      </c>
      <c r="AF175" s="44" t="s">
        <v>263</v>
      </c>
      <c r="AG175" s="44" t="s">
        <v>263</v>
      </c>
      <c r="AH175" s="44" t="s">
        <v>262</v>
      </c>
      <c r="AI175" s="44">
        <v>0.05</v>
      </c>
      <c r="AJ175" s="47" t="s">
        <v>263</v>
      </c>
    </row>
    <row r="176" spans="1:36" x14ac:dyDescent="0.45">
      <c r="A176" s="43">
        <v>123</v>
      </c>
      <c r="B176" s="44">
        <v>927</v>
      </c>
      <c r="C176" s="44" t="s">
        <v>252</v>
      </c>
      <c r="D176" s="44" t="s">
        <v>84</v>
      </c>
      <c r="E176" s="45"/>
      <c r="F176" s="44" t="s">
        <v>1131</v>
      </c>
      <c r="G176" s="44" t="s">
        <v>254</v>
      </c>
      <c r="H176" s="44" t="s">
        <v>1132</v>
      </c>
      <c r="I176" s="44" t="s">
        <v>1133</v>
      </c>
      <c r="J176" s="44" t="s">
        <v>1134</v>
      </c>
      <c r="K176" s="44" t="s">
        <v>257</v>
      </c>
      <c r="L176" s="44" t="s">
        <v>1132</v>
      </c>
      <c r="M176" s="44" t="s">
        <v>1135</v>
      </c>
      <c r="N176" s="44" t="s">
        <v>1136</v>
      </c>
      <c r="O176" s="44" t="s">
        <v>258</v>
      </c>
      <c r="P176" s="44" t="s">
        <v>1132</v>
      </c>
      <c r="Q176" s="44" t="s">
        <v>1137</v>
      </c>
      <c r="R176" s="46">
        <v>0.05</v>
      </c>
      <c r="S176" s="44">
        <v>100</v>
      </c>
      <c r="T176" s="44" t="s">
        <v>130</v>
      </c>
      <c r="U176" s="44" t="s">
        <v>169</v>
      </c>
      <c r="V176" s="44" t="s">
        <v>636</v>
      </c>
      <c r="W176" s="44" t="s">
        <v>681</v>
      </c>
      <c r="X176" s="44" t="s">
        <v>791</v>
      </c>
      <c r="Y176" s="44" t="s">
        <v>180</v>
      </c>
      <c r="Z176" s="44" t="s">
        <v>192</v>
      </c>
      <c r="AA176" s="44"/>
      <c r="AB176" s="44" t="s">
        <v>262</v>
      </c>
      <c r="AC176" s="44" t="s">
        <v>262</v>
      </c>
      <c r="AD176" s="44" t="s">
        <v>262</v>
      </c>
      <c r="AE176" s="44" t="s">
        <v>262</v>
      </c>
      <c r="AF176" s="44" t="s">
        <v>263</v>
      </c>
      <c r="AG176" s="44" t="s">
        <v>263</v>
      </c>
      <c r="AH176" s="44" t="s">
        <v>262</v>
      </c>
      <c r="AI176" s="44">
        <v>0.05</v>
      </c>
      <c r="AJ176" s="47" t="s">
        <v>263</v>
      </c>
    </row>
    <row r="177" spans="1:36" x14ac:dyDescent="0.45">
      <c r="A177" s="43">
        <v>123</v>
      </c>
      <c r="B177" s="44">
        <v>928</v>
      </c>
      <c r="C177" s="44" t="s">
        <v>252</v>
      </c>
      <c r="D177" s="44" t="s">
        <v>84</v>
      </c>
      <c r="E177" s="45"/>
      <c r="F177" s="44" t="s">
        <v>1131</v>
      </c>
      <c r="G177" s="44" t="s">
        <v>254</v>
      </c>
      <c r="H177" s="44" t="s">
        <v>416</v>
      </c>
      <c r="I177" s="44" t="s">
        <v>1138</v>
      </c>
      <c r="J177" s="44" t="s">
        <v>1134</v>
      </c>
      <c r="K177" s="44" t="s">
        <v>257</v>
      </c>
      <c r="L177" s="44" t="s">
        <v>416</v>
      </c>
      <c r="M177" s="44" t="s">
        <v>1139</v>
      </c>
      <c r="N177" s="44" t="s">
        <v>1136</v>
      </c>
      <c r="O177" s="44" t="s">
        <v>258</v>
      </c>
      <c r="P177" s="44" t="s">
        <v>416</v>
      </c>
      <c r="Q177" s="44" t="s">
        <v>1140</v>
      </c>
      <c r="R177" s="46">
        <v>0.1</v>
      </c>
      <c r="S177" s="44">
        <v>100</v>
      </c>
      <c r="T177" s="44" t="s">
        <v>130</v>
      </c>
      <c r="U177" s="44" t="s">
        <v>169</v>
      </c>
      <c r="V177" s="44" t="s">
        <v>636</v>
      </c>
      <c r="W177" s="44" t="s">
        <v>681</v>
      </c>
      <c r="X177" s="44" t="s">
        <v>791</v>
      </c>
      <c r="Y177" s="44" t="s">
        <v>180</v>
      </c>
      <c r="Z177" s="44" t="s">
        <v>192</v>
      </c>
      <c r="AA177" s="44"/>
      <c r="AB177" s="44" t="s">
        <v>262</v>
      </c>
      <c r="AC177" s="44" t="s">
        <v>262</v>
      </c>
      <c r="AD177" s="44" t="s">
        <v>262</v>
      </c>
      <c r="AE177" s="44" t="s">
        <v>262</v>
      </c>
      <c r="AF177" s="44" t="s">
        <v>263</v>
      </c>
      <c r="AG177" s="44" t="s">
        <v>263</v>
      </c>
      <c r="AH177" s="44" t="s">
        <v>262</v>
      </c>
      <c r="AI177" s="44">
        <v>0.05</v>
      </c>
      <c r="AJ177" s="47" t="s">
        <v>263</v>
      </c>
    </row>
    <row r="178" spans="1:36" x14ac:dyDescent="0.45">
      <c r="A178" s="43">
        <v>129</v>
      </c>
      <c r="B178" s="44">
        <v>950</v>
      </c>
      <c r="C178" s="44" t="s">
        <v>252</v>
      </c>
      <c r="D178" s="44" t="s">
        <v>84</v>
      </c>
      <c r="E178" s="45"/>
      <c r="F178" s="44" t="s">
        <v>1141</v>
      </c>
      <c r="G178" s="44" t="s">
        <v>1142</v>
      </c>
      <c r="H178" s="44" t="s">
        <v>792</v>
      </c>
      <c r="I178" s="44" t="s">
        <v>793</v>
      </c>
      <c r="J178" s="44" t="s">
        <v>1143</v>
      </c>
      <c r="K178" s="44" t="s">
        <v>1144</v>
      </c>
      <c r="L178" s="44" t="s">
        <v>792</v>
      </c>
      <c r="M178" s="44" t="s">
        <v>794</v>
      </c>
      <c r="N178" s="44" t="s">
        <v>1145</v>
      </c>
      <c r="O178" s="44" t="s">
        <v>1146</v>
      </c>
      <c r="P178" s="44" t="s">
        <v>792</v>
      </c>
      <c r="Q178" s="44" t="s">
        <v>795</v>
      </c>
      <c r="R178" s="46">
        <v>10.5</v>
      </c>
      <c r="S178" s="44">
        <v>1</v>
      </c>
      <c r="T178" s="44" t="s">
        <v>131</v>
      </c>
      <c r="U178" s="44" t="s">
        <v>169</v>
      </c>
      <c r="V178" s="44" t="s">
        <v>796</v>
      </c>
      <c r="W178" s="44" t="s">
        <v>797</v>
      </c>
      <c r="X178" s="44" t="s">
        <v>797</v>
      </c>
      <c r="Y178" s="44" t="s">
        <v>179</v>
      </c>
      <c r="Z178" s="44" t="s">
        <v>192</v>
      </c>
      <c r="AA178" s="44">
        <v>1102317</v>
      </c>
      <c r="AB178" s="44" t="s">
        <v>262</v>
      </c>
      <c r="AC178" s="44" t="s">
        <v>262</v>
      </c>
      <c r="AD178" s="44" t="s">
        <v>262</v>
      </c>
      <c r="AE178" s="44" t="s">
        <v>262</v>
      </c>
      <c r="AF178" s="44" t="s">
        <v>263</v>
      </c>
      <c r="AG178" s="44" t="s">
        <v>262</v>
      </c>
      <c r="AH178" s="44" t="s">
        <v>262</v>
      </c>
      <c r="AI178" s="44">
        <v>0.05</v>
      </c>
      <c r="AJ178" s="47" t="s">
        <v>263</v>
      </c>
    </row>
    <row r="179" spans="1:36" x14ac:dyDescent="0.45">
      <c r="A179" s="43">
        <v>130</v>
      </c>
      <c r="B179" s="44">
        <v>951</v>
      </c>
      <c r="C179" s="44" t="s">
        <v>252</v>
      </c>
      <c r="D179" s="44" t="s">
        <v>84</v>
      </c>
      <c r="E179" s="45"/>
      <c r="F179" s="44" t="s">
        <v>1141</v>
      </c>
      <c r="G179" s="44" t="s">
        <v>1142</v>
      </c>
      <c r="H179" s="44" t="s">
        <v>798</v>
      </c>
      <c r="I179" s="44" t="s">
        <v>799</v>
      </c>
      <c r="J179" s="44" t="s">
        <v>1143</v>
      </c>
      <c r="K179" s="44" t="s">
        <v>1144</v>
      </c>
      <c r="L179" s="44" t="s">
        <v>798</v>
      </c>
      <c r="M179" s="44" t="s">
        <v>800</v>
      </c>
      <c r="N179" s="44" t="s">
        <v>1145</v>
      </c>
      <c r="O179" s="44" t="s">
        <v>1146</v>
      </c>
      <c r="P179" s="44" t="s">
        <v>798</v>
      </c>
      <c r="Q179" s="44" t="s">
        <v>801</v>
      </c>
      <c r="R179" s="46">
        <v>5</v>
      </c>
      <c r="S179" s="44">
        <v>1</v>
      </c>
      <c r="T179" s="44" t="s">
        <v>131</v>
      </c>
      <c r="U179" s="44" t="s">
        <v>169</v>
      </c>
      <c r="V179" s="44" t="s">
        <v>796</v>
      </c>
      <c r="W179" s="44" t="s">
        <v>797</v>
      </c>
      <c r="X179" s="44" t="s">
        <v>797</v>
      </c>
      <c r="Y179" s="44" t="s">
        <v>179</v>
      </c>
      <c r="Z179" s="44" t="s">
        <v>192</v>
      </c>
      <c r="AA179" s="44">
        <v>1102317</v>
      </c>
      <c r="AB179" s="44" t="s">
        <v>262</v>
      </c>
      <c r="AC179" s="44" t="s">
        <v>262</v>
      </c>
      <c r="AD179" s="44" t="s">
        <v>262</v>
      </c>
      <c r="AE179" s="44" t="s">
        <v>262</v>
      </c>
      <c r="AF179" s="44" t="s">
        <v>263</v>
      </c>
      <c r="AG179" s="44" t="s">
        <v>262</v>
      </c>
      <c r="AH179" s="44" t="s">
        <v>262</v>
      </c>
      <c r="AI179" s="44">
        <v>0.05</v>
      </c>
      <c r="AJ179" s="47" t="s">
        <v>263</v>
      </c>
    </row>
    <row r="180" spans="1:36" x14ac:dyDescent="0.45">
      <c r="A180" s="43">
        <v>131</v>
      </c>
      <c r="B180" s="44">
        <v>952</v>
      </c>
      <c r="C180" s="44" t="s">
        <v>252</v>
      </c>
      <c r="D180" s="44" t="s">
        <v>84</v>
      </c>
      <c r="E180" s="45"/>
      <c r="F180" s="44" t="s">
        <v>1141</v>
      </c>
      <c r="G180" s="44" t="s">
        <v>1142</v>
      </c>
      <c r="H180" s="44" t="s">
        <v>802</v>
      </c>
      <c r="I180" s="44" t="s">
        <v>803</v>
      </c>
      <c r="J180" s="44" t="s">
        <v>1143</v>
      </c>
      <c r="K180" s="44" t="s">
        <v>1144</v>
      </c>
      <c r="L180" s="44" t="s">
        <v>802</v>
      </c>
      <c r="M180" s="44" t="s">
        <v>804</v>
      </c>
      <c r="N180" s="44" t="s">
        <v>1145</v>
      </c>
      <c r="O180" s="44" t="s">
        <v>1146</v>
      </c>
      <c r="P180" s="44" t="s">
        <v>802</v>
      </c>
      <c r="Q180" s="44" t="s">
        <v>805</v>
      </c>
      <c r="R180" s="46">
        <v>33</v>
      </c>
      <c r="S180" s="44">
        <v>1</v>
      </c>
      <c r="T180" s="44" t="s">
        <v>131</v>
      </c>
      <c r="U180" s="44" t="s">
        <v>169</v>
      </c>
      <c r="V180" s="44" t="s">
        <v>796</v>
      </c>
      <c r="W180" s="44" t="s">
        <v>797</v>
      </c>
      <c r="X180" s="44" t="s">
        <v>797</v>
      </c>
      <c r="Y180" s="44" t="s">
        <v>179</v>
      </c>
      <c r="Z180" s="44" t="s">
        <v>192</v>
      </c>
      <c r="AA180" s="44">
        <v>1102317</v>
      </c>
      <c r="AB180" s="44" t="s">
        <v>262</v>
      </c>
      <c r="AC180" s="44" t="s">
        <v>262</v>
      </c>
      <c r="AD180" s="44" t="s">
        <v>262</v>
      </c>
      <c r="AE180" s="44" t="s">
        <v>262</v>
      </c>
      <c r="AF180" s="44" t="s">
        <v>263</v>
      </c>
      <c r="AG180" s="44" t="s">
        <v>262</v>
      </c>
      <c r="AH180" s="44" t="s">
        <v>262</v>
      </c>
      <c r="AI180" s="44">
        <v>0.05</v>
      </c>
      <c r="AJ180" s="47" t="s">
        <v>263</v>
      </c>
    </row>
    <row r="181" spans="1:36" x14ac:dyDescent="0.45">
      <c r="A181" s="43">
        <v>132</v>
      </c>
      <c r="B181" s="44">
        <v>953</v>
      </c>
      <c r="C181" s="44" t="s">
        <v>252</v>
      </c>
      <c r="D181" s="44" t="s">
        <v>84</v>
      </c>
      <c r="E181" s="45"/>
      <c r="F181" s="44" t="s">
        <v>1141</v>
      </c>
      <c r="G181" s="44" t="s">
        <v>1142</v>
      </c>
      <c r="H181" s="44" t="s">
        <v>806</v>
      </c>
      <c r="I181" s="44" t="s">
        <v>807</v>
      </c>
      <c r="J181" s="44" t="s">
        <v>1143</v>
      </c>
      <c r="K181" s="44" t="s">
        <v>1144</v>
      </c>
      <c r="L181" s="44" t="s">
        <v>806</v>
      </c>
      <c r="M181" s="44" t="s">
        <v>808</v>
      </c>
      <c r="N181" s="44" t="s">
        <v>1145</v>
      </c>
      <c r="O181" s="44" t="s">
        <v>1146</v>
      </c>
      <c r="P181" s="44" t="s">
        <v>806</v>
      </c>
      <c r="Q181" s="44" t="s">
        <v>809</v>
      </c>
      <c r="R181" s="46">
        <v>35</v>
      </c>
      <c r="S181" s="44">
        <v>1</v>
      </c>
      <c r="T181" s="44" t="s">
        <v>131</v>
      </c>
      <c r="U181" s="44" t="s">
        <v>169</v>
      </c>
      <c r="V181" s="44" t="s">
        <v>796</v>
      </c>
      <c r="W181" s="44" t="s">
        <v>797</v>
      </c>
      <c r="X181" s="44" t="s">
        <v>797</v>
      </c>
      <c r="Y181" s="44" t="s">
        <v>179</v>
      </c>
      <c r="Z181" s="44" t="s">
        <v>192</v>
      </c>
      <c r="AA181" s="44">
        <v>1102317</v>
      </c>
      <c r="AB181" s="44" t="s">
        <v>262</v>
      </c>
      <c r="AC181" s="44" t="s">
        <v>262</v>
      </c>
      <c r="AD181" s="44" t="s">
        <v>262</v>
      </c>
      <c r="AE181" s="44" t="s">
        <v>262</v>
      </c>
      <c r="AF181" s="44" t="s">
        <v>263</v>
      </c>
      <c r="AG181" s="44" t="s">
        <v>262</v>
      </c>
      <c r="AH181" s="44" t="s">
        <v>262</v>
      </c>
      <c r="AI181" s="44">
        <v>0.05</v>
      </c>
      <c r="AJ181" s="47" t="s">
        <v>263</v>
      </c>
    </row>
    <row r="182" spans="1:36" x14ac:dyDescent="0.45">
      <c r="A182" s="43">
        <v>133</v>
      </c>
      <c r="B182" s="44">
        <v>954</v>
      </c>
      <c r="C182" s="44" t="s">
        <v>252</v>
      </c>
      <c r="D182" s="44" t="s">
        <v>84</v>
      </c>
      <c r="E182" s="45"/>
      <c r="F182" s="44" t="s">
        <v>1141</v>
      </c>
      <c r="G182" s="44" t="s">
        <v>1142</v>
      </c>
      <c r="H182" s="44" t="s">
        <v>810</v>
      </c>
      <c r="I182" s="44" t="s">
        <v>811</v>
      </c>
      <c r="J182" s="44" t="s">
        <v>1143</v>
      </c>
      <c r="K182" s="44" t="s">
        <v>1144</v>
      </c>
      <c r="L182" s="44" t="s">
        <v>810</v>
      </c>
      <c r="M182" s="44" t="s">
        <v>812</v>
      </c>
      <c r="N182" s="44" t="s">
        <v>1145</v>
      </c>
      <c r="O182" s="44" t="s">
        <v>1146</v>
      </c>
      <c r="P182" s="44" t="s">
        <v>810</v>
      </c>
      <c r="Q182" s="44" t="s">
        <v>813</v>
      </c>
      <c r="R182" s="46">
        <v>7.5</v>
      </c>
      <c r="S182" s="44">
        <v>1</v>
      </c>
      <c r="T182" s="44" t="s">
        <v>131</v>
      </c>
      <c r="U182" s="44" t="s">
        <v>169</v>
      </c>
      <c r="V182" s="44" t="s">
        <v>796</v>
      </c>
      <c r="W182" s="44" t="s">
        <v>797</v>
      </c>
      <c r="X182" s="44" t="s">
        <v>797</v>
      </c>
      <c r="Y182" s="44" t="s">
        <v>179</v>
      </c>
      <c r="Z182" s="44" t="s">
        <v>192</v>
      </c>
      <c r="AA182" s="44">
        <v>1102317</v>
      </c>
      <c r="AB182" s="44" t="s">
        <v>262</v>
      </c>
      <c r="AC182" s="44" t="s">
        <v>262</v>
      </c>
      <c r="AD182" s="44" t="s">
        <v>262</v>
      </c>
      <c r="AE182" s="44" t="s">
        <v>262</v>
      </c>
      <c r="AF182" s="44" t="s">
        <v>263</v>
      </c>
      <c r="AG182" s="44" t="s">
        <v>262</v>
      </c>
      <c r="AH182" s="44" t="s">
        <v>262</v>
      </c>
      <c r="AI182" s="44">
        <v>0.05</v>
      </c>
      <c r="AJ182" s="47" t="s">
        <v>263</v>
      </c>
    </row>
    <row r="183" spans="1:36" x14ac:dyDescent="0.45">
      <c r="A183" s="43">
        <v>129</v>
      </c>
      <c r="B183" s="44">
        <v>955</v>
      </c>
      <c r="C183" s="44" t="s">
        <v>252</v>
      </c>
      <c r="D183" s="44" t="s">
        <v>84</v>
      </c>
      <c r="E183" s="45"/>
      <c r="F183" s="44" t="s">
        <v>1147</v>
      </c>
      <c r="G183" s="44" t="s">
        <v>1142</v>
      </c>
      <c r="H183" s="44" t="s">
        <v>792</v>
      </c>
      <c r="I183" s="44" t="s">
        <v>793</v>
      </c>
      <c r="J183" s="44" t="s">
        <v>1215</v>
      </c>
      <c r="K183" s="44" t="s">
        <v>1144</v>
      </c>
      <c r="L183" s="44" t="s">
        <v>792</v>
      </c>
      <c r="M183" s="44" t="s">
        <v>794</v>
      </c>
      <c r="N183" s="44" t="s">
        <v>1148</v>
      </c>
      <c r="O183" s="44" t="s">
        <v>1146</v>
      </c>
      <c r="P183" s="44" t="s">
        <v>792</v>
      </c>
      <c r="Q183" s="44" t="s">
        <v>795</v>
      </c>
      <c r="R183" s="46">
        <v>10.5</v>
      </c>
      <c r="S183" s="44">
        <v>1</v>
      </c>
      <c r="T183" s="44" t="s">
        <v>131</v>
      </c>
      <c r="U183" s="44" t="s">
        <v>169</v>
      </c>
      <c r="V183" s="44" t="s">
        <v>796</v>
      </c>
      <c r="W183" s="44" t="s">
        <v>797</v>
      </c>
      <c r="X183" s="44" t="s">
        <v>797</v>
      </c>
      <c r="Y183" s="44" t="s">
        <v>179</v>
      </c>
      <c r="Z183" s="44" t="s">
        <v>192</v>
      </c>
      <c r="AA183" s="44">
        <v>1102318</v>
      </c>
      <c r="AB183" s="44" t="s">
        <v>262</v>
      </c>
      <c r="AC183" s="44" t="s">
        <v>262</v>
      </c>
      <c r="AD183" s="44" t="s">
        <v>262</v>
      </c>
      <c r="AE183" s="44" t="s">
        <v>262</v>
      </c>
      <c r="AF183" s="44" t="s">
        <v>263</v>
      </c>
      <c r="AG183" s="44" t="s">
        <v>262</v>
      </c>
      <c r="AH183" s="44" t="s">
        <v>262</v>
      </c>
      <c r="AI183" s="44">
        <v>0.05</v>
      </c>
      <c r="AJ183" s="47" t="s">
        <v>263</v>
      </c>
    </row>
    <row r="184" spans="1:36" x14ac:dyDescent="0.45">
      <c r="A184" s="43">
        <v>130</v>
      </c>
      <c r="B184" s="44">
        <v>956</v>
      </c>
      <c r="C184" s="44" t="s">
        <v>252</v>
      </c>
      <c r="D184" s="44" t="s">
        <v>84</v>
      </c>
      <c r="E184" s="45"/>
      <c r="F184" s="44" t="s">
        <v>1147</v>
      </c>
      <c r="G184" s="44" t="s">
        <v>1142</v>
      </c>
      <c r="H184" s="44" t="s">
        <v>798</v>
      </c>
      <c r="I184" s="44" t="s">
        <v>799</v>
      </c>
      <c r="J184" s="44" t="s">
        <v>1215</v>
      </c>
      <c r="K184" s="44" t="s">
        <v>1144</v>
      </c>
      <c r="L184" s="44" t="s">
        <v>798</v>
      </c>
      <c r="M184" s="44" t="s">
        <v>800</v>
      </c>
      <c r="N184" s="44" t="s">
        <v>1148</v>
      </c>
      <c r="O184" s="44" t="s">
        <v>1146</v>
      </c>
      <c r="P184" s="44" t="s">
        <v>798</v>
      </c>
      <c r="Q184" s="44" t="s">
        <v>801</v>
      </c>
      <c r="R184" s="46">
        <v>5</v>
      </c>
      <c r="S184" s="44">
        <v>1</v>
      </c>
      <c r="T184" s="44" t="s">
        <v>131</v>
      </c>
      <c r="U184" s="44" t="s">
        <v>169</v>
      </c>
      <c r="V184" s="44" t="s">
        <v>796</v>
      </c>
      <c r="W184" s="44" t="s">
        <v>797</v>
      </c>
      <c r="X184" s="44" t="s">
        <v>797</v>
      </c>
      <c r="Y184" s="44" t="s">
        <v>179</v>
      </c>
      <c r="Z184" s="44" t="s">
        <v>192</v>
      </c>
      <c r="AA184" s="44">
        <v>1102318</v>
      </c>
      <c r="AB184" s="44" t="s">
        <v>262</v>
      </c>
      <c r="AC184" s="44" t="s">
        <v>262</v>
      </c>
      <c r="AD184" s="44" t="s">
        <v>262</v>
      </c>
      <c r="AE184" s="44" t="s">
        <v>262</v>
      </c>
      <c r="AF184" s="44" t="s">
        <v>263</v>
      </c>
      <c r="AG184" s="44" t="s">
        <v>262</v>
      </c>
      <c r="AH184" s="44" t="s">
        <v>262</v>
      </c>
      <c r="AI184" s="44">
        <v>0.05</v>
      </c>
      <c r="AJ184" s="47" t="s">
        <v>263</v>
      </c>
    </row>
    <row r="185" spans="1:36" x14ac:dyDescent="0.45">
      <c r="A185" s="43">
        <v>131</v>
      </c>
      <c r="B185" s="44">
        <v>957</v>
      </c>
      <c r="C185" s="44" t="s">
        <v>252</v>
      </c>
      <c r="D185" s="44" t="s">
        <v>84</v>
      </c>
      <c r="E185" s="45"/>
      <c r="F185" s="44" t="s">
        <v>1147</v>
      </c>
      <c r="G185" s="44" t="s">
        <v>1142</v>
      </c>
      <c r="H185" s="44" t="s">
        <v>802</v>
      </c>
      <c r="I185" s="44" t="s">
        <v>803</v>
      </c>
      <c r="J185" s="44" t="s">
        <v>1215</v>
      </c>
      <c r="K185" s="44" t="s">
        <v>1144</v>
      </c>
      <c r="L185" s="44" t="s">
        <v>802</v>
      </c>
      <c r="M185" s="44" t="s">
        <v>804</v>
      </c>
      <c r="N185" s="44" t="s">
        <v>1148</v>
      </c>
      <c r="O185" s="44" t="s">
        <v>1146</v>
      </c>
      <c r="P185" s="44" t="s">
        <v>802</v>
      </c>
      <c r="Q185" s="44" t="s">
        <v>805</v>
      </c>
      <c r="R185" s="46">
        <v>33</v>
      </c>
      <c r="S185" s="44">
        <v>1</v>
      </c>
      <c r="T185" s="44" t="s">
        <v>131</v>
      </c>
      <c r="U185" s="44" t="s">
        <v>169</v>
      </c>
      <c r="V185" s="44" t="s">
        <v>796</v>
      </c>
      <c r="W185" s="44" t="s">
        <v>797</v>
      </c>
      <c r="X185" s="44" t="s">
        <v>797</v>
      </c>
      <c r="Y185" s="44" t="s">
        <v>179</v>
      </c>
      <c r="Z185" s="44" t="s">
        <v>192</v>
      </c>
      <c r="AA185" s="44">
        <v>1102318</v>
      </c>
      <c r="AB185" s="44" t="s">
        <v>262</v>
      </c>
      <c r="AC185" s="44" t="s">
        <v>262</v>
      </c>
      <c r="AD185" s="44" t="s">
        <v>262</v>
      </c>
      <c r="AE185" s="44" t="s">
        <v>262</v>
      </c>
      <c r="AF185" s="44" t="s">
        <v>263</v>
      </c>
      <c r="AG185" s="44" t="s">
        <v>262</v>
      </c>
      <c r="AH185" s="44" t="s">
        <v>262</v>
      </c>
      <c r="AI185" s="44">
        <v>0.05</v>
      </c>
      <c r="AJ185" s="47" t="s">
        <v>263</v>
      </c>
    </row>
    <row r="186" spans="1:36" x14ac:dyDescent="0.45">
      <c r="A186" s="43">
        <v>132</v>
      </c>
      <c r="B186" s="44">
        <v>958</v>
      </c>
      <c r="C186" s="44" t="s">
        <v>252</v>
      </c>
      <c r="D186" s="44" t="s">
        <v>84</v>
      </c>
      <c r="E186" s="45"/>
      <c r="F186" s="44" t="s">
        <v>1147</v>
      </c>
      <c r="G186" s="44" t="s">
        <v>1142</v>
      </c>
      <c r="H186" s="44" t="s">
        <v>806</v>
      </c>
      <c r="I186" s="44" t="s">
        <v>807</v>
      </c>
      <c r="J186" s="44" t="s">
        <v>1215</v>
      </c>
      <c r="K186" s="44" t="s">
        <v>1144</v>
      </c>
      <c r="L186" s="44" t="s">
        <v>806</v>
      </c>
      <c r="M186" s="44" t="s">
        <v>808</v>
      </c>
      <c r="N186" s="44" t="s">
        <v>1148</v>
      </c>
      <c r="O186" s="44" t="s">
        <v>1146</v>
      </c>
      <c r="P186" s="44" t="s">
        <v>806</v>
      </c>
      <c r="Q186" s="44" t="s">
        <v>809</v>
      </c>
      <c r="R186" s="46">
        <v>35</v>
      </c>
      <c r="S186" s="44">
        <v>1</v>
      </c>
      <c r="T186" s="44" t="s">
        <v>131</v>
      </c>
      <c r="U186" s="44" t="s">
        <v>169</v>
      </c>
      <c r="V186" s="44" t="s">
        <v>796</v>
      </c>
      <c r="W186" s="44" t="s">
        <v>797</v>
      </c>
      <c r="X186" s="44" t="s">
        <v>797</v>
      </c>
      <c r="Y186" s="44" t="s">
        <v>179</v>
      </c>
      <c r="Z186" s="44" t="s">
        <v>192</v>
      </c>
      <c r="AA186" s="44">
        <v>1102318</v>
      </c>
      <c r="AB186" s="44" t="s">
        <v>262</v>
      </c>
      <c r="AC186" s="44" t="s">
        <v>262</v>
      </c>
      <c r="AD186" s="44" t="s">
        <v>262</v>
      </c>
      <c r="AE186" s="44" t="s">
        <v>262</v>
      </c>
      <c r="AF186" s="44" t="s">
        <v>263</v>
      </c>
      <c r="AG186" s="44" t="s">
        <v>262</v>
      </c>
      <c r="AH186" s="44" t="s">
        <v>262</v>
      </c>
      <c r="AI186" s="44">
        <v>0.05</v>
      </c>
      <c r="AJ186" s="47" t="s">
        <v>263</v>
      </c>
    </row>
    <row r="187" spans="1:36" x14ac:dyDescent="0.45">
      <c r="A187" s="43">
        <v>133</v>
      </c>
      <c r="B187" s="44">
        <v>959</v>
      </c>
      <c r="C187" s="44" t="s">
        <v>252</v>
      </c>
      <c r="D187" s="44" t="s">
        <v>84</v>
      </c>
      <c r="E187" s="45"/>
      <c r="F187" s="44" t="s">
        <v>1147</v>
      </c>
      <c r="G187" s="44" t="s">
        <v>1142</v>
      </c>
      <c r="H187" s="44" t="s">
        <v>810</v>
      </c>
      <c r="I187" s="44" t="s">
        <v>811</v>
      </c>
      <c r="J187" s="44" t="s">
        <v>1215</v>
      </c>
      <c r="K187" s="44" t="s">
        <v>1144</v>
      </c>
      <c r="L187" s="44" t="s">
        <v>810</v>
      </c>
      <c r="M187" s="44" t="s">
        <v>812</v>
      </c>
      <c r="N187" s="44" t="s">
        <v>1148</v>
      </c>
      <c r="O187" s="44" t="s">
        <v>1146</v>
      </c>
      <c r="P187" s="44" t="s">
        <v>810</v>
      </c>
      <c r="Q187" s="44" t="s">
        <v>813</v>
      </c>
      <c r="R187" s="46">
        <v>7.5</v>
      </c>
      <c r="S187" s="44">
        <v>1</v>
      </c>
      <c r="T187" s="44" t="s">
        <v>131</v>
      </c>
      <c r="U187" s="44" t="s">
        <v>169</v>
      </c>
      <c r="V187" s="44" t="s">
        <v>796</v>
      </c>
      <c r="W187" s="44" t="s">
        <v>797</v>
      </c>
      <c r="X187" s="44" t="s">
        <v>797</v>
      </c>
      <c r="Y187" s="44" t="s">
        <v>179</v>
      </c>
      <c r="Z187" s="44" t="s">
        <v>192</v>
      </c>
      <c r="AA187" s="44">
        <v>1102318</v>
      </c>
      <c r="AB187" s="44" t="s">
        <v>262</v>
      </c>
      <c r="AC187" s="44" t="s">
        <v>262</v>
      </c>
      <c r="AD187" s="44" t="s">
        <v>262</v>
      </c>
      <c r="AE187" s="44" t="s">
        <v>262</v>
      </c>
      <c r="AF187" s="44" t="s">
        <v>263</v>
      </c>
      <c r="AG187" s="44" t="s">
        <v>262</v>
      </c>
      <c r="AH187" s="44" t="s">
        <v>262</v>
      </c>
      <c r="AI187" s="44">
        <v>0.05</v>
      </c>
      <c r="AJ187" s="47" t="s">
        <v>263</v>
      </c>
    </row>
    <row r="188" spans="1:36" x14ac:dyDescent="0.45">
      <c r="A188" s="43">
        <v>139</v>
      </c>
      <c r="B188" s="44">
        <v>960</v>
      </c>
      <c r="C188" s="44" t="s">
        <v>252</v>
      </c>
      <c r="D188" s="44" t="s">
        <v>84</v>
      </c>
      <c r="E188" s="45"/>
      <c r="F188" s="44" t="s">
        <v>814</v>
      </c>
      <c r="G188" s="44"/>
      <c r="H188" s="44" t="s">
        <v>273</v>
      </c>
      <c r="I188" s="44" t="s">
        <v>814</v>
      </c>
      <c r="J188" s="44" t="s">
        <v>815</v>
      </c>
      <c r="K188" s="44"/>
      <c r="L188" s="44" t="s">
        <v>274</v>
      </c>
      <c r="M188" s="44" t="s">
        <v>815</v>
      </c>
      <c r="N188" s="44" t="s">
        <v>816</v>
      </c>
      <c r="O188" s="44"/>
      <c r="P188" s="44" t="s">
        <v>275</v>
      </c>
      <c r="Q188" s="44" t="s">
        <v>816</v>
      </c>
      <c r="R188" s="46">
        <v>1</v>
      </c>
      <c r="S188" s="44">
        <v>1</v>
      </c>
      <c r="T188" s="44" t="s">
        <v>137</v>
      </c>
      <c r="U188" s="44" t="s">
        <v>169</v>
      </c>
      <c r="V188" s="44" t="s">
        <v>796</v>
      </c>
      <c r="W188" s="44" t="s">
        <v>797</v>
      </c>
      <c r="X188" s="44" t="s">
        <v>797</v>
      </c>
      <c r="Y188" s="44" t="s">
        <v>179</v>
      </c>
      <c r="Z188" s="44" t="s">
        <v>192</v>
      </c>
      <c r="AA188" s="44"/>
      <c r="AB188" s="44" t="s">
        <v>262</v>
      </c>
      <c r="AC188" s="44" t="s">
        <v>262</v>
      </c>
      <c r="AD188" s="44" t="s">
        <v>262</v>
      </c>
      <c r="AE188" s="44" t="s">
        <v>262</v>
      </c>
      <c r="AF188" s="44" t="s">
        <v>263</v>
      </c>
      <c r="AG188" s="44" t="s">
        <v>262</v>
      </c>
      <c r="AH188" s="44" t="s">
        <v>262</v>
      </c>
      <c r="AI188" s="44">
        <v>0.05</v>
      </c>
      <c r="AJ188" s="47" t="s">
        <v>263</v>
      </c>
    </row>
    <row r="189" spans="1:36" x14ac:dyDescent="0.45">
      <c r="A189" s="43">
        <v>140</v>
      </c>
      <c r="B189" s="44">
        <v>961</v>
      </c>
      <c r="C189" s="44" t="s">
        <v>252</v>
      </c>
      <c r="D189" s="44" t="s">
        <v>84</v>
      </c>
      <c r="E189" s="45"/>
      <c r="F189" s="44" t="s">
        <v>817</v>
      </c>
      <c r="G189" s="44"/>
      <c r="H189" s="44" t="s">
        <v>273</v>
      </c>
      <c r="I189" s="44" t="s">
        <v>817</v>
      </c>
      <c r="J189" s="44" t="s">
        <v>818</v>
      </c>
      <c r="K189" s="44"/>
      <c r="L189" s="44" t="s">
        <v>274</v>
      </c>
      <c r="M189" s="44" t="s">
        <v>818</v>
      </c>
      <c r="N189" s="44" t="s">
        <v>819</v>
      </c>
      <c r="O189" s="44"/>
      <c r="P189" s="44" t="s">
        <v>275</v>
      </c>
      <c r="Q189" s="44" t="s">
        <v>819</v>
      </c>
      <c r="R189" s="46">
        <v>1</v>
      </c>
      <c r="S189" s="44">
        <v>1</v>
      </c>
      <c r="T189" s="44" t="s">
        <v>137</v>
      </c>
      <c r="U189" s="44" t="s">
        <v>169</v>
      </c>
      <c r="V189" s="44" t="s">
        <v>796</v>
      </c>
      <c r="W189" s="44" t="s">
        <v>797</v>
      </c>
      <c r="X189" s="44" t="s">
        <v>797</v>
      </c>
      <c r="Y189" s="44" t="s">
        <v>179</v>
      </c>
      <c r="Z189" s="44" t="s">
        <v>192</v>
      </c>
      <c r="AA189" s="44"/>
      <c r="AB189" s="44" t="s">
        <v>262</v>
      </c>
      <c r="AC189" s="44" t="s">
        <v>262</v>
      </c>
      <c r="AD189" s="44" t="s">
        <v>262</v>
      </c>
      <c r="AE189" s="44" t="s">
        <v>262</v>
      </c>
      <c r="AF189" s="44" t="s">
        <v>263</v>
      </c>
      <c r="AG189" s="44" t="s">
        <v>262</v>
      </c>
      <c r="AH189" s="44" t="s">
        <v>262</v>
      </c>
      <c r="AI189" s="44">
        <v>0.05</v>
      </c>
      <c r="AJ189" s="47" t="s">
        <v>263</v>
      </c>
    </row>
    <row r="190" spans="1:36" x14ac:dyDescent="0.45">
      <c r="A190" s="43">
        <v>141</v>
      </c>
      <c r="B190" s="44">
        <v>962</v>
      </c>
      <c r="C190" s="44" t="s">
        <v>252</v>
      </c>
      <c r="D190" s="44" t="s">
        <v>84</v>
      </c>
      <c r="E190" s="45"/>
      <c r="F190" s="44" t="s">
        <v>820</v>
      </c>
      <c r="G190" s="44"/>
      <c r="H190" s="44" t="s">
        <v>273</v>
      </c>
      <c r="I190" s="44" t="s">
        <v>820</v>
      </c>
      <c r="J190" s="44" t="s">
        <v>1149</v>
      </c>
      <c r="K190" s="44"/>
      <c r="L190" s="44" t="s">
        <v>274</v>
      </c>
      <c r="M190" s="44" t="s">
        <v>1149</v>
      </c>
      <c r="N190" s="44" t="s">
        <v>821</v>
      </c>
      <c r="O190" s="44"/>
      <c r="P190" s="44" t="s">
        <v>275</v>
      </c>
      <c r="Q190" s="44" t="s">
        <v>821</v>
      </c>
      <c r="R190" s="46">
        <v>1</v>
      </c>
      <c r="S190" s="44">
        <v>1</v>
      </c>
      <c r="T190" s="44" t="s">
        <v>137</v>
      </c>
      <c r="U190" s="44" t="s">
        <v>169</v>
      </c>
      <c r="V190" s="44" t="s">
        <v>796</v>
      </c>
      <c r="W190" s="44" t="s">
        <v>797</v>
      </c>
      <c r="X190" s="44" t="s">
        <v>797</v>
      </c>
      <c r="Y190" s="44" t="s">
        <v>179</v>
      </c>
      <c r="Z190" s="44" t="s">
        <v>192</v>
      </c>
      <c r="AA190" s="44"/>
      <c r="AB190" s="44" t="s">
        <v>262</v>
      </c>
      <c r="AC190" s="44" t="s">
        <v>262</v>
      </c>
      <c r="AD190" s="44" t="s">
        <v>262</v>
      </c>
      <c r="AE190" s="44" t="s">
        <v>262</v>
      </c>
      <c r="AF190" s="44" t="s">
        <v>263</v>
      </c>
      <c r="AG190" s="44" t="s">
        <v>262</v>
      </c>
      <c r="AH190" s="44" t="s">
        <v>262</v>
      </c>
      <c r="AI190" s="44">
        <v>0.05</v>
      </c>
      <c r="AJ190" s="47" t="s">
        <v>263</v>
      </c>
    </row>
    <row r="191" spans="1:36" x14ac:dyDescent="0.45">
      <c r="A191" s="43">
        <v>142</v>
      </c>
      <c r="B191" s="44">
        <v>963</v>
      </c>
      <c r="C191" s="44" t="s">
        <v>252</v>
      </c>
      <c r="D191" s="44" t="s">
        <v>84</v>
      </c>
      <c r="E191" s="45"/>
      <c r="F191" s="44" t="s">
        <v>822</v>
      </c>
      <c r="G191" s="44"/>
      <c r="H191" s="44" t="s">
        <v>273</v>
      </c>
      <c r="I191" s="44" t="s">
        <v>822</v>
      </c>
      <c r="J191" s="44" t="s">
        <v>822</v>
      </c>
      <c r="K191" s="44"/>
      <c r="L191" s="44" t="s">
        <v>274</v>
      </c>
      <c r="M191" s="44" t="s">
        <v>822</v>
      </c>
      <c r="N191" s="44" t="s">
        <v>823</v>
      </c>
      <c r="O191" s="44"/>
      <c r="P191" s="44" t="s">
        <v>275</v>
      </c>
      <c r="Q191" s="44" t="s">
        <v>823</v>
      </c>
      <c r="R191" s="46">
        <v>1</v>
      </c>
      <c r="S191" s="44">
        <v>1</v>
      </c>
      <c r="T191" s="44" t="s">
        <v>137</v>
      </c>
      <c r="U191" s="44" t="s">
        <v>169</v>
      </c>
      <c r="V191" s="44" t="s">
        <v>796</v>
      </c>
      <c r="W191" s="44" t="s">
        <v>797</v>
      </c>
      <c r="X191" s="44" t="s">
        <v>797</v>
      </c>
      <c r="Y191" s="44" t="s">
        <v>179</v>
      </c>
      <c r="Z191" s="44" t="s">
        <v>192</v>
      </c>
      <c r="AA191" s="44"/>
      <c r="AB191" s="44" t="s">
        <v>262</v>
      </c>
      <c r="AC191" s="44" t="s">
        <v>262</v>
      </c>
      <c r="AD191" s="44" t="s">
        <v>262</v>
      </c>
      <c r="AE191" s="44" t="s">
        <v>262</v>
      </c>
      <c r="AF191" s="44" t="s">
        <v>263</v>
      </c>
      <c r="AG191" s="44" t="s">
        <v>262</v>
      </c>
      <c r="AH191" s="44" t="s">
        <v>262</v>
      </c>
      <c r="AI191" s="44">
        <v>0.05</v>
      </c>
      <c r="AJ191" s="47" t="s">
        <v>263</v>
      </c>
    </row>
    <row r="192" spans="1:36" x14ac:dyDescent="0.45">
      <c r="A192" s="43">
        <v>144</v>
      </c>
      <c r="B192" s="44">
        <v>964</v>
      </c>
      <c r="C192" s="44" t="s">
        <v>252</v>
      </c>
      <c r="D192" s="44" t="s">
        <v>84</v>
      </c>
      <c r="E192" s="45"/>
      <c r="F192" s="44" t="s">
        <v>824</v>
      </c>
      <c r="G192" s="44"/>
      <c r="H192" s="44" t="s">
        <v>273</v>
      </c>
      <c r="I192" s="44" t="s">
        <v>824</v>
      </c>
      <c r="J192" s="44" t="s">
        <v>825</v>
      </c>
      <c r="K192" s="44"/>
      <c r="L192" s="44" t="s">
        <v>274</v>
      </c>
      <c r="M192" s="44" t="s">
        <v>825</v>
      </c>
      <c r="N192" s="44" t="s">
        <v>826</v>
      </c>
      <c r="O192" s="44"/>
      <c r="P192" s="44" t="s">
        <v>275</v>
      </c>
      <c r="Q192" s="44" t="s">
        <v>826</v>
      </c>
      <c r="R192" s="46">
        <v>1</v>
      </c>
      <c r="S192" s="44">
        <v>1</v>
      </c>
      <c r="T192" s="44" t="s">
        <v>137</v>
      </c>
      <c r="U192" s="44" t="s">
        <v>169</v>
      </c>
      <c r="V192" s="44" t="s">
        <v>796</v>
      </c>
      <c r="W192" s="44" t="s">
        <v>797</v>
      </c>
      <c r="X192" s="44" t="s">
        <v>797</v>
      </c>
      <c r="Y192" s="44" t="s">
        <v>180</v>
      </c>
      <c r="Z192" s="44" t="s">
        <v>192</v>
      </c>
      <c r="AA192" s="44"/>
      <c r="AB192" s="44" t="s">
        <v>262</v>
      </c>
      <c r="AC192" s="44" t="s">
        <v>262</v>
      </c>
      <c r="AD192" s="44" t="s">
        <v>262</v>
      </c>
      <c r="AE192" s="44" t="s">
        <v>262</v>
      </c>
      <c r="AF192" s="44" t="s">
        <v>263</v>
      </c>
      <c r="AG192" s="44" t="s">
        <v>262</v>
      </c>
      <c r="AH192" s="44" t="s">
        <v>262</v>
      </c>
      <c r="AI192" s="44">
        <v>0</v>
      </c>
      <c r="AJ192" s="47" t="s">
        <v>263</v>
      </c>
    </row>
    <row r="193" spans="1:36" x14ac:dyDescent="0.45">
      <c r="A193" s="43">
        <v>124</v>
      </c>
      <c r="B193" s="44">
        <v>965</v>
      </c>
      <c r="C193" s="44" t="s">
        <v>252</v>
      </c>
      <c r="D193" s="44" t="s">
        <v>84</v>
      </c>
      <c r="E193" s="45"/>
      <c r="F193" s="44" t="s">
        <v>827</v>
      </c>
      <c r="G193" s="44"/>
      <c r="H193" s="44" t="s">
        <v>273</v>
      </c>
      <c r="I193" s="44" t="s">
        <v>827</v>
      </c>
      <c r="J193" s="44" t="s">
        <v>828</v>
      </c>
      <c r="K193" s="44"/>
      <c r="L193" s="44" t="s">
        <v>274</v>
      </c>
      <c r="M193" s="44" t="s">
        <v>828</v>
      </c>
      <c r="N193" s="44" t="s">
        <v>829</v>
      </c>
      <c r="O193" s="44"/>
      <c r="P193" s="44" t="s">
        <v>275</v>
      </c>
      <c r="Q193" s="44" t="s">
        <v>829</v>
      </c>
      <c r="R193" s="46">
        <v>1</v>
      </c>
      <c r="S193" s="44">
        <v>1</v>
      </c>
      <c r="T193" s="44" t="s">
        <v>137</v>
      </c>
      <c r="U193" s="44" t="s">
        <v>169</v>
      </c>
      <c r="V193" s="44" t="s">
        <v>796</v>
      </c>
      <c r="W193" s="44" t="s">
        <v>797</v>
      </c>
      <c r="X193" s="44" t="s">
        <v>830</v>
      </c>
      <c r="Y193" s="44" t="s">
        <v>178</v>
      </c>
      <c r="Z193" s="44" t="s">
        <v>192</v>
      </c>
      <c r="AA193" s="44"/>
      <c r="AB193" s="44" t="s">
        <v>262</v>
      </c>
      <c r="AC193" s="44" t="s">
        <v>262</v>
      </c>
      <c r="AD193" s="44" t="s">
        <v>262</v>
      </c>
      <c r="AE193" s="44" t="s">
        <v>262</v>
      </c>
      <c r="AF193" s="44" t="s">
        <v>263</v>
      </c>
      <c r="AG193" s="44" t="s">
        <v>263</v>
      </c>
      <c r="AH193" s="44" t="s">
        <v>262</v>
      </c>
      <c r="AI193" s="44">
        <v>0.05</v>
      </c>
      <c r="AJ193" s="47" t="s">
        <v>263</v>
      </c>
    </row>
    <row r="194" spans="1:36" x14ac:dyDescent="0.45">
      <c r="A194" s="43">
        <v>125</v>
      </c>
      <c r="B194" s="44">
        <v>966</v>
      </c>
      <c r="C194" s="44" t="s">
        <v>252</v>
      </c>
      <c r="D194" s="44" t="s">
        <v>84</v>
      </c>
      <c r="E194" s="45"/>
      <c r="F194" s="44" t="s">
        <v>831</v>
      </c>
      <c r="G194" s="44"/>
      <c r="H194" s="44" t="s">
        <v>273</v>
      </c>
      <c r="I194" s="44" t="s">
        <v>832</v>
      </c>
      <c r="J194" s="44" t="s">
        <v>833</v>
      </c>
      <c r="K194" s="44"/>
      <c r="L194" s="44" t="s">
        <v>274</v>
      </c>
      <c r="M194" s="44" t="s">
        <v>834</v>
      </c>
      <c r="N194" s="44" t="s">
        <v>835</v>
      </c>
      <c r="O194" s="44"/>
      <c r="P194" s="44" t="s">
        <v>275</v>
      </c>
      <c r="Q194" s="44" t="s">
        <v>836</v>
      </c>
      <c r="R194" s="46">
        <v>1</v>
      </c>
      <c r="S194" s="44">
        <v>1</v>
      </c>
      <c r="T194" s="44" t="s">
        <v>137</v>
      </c>
      <c r="U194" s="44" t="s">
        <v>169</v>
      </c>
      <c r="V194" s="44" t="s">
        <v>796</v>
      </c>
      <c r="W194" s="44" t="s">
        <v>797</v>
      </c>
      <c r="X194" s="44" t="s">
        <v>830</v>
      </c>
      <c r="Y194" s="44" t="s">
        <v>178</v>
      </c>
      <c r="Z194" s="44" t="s">
        <v>192</v>
      </c>
      <c r="AA194" s="44"/>
      <c r="AB194" s="44" t="s">
        <v>262</v>
      </c>
      <c r="AC194" s="44" t="s">
        <v>262</v>
      </c>
      <c r="AD194" s="44" t="s">
        <v>262</v>
      </c>
      <c r="AE194" s="44" t="s">
        <v>262</v>
      </c>
      <c r="AF194" s="44" t="s">
        <v>263</v>
      </c>
      <c r="AG194" s="44" t="s">
        <v>263</v>
      </c>
      <c r="AH194" s="44" t="s">
        <v>262</v>
      </c>
      <c r="AI194" s="44">
        <v>0.05</v>
      </c>
      <c r="AJ194" s="47" t="s">
        <v>263</v>
      </c>
    </row>
    <row r="195" spans="1:36" x14ac:dyDescent="0.45">
      <c r="A195" s="43">
        <v>126</v>
      </c>
      <c r="B195" s="44">
        <v>967</v>
      </c>
      <c r="C195" s="44" t="s">
        <v>252</v>
      </c>
      <c r="D195" s="44" t="s">
        <v>84</v>
      </c>
      <c r="E195" s="45"/>
      <c r="F195" s="44" t="s">
        <v>831</v>
      </c>
      <c r="G195" s="44"/>
      <c r="H195" s="44" t="s">
        <v>837</v>
      </c>
      <c r="I195" s="44" t="s">
        <v>838</v>
      </c>
      <c r="J195" s="44" t="s">
        <v>833</v>
      </c>
      <c r="K195" s="44"/>
      <c r="L195" s="44" t="s">
        <v>839</v>
      </c>
      <c r="M195" s="44" t="s">
        <v>840</v>
      </c>
      <c r="N195" s="44" t="s">
        <v>835</v>
      </c>
      <c r="O195" s="44"/>
      <c r="P195" s="44" t="s">
        <v>839</v>
      </c>
      <c r="Q195" s="44" t="s">
        <v>841</v>
      </c>
      <c r="R195" s="46">
        <v>1</v>
      </c>
      <c r="S195" s="44">
        <v>1</v>
      </c>
      <c r="T195" s="44" t="s">
        <v>137</v>
      </c>
      <c r="U195" s="44" t="s">
        <v>169</v>
      </c>
      <c r="V195" s="44" t="s">
        <v>796</v>
      </c>
      <c r="W195" s="44" t="s">
        <v>797</v>
      </c>
      <c r="X195" s="44" t="s">
        <v>830</v>
      </c>
      <c r="Y195" s="44" t="s">
        <v>178</v>
      </c>
      <c r="Z195" s="44" t="s">
        <v>192</v>
      </c>
      <c r="AA195" s="44"/>
      <c r="AB195" s="44" t="s">
        <v>262</v>
      </c>
      <c r="AC195" s="44" t="s">
        <v>262</v>
      </c>
      <c r="AD195" s="44" t="s">
        <v>262</v>
      </c>
      <c r="AE195" s="44" t="s">
        <v>262</v>
      </c>
      <c r="AF195" s="44" t="s">
        <v>263</v>
      </c>
      <c r="AG195" s="44" t="s">
        <v>263</v>
      </c>
      <c r="AH195" s="44" t="s">
        <v>262</v>
      </c>
      <c r="AI195" s="44">
        <v>0.05</v>
      </c>
      <c r="AJ195" s="47" t="s">
        <v>263</v>
      </c>
    </row>
    <row r="196" spans="1:36" x14ac:dyDescent="0.45">
      <c r="A196" s="43">
        <v>127</v>
      </c>
      <c r="B196" s="44">
        <v>968</v>
      </c>
      <c r="C196" s="44" t="s">
        <v>252</v>
      </c>
      <c r="D196" s="44" t="s">
        <v>84</v>
      </c>
      <c r="E196" s="45"/>
      <c r="F196" s="44" t="s">
        <v>831</v>
      </c>
      <c r="G196" s="44"/>
      <c r="H196" s="44" t="s">
        <v>842</v>
      </c>
      <c r="I196" s="44" t="s">
        <v>843</v>
      </c>
      <c r="J196" s="44" t="s">
        <v>833</v>
      </c>
      <c r="K196" s="44"/>
      <c r="L196" s="44" t="s">
        <v>844</v>
      </c>
      <c r="M196" s="44" t="s">
        <v>845</v>
      </c>
      <c r="N196" s="44" t="s">
        <v>835</v>
      </c>
      <c r="O196" s="44"/>
      <c r="P196" s="44" t="s">
        <v>844</v>
      </c>
      <c r="Q196" s="44" t="s">
        <v>846</v>
      </c>
      <c r="R196" s="46">
        <v>1</v>
      </c>
      <c r="S196" s="44">
        <v>1</v>
      </c>
      <c r="T196" s="44" t="s">
        <v>137</v>
      </c>
      <c r="U196" s="44" t="s">
        <v>169</v>
      </c>
      <c r="V196" s="44" t="s">
        <v>796</v>
      </c>
      <c r="W196" s="44" t="s">
        <v>797</v>
      </c>
      <c r="X196" s="44" t="s">
        <v>830</v>
      </c>
      <c r="Y196" s="44" t="s">
        <v>178</v>
      </c>
      <c r="Z196" s="44" t="s">
        <v>192</v>
      </c>
      <c r="AA196" s="44"/>
      <c r="AB196" s="44" t="s">
        <v>262</v>
      </c>
      <c r="AC196" s="44" t="s">
        <v>262</v>
      </c>
      <c r="AD196" s="44" t="s">
        <v>262</v>
      </c>
      <c r="AE196" s="44" t="s">
        <v>262</v>
      </c>
      <c r="AF196" s="44" t="s">
        <v>263</v>
      </c>
      <c r="AG196" s="44" t="s">
        <v>263</v>
      </c>
      <c r="AH196" s="44" t="s">
        <v>262</v>
      </c>
      <c r="AI196" s="44">
        <v>0.05</v>
      </c>
      <c r="AJ196" s="47" t="s">
        <v>263</v>
      </c>
    </row>
    <row r="197" spans="1:36" x14ac:dyDescent="0.45">
      <c r="A197" s="43">
        <v>128</v>
      </c>
      <c r="B197" s="44">
        <v>969</v>
      </c>
      <c r="C197" s="44" t="s">
        <v>252</v>
      </c>
      <c r="D197" s="44" t="s">
        <v>84</v>
      </c>
      <c r="E197" s="45"/>
      <c r="F197" s="44" t="s">
        <v>1150</v>
      </c>
      <c r="G197" s="44"/>
      <c r="H197" s="44" t="s">
        <v>847</v>
      </c>
      <c r="I197" s="44" t="s">
        <v>848</v>
      </c>
      <c r="J197" s="44" t="s">
        <v>833</v>
      </c>
      <c r="K197" s="44"/>
      <c r="L197" s="44" t="s">
        <v>849</v>
      </c>
      <c r="M197" s="44" t="s">
        <v>850</v>
      </c>
      <c r="N197" s="44" t="s">
        <v>835</v>
      </c>
      <c r="O197" s="44"/>
      <c r="P197" s="44" t="s">
        <v>849</v>
      </c>
      <c r="Q197" s="44" t="s">
        <v>851</v>
      </c>
      <c r="R197" s="46">
        <v>1</v>
      </c>
      <c r="S197" s="44">
        <v>1</v>
      </c>
      <c r="T197" s="44" t="s">
        <v>137</v>
      </c>
      <c r="U197" s="44" t="s">
        <v>169</v>
      </c>
      <c r="V197" s="44" t="s">
        <v>796</v>
      </c>
      <c r="W197" s="44" t="s">
        <v>797</v>
      </c>
      <c r="X197" s="44" t="s">
        <v>830</v>
      </c>
      <c r="Y197" s="44" t="s">
        <v>178</v>
      </c>
      <c r="Z197" s="44" t="s">
        <v>192</v>
      </c>
      <c r="AA197" s="44"/>
      <c r="AB197" s="44" t="s">
        <v>262</v>
      </c>
      <c r="AC197" s="44" t="s">
        <v>262</v>
      </c>
      <c r="AD197" s="44" t="s">
        <v>262</v>
      </c>
      <c r="AE197" s="44" t="s">
        <v>262</v>
      </c>
      <c r="AF197" s="44" t="s">
        <v>263</v>
      </c>
      <c r="AG197" s="44" t="s">
        <v>263</v>
      </c>
      <c r="AH197" s="44" t="s">
        <v>262</v>
      </c>
      <c r="AI197" s="44">
        <v>0.05</v>
      </c>
      <c r="AJ197" s="47" t="s">
        <v>263</v>
      </c>
    </row>
    <row r="198" spans="1:36" x14ac:dyDescent="0.45">
      <c r="A198" s="43">
        <v>134</v>
      </c>
      <c r="B198" s="44">
        <v>970</v>
      </c>
      <c r="C198" s="44" t="s">
        <v>252</v>
      </c>
      <c r="D198" s="44" t="s">
        <v>84</v>
      </c>
      <c r="E198" s="45"/>
      <c r="F198" s="44" t="s">
        <v>852</v>
      </c>
      <c r="G198" s="44"/>
      <c r="H198" s="44" t="s">
        <v>273</v>
      </c>
      <c r="I198" s="44" t="s">
        <v>852</v>
      </c>
      <c r="J198" s="44" t="s">
        <v>853</v>
      </c>
      <c r="K198" s="44"/>
      <c r="L198" s="44" t="s">
        <v>274</v>
      </c>
      <c r="M198" s="44" t="s">
        <v>853</v>
      </c>
      <c r="N198" s="44" t="s">
        <v>854</v>
      </c>
      <c r="O198" s="44"/>
      <c r="P198" s="44" t="s">
        <v>275</v>
      </c>
      <c r="Q198" s="44" t="s">
        <v>854</v>
      </c>
      <c r="R198" s="46">
        <v>1</v>
      </c>
      <c r="S198" s="44">
        <v>1</v>
      </c>
      <c r="T198" s="44" t="s">
        <v>137</v>
      </c>
      <c r="U198" s="44" t="s">
        <v>169</v>
      </c>
      <c r="V198" s="44" t="s">
        <v>796</v>
      </c>
      <c r="W198" s="44" t="s">
        <v>797</v>
      </c>
      <c r="X198" s="44" t="s">
        <v>830</v>
      </c>
      <c r="Y198" s="44" t="s">
        <v>178</v>
      </c>
      <c r="Z198" s="44" t="s">
        <v>192</v>
      </c>
      <c r="AA198" s="44"/>
      <c r="AB198" s="44" t="s">
        <v>262</v>
      </c>
      <c r="AC198" s="44" t="s">
        <v>262</v>
      </c>
      <c r="AD198" s="44" t="s">
        <v>262</v>
      </c>
      <c r="AE198" s="44" t="s">
        <v>262</v>
      </c>
      <c r="AF198" s="44" t="s">
        <v>263</v>
      </c>
      <c r="AG198" s="44" t="s">
        <v>263</v>
      </c>
      <c r="AH198" s="44" t="s">
        <v>262</v>
      </c>
      <c r="AI198" s="44">
        <v>0.05</v>
      </c>
      <c r="AJ198" s="47" t="s">
        <v>263</v>
      </c>
    </row>
    <row r="199" spans="1:36" x14ac:dyDescent="0.45">
      <c r="A199" s="43">
        <v>135</v>
      </c>
      <c r="B199" s="44">
        <v>971</v>
      </c>
      <c r="C199" s="44" t="s">
        <v>252</v>
      </c>
      <c r="D199" s="44" t="s">
        <v>84</v>
      </c>
      <c r="E199" s="45"/>
      <c r="F199" s="44" t="s">
        <v>1151</v>
      </c>
      <c r="G199" s="44"/>
      <c r="H199" s="44" t="s">
        <v>855</v>
      </c>
      <c r="I199" s="44" t="s">
        <v>856</v>
      </c>
      <c r="J199" s="44" t="s">
        <v>857</v>
      </c>
      <c r="K199" s="44"/>
      <c r="L199" s="44" t="s">
        <v>858</v>
      </c>
      <c r="M199" s="44" t="s">
        <v>859</v>
      </c>
      <c r="N199" s="44" t="s">
        <v>860</v>
      </c>
      <c r="O199" s="44"/>
      <c r="P199" s="44" t="s">
        <v>858</v>
      </c>
      <c r="Q199" s="44" t="s">
        <v>861</v>
      </c>
      <c r="R199" s="46">
        <v>1</v>
      </c>
      <c r="S199" s="44">
        <v>1</v>
      </c>
      <c r="T199" s="44" t="s">
        <v>137</v>
      </c>
      <c r="U199" s="44" t="s">
        <v>169</v>
      </c>
      <c r="V199" s="44" t="s">
        <v>796</v>
      </c>
      <c r="W199" s="44" t="s">
        <v>797</v>
      </c>
      <c r="X199" s="44" t="s">
        <v>830</v>
      </c>
      <c r="Y199" s="44" t="s">
        <v>178</v>
      </c>
      <c r="Z199" s="44" t="s">
        <v>192</v>
      </c>
      <c r="AA199" s="44"/>
      <c r="AB199" s="44" t="s">
        <v>262</v>
      </c>
      <c r="AC199" s="44" t="s">
        <v>262</v>
      </c>
      <c r="AD199" s="44" t="s">
        <v>262</v>
      </c>
      <c r="AE199" s="44" t="s">
        <v>262</v>
      </c>
      <c r="AF199" s="44" t="s">
        <v>263</v>
      </c>
      <c r="AG199" s="44" t="s">
        <v>263</v>
      </c>
      <c r="AH199" s="44" t="s">
        <v>262</v>
      </c>
      <c r="AI199" s="44">
        <v>0.05</v>
      </c>
      <c r="AJ199" s="47" t="s">
        <v>263</v>
      </c>
    </row>
    <row r="200" spans="1:36" x14ac:dyDescent="0.45">
      <c r="A200" s="43">
        <v>136</v>
      </c>
      <c r="B200" s="44">
        <v>972</v>
      </c>
      <c r="C200" s="44" t="s">
        <v>252</v>
      </c>
      <c r="D200" s="44" t="s">
        <v>84</v>
      </c>
      <c r="E200" s="45"/>
      <c r="F200" s="44" t="s">
        <v>1151</v>
      </c>
      <c r="G200" s="44"/>
      <c r="H200" s="44" t="s">
        <v>862</v>
      </c>
      <c r="I200" s="44" t="s">
        <v>863</v>
      </c>
      <c r="J200" s="44" t="s">
        <v>857</v>
      </c>
      <c r="K200" s="44"/>
      <c r="L200" s="44" t="s">
        <v>864</v>
      </c>
      <c r="M200" s="44" t="s">
        <v>865</v>
      </c>
      <c r="N200" s="44" t="s">
        <v>860</v>
      </c>
      <c r="O200" s="44"/>
      <c r="P200" s="44" t="s">
        <v>864</v>
      </c>
      <c r="Q200" s="44" t="s">
        <v>866</v>
      </c>
      <c r="R200" s="46">
        <v>1</v>
      </c>
      <c r="S200" s="44">
        <v>1</v>
      </c>
      <c r="T200" s="44" t="s">
        <v>137</v>
      </c>
      <c r="U200" s="44" t="s">
        <v>169</v>
      </c>
      <c r="V200" s="44" t="s">
        <v>796</v>
      </c>
      <c r="W200" s="44" t="s">
        <v>797</v>
      </c>
      <c r="X200" s="44" t="s">
        <v>830</v>
      </c>
      <c r="Y200" s="44" t="s">
        <v>178</v>
      </c>
      <c r="Z200" s="44" t="s">
        <v>192</v>
      </c>
      <c r="AA200" s="44"/>
      <c r="AB200" s="44" t="s">
        <v>262</v>
      </c>
      <c r="AC200" s="44" t="s">
        <v>262</v>
      </c>
      <c r="AD200" s="44" t="s">
        <v>262</v>
      </c>
      <c r="AE200" s="44" t="s">
        <v>262</v>
      </c>
      <c r="AF200" s="44" t="s">
        <v>263</v>
      </c>
      <c r="AG200" s="44" t="s">
        <v>263</v>
      </c>
      <c r="AH200" s="44" t="s">
        <v>262</v>
      </c>
      <c r="AI200" s="44">
        <v>0.05</v>
      </c>
      <c r="AJ200" s="47" t="s">
        <v>263</v>
      </c>
    </row>
    <row r="201" spans="1:36" x14ac:dyDescent="0.45">
      <c r="A201" s="43">
        <v>137</v>
      </c>
      <c r="B201" s="44">
        <v>973</v>
      </c>
      <c r="C201" s="44" t="s">
        <v>252</v>
      </c>
      <c r="D201" s="44" t="s">
        <v>84</v>
      </c>
      <c r="E201" s="45"/>
      <c r="F201" s="44" t="s">
        <v>1151</v>
      </c>
      <c r="G201" s="44"/>
      <c r="H201" s="44" t="s">
        <v>867</v>
      </c>
      <c r="I201" s="44" t="s">
        <v>868</v>
      </c>
      <c r="J201" s="44" t="s">
        <v>857</v>
      </c>
      <c r="K201" s="44"/>
      <c r="L201" s="44" t="s">
        <v>869</v>
      </c>
      <c r="M201" s="44" t="s">
        <v>870</v>
      </c>
      <c r="N201" s="44" t="s">
        <v>860</v>
      </c>
      <c r="O201" s="44"/>
      <c r="P201" s="44" t="s">
        <v>869</v>
      </c>
      <c r="Q201" s="44" t="s">
        <v>871</v>
      </c>
      <c r="R201" s="46">
        <v>1</v>
      </c>
      <c r="S201" s="44">
        <v>1</v>
      </c>
      <c r="T201" s="44" t="s">
        <v>137</v>
      </c>
      <c r="U201" s="44" t="s">
        <v>169</v>
      </c>
      <c r="V201" s="44" t="s">
        <v>796</v>
      </c>
      <c r="W201" s="44" t="s">
        <v>797</v>
      </c>
      <c r="X201" s="44" t="s">
        <v>830</v>
      </c>
      <c r="Y201" s="44" t="s">
        <v>178</v>
      </c>
      <c r="Z201" s="44" t="s">
        <v>192</v>
      </c>
      <c r="AA201" s="44"/>
      <c r="AB201" s="44" t="s">
        <v>262</v>
      </c>
      <c r="AC201" s="44" t="s">
        <v>262</v>
      </c>
      <c r="AD201" s="44" t="s">
        <v>262</v>
      </c>
      <c r="AE201" s="44" t="s">
        <v>262</v>
      </c>
      <c r="AF201" s="44" t="s">
        <v>263</v>
      </c>
      <c r="AG201" s="44" t="s">
        <v>263</v>
      </c>
      <c r="AH201" s="44" t="s">
        <v>262</v>
      </c>
      <c r="AI201" s="44">
        <v>0.05</v>
      </c>
      <c r="AJ201" s="47" t="s">
        <v>263</v>
      </c>
    </row>
    <row r="202" spans="1:36" x14ac:dyDescent="0.45">
      <c r="A202" s="43">
        <v>138</v>
      </c>
      <c r="B202" s="44">
        <v>974</v>
      </c>
      <c r="C202" s="44" t="s">
        <v>252</v>
      </c>
      <c r="D202" s="44" t="s">
        <v>84</v>
      </c>
      <c r="E202" s="45"/>
      <c r="F202" s="44" t="s">
        <v>1151</v>
      </c>
      <c r="G202" s="44"/>
      <c r="H202" s="44" t="s">
        <v>872</v>
      </c>
      <c r="I202" s="44" t="s">
        <v>873</v>
      </c>
      <c r="J202" s="44" t="s">
        <v>857</v>
      </c>
      <c r="K202" s="44"/>
      <c r="L202" s="44" t="s">
        <v>874</v>
      </c>
      <c r="M202" s="44" t="s">
        <v>875</v>
      </c>
      <c r="N202" s="44" t="s">
        <v>860</v>
      </c>
      <c r="O202" s="44"/>
      <c r="P202" s="44" t="s">
        <v>874</v>
      </c>
      <c r="Q202" s="44" t="s">
        <v>876</v>
      </c>
      <c r="R202" s="46">
        <v>1</v>
      </c>
      <c r="S202" s="44">
        <v>1</v>
      </c>
      <c r="T202" s="44" t="s">
        <v>137</v>
      </c>
      <c r="U202" s="44" t="s">
        <v>169</v>
      </c>
      <c r="V202" s="44" t="s">
        <v>796</v>
      </c>
      <c r="W202" s="44" t="s">
        <v>797</v>
      </c>
      <c r="X202" s="44" t="s">
        <v>830</v>
      </c>
      <c r="Y202" s="44" t="s">
        <v>178</v>
      </c>
      <c r="Z202" s="44" t="s">
        <v>192</v>
      </c>
      <c r="AA202" s="44"/>
      <c r="AB202" s="44" t="s">
        <v>262</v>
      </c>
      <c r="AC202" s="44" t="s">
        <v>262</v>
      </c>
      <c r="AD202" s="44" t="s">
        <v>262</v>
      </c>
      <c r="AE202" s="44" t="s">
        <v>262</v>
      </c>
      <c r="AF202" s="44" t="s">
        <v>263</v>
      </c>
      <c r="AG202" s="44" t="s">
        <v>263</v>
      </c>
      <c r="AH202" s="44" t="s">
        <v>262</v>
      </c>
      <c r="AI202" s="44">
        <v>0.05</v>
      </c>
      <c r="AJ202" s="47" t="s">
        <v>263</v>
      </c>
    </row>
    <row r="203" spans="1:36" x14ac:dyDescent="0.45">
      <c r="A203" s="43">
        <v>143</v>
      </c>
      <c r="B203" s="44">
        <v>975</v>
      </c>
      <c r="C203" s="44" t="s">
        <v>252</v>
      </c>
      <c r="D203" s="44" t="s">
        <v>84</v>
      </c>
      <c r="E203" s="45"/>
      <c r="F203" s="44" t="s">
        <v>877</v>
      </c>
      <c r="G203" s="44"/>
      <c r="H203" s="44" t="s">
        <v>273</v>
      </c>
      <c r="I203" s="44" t="s">
        <v>877</v>
      </c>
      <c r="J203" s="44" t="s">
        <v>878</v>
      </c>
      <c r="K203" s="44"/>
      <c r="L203" s="44" t="s">
        <v>274</v>
      </c>
      <c r="M203" s="44" t="s">
        <v>878</v>
      </c>
      <c r="N203" s="44" t="s">
        <v>879</v>
      </c>
      <c r="O203" s="44"/>
      <c r="P203" s="44" t="s">
        <v>275</v>
      </c>
      <c r="Q203" s="44" t="s">
        <v>879</v>
      </c>
      <c r="R203" s="46">
        <v>1</v>
      </c>
      <c r="S203" s="44">
        <v>1</v>
      </c>
      <c r="T203" s="44" t="s">
        <v>137</v>
      </c>
      <c r="U203" s="44" t="s">
        <v>169</v>
      </c>
      <c r="V203" s="44" t="s">
        <v>796</v>
      </c>
      <c r="W203" s="44" t="s">
        <v>797</v>
      </c>
      <c r="X203" s="44" t="s">
        <v>830</v>
      </c>
      <c r="Y203" s="44" t="s">
        <v>178</v>
      </c>
      <c r="Z203" s="44" t="s">
        <v>192</v>
      </c>
      <c r="AA203" s="44"/>
      <c r="AB203" s="44" t="s">
        <v>262</v>
      </c>
      <c r="AC203" s="44" t="s">
        <v>262</v>
      </c>
      <c r="AD203" s="44" t="s">
        <v>262</v>
      </c>
      <c r="AE203" s="44" t="s">
        <v>262</v>
      </c>
      <c r="AF203" s="44" t="s">
        <v>263</v>
      </c>
      <c r="AG203" s="44" t="s">
        <v>263</v>
      </c>
      <c r="AH203" s="44" t="s">
        <v>262</v>
      </c>
      <c r="AI203" s="44">
        <v>0.05</v>
      </c>
      <c r="AJ203" s="47" t="s">
        <v>263</v>
      </c>
    </row>
    <row r="204" spans="1:36" x14ac:dyDescent="0.45">
      <c r="A204" s="43">
        <v>146</v>
      </c>
      <c r="B204" s="44">
        <v>976</v>
      </c>
      <c r="C204" s="44" t="s">
        <v>252</v>
      </c>
      <c r="D204" s="44" t="s">
        <v>84</v>
      </c>
      <c r="E204" s="45"/>
      <c r="F204" s="44" t="s">
        <v>880</v>
      </c>
      <c r="G204" s="44"/>
      <c r="H204" s="44" t="s">
        <v>273</v>
      </c>
      <c r="I204" s="44" t="s">
        <v>880</v>
      </c>
      <c r="J204" s="44" t="s">
        <v>881</v>
      </c>
      <c r="K204" s="44"/>
      <c r="L204" s="44" t="s">
        <v>274</v>
      </c>
      <c r="M204" s="44" t="s">
        <v>881</v>
      </c>
      <c r="N204" s="44" t="s">
        <v>882</v>
      </c>
      <c r="O204" s="44"/>
      <c r="P204" s="44" t="s">
        <v>275</v>
      </c>
      <c r="Q204" s="44" t="s">
        <v>882</v>
      </c>
      <c r="R204" s="46">
        <v>1</v>
      </c>
      <c r="S204" s="44">
        <v>1</v>
      </c>
      <c r="T204" s="44" t="s">
        <v>137</v>
      </c>
      <c r="U204" s="44" t="s">
        <v>169</v>
      </c>
      <c r="V204" s="44" t="s">
        <v>883</v>
      </c>
      <c r="W204" s="44" t="s">
        <v>884</v>
      </c>
      <c r="X204" s="44" t="s">
        <v>885</v>
      </c>
      <c r="Y204" s="44" t="s">
        <v>179</v>
      </c>
      <c r="Z204" s="44" t="s">
        <v>192</v>
      </c>
      <c r="AA204" s="44"/>
      <c r="AB204" s="44" t="s">
        <v>262</v>
      </c>
      <c r="AC204" s="44" t="s">
        <v>262</v>
      </c>
      <c r="AD204" s="44" t="s">
        <v>262</v>
      </c>
      <c r="AE204" s="44" t="s">
        <v>262</v>
      </c>
      <c r="AF204" s="44" t="s">
        <v>263</v>
      </c>
      <c r="AG204" s="44" t="s">
        <v>263</v>
      </c>
      <c r="AH204" s="44" t="s">
        <v>262</v>
      </c>
      <c r="AI204" s="44">
        <v>0.05</v>
      </c>
      <c r="AJ204" s="47" t="s">
        <v>263</v>
      </c>
    </row>
    <row r="205" spans="1:36" x14ac:dyDescent="0.45">
      <c r="A205" s="43">
        <v>145</v>
      </c>
      <c r="B205" s="44">
        <v>977</v>
      </c>
      <c r="C205" s="44" t="s">
        <v>252</v>
      </c>
      <c r="D205" s="44" t="s">
        <v>84</v>
      </c>
      <c r="E205" s="45"/>
      <c r="F205" s="44" t="s">
        <v>886</v>
      </c>
      <c r="G205" s="44"/>
      <c r="H205" s="44" t="s">
        <v>273</v>
      </c>
      <c r="I205" s="44" t="s">
        <v>886</v>
      </c>
      <c r="J205" s="44" t="s">
        <v>887</v>
      </c>
      <c r="K205" s="44"/>
      <c r="L205" s="44" t="s">
        <v>274</v>
      </c>
      <c r="M205" s="44" t="s">
        <v>887</v>
      </c>
      <c r="N205" s="44" t="s">
        <v>1152</v>
      </c>
      <c r="O205" s="44"/>
      <c r="P205" s="44" t="s">
        <v>275</v>
      </c>
      <c r="Q205" s="44" t="s">
        <v>1152</v>
      </c>
      <c r="R205" s="46">
        <v>1</v>
      </c>
      <c r="S205" s="44">
        <v>1</v>
      </c>
      <c r="T205" s="44" t="s">
        <v>137</v>
      </c>
      <c r="U205" s="44" t="s">
        <v>169</v>
      </c>
      <c r="V205" s="44" t="s">
        <v>883</v>
      </c>
      <c r="W205" s="44" t="s">
        <v>888</v>
      </c>
      <c r="X205" s="44" t="s">
        <v>889</v>
      </c>
      <c r="Y205" s="44" t="s">
        <v>178</v>
      </c>
      <c r="Z205" s="44" t="s">
        <v>192</v>
      </c>
      <c r="AA205" s="44"/>
      <c r="AB205" s="44" t="s">
        <v>262</v>
      </c>
      <c r="AC205" s="44" t="s">
        <v>262</v>
      </c>
      <c r="AD205" s="44" t="s">
        <v>262</v>
      </c>
      <c r="AE205" s="44" t="s">
        <v>262</v>
      </c>
      <c r="AF205" s="44" t="s">
        <v>263</v>
      </c>
      <c r="AG205" s="44" t="s">
        <v>262</v>
      </c>
      <c r="AH205" s="44" t="s">
        <v>262</v>
      </c>
      <c r="AI205" s="44">
        <v>0</v>
      </c>
      <c r="AJ205" s="47" t="s">
        <v>263</v>
      </c>
    </row>
    <row r="206" spans="1:36" x14ac:dyDescent="0.45">
      <c r="A206" s="43">
        <v>147</v>
      </c>
      <c r="B206" s="44">
        <v>929</v>
      </c>
      <c r="C206" s="44" t="s">
        <v>252</v>
      </c>
      <c r="D206" s="44" t="s">
        <v>84</v>
      </c>
      <c r="E206" s="45"/>
      <c r="F206" s="44" t="s">
        <v>890</v>
      </c>
      <c r="G206" s="44" t="s">
        <v>254</v>
      </c>
      <c r="H206" s="44" t="s">
        <v>673</v>
      </c>
      <c r="I206" s="44" t="s">
        <v>891</v>
      </c>
      <c r="J206" s="44" t="s">
        <v>1153</v>
      </c>
      <c r="K206" s="44" t="s">
        <v>257</v>
      </c>
      <c r="L206" s="44" t="s">
        <v>673</v>
      </c>
      <c r="M206" s="44" t="s">
        <v>891</v>
      </c>
      <c r="N206" s="44" t="s">
        <v>890</v>
      </c>
      <c r="O206" s="44" t="s">
        <v>258</v>
      </c>
      <c r="P206" s="44" t="s">
        <v>673</v>
      </c>
      <c r="Q206" s="44" t="s">
        <v>891</v>
      </c>
      <c r="R206" s="46">
        <v>0.5</v>
      </c>
      <c r="S206" s="44">
        <v>1</v>
      </c>
      <c r="T206" s="44" t="s">
        <v>137</v>
      </c>
      <c r="U206" s="44" t="s">
        <v>169</v>
      </c>
      <c r="V206" s="44" t="s">
        <v>195</v>
      </c>
      <c r="W206" s="44" t="s">
        <v>892</v>
      </c>
      <c r="X206" s="44" t="s">
        <v>893</v>
      </c>
      <c r="Y206" s="44" t="s">
        <v>179</v>
      </c>
      <c r="Z206" s="44" t="s">
        <v>195</v>
      </c>
      <c r="AA206" s="44"/>
      <c r="AB206" s="44" t="s">
        <v>262</v>
      </c>
      <c r="AC206" s="44" t="s">
        <v>262</v>
      </c>
      <c r="AD206" s="44" t="s">
        <v>262</v>
      </c>
      <c r="AE206" s="44" t="s">
        <v>262</v>
      </c>
      <c r="AF206" s="44" t="s">
        <v>263</v>
      </c>
      <c r="AG206" s="44" t="s">
        <v>263</v>
      </c>
      <c r="AH206" s="44" t="s">
        <v>262</v>
      </c>
      <c r="AI206" s="44">
        <v>0.05</v>
      </c>
      <c r="AJ206" s="47" t="s">
        <v>263</v>
      </c>
    </row>
    <row r="207" spans="1:36" x14ac:dyDescent="0.45">
      <c r="A207" s="43">
        <v>147</v>
      </c>
      <c r="B207" s="44">
        <v>930</v>
      </c>
      <c r="C207" s="44" t="s">
        <v>252</v>
      </c>
      <c r="D207" s="44" t="s">
        <v>84</v>
      </c>
      <c r="E207" s="45"/>
      <c r="F207" s="44" t="s">
        <v>1153</v>
      </c>
      <c r="G207" s="44" t="s">
        <v>254</v>
      </c>
      <c r="H207" s="44" t="s">
        <v>677</v>
      </c>
      <c r="I207" s="44" t="s">
        <v>894</v>
      </c>
      <c r="J207" s="44" t="s">
        <v>1153</v>
      </c>
      <c r="K207" s="44" t="s">
        <v>257</v>
      </c>
      <c r="L207" s="44" t="s">
        <v>677</v>
      </c>
      <c r="M207" s="44" t="s">
        <v>894</v>
      </c>
      <c r="N207" s="44" t="s">
        <v>890</v>
      </c>
      <c r="O207" s="44" t="s">
        <v>258</v>
      </c>
      <c r="P207" s="44" t="s">
        <v>677</v>
      </c>
      <c r="Q207" s="44" t="s">
        <v>894</v>
      </c>
      <c r="R207" s="46">
        <v>0.75</v>
      </c>
      <c r="S207" s="44">
        <v>1</v>
      </c>
      <c r="T207" s="44" t="s">
        <v>137</v>
      </c>
      <c r="U207" s="44" t="s">
        <v>169</v>
      </c>
      <c r="V207" s="44" t="s">
        <v>195</v>
      </c>
      <c r="W207" s="44" t="s">
        <v>892</v>
      </c>
      <c r="X207" s="44" t="s">
        <v>893</v>
      </c>
      <c r="Y207" s="44" t="s">
        <v>179</v>
      </c>
      <c r="Z207" s="44" t="s">
        <v>195</v>
      </c>
      <c r="AA207" s="44"/>
      <c r="AB207" s="44" t="s">
        <v>262</v>
      </c>
      <c r="AC207" s="44" t="s">
        <v>262</v>
      </c>
      <c r="AD207" s="44" t="s">
        <v>262</v>
      </c>
      <c r="AE207" s="44" t="s">
        <v>262</v>
      </c>
      <c r="AF207" s="44" t="s">
        <v>263</v>
      </c>
      <c r="AG207" s="44" t="s">
        <v>263</v>
      </c>
      <c r="AH207" s="44" t="s">
        <v>262</v>
      </c>
      <c r="AI207" s="44">
        <v>0.05</v>
      </c>
      <c r="AJ207" s="47" t="s">
        <v>263</v>
      </c>
    </row>
    <row r="208" spans="1:36" x14ac:dyDescent="0.45">
      <c r="A208" s="43">
        <v>147</v>
      </c>
      <c r="B208" s="44">
        <v>931</v>
      </c>
      <c r="C208" s="44" t="s">
        <v>252</v>
      </c>
      <c r="D208" s="44" t="s">
        <v>84</v>
      </c>
      <c r="E208" s="45"/>
      <c r="F208" s="44" t="s">
        <v>1153</v>
      </c>
      <c r="G208" s="44" t="s">
        <v>254</v>
      </c>
      <c r="H208" s="44" t="s">
        <v>387</v>
      </c>
      <c r="I208" s="44" t="s">
        <v>895</v>
      </c>
      <c r="J208" s="44" t="s">
        <v>1153</v>
      </c>
      <c r="K208" s="44" t="s">
        <v>257</v>
      </c>
      <c r="L208" s="44" t="s">
        <v>387</v>
      </c>
      <c r="M208" s="44" t="s">
        <v>895</v>
      </c>
      <c r="N208" s="44" t="s">
        <v>890</v>
      </c>
      <c r="O208" s="44" t="s">
        <v>258</v>
      </c>
      <c r="P208" s="44" t="s">
        <v>387</v>
      </c>
      <c r="Q208" s="44" t="s">
        <v>895</v>
      </c>
      <c r="R208" s="46">
        <v>1</v>
      </c>
      <c r="S208" s="44">
        <v>1</v>
      </c>
      <c r="T208" s="44" t="s">
        <v>137</v>
      </c>
      <c r="U208" s="44" t="s">
        <v>169</v>
      </c>
      <c r="V208" s="44" t="s">
        <v>195</v>
      </c>
      <c r="W208" s="44" t="s">
        <v>892</v>
      </c>
      <c r="X208" s="44" t="s">
        <v>893</v>
      </c>
      <c r="Y208" s="44" t="s">
        <v>179</v>
      </c>
      <c r="Z208" s="44" t="s">
        <v>195</v>
      </c>
      <c r="AA208" s="44"/>
      <c r="AB208" s="44" t="s">
        <v>262</v>
      </c>
      <c r="AC208" s="44" t="s">
        <v>262</v>
      </c>
      <c r="AD208" s="44" t="s">
        <v>262</v>
      </c>
      <c r="AE208" s="44" t="s">
        <v>262</v>
      </c>
      <c r="AF208" s="44" t="s">
        <v>263</v>
      </c>
      <c r="AG208" s="44" t="s">
        <v>263</v>
      </c>
      <c r="AH208" s="44" t="s">
        <v>262</v>
      </c>
      <c r="AI208" s="44">
        <v>0.05</v>
      </c>
      <c r="AJ208" s="47" t="s">
        <v>263</v>
      </c>
    </row>
  </sheetData>
  <autoFilter ref="A1:AJ208" xr:uid="{43088951-E8B4-401D-B980-3152BED71B8F}"/>
  <conditionalFormatting sqref="B1:B1048576">
    <cfRule type="duplicateValues" dxfId="7" priority="1"/>
    <cfRule type="duplicateValues" dxfId="6" priority="2"/>
    <cfRule type="duplicateValues" dxfId="5" priority="3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sheetPr codeName="Sheet3" filterMode="1"/>
  <dimension ref="A1:L32"/>
  <sheetViews>
    <sheetView workbookViewId="0">
      <selection activeCell="E22" sqref="E22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0" t="s">
        <v>29</v>
      </c>
      <c r="B1" s="91"/>
      <c r="C1" s="91"/>
      <c r="D1" s="91"/>
      <c r="E1" s="66" t="s">
        <v>34</v>
      </c>
      <c r="F1" s="90" t="s">
        <v>901</v>
      </c>
      <c r="G1" s="92"/>
      <c r="H1" s="92"/>
      <c r="I1" s="93"/>
      <c r="J1" s="92"/>
    </row>
    <row r="2" spans="1:12" ht="14.25" x14ac:dyDescent="0.45">
      <c r="A2" s="67" t="s">
        <v>26</v>
      </c>
      <c r="B2" s="68" t="s">
        <v>15</v>
      </c>
      <c r="C2" s="67" t="s">
        <v>27</v>
      </c>
      <c r="D2" s="67" t="s">
        <v>28</v>
      </c>
      <c r="E2" s="69" t="s">
        <v>902</v>
      </c>
      <c r="F2" s="51" t="s">
        <v>40</v>
      </c>
      <c r="G2" s="51" t="s">
        <v>42</v>
      </c>
      <c r="H2" s="51" t="s">
        <v>43</v>
      </c>
      <c r="I2" s="51" t="s">
        <v>903</v>
      </c>
      <c r="J2" s="51" t="s">
        <v>214</v>
      </c>
    </row>
    <row r="3" spans="1:12" s="70" customFormat="1" ht="14.25" hidden="1" x14ac:dyDescent="0.45">
      <c r="B3" s="70" t="s">
        <v>904</v>
      </c>
      <c r="C3" s="70" t="s">
        <v>914</v>
      </c>
      <c r="D3" s="70" t="s">
        <v>915</v>
      </c>
      <c r="E3" s="71">
        <v>1031091</v>
      </c>
      <c r="F3" s="71" t="s">
        <v>915</v>
      </c>
      <c r="G3" s="71" t="s">
        <v>916</v>
      </c>
      <c r="H3" s="71" t="s">
        <v>917</v>
      </c>
      <c r="I3" s="72">
        <v>0.3</v>
      </c>
      <c r="J3" s="71" t="s">
        <v>918</v>
      </c>
      <c r="L3" s="70" t="s">
        <v>908</v>
      </c>
    </row>
    <row r="4" spans="1:12" s="70" customFormat="1" ht="14.25" hidden="1" x14ac:dyDescent="0.45">
      <c r="A4" s="73"/>
      <c r="B4" s="73" t="s">
        <v>904</v>
      </c>
      <c r="C4" s="73" t="s">
        <v>1001</v>
      </c>
      <c r="D4" s="73" t="s">
        <v>915</v>
      </c>
      <c r="E4" s="74">
        <v>1031091</v>
      </c>
      <c r="F4" s="74" t="s">
        <v>915</v>
      </c>
      <c r="G4" s="74" t="s">
        <v>1002</v>
      </c>
      <c r="H4" s="74" t="s">
        <v>1003</v>
      </c>
      <c r="I4" s="75">
        <v>0.3</v>
      </c>
      <c r="J4" s="74" t="s">
        <v>918</v>
      </c>
      <c r="K4" s="73"/>
      <c r="L4" s="73" t="s">
        <v>975</v>
      </c>
    </row>
    <row r="5" spans="1:12" s="70" customFormat="1" ht="14.25" hidden="1" x14ac:dyDescent="0.45">
      <c r="B5" s="70" t="s">
        <v>904</v>
      </c>
      <c r="C5" s="70" t="s">
        <v>909</v>
      </c>
      <c r="D5" s="70" t="s">
        <v>910</v>
      </c>
      <c r="E5" s="71">
        <v>1031092</v>
      </c>
      <c r="F5" s="71" t="s">
        <v>910</v>
      </c>
      <c r="G5" s="71" t="s">
        <v>911</v>
      </c>
      <c r="H5" s="71" t="s">
        <v>912</v>
      </c>
      <c r="I5" s="72">
        <v>10</v>
      </c>
      <c r="J5" s="71" t="s">
        <v>913</v>
      </c>
      <c r="L5" s="70" t="s">
        <v>908</v>
      </c>
    </row>
    <row r="6" spans="1:12" s="70" customFormat="1" ht="14.25" hidden="1" x14ac:dyDescent="0.45">
      <c r="A6" s="73"/>
      <c r="B6" s="73" t="s">
        <v>904</v>
      </c>
      <c r="C6" s="73" t="s">
        <v>976</v>
      </c>
      <c r="D6" s="73" t="s">
        <v>977</v>
      </c>
      <c r="E6" s="74">
        <v>1031092</v>
      </c>
      <c r="F6" s="74" t="s">
        <v>977</v>
      </c>
      <c r="G6" s="74" t="s">
        <v>978</v>
      </c>
      <c r="H6" s="74" t="s">
        <v>979</v>
      </c>
      <c r="I6" s="75">
        <v>10</v>
      </c>
      <c r="J6" s="74" t="s">
        <v>913</v>
      </c>
      <c r="K6" s="73"/>
      <c r="L6" s="73" t="s">
        <v>975</v>
      </c>
    </row>
    <row r="7" spans="1:12" s="70" customFormat="1" ht="14.25" hidden="1" x14ac:dyDescent="0.45">
      <c r="B7" s="70" t="s">
        <v>904</v>
      </c>
      <c r="C7" s="70" t="s">
        <v>940</v>
      </c>
      <c r="D7" s="70" t="s">
        <v>941</v>
      </c>
      <c r="E7" s="71">
        <v>1031093</v>
      </c>
      <c r="F7" s="71" t="s">
        <v>941</v>
      </c>
      <c r="G7" s="71" t="s">
        <v>942</v>
      </c>
      <c r="H7" s="71" t="s">
        <v>943</v>
      </c>
      <c r="I7" s="72">
        <v>0.01</v>
      </c>
      <c r="J7" s="71" t="s">
        <v>944</v>
      </c>
      <c r="L7" s="70" t="s">
        <v>908</v>
      </c>
    </row>
    <row r="8" spans="1:12" s="70" customFormat="1" ht="14.25" hidden="1" x14ac:dyDescent="0.45">
      <c r="B8" s="70" t="s">
        <v>904</v>
      </c>
      <c r="C8" s="70" t="s">
        <v>945</v>
      </c>
      <c r="D8" s="70" t="s">
        <v>946</v>
      </c>
      <c r="E8" s="71">
        <v>1031095</v>
      </c>
      <c r="F8" s="71" t="s">
        <v>946</v>
      </c>
      <c r="G8" s="71" t="s">
        <v>947</v>
      </c>
      <c r="H8" s="71" t="s">
        <v>948</v>
      </c>
      <c r="I8" s="72">
        <v>5</v>
      </c>
      <c r="J8" s="71" t="s">
        <v>949</v>
      </c>
      <c r="L8" s="70" t="s">
        <v>908</v>
      </c>
    </row>
    <row r="9" spans="1:12" s="70" customFormat="1" ht="14.25" hidden="1" x14ac:dyDescent="0.45">
      <c r="A9" s="73"/>
      <c r="B9" s="73" t="s">
        <v>904</v>
      </c>
      <c r="C9" s="73" t="s">
        <v>986</v>
      </c>
      <c r="D9" s="73" t="s">
        <v>946</v>
      </c>
      <c r="E9" s="74">
        <v>1031095</v>
      </c>
      <c r="F9" s="74" t="s">
        <v>946</v>
      </c>
      <c r="G9" s="74" t="s">
        <v>987</v>
      </c>
      <c r="H9" s="74" t="s">
        <v>988</v>
      </c>
      <c r="I9" s="75">
        <v>5</v>
      </c>
      <c r="J9" s="74" t="s">
        <v>949</v>
      </c>
      <c r="K9" s="73"/>
      <c r="L9" s="73" t="s">
        <v>975</v>
      </c>
    </row>
    <row r="10" spans="1:12" s="70" customFormat="1" ht="14.25" hidden="1" x14ac:dyDescent="0.45">
      <c r="B10" s="70" t="s">
        <v>904</v>
      </c>
      <c r="C10" s="70" t="s">
        <v>925</v>
      </c>
      <c r="D10" s="70" t="s">
        <v>926</v>
      </c>
      <c r="E10" s="71">
        <v>1035856</v>
      </c>
      <c r="F10" s="71" t="s">
        <v>926</v>
      </c>
      <c r="G10" s="71" t="s">
        <v>927</v>
      </c>
      <c r="H10" s="71" t="s">
        <v>928</v>
      </c>
      <c r="I10" s="72">
        <v>11</v>
      </c>
      <c r="J10" s="71" t="s">
        <v>929</v>
      </c>
      <c r="L10" s="70" t="s">
        <v>908</v>
      </c>
    </row>
    <row r="11" spans="1:12" s="70" customFormat="1" ht="14.25" hidden="1" x14ac:dyDescent="0.45">
      <c r="B11" s="70" t="s">
        <v>904</v>
      </c>
      <c r="C11" s="70" t="s">
        <v>961</v>
      </c>
      <c r="D11" s="70" t="s">
        <v>962</v>
      </c>
      <c r="E11" s="71">
        <v>1035857</v>
      </c>
      <c r="F11" s="71" t="s">
        <v>962</v>
      </c>
      <c r="G11" s="71" t="s">
        <v>963</v>
      </c>
      <c r="H11" s="71" t="s">
        <v>964</v>
      </c>
      <c r="I11" s="72">
        <v>10</v>
      </c>
      <c r="J11" s="71" t="s">
        <v>965</v>
      </c>
      <c r="L11" s="70" t="s">
        <v>908</v>
      </c>
    </row>
    <row r="12" spans="1:12" s="70" customFormat="1" ht="14.25" hidden="1" x14ac:dyDescent="0.45">
      <c r="A12" s="73"/>
      <c r="B12" s="73" t="s">
        <v>904</v>
      </c>
      <c r="C12" s="73" t="s">
        <v>971</v>
      </c>
      <c r="D12" s="73" t="s">
        <v>972</v>
      </c>
      <c r="E12" s="74">
        <v>1035857</v>
      </c>
      <c r="F12" s="74" t="s">
        <v>972</v>
      </c>
      <c r="G12" s="74" t="s">
        <v>973</v>
      </c>
      <c r="H12" s="74" t="s">
        <v>974</v>
      </c>
      <c r="I12" s="75">
        <v>10</v>
      </c>
      <c r="J12" s="74" t="s">
        <v>965</v>
      </c>
      <c r="K12" s="73"/>
      <c r="L12" s="73" t="s">
        <v>975</v>
      </c>
    </row>
    <row r="13" spans="1:12" s="70" customFormat="1" ht="14.25" hidden="1" x14ac:dyDescent="0.45">
      <c r="A13" s="73"/>
      <c r="B13" s="73" t="s">
        <v>904</v>
      </c>
      <c r="C13" s="73" t="s">
        <v>1017</v>
      </c>
      <c r="D13" s="73" t="s">
        <v>1018</v>
      </c>
      <c r="E13" s="74">
        <v>1035858</v>
      </c>
      <c r="F13" s="74" t="s">
        <v>1018</v>
      </c>
      <c r="G13" s="74" t="s">
        <v>1019</v>
      </c>
      <c r="H13" s="74" t="s">
        <v>1020</v>
      </c>
      <c r="I13" s="75">
        <v>0.01</v>
      </c>
      <c r="J13" s="74" t="s">
        <v>1021</v>
      </c>
      <c r="K13" s="73"/>
      <c r="L13" s="73" t="s">
        <v>975</v>
      </c>
    </row>
    <row r="14" spans="1:12" s="70" customFormat="1" ht="14.25" hidden="1" x14ac:dyDescent="0.45">
      <c r="B14" s="70" t="s">
        <v>904</v>
      </c>
      <c r="C14" s="70" t="s">
        <v>905</v>
      </c>
      <c r="D14" s="70" t="s">
        <v>906</v>
      </c>
      <c r="E14" s="71">
        <v>1102242</v>
      </c>
      <c r="F14" s="71" t="s">
        <v>906</v>
      </c>
      <c r="G14" s="71" t="s">
        <v>906</v>
      </c>
      <c r="H14" s="71" t="s">
        <v>906</v>
      </c>
      <c r="I14" s="72">
        <v>0.1</v>
      </c>
      <c r="J14" s="71" t="s">
        <v>907</v>
      </c>
      <c r="L14" s="70" t="s">
        <v>908</v>
      </c>
    </row>
    <row r="15" spans="1:12" s="70" customFormat="1" ht="14.25" hidden="1" x14ac:dyDescent="0.45">
      <c r="B15" s="70" t="s">
        <v>904</v>
      </c>
      <c r="C15" s="70" t="s">
        <v>919</v>
      </c>
      <c r="D15" s="70" t="s">
        <v>920</v>
      </c>
      <c r="E15" s="71">
        <v>1102243</v>
      </c>
      <c r="F15" s="71" t="s">
        <v>920</v>
      </c>
      <c r="G15" s="71" t="s">
        <v>920</v>
      </c>
      <c r="H15" s="71" t="s">
        <v>920</v>
      </c>
      <c r="I15" s="72">
        <v>0.2</v>
      </c>
      <c r="J15" s="71" t="s">
        <v>921</v>
      </c>
      <c r="L15" s="70" t="s">
        <v>908</v>
      </c>
    </row>
    <row r="16" spans="1:12" s="70" customFormat="1" ht="14.25" hidden="1" x14ac:dyDescent="0.45">
      <c r="B16" s="70" t="s">
        <v>904</v>
      </c>
      <c r="C16" s="70" t="s">
        <v>950</v>
      </c>
      <c r="D16" s="70" t="s">
        <v>951</v>
      </c>
      <c r="E16" s="71">
        <v>1102244</v>
      </c>
      <c r="F16" s="71" t="s">
        <v>951</v>
      </c>
      <c r="G16" s="71" t="s">
        <v>951</v>
      </c>
      <c r="H16" s="71" t="s">
        <v>951</v>
      </c>
      <c r="I16" s="72">
        <v>0.3</v>
      </c>
      <c r="J16" s="71" t="s">
        <v>952</v>
      </c>
      <c r="L16" s="70" t="s">
        <v>908</v>
      </c>
    </row>
    <row r="17" spans="1:12" s="70" customFormat="1" ht="14.25" hidden="1" x14ac:dyDescent="0.45">
      <c r="B17" s="70" t="s">
        <v>904</v>
      </c>
      <c r="C17" s="70" t="s">
        <v>922</v>
      </c>
      <c r="D17" s="70" t="s">
        <v>923</v>
      </c>
      <c r="E17" s="71">
        <v>1102245</v>
      </c>
      <c r="F17" s="71" t="s">
        <v>923</v>
      </c>
      <c r="G17" s="71" t="s">
        <v>923</v>
      </c>
      <c r="H17" s="71" t="s">
        <v>923</v>
      </c>
      <c r="I17" s="72">
        <v>0.5</v>
      </c>
      <c r="J17" s="71" t="s">
        <v>924</v>
      </c>
      <c r="L17" s="70" t="s">
        <v>908</v>
      </c>
    </row>
    <row r="18" spans="1:12" s="73" customFormat="1" ht="21.75" hidden="1" customHeight="1" x14ac:dyDescent="0.45">
      <c r="A18" s="70"/>
      <c r="B18" s="70" t="s">
        <v>904</v>
      </c>
      <c r="C18" s="70" t="s">
        <v>958</v>
      </c>
      <c r="D18" s="70" t="s">
        <v>959</v>
      </c>
      <c r="E18" s="71">
        <v>1102280</v>
      </c>
      <c r="F18" s="71" t="s">
        <v>959</v>
      </c>
      <c r="G18" s="71" t="s">
        <v>959</v>
      </c>
      <c r="H18" s="71" t="s">
        <v>959</v>
      </c>
      <c r="I18" s="72">
        <v>1</v>
      </c>
      <c r="J18" s="71" t="s">
        <v>960</v>
      </c>
      <c r="K18" s="70"/>
      <c r="L18" s="70" t="s">
        <v>908</v>
      </c>
    </row>
    <row r="19" spans="1:12" s="73" customFormat="1" ht="21.75" hidden="1" customHeight="1" x14ac:dyDescent="0.45">
      <c r="A19" s="70"/>
      <c r="B19" s="70" t="s">
        <v>904</v>
      </c>
      <c r="C19" s="70" t="s">
        <v>935</v>
      </c>
      <c r="D19" s="70" t="s">
        <v>936</v>
      </c>
      <c r="E19" s="71">
        <v>1102315</v>
      </c>
      <c r="F19" s="71" t="s">
        <v>936</v>
      </c>
      <c r="G19" s="71" t="s">
        <v>937</v>
      </c>
      <c r="H19" s="71" t="s">
        <v>938</v>
      </c>
      <c r="I19" s="72">
        <v>5</v>
      </c>
      <c r="J19" s="71" t="s">
        <v>939</v>
      </c>
      <c r="K19" s="70"/>
      <c r="L19" s="70" t="s">
        <v>908</v>
      </c>
    </row>
    <row r="20" spans="1:12" s="73" customFormat="1" ht="21.75" hidden="1" customHeight="1" x14ac:dyDescent="0.45">
      <c r="A20" s="70"/>
      <c r="B20" s="70" t="s">
        <v>904</v>
      </c>
      <c r="C20" s="70" t="s">
        <v>966</v>
      </c>
      <c r="D20" s="70" t="s">
        <v>967</v>
      </c>
      <c r="E20" s="71">
        <v>1102316</v>
      </c>
      <c r="F20" s="71" t="s">
        <v>967</v>
      </c>
      <c r="G20" s="71" t="s">
        <v>968</v>
      </c>
      <c r="H20" s="71" t="s">
        <v>969</v>
      </c>
      <c r="I20" s="72">
        <v>10</v>
      </c>
      <c r="J20" s="71" t="s">
        <v>970</v>
      </c>
      <c r="K20" s="70"/>
      <c r="L20" s="70" t="s">
        <v>908</v>
      </c>
    </row>
    <row r="21" spans="1:12" s="73" customFormat="1" ht="21.75" customHeight="1" x14ac:dyDescent="0.45">
      <c r="A21" s="70"/>
      <c r="B21" s="70" t="s">
        <v>904</v>
      </c>
      <c r="C21" s="70" t="s">
        <v>953</v>
      </c>
      <c r="D21" s="70" t="s">
        <v>954</v>
      </c>
      <c r="E21" s="71">
        <v>1102317</v>
      </c>
      <c r="F21" s="71" t="s">
        <v>954</v>
      </c>
      <c r="G21" s="71" t="s">
        <v>955</v>
      </c>
      <c r="H21" s="71" t="s">
        <v>956</v>
      </c>
      <c r="I21" s="72">
        <v>55</v>
      </c>
      <c r="J21" s="71" t="s">
        <v>957</v>
      </c>
      <c r="K21" s="70"/>
      <c r="L21" s="70" t="s">
        <v>908</v>
      </c>
    </row>
    <row r="22" spans="1:12" s="73" customFormat="1" ht="21.75" customHeight="1" x14ac:dyDescent="0.45">
      <c r="A22" s="70"/>
      <c r="B22" s="70" t="s">
        <v>904</v>
      </c>
      <c r="C22" s="70" t="s">
        <v>930</v>
      </c>
      <c r="D22" s="70" t="s">
        <v>931</v>
      </c>
      <c r="E22" s="71">
        <v>1102318</v>
      </c>
      <c r="F22" s="71" t="s">
        <v>931</v>
      </c>
      <c r="G22" s="71" t="s">
        <v>932</v>
      </c>
      <c r="H22" s="71" t="s">
        <v>933</v>
      </c>
      <c r="I22" s="72">
        <v>65</v>
      </c>
      <c r="J22" s="71" t="s">
        <v>934</v>
      </c>
      <c r="K22" s="70"/>
      <c r="L22" s="70" t="s">
        <v>908</v>
      </c>
    </row>
    <row r="23" spans="1:12" s="73" customFormat="1" ht="21.75" hidden="1" customHeight="1" x14ac:dyDescent="0.45">
      <c r="B23" s="73" t="s">
        <v>904</v>
      </c>
      <c r="C23" s="73" t="s">
        <v>1004</v>
      </c>
      <c r="D23" s="73" t="s">
        <v>1005</v>
      </c>
      <c r="E23" s="74">
        <v>1601722</v>
      </c>
      <c r="F23" s="74" t="s">
        <v>1005</v>
      </c>
      <c r="G23" s="74" t="s">
        <v>1006</v>
      </c>
      <c r="H23" s="74" t="s">
        <v>1007</v>
      </c>
      <c r="I23" s="75">
        <v>11</v>
      </c>
      <c r="J23" s="74" t="s">
        <v>929</v>
      </c>
      <c r="L23" s="73" t="s">
        <v>975</v>
      </c>
    </row>
    <row r="24" spans="1:12" s="73" customFormat="1" ht="21.75" hidden="1" customHeight="1" x14ac:dyDescent="0.45">
      <c r="B24" s="73" t="s">
        <v>904</v>
      </c>
      <c r="C24" s="73" t="s">
        <v>989</v>
      </c>
      <c r="D24" s="73" t="s">
        <v>990</v>
      </c>
      <c r="E24" s="74">
        <v>1601762</v>
      </c>
      <c r="F24" s="74" t="s">
        <v>990</v>
      </c>
      <c r="G24" s="74" t="s">
        <v>990</v>
      </c>
      <c r="H24" s="74" t="s">
        <v>990</v>
      </c>
      <c r="I24" s="75">
        <v>0.1</v>
      </c>
      <c r="J24" s="74" t="s">
        <v>991</v>
      </c>
      <c r="L24" s="73" t="s">
        <v>975</v>
      </c>
    </row>
    <row r="25" spans="1:12" s="73" customFormat="1" ht="21.75" hidden="1" customHeight="1" x14ac:dyDescent="0.45">
      <c r="B25" s="73" t="s">
        <v>904</v>
      </c>
      <c r="C25" s="73" t="s">
        <v>980</v>
      </c>
      <c r="D25" s="73" t="s">
        <v>981</v>
      </c>
      <c r="E25" s="74">
        <v>1601763</v>
      </c>
      <c r="F25" s="74" t="s">
        <v>981</v>
      </c>
      <c r="G25" s="74" t="s">
        <v>981</v>
      </c>
      <c r="H25" s="74" t="s">
        <v>981</v>
      </c>
      <c r="I25" s="75">
        <v>0.2</v>
      </c>
      <c r="J25" s="74" t="s">
        <v>982</v>
      </c>
      <c r="L25" s="73" t="s">
        <v>975</v>
      </c>
    </row>
    <row r="26" spans="1:12" s="73" customFormat="1" ht="21.75" hidden="1" customHeight="1" x14ac:dyDescent="0.45">
      <c r="B26" s="73" t="s">
        <v>904</v>
      </c>
      <c r="C26" s="73" t="s">
        <v>1008</v>
      </c>
      <c r="D26" s="73" t="s">
        <v>1009</v>
      </c>
      <c r="E26" s="74">
        <v>1601764</v>
      </c>
      <c r="F26" s="74" t="s">
        <v>1009</v>
      </c>
      <c r="G26" s="74" t="s">
        <v>1009</v>
      </c>
      <c r="H26" s="74" t="s">
        <v>1009</v>
      </c>
      <c r="I26" s="75">
        <v>1</v>
      </c>
      <c r="J26" s="74" t="s">
        <v>1010</v>
      </c>
      <c r="L26" s="73" t="s">
        <v>975</v>
      </c>
    </row>
    <row r="27" spans="1:12" s="73" customFormat="1" ht="21.75" hidden="1" customHeight="1" x14ac:dyDescent="0.45">
      <c r="B27" s="73" t="s">
        <v>904</v>
      </c>
      <c r="C27" s="73" t="s">
        <v>1014</v>
      </c>
      <c r="D27" s="73" t="s">
        <v>1015</v>
      </c>
      <c r="E27" s="74">
        <v>1601765</v>
      </c>
      <c r="F27" s="74" t="s">
        <v>1015</v>
      </c>
      <c r="G27" s="74" t="s">
        <v>937</v>
      </c>
      <c r="H27" s="74" t="s">
        <v>938</v>
      </c>
      <c r="I27" s="75">
        <v>5</v>
      </c>
      <c r="J27" s="74" t="s">
        <v>1016</v>
      </c>
      <c r="L27" s="73" t="s">
        <v>975</v>
      </c>
    </row>
    <row r="28" spans="1:12" s="73" customFormat="1" ht="21.75" customHeight="1" x14ac:dyDescent="0.45">
      <c r="B28" s="73" t="s">
        <v>904</v>
      </c>
      <c r="C28" s="73" t="s">
        <v>992</v>
      </c>
      <c r="D28" s="73" t="s">
        <v>993</v>
      </c>
      <c r="E28" s="74">
        <v>1601768</v>
      </c>
      <c r="F28" s="74" t="s">
        <v>993</v>
      </c>
      <c r="G28" s="74" t="s">
        <v>955</v>
      </c>
      <c r="H28" s="74" t="s">
        <v>956</v>
      </c>
      <c r="I28" s="75">
        <v>55</v>
      </c>
      <c r="J28" s="74" t="s">
        <v>994</v>
      </c>
      <c r="L28" s="73" t="s">
        <v>975</v>
      </c>
    </row>
    <row r="29" spans="1:12" s="73" customFormat="1" ht="21.75" hidden="1" customHeight="1" x14ac:dyDescent="0.45">
      <c r="B29" s="73" t="s">
        <v>904</v>
      </c>
      <c r="C29" s="73" t="s">
        <v>983</v>
      </c>
      <c r="D29" s="73" t="s">
        <v>984</v>
      </c>
      <c r="E29" s="74">
        <v>1601769</v>
      </c>
      <c r="F29" s="74" t="s">
        <v>984</v>
      </c>
      <c r="G29" s="74" t="s">
        <v>984</v>
      </c>
      <c r="H29" s="74" t="s">
        <v>984</v>
      </c>
      <c r="I29" s="75">
        <v>0.3</v>
      </c>
      <c r="J29" s="74" t="s">
        <v>985</v>
      </c>
      <c r="L29" s="73" t="s">
        <v>975</v>
      </c>
    </row>
    <row r="30" spans="1:12" s="73" customFormat="1" ht="21.75" hidden="1" customHeight="1" x14ac:dyDescent="0.45">
      <c r="B30" s="73" t="s">
        <v>904</v>
      </c>
      <c r="C30" s="73" t="s">
        <v>1011</v>
      </c>
      <c r="D30" s="73" t="s">
        <v>1012</v>
      </c>
      <c r="E30" s="74">
        <v>1601770</v>
      </c>
      <c r="F30" s="74" t="s">
        <v>1012</v>
      </c>
      <c r="G30" s="74" t="s">
        <v>1012</v>
      </c>
      <c r="H30" s="74" t="s">
        <v>1012</v>
      </c>
      <c r="I30" s="75">
        <v>0.5</v>
      </c>
      <c r="J30" s="74" t="s">
        <v>1013</v>
      </c>
      <c r="L30" s="73" t="s">
        <v>975</v>
      </c>
    </row>
    <row r="31" spans="1:12" s="73" customFormat="1" ht="21.75" hidden="1" customHeight="1" x14ac:dyDescent="0.45">
      <c r="B31" s="73" t="s">
        <v>904</v>
      </c>
      <c r="C31" s="73" t="s">
        <v>995</v>
      </c>
      <c r="D31" s="73" t="s">
        <v>996</v>
      </c>
      <c r="E31" s="74">
        <v>1601771</v>
      </c>
      <c r="F31" s="74" t="s">
        <v>996</v>
      </c>
      <c r="G31" s="74" t="s">
        <v>968</v>
      </c>
      <c r="H31" s="74" t="s">
        <v>969</v>
      </c>
      <c r="I31" s="75">
        <v>10</v>
      </c>
      <c r="J31" s="74" t="s">
        <v>997</v>
      </c>
      <c r="L31" s="73" t="s">
        <v>975</v>
      </c>
    </row>
    <row r="32" spans="1:12" s="73" customFormat="1" ht="21.75" customHeight="1" x14ac:dyDescent="0.45">
      <c r="B32" s="73" t="s">
        <v>904</v>
      </c>
      <c r="C32" s="73" t="s">
        <v>998</v>
      </c>
      <c r="D32" s="73" t="s">
        <v>999</v>
      </c>
      <c r="E32" s="74">
        <v>1601772</v>
      </c>
      <c r="F32" s="74" t="s">
        <v>999</v>
      </c>
      <c r="G32" s="74" t="s">
        <v>932</v>
      </c>
      <c r="H32" s="74" t="s">
        <v>933</v>
      </c>
      <c r="I32" s="75">
        <v>65</v>
      </c>
      <c r="J32" s="74" t="s">
        <v>1000</v>
      </c>
      <c r="L32" s="73" t="s">
        <v>975</v>
      </c>
    </row>
  </sheetData>
  <autoFilter ref="A2:L32" xr:uid="{0486CB2A-663A-4D72-A097-9416A0D66F73}">
    <filterColumn colId="5">
      <filters>
        <filter val="1102317 - Depot Gasflasche Stahl CHF 55.00"/>
        <filter val="1102318 - Depot Gasflasche Composite Vito 65.00"/>
        <filter val="1601768 - Depot Gasflasche Stahl CHF 55.00"/>
        <filter val="1601772 - Depot Gasflasche Composite CHF 65.00"/>
      </filters>
    </filterColumn>
  </autoFilter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4" priority="2"/>
  </conditionalFormatting>
  <conditionalFormatting sqref="J1:J1048576">
    <cfRule type="duplicateValues" dxfId="3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sheetPr codeName="Sheet4"/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sheetPr codeName="Sheet7"/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sheetPr codeName="Sheet8"/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sheetPr codeName="Sheet9"/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6E6ED023-3B1A-4880-9851-35ADE6F3671E}">
  <ds:schemaRefs/>
</ds:datastoreItem>
</file>

<file path=customXml/itemProps2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46</vt:i4>
      </vt:variant>
    </vt:vector>
  </HeadingPairs>
  <TitlesOfParts>
    <vt:vector size="55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2025-12-11T07:37:11Z</dcterms:modified>
</cp:coreProperties>
</file>