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3\"/>
    </mc:Choice>
  </mc:AlternateContent>
  <xr:revisionPtr revIDLastSave="0" documentId="13_ncr:1_{832A4F40-CA03-4774-B341-227557FE676B}" xr6:coauthVersionLast="47" xr6:coauthVersionMax="47" xr10:uidLastSave="{00000000-0000-0000-0000-000000000000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Entities!$A$2:$AQ$375</definedName>
    <definedName name="_xlnm._FilterDatabase" localSheetId="2" hidden="1">Migrationsartikel!$A$1:$AJ$374</definedName>
    <definedName name="EntitiesCol">Entities!$SRI$2</definedName>
    <definedName name="EntitiesRow">Entities!$A$999454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J4" i="1"/>
  <c r="J5" i="1"/>
  <c r="AN5" i="1" s="1"/>
  <c r="J6" i="1"/>
  <c r="AN6" i="1" s="1"/>
  <c r="J7" i="1"/>
  <c r="AN7" i="1" s="1"/>
  <c r="J8" i="1"/>
  <c r="AN8" i="1" s="1"/>
  <c r="J9" i="1"/>
  <c r="AN9" i="1" s="1"/>
  <c r="J10" i="1"/>
  <c r="AN10" i="1" s="1"/>
  <c r="J11" i="1"/>
  <c r="AN11" i="1" s="1"/>
  <c r="J12" i="1"/>
  <c r="AN12" i="1" s="1"/>
  <c r="J13" i="1"/>
  <c r="AN13" i="1" s="1"/>
  <c r="J14" i="1"/>
  <c r="AN14" i="1" s="1"/>
  <c r="J15" i="1"/>
  <c r="AN15" i="1" s="1"/>
  <c r="J16" i="1"/>
  <c r="AN16" i="1" s="1"/>
  <c r="J17" i="1"/>
  <c r="AN17" i="1" s="1"/>
  <c r="J18" i="1"/>
  <c r="J19" i="1"/>
  <c r="J20" i="1"/>
  <c r="AN20" i="1" s="1"/>
  <c r="J21" i="1"/>
  <c r="AN21" i="1" s="1"/>
  <c r="J22" i="1"/>
  <c r="J23" i="1"/>
  <c r="AN23" i="1" s="1"/>
  <c r="J24" i="1"/>
  <c r="AN24" i="1" s="1"/>
  <c r="J25" i="1"/>
  <c r="AN25" i="1" s="1"/>
  <c r="J26" i="1"/>
  <c r="AN26" i="1" s="1"/>
  <c r="J27" i="1"/>
  <c r="AN27" i="1" s="1"/>
  <c r="J28" i="1"/>
  <c r="AN28" i="1" s="1"/>
  <c r="J29" i="1"/>
  <c r="AN29" i="1" s="1"/>
  <c r="J30" i="1"/>
  <c r="AN30" i="1" s="1"/>
  <c r="J31" i="1"/>
  <c r="AN31" i="1" s="1"/>
  <c r="J32" i="1"/>
  <c r="J33" i="1"/>
  <c r="J34" i="1"/>
  <c r="AN34" i="1" s="1"/>
  <c r="J35" i="1"/>
  <c r="AN35" i="1" s="1"/>
  <c r="J36" i="1"/>
  <c r="AN36" i="1" s="1"/>
  <c r="J37" i="1"/>
  <c r="AN37" i="1" s="1"/>
  <c r="J38" i="1"/>
  <c r="AN38" i="1" s="1"/>
  <c r="J39" i="1"/>
  <c r="AN39" i="1" s="1"/>
  <c r="J40" i="1"/>
  <c r="AN40" i="1" s="1"/>
  <c r="J41" i="1"/>
  <c r="AN41" i="1" s="1"/>
  <c r="J42" i="1"/>
  <c r="AN42" i="1" s="1"/>
  <c r="J43" i="1"/>
  <c r="AN43" i="1" s="1"/>
  <c r="J44" i="1"/>
  <c r="AN44" i="1" s="1"/>
  <c r="J45" i="1"/>
  <c r="AN45" i="1" s="1"/>
  <c r="J46" i="1"/>
  <c r="J47" i="1"/>
  <c r="J48" i="1"/>
  <c r="AN48" i="1" s="1"/>
  <c r="J49" i="1"/>
  <c r="AN49" i="1" s="1"/>
  <c r="J50" i="1"/>
  <c r="AN50" i="1" s="1"/>
  <c r="J51" i="1"/>
  <c r="AN51" i="1" s="1"/>
  <c r="J52" i="1"/>
  <c r="AN52" i="1" s="1"/>
  <c r="J53" i="1"/>
  <c r="AN53" i="1" s="1"/>
  <c r="J54" i="1"/>
  <c r="AN54" i="1" s="1"/>
  <c r="J55" i="1"/>
  <c r="AN55" i="1" s="1"/>
  <c r="J56" i="1"/>
  <c r="AN56" i="1" s="1"/>
  <c r="J57" i="1"/>
  <c r="AN57" i="1" s="1"/>
  <c r="J58" i="1"/>
  <c r="AN58" i="1" s="1"/>
  <c r="J59" i="1"/>
  <c r="AN59" i="1" s="1"/>
  <c r="J60" i="1"/>
  <c r="J61" i="1"/>
  <c r="J62" i="1"/>
  <c r="AN62" i="1" s="1"/>
  <c r="J63" i="1"/>
  <c r="AN63" i="1" s="1"/>
  <c r="J64" i="1"/>
  <c r="J65" i="1"/>
  <c r="AN65" i="1" s="1"/>
  <c r="J66" i="1"/>
  <c r="AN66" i="1" s="1"/>
  <c r="J67" i="1"/>
  <c r="AN67" i="1" s="1"/>
  <c r="J68" i="1"/>
  <c r="AN68" i="1" s="1"/>
  <c r="J69" i="1"/>
  <c r="AN69" i="1" s="1"/>
  <c r="J70" i="1"/>
  <c r="AN70" i="1" s="1"/>
  <c r="J71" i="1"/>
  <c r="AN71" i="1" s="1"/>
  <c r="J72" i="1"/>
  <c r="AN72" i="1" s="1"/>
  <c r="J73" i="1"/>
  <c r="AN73" i="1" s="1"/>
  <c r="J74" i="1"/>
  <c r="J75" i="1"/>
  <c r="J76" i="1"/>
  <c r="AN76" i="1" s="1"/>
  <c r="J77" i="1"/>
  <c r="AN77" i="1" s="1"/>
  <c r="J78" i="1"/>
  <c r="J79" i="1"/>
  <c r="AN79" i="1" s="1"/>
  <c r="J80" i="1"/>
  <c r="AN80" i="1" s="1"/>
  <c r="J81" i="1"/>
  <c r="AN81" i="1" s="1"/>
  <c r="J82" i="1"/>
  <c r="AN82" i="1" s="1"/>
  <c r="J83" i="1"/>
  <c r="AN83" i="1" s="1"/>
  <c r="J84" i="1"/>
  <c r="AN84" i="1" s="1"/>
  <c r="J85" i="1"/>
  <c r="AN85" i="1" s="1"/>
  <c r="J86" i="1"/>
  <c r="AN86" i="1" s="1"/>
  <c r="J87" i="1"/>
  <c r="AN87" i="1" s="1"/>
  <c r="J88" i="1"/>
  <c r="AN88" i="1" s="1"/>
  <c r="J89" i="1"/>
  <c r="J90" i="1"/>
  <c r="AN90" i="1" s="1"/>
  <c r="J91" i="1"/>
  <c r="AN91" i="1" s="1"/>
  <c r="J92" i="1"/>
  <c r="AN92" i="1" s="1"/>
  <c r="J93" i="1"/>
  <c r="AN93" i="1" s="1"/>
  <c r="J94" i="1"/>
  <c r="AN94" i="1" s="1"/>
  <c r="J95" i="1"/>
  <c r="AN95" i="1" s="1"/>
  <c r="J96" i="1"/>
  <c r="AN96" i="1" s="1"/>
  <c r="J97" i="1"/>
  <c r="AN97" i="1" s="1"/>
  <c r="J98" i="1"/>
  <c r="AN98" i="1" s="1"/>
  <c r="J99" i="1"/>
  <c r="AN99" i="1" s="1"/>
  <c r="J100" i="1"/>
  <c r="AN100" i="1" s="1"/>
  <c r="J101" i="1"/>
  <c r="AN101" i="1" s="1"/>
  <c r="J102" i="1"/>
  <c r="J103" i="1"/>
  <c r="J104" i="1"/>
  <c r="AN104" i="1" s="1"/>
  <c r="J105" i="1"/>
  <c r="AN105" i="1" s="1"/>
  <c r="J106" i="1"/>
  <c r="J107" i="1"/>
  <c r="AN107" i="1" s="1"/>
  <c r="J108" i="1"/>
  <c r="AN108" i="1" s="1"/>
  <c r="J109" i="1"/>
  <c r="AN109" i="1" s="1"/>
  <c r="J110" i="1"/>
  <c r="AN110" i="1" s="1"/>
  <c r="J111" i="1"/>
  <c r="AN111" i="1" s="1"/>
  <c r="J112" i="1"/>
  <c r="AN112" i="1" s="1"/>
  <c r="J113" i="1"/>
  <c r="AN113" i="1" s="1"/>
  <c r="J114" i="1"/>
  <c r="AN114" i="1" s="1"/>
  <c r="J115" i="1"/>
  <c r="AN115" i="1" s="1"/>
  <c r="J116" i="1"/>
  <c r="AN116" i="1" s="1"/>
  <c r="J117" i="1"/>
  <c r="J118" i="1"/>
  <c r="AN118" i="1" s="1"/>
  <c r="J119" i="1"/>
  <c r="AN119" i="1" s="1"/>
  <c r="J120" i="1"/>
  <c r="AN120" i="1" s="1"/>
  <c r="J121" i="1"/>
  <c r="AN121" i="1" s="1"/>
  <c r="J122" i="1"/>
  <c r="AN122" i="1" s="1"/>
  <c r="J123" i="1"/>
  <c r="AN123" i="1" s="1"/>
  <c r="J124" i="1"/>
  <c r="AN124" i="1" s="1"/>
  <c r="J125" i="1"/>
  <c r="AN125" i="1" s="1"/>
  <c r="J126" i="1"/>
  <c r="AN126" i="1" s="1"/>
  <c r="J127" i="1"/>
  <c r="AN127" i="1" s="1"/>
  <c r="J128" i="1"/>
  <c r="AN128" i="1" s="1"/>
  <c r="J129" i="1"/>
  <c r="AN129" i="1" s="1"/>
  <c r="J130" i="1"/>
  <c r="AN130" i="1" s="1"/>
  <c r="J131" i="1"/>
  <c r="J132" i="1"/>
  <c r="AN132" i="1" s="1"/>
  <c r="J133" i="1"/>
  <c r="AN133" i="1" s="1"/>
  <c r="J134" i="1"/>
  <c r="J135" i="1"/>
  <c r="AN135" i="1" s="1"/>
  <c r="J136" i="1"/>
  <c r="AN136" i="1" s="1"/>
  <c r="J137" i="1"/>
  <c r="AN137" i="1" s="1"/>
  <c r="J138" i="1"/>
  <c r="AN138" i="1" s="1"/>
  <c r="J139" i="1"/>
  <c r="AN139" i="1" s="1"/>
  <c r="J140" i="1"/>
  <c r="AN140" i="1" s="1"/>
  <c r="J141" i="1"/>
  <c r="AN141" i="1" s="1"/>
  <c r="J142" i="1"/>
  <c r="AN142" i="1" s="1"/>
  <c r="J143" i="1"/>
  <c r="AN143" i="1" s="1"/>
  <c r="J144" i="1"/>
  <c r="J145" i="1"/>
  <c r="J146" i="1"/>
  <c r="AN146" i="1" s="1"/>
  <c r="J147" i="1"/>
  <c r="AN147" i="1" s="1"/>
  <c r="J148" i="1"/>
  <c r="AN148" i="1" s="1"/>
  <c r="J149" i="1"/>
  <c r="AN149" i="1" s="1"/>
  <c r="J150" i="1"/>
  <c r="AN150" i="1" s="1"/>
  <c r="J151" i="1"/>
  <c r="AN151" i="1" s="1"/>
  <c r="J152" i="1"/>
  <c r="AN152" i="1" s="1"/>
  <c r="J153" i="1"/>
  <c r="AN153" i="1" s="1"/>
  <c r="J154" i="1"/>
  <c r="AN154" i="1" s="1"/>
  <c r="J155" i="1"/>
  <c r="AN155" i="1" s="1"/>
  <c r="J156" i="1"/>
  <c r="AN156" i="1" s="1"/>
  <c r="J157" i="1"/>
  <c r="AN157" i="1" s="1"/>
  <c r="J158" i="1"/>
  <c r="J159" i="1"/>
  <c r="J160" i="1"/>
  <c r="AN160" i="1" s="1"/>
  <c r="J161" i="1"/>
  <c r="AN161" i="1" s="1"/>
  <c r="J162" i="1"/>
  <c r="AN162" i="1" s="1"/>
  <c r="J163" i="1"/>
  <c r="AN163" i="1" s="1"/>
  <c r="J164" i="1"/>
  <c r="AN164" i="1" s="1"/>
  <c r="J165" i="1"/>
  <c r="AN165" i="1" s="1"/>
  <c r="J166" i="1"/>
  <c r="AN166" i="1" s="1"/>
  <c r="J167" i="1"/>
  <c r="AN167" i="1" s="1"/>
  <c r="J168" i="1"/>
  <c r="AN168" i="1" s="1"/>
  <c r="J169" i="1"/>
  <c r="AN169" i="1" s="1"/>
  <c r="J170" i="1"/>
  <c r="AN170" i="1" s="1"/>
  <c r="J171" i="1"/>
  <c r="AN171" i="1" s="1"/>
  <c r="J172" i="1"/>
  <c r="J173" i="1"/>
  <c r="J174" i="1"/>
  <c r="AN174" i="1" s="1"/>
  <c r="J175" i="1"/>
  <c r="AN175" i="1" s="1"/>
  <c r="J176" i="1"/>
  <c r="J177" i="1"/>
  <c r="AN177" i="1" s="1"/>
  <c r="J178" i="1"/>
  <c r="AN178" i="1" s="1"/>
  <c r="J179" i="1"/>
  <c r="AN179" i="1" s="1"/>
  <c r="J180" i="1"/>
  <c r="AN180" i="1" s="1"/>
  <c r="J181" i="1"/>
  <c r="AN181" i="1" s="1"/>
  <c r="J182" i="1"/>
  <c r="AN182" i="1" s="1"/>
  <c r="J183" i="1"/>
  <c r="AN183" i="1" s="1"/>
  <c r="J184" i="1"/>
  <c r="AN184" i="1" s="1"/>
  <c r="J185" i="1"/>
  <c r="AN185" i="1" s="1"/>
  <c r="J186" i="1"/>
  <c r="AN186" i="1" s="1"/>
  <c r="J187" i="1"/>
  <c r="J188" i="1"/>
  <c r="AN188" i="1" s="1"/>
  <c r="J189" i="1"/>
  <c r="AN189" i="1" s="1"/>
  <c r="J190" i="1"/>
  <c r="AN190" i="1" s="1"/>
  <c r="J191" i="1"/>
  <c r="J192" i="1"/>
  <c r="AN192" i="1" s="1"/>
  <c r="J193" i="1"/>
  <c r="AN193" i="1" s="1"/>
  <c r="J194" i="1"/>
  <c r="AN194" i="1" s="1"/>
  <c r="J195" i="1"/>
  <c r="AN195" i="1" s="1"/>
  <c r="J196" i="1"/>
  <c r="AN196" i="1" s="1"/>
  <c r="J197" i="1"/>
  <c r="AN197" i="1" s="1"/>
  <c r="J198" i="1"/>
  <c r="AN198" i="1" s="1"/>
  <c r="J199" i="1"/>
  <c r="AN199" i="1" s="1"/>
  <c r="J200" i="1"/>
  <c r="J201" i="1"/>
  <c r="J202" i="1"/>
  <c r="AN202" i="1" s="1"/>
  <c r="J203" i="1"/>
  <c r="AN203" i="1" s="1"/>
  <c r="J204" i="1"/>
  <c r="AN204" i="1" s="1"/>
  <c r="J205" i="1"/>
  <c r="AN205" i="1" s="1"/>
  <c r="J206" i="1"/>
  <c r="AN206" i="1" s="1"/>
  <c r="J207" i="1"/>
  <c r="AN207" i="1" s="1"/>
  <c r="J208" i="1"/>
  <c r="AN208" i="1" s="1"/>
  <c r="J209" i="1"/>
  <c r="AN209" i="1" s="1"/>
  <c r="J210" i="1"/>
  <c r="AN210" i="1" s="1"/>
  <c r="J211" i="1"/>
  <c r="AN211" i="1" s="1"/>
  <c r="J212" i="1"/>
  <c r="AN212" i="1" s="1"/>
  <c r="J213" i="1"/>
  <c r="AN213" i="1" s="1"/>
  <c r="J214" i="1"/>
  <c r="J215" i="1"/>
  <c r="J216" i="1"/>
  <c r="AN216" i="1" s="1"/>
  <c r="J217" i="1"/>
  <c r="AN217" i="1" s="1"/>
  <c r="J218" i="1"/>
  <c r="AN218" i="1" s="1"/>
  <c r="J219" i="1"/>
  <c r="AN219" i="1" s="1"/>
  <c r="J220" i="1"/>
  <c r="AN220" i="1" s="1"/>
  <c r="J221" i="1"/>
  <c r="AN221" i="1" s="1"/>
  <c r="J222" i="1"/>
  <c r="AN222" i="1" s="1"/>
  <c r="J223" i="1"/>
  <c r="AN223" i="1" s="1"/>
  <c r="J224" i="1"/>
  <c r="AN224" i="1" s="1"/>
  <c r="J225" i="1"/>
  <c r="AN225" i="1" s="1"/>
  <c r="J226" i="1"/>
  <c r="AN226" i="1" s="1"/>
  <c r="J227" i="1"/>
  <c r="AN227" i="1" s="1"/>
  <c r="J228" i="1"/>
  <c r="AN228" i="1" s="1"/>
  <c r="J229" i="1"/>
  <c r="J230" i="1"/>
  <c r="AN230" i="1" s="1"/>
  <c r="J231" i="1"/>
  <c r="AN231" i="1" s="1"/>
  <c r="J232" i="1"/>
  <c r="J233" i="1"/>
  <c r="AN233" i="1" s="1"/>
  <c r="J234" i="1"/>
  <c r="AN234" i="1" s="1"/>
  <c r="J235" i="1"/>
  <c r="AN235" i="1" s="1"/>
  <c r="J236" i="1"/>
  <c r="AN236" i="1" s="1"/>
  <c r="J237" i="1"/>
  <c r="AN237" i="1" s="1"/>
  <c r="J238" i="1"/>
  <c r="AN238" i="1" s="1"/>
  <c r="J239" i="1"/>
  <c r="AN239" i="1" s="1"/>
  <c r="J240" i="1"/>
  <c r="AN240" i="1" s="1"/>
  <c r="J241" i="1"/>
  <c r="AN241" i="1" s="1"/>
  <c r="J242" i="1"/>
  <c r="J243" i="1"/>
  <c r="J244" i="1"/>
  <c r="AN244" i="1" s="1"/>
  <c r="J245" i="1"/>
  <c r="AN245" i="1" s="1"/>
  <c r="J246" i="1"/>
  <c r="AN246" i="1" s="1"/>
  <c r="J247" i="1"/>
  <c r="AN247" i="1" s="1"/>
  <c r="J248" i="1"/>
  <c r="AN248" i="1" s="1"/>
  <c r="J249" i="1"/>
  <c r="AN249" i="1" s="1"/>
  <c r="J250" i="1"/>
  <c r="AN250" i="1" s="1"/>
  <c r="J251" i="1"/>
  <c r="AN251" i="1" s="1"/>
  <c r="J252" i="1"/>
  <c r="AN252" i="1" s="1"/>
  <c r="J253" i="1"/>
  <c r="AN253" i="1" s="1"/>
  <c r="J254" i="1"/>
  <c r="AN254" i="1" s="1"/>
  <c r="J255" i="1"/>
  <c r="AN255" i="1" s="1"/>
  <c r="J256" i="1"/>
  <c r="J257" i="1"/>
  <c r="J258" i="1"/>
  <c r="AN258" i="1" s="1"/>
  <c r="J259" i="1"/>
  <c r="AN259" i="1" s="1"/>
  <c r="J260" i="1"/>
  <c r="AN260" i="1" s="1"/>
  <c r="J261" i="1"/>
  <c r="AN261" i="1" s="1"/>
  <c r="J262" i="1"/>
  <c r="AN262" i="1" s="1"/>
  <c r="J263" i="1"/>
  <c r="AN263" i="1" s="1"/>
  <c r="J264" i="1"/>
  <c r="AN264" i="1" s="1"/>
  <c r="J265" i="1"/>
  <c r="AN265" i="1" s="1"/>
  <c r="J266" i="1"/>
  <c r="AN266" i="1" s="1"/>
  <c r="J267" i="1"/>
  <c r="AN267" i="1" s="1"/>
  <c r="J268" i="1"/>
  <c r="AN268" i="1" s="1"/>
  <c r="J269" i="1"/>
  <c r="AN269" i="1" s="1"/>
  <c r="J270" i="1"/>
  <c r="AN270" i="1" s="1"/>
  <c r="J271" i="1"/>
  <c r="J272" i="1"/>
  <c r="AN272" i="1" s="1"/>
  <c r="J273" i="1"/>
  <c r="AN273" i="1" s="1"/>
  <c r="J274" i="1"/>
  <c r="AN274" i="1" s="1"/>
  <c r="J275" i="1"/>
  <c r="AN275" i="1" s="1"/>
  <c r="J276" i="1"/>
  <c r="AN276" i="1" s="1"/>
  <c r="J277" i="1"/>
  <c r="AN277" i="1" s="1"/>
  <c r="J278" i="1"/>
  <c r="AN278" i="1" s="1"/>
  <c r="J279" i="1"/>
  <c r="AN279" i="1" s="1"/>
  <c r="J280" i="1"/>
  <c r="AN280" i="1" s="1"/>
  <c r="J281" i="1"/>
  <c r="AN281" i="1" s="1"/>
  <c r="J282" i="1"/>
  <c r="AN282" i="1" s="1"/>
  <c r="J283" i="1"/>
  <c r="AN283" i="1" s="1"/>
  <c r="J284" i="1"/>
  <c r="J285" i="1"/>
  <c r="J286" i="1"/>
  <c r="AN286" i="1" s="1"/>
  <c r="J287" i="1"/>
  <c r="AN287" i="1" s="1"/>
  <c r="J288" i="1"/>
  <c r="AN288" i="1" s="1"/>
  <c r="J289" i="1"/>
  <c r="AN289" i="1" s="1"/>
  <c r="J290" i="1"/>
  <c r="AN290" i="1" s="1"/>
  <c r="J291" i="1"/>
  <c r="AN291" i="1" s="1"/>
  <c r="J292" i="1"/>
  <c r="AN292" i="1" s="1"/>
  <c r="J293" i="1"/>
  <c r="AN293" i="1" s="1"/>
  <c r="J294" i="1"/>
  <c r="AN294" i="1" s="1"/>
  <c r="J295" i="1"/>
  <c r="AN295" i="1" s="1"/>
  <c r="J296" i="1"/>
  <c r="AN296" i="1" s="1"/>
  <c r="J297" i="1"/>
  <c r="AN297" i="1" s="1"/>
  <c r="J298" i="1"/>
  <c r="J299" i="1"/>
  <c r="J300" i="1"/>
  <c r="AN300" i="1" s="1"/>
  <c r="J301" i="1"/>
  <c r="AN301" i="1" s="1"/>
  <c r="J302" i="1"/>
  <c r="J303" i="1"/>
  <c r="AN303" i="1" s="1"/>
  <c r="J304" i="1"/>
  <c r="AN304" i="1" s="1"/>
  <c r="J305" i="1"/>
  <c r="AN305" i="1" s="1"/>
  <c r="J306" i="1"/>
  <c r="AN306" i="1" s="1"/>
  <c r="J307" i="1"/>
  <c r="AN307" i="1" s="1"/>
  <c r="J308" i="1"/>
  <c r="AN308" i="1" s="1"/>
  <c r="J309" i="1"/>
  <c r="AN309" i="1" s="1"/>
  <c r="J310" i="1"/>
  <c r="AN310" i="1" s="1"/>
  <c r="J311" i="1"/>
  <c r="AN311" i="1" s="1"/>
  <c r="J312" i="1"/>
  <c r="J313" i="1"/>
  <c r="J314" i="1"/>
  <c r="AN314" i="1" s="1"/>
  <c r="J315" i="1"/>
  <c r="AN315" i="1" s="1"/>
  <c r="J316" i="1"/>
  <c r="J317" i="1"/>
  <c r="AN317" i="1" s="1"/>
  <c r="J318" i="1"/>
  <c r="AN318" i="1" s="1"/>
  <c r="J319" i="1"/>
  <c r="AN319" i="1" s="1"/>
  <c r="J320" i="1"/>
  <c r="AN320" i="1" s="1"/>
  <c r="J321" i="1"/>
  <c r="AN321" i="1" s="1"/>
  <c r="J322" i="1"/>
  <c r="AN322" i="1" s="1"/>
  <c r="J323" i="1"/>
  <c r="AN323" i="1" s="1"/>
  <c r="J324" i="1"/>
  <c r="AN324" i="1" s="1"/>
  <c r="J325" i="1"/>
  <c r="AN325" i="1" s="1"/>
  <c r="J326" i="1"/>
  <c r="J327" i="1"/>
  <c r="J328" i="1"/>
  <c r="AN328" i="1" s="1"/>
  <c r="J329" i="1"/>
  <c r="AN329" i="1" s="1"/>
  <c r="J330" i="1"/>
  <c r="AN330" i="1" s="1"/>
  <c r="J331" i="1"/>
  <c r="AN331" i="1" s="1"/>
  <c r="J332" i="1"/>
  <c r="AN332" i="1" s="1"/>
  <c r="J333" i="1"/>
  <c r="AN333" i="1" s="1"/>
  <c r="J334" i="1"/>
  <c r="AN334" i="1" s="1"/>
  <c r="J335" i="1"/>
  <c r="AN335" i="1" s="1"/>
  <c r="J336" i="1"/>
  <c r="AN336" i="1" s="1"/>
  <c r="J337" i="1"/>
  <c r="AN337" i="1" s="1"/>
  <c r="J338" i="1"/>
  <c r="AN338" i="1" s="1"/>
  <c r="J339" i="1"/>
  <c r="AN339" i="1" s="1"/>
  <c r="J340" i="1"/>
  <c r="J341" i="1"/>
  <c r="J342" i="1"/>
  <c r="AN342" i="1" s="1"/>
  <c r="J343" i="1"/>
  <c r="AN343" i="1" s="1"/>
  <c r="J344" i="1"/>
  <c r="AN344" i="1" s="1"/>
  <c r="J345" i="1"/>
  <c r="AN345" i="1" s="1"/>
  <c r="J346" i="1"/>
  <c r="AN346" i="1" s="1"/>
  <c r="J347" i="1"/>
  <c r="AN347" i="1" s="1"/>
  <c r="J348" i="1"/>
  <c r="AN348" i="1" s="1"/>
  <c r="J349" i="1"/>
  <c r="AN349" i="1" s="1"/>
  <c r="J350" i="1"/>
  <c r="AN350" i="1" s="1"/>
  <c r="J351" i="1"/>
  <c r="AN351" i="1" s="1"/>
  <c r="J352" i="1"/>
  <c r="AN352" i="1" s="1"/>
  <c r="J353" i="1"/>
  <c r="AN353" i="1" s="1"/>
  <c r="J354" i="1"/>
  <c r="AN354" i="1" s="1"/>
  <c r="J355" i="1"/>
  <c r="J356" i="1"/>
  <c r="AN356" i="1" s="1"/>
  <c r="J357" i="1"/>
  <c r="AN357" i="1" s="1"/>
  <c r="J358" i="1"/>
  <c r="J359" i="1"/>
  <c r="AN359" i="1" s="1"/>
  <c r="J360" i="1"/>
  <c r="AN360" i="1" s="1"/>
  <c r="J361" i="1"/>
  <c r="AN361" i="1" s="1"/>
  <c r="J362" i="1"/>
  <c r="AN362" i="1" s="1"/>
  <c r="J363" i="1"/>
  <c r="AN363" i="1" s="1"/>
  <c r="J364" i="1"/>
  <c r="AN364" i="1" s="1"/>
  <c r="J365" i="1"/>
  <c r="AN365" i="1" s="1"/>
  <c r="J366" i="1"/>
  <c r="AN366" i="1" s="1"/>
  <c r="J367" i="1"/>
  <c r="AN367" i="1" s="1"/>
  <c r="J368" i="1"/>
  <c r="J369" i="1"/>
  <c r="J370" i="1"/>
  <c r="AN370" i="1" s="1"/>
  <c r="J371" i="1"/>
  <c r="AN371" i="1" s="1"/>
  <c r="J372" i="1"/>
  <c r="J373" i="1"/>
  <c r="AN373" i="1" s="1"/>
  <c r="J374" i="1"/>
  <c r="AN374" i="1" s="1"/>
  <c r="J375" i="1"/>
  <c r="AN375" i="1" s="1"/>
  <c r="J3" i="1"/>
  <c r="AN3" i="1" s="1"/>
  <c r="AN4" i="1"/>
  <c r="AN18" i="1"/>
  <c r="AN19" i="1"/>
  <c r="AN32" i="1"/>
  <c r="AN33" i="1"/>
  <c r="AN46" i="1"/>
  <c r="AN47" i="1"/>
  <c r="AN60" i="1"/>
  <c r="AN74" i="1"/>
  <c r="AN75" i="1"/>
  <c r="AN89" i="1"/>
  <c r="AN102" i="1"/>
  <c r="AN103" i="1"/>
  <c r="AN117" i="1"/>
  <c r="AN131" i="1"/>
  <c r="AN144" i="1"/>
  <c r="AN145" i="1"/>
  <c r="AN158" i="1"/>
  <c r="AN159" i="1"/>
  <c r="AN172" i="1"/>
  <c r="AN173" i="1"/>
  <c r="AN187" i="1"/>
  <c r="AN191" i="1"/>
  <c r="AN201" i="1"/>
  <c r="AN214" i="1"/>
  <c r="AN215" i="1"/>
  <c r="AN229" i="1"/>
  <c r="AN232" i="1"/>
  <c r="AN242" i="1"/>
  <c r="AN243" i="1"/>
  <c r="AN256" i="1"/>
  <c r="AN257" i="1"/>
  <c r="AN271" i="1"/>
  <c r="AN284" i="1"/>
  <c r="AN285" i="1"/>
  <c r="AN302" i="1"/>
  <c r="AN312" i="1"/>
  <c r="AN313" i="1"/>
  <c r="AN316" i="1"/>
  <c r="AN326" i="1"/>
  <c r="AN327" i="1"/>
  <c r="AN340" i="1"/>
  <c r="AN341" i="1"/>
  <c r="AN355" i="1"/>
  <c r="AN358" i="1"/>
  <c r="AN368" i="1"/>
  <c r="AN369" i="1"/>
  <c r="AN372" i="1"/>
  <c r="AN22" i="1"/>
  <c r="AN64" i="1"/>
  <c r="AN78" i="1"/>
  <c r="AN106" i="1"/>
  <c r="AN134" i="1"/>
  <c r="F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H4" i="1"/>
  <c r="AI4" i="1"/>
  <c r="AJ4" i="1"/>
  <c r="AK4" i="1"/>
  <c r="AL4" i="1"/>
  <c r="AM4" i="1"/>
  <c r="F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H5" i="1"/>
  <c r="AI5" i="1"/>
  <c r="AJ5" i="1"/>
  <c r="AK5" i="1"/>
  <c r="AL5" i="1"/>
  <c r="AM5" i="1"/>
  <c r="F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H6" i="1"/>
  <c r="AI6" i="1"/>
  <c r="AJ6" i="1"/>
  <c r="AK6" i="1"/>
  <c r="AL6" i="1"/>
  <c r="AM6" i="1"/>
  <c r="F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H7" i="1"/>
  <c r="AI7" i="1"/>
  <c r="AJ7" i="1"/>
  <c r="AK7" i="1"/>
  <c r="AL7" i="1"/>
  <c r="AM7" i="1"/>
  <c r="F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H8" i="1"/>
  <c r="AI8" i="1"/>
  <c r="AJ8" i="1"/>
  <c r="AK8" i="1"/>
  <c r="AL8" i="1"/>
  <c r="AM8" i="1"/>
  <c r="F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H9" i="1"/>
  <c r="AI9" i="1"/>
  <c r="AJ9" i="1"/>
  <c r="AK9" i="1"/>
  <c r="AL9" i="1"/>
  <c r="AM9" i="1"/>
  <c r="F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H10" i="1"/>
  <c r="AI10" i="1"/>
  <c r="AJ10" i="1"/>
  <c r="AK10" i="1"/>
  <c r="AL10" i="1"/>
  <c r="AM10" i="1"/>
  <c r="F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H11" i="1"/>
  <c r="AI11" i="1"/>
  <c r="AJ11" i="1"/>
  <c r="AK11" i="1"/>
  <c r="AL11" i="1"/>
  <c r="AM11" i="1"/>
  <c r="F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H12" i="1"/>
  <c r="AI12" i="1"/>
  <c r="AJ12" i="1"/>
  <c r="AK12" i="1"/>
  <c r="AL12" i="1"/>
  <c r="AM12" i="1"/>
  <c r="F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H13" i="1"/>
  <c r="AI13" i="1"/>
  <c r="AJ13" i="1"/>
  <c r="AK13" i="1"/>
  <c r="AL13" i="1"/>
  <c r="AM13" i="1"/>
  <c r="F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H14" i="1"/>
  <c r="AI14" i="1"/>
  <c r="AJ14" i="1"/>
  <c r="AK14" i="1"/>
  <c r="AL14" i="1"/>
  <c r="AM14" i="1"/>
  <c r="F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H15" i="1"/>
  <c r="AI15" i="1"/>
  <c r="AJ15" i="1"/>
  <c r="AK15" i="1"/>
  <c r="AL15" i="1"/>
  <c r="AM15" i="1"/>
  <c r="F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H16" i="1"/>
  <c r="AI16" i="1"/>
  <c r="AJ16" i="1"/>
  <c r="AK16" i="1"/>
  <c r="AL16" i="1"/>
  <c r="AM16" i="1"/>
  <c r="F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H17" i="1"/>
  <c r="AI17" i="1"/>
  <c r="AJ17" i="1"/>
  <c r="AK17" i="1"/>
  <c r="AL17" i="1"/>
  <c r="AM17" i="1"/>
  <c r="F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H18" i="1"/>
  <c r="AI18" i="1"/>
  <c r="AJ18" i="1"/>
  <c r="AK18" i="1"/>
  <c r="AL18" i="1"/>
  <c r="AM18" i="1"/>
  <c r="F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H19" i="1"/>
  <c r="AI19" i="1"/>
  <c r="AJ19" i="1"/>
  <c r="AK19" i="1"/>
  <c r="AL19" i="1"/>
  <c r="AM19" i="1"/>
  <c r="F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H20" i="1"/>
  <c r="AI20" i="1"/>
  <c r="AJ20" i="1"/>
  <c r="AK20" i="1"/>
  <c r="AL20" i="1"/>
  <c r="AM20" i="1"/>
  <c r="F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H21" i="1"/>
  <c r="AI21" i="1"/>
  <c r="AJ21" i="1"/>
  <c r="AK21" i="1"/>
  <c r="AL21" i="1"/>
  <c r="AM21" i="1"/>
  <c r="F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H22" i="1"/>
  <c r="AI22" i="1"/>
  <c r="AJ22" i="1"/>
  <c r="AK22" i="1"/>
  <c r="AL22" i="1"/>
  <c r="AM22" i="1"/>
  <c r="F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H23" i="1"/>
  <c r="AI23" i="1"/>
  <c r="AJ23" i="1"/>
  <c r="AK23" i="1"/>
  <c r="AL23" i="1"/>
  <c r="AM23" i="1"/>
  <c r="F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H24" i="1"/>
  <c r="AI24" i="1"/>
  <c r="AJ24" i="1"/>
  <c r="AK24" i="1"/>
  <c r="AL24" i="1"/>
  <c r="AM24" i="1"/>
  <c r="F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H25" i="1"/>
  <c r="AI25" i="1"/>
  <c r="AJ25" i="1"/>
  <c r="AK25" i="1"/>
  <c r="AL25" i="1"/>
  <c r="AM25" i="1"/>
  <c r="F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H26" i="1"/>
  <c r="AI26" i="1"/>
  <c r="AJ26" i="1"/>
  <c r="AK26" i="1"/>
  <c r="AL26" i="1"/>
  <c r="AM26" i="1"/>
  <c r="F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H27" i="1"/>
  <c r="AI27" i="1"/>
  <c r="AJ27" i="1"/>
  <c r="AK27" i="1"/>
  <c r="AL27" i="1"/>
  <c r="AM27" i="1"/>
  <c r="F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H28" i="1"/>
  <c r="AI28" i="1"/>
  <c r="AJ28" i="1"/>
  <c r="AK28" i="1"/>
  <c r="AL28" i="1"/>
  <c r="AM28" i="1"/>
  <c r="F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H29" i="1"/>
  <c r="AI29" i="1"/>
  <c r="AJ29" i="1"/>
  <c r="AK29" i="1"/>
  <c r="AL29" i="1"/>
  <c r="AM29" i="1"/>
  <c r="F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H30" i="1"/>
  <c r="AI30" i="1"/>
  <c r="AJ30" i="1"/>
  <c r="AK30" i="1"/>
  <c r="AL30" i="1"/>
  <c r="AM30" i="1"/>
  <c r="F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H31" i="1"/>
  <c r="AI31" i="1"/>
  <c r="AJ31" i="1"/>
  <c r="AK31" i="1"/>
  <c r="AL31" i="1"/>
  <c r="AM31" i="1"/>
  <c r="F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H32" i="1"/>
  <c r="AI32" i="1"/>
  <c r="AJ32" i="1"/>
  <c r="AK32" i="1"/>
  <c r="AL32" i="1"/>
  <c r="AM32" i="1"/>
  <c r="F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H33" i="1"/>
  <c r="AI33" i="1"/>
  <c r="AJ33" i="1"/>
  <c r="AK33" i="1"/>
  <c r="AL33" i="1"/>
  <c r="AM33" i="1"/>
  <c r="F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H34" i="1"/>
  <c r="AI34" i="1"/>
  <c r="AJ34" i="1"/>
  <c r="AK34" i="1"/>
  <c r="AL34" i="1"/>
  <c r="AM34" i="1"/>
  <c r="F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H35" i="1"/>
  <c r="AI35" i="1"/>
  <c r="AJ35" i="1"/>
  <c r="AK35" i="1"/>
  <c r="AL35" i="1"/>
  <c r="AM35" i="1"/>
  <c r="F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H36" i="1"/>
  <c r="AI36" i="1"/>
  <c r="AJ36" i="1"/>
  <c r="AK36" i="1"/>
  <c r="AL36" i="1"/>
  <c r="AM36" i="1"/>
  <c r="F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H37" i="1"/>
  <c r="AI37" i="1"/>
  <c r="AJ37" i="1"/>
  <c r="AK37" i="1"/>
  <c r="AL37" i="1"/>
  <c r="AM37" i="1"/>
  <c r="F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H38" i="1"/>
  <c r="AI38" i="1"/>
  <c r="AJ38" i="1"/>
  <c r="AK38" i="1"/>
  <c r="AL38" i="1"/>
  <c r="AM38" i="1"/>
  <c r="F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H39" i="1"/>
  <c r="AI39" i="1"/>
  <c r="AJ39" i="1"/>
  <c r="AK39" i="1"/>
  <c r="AL39" i="1"/>
  <c r="AM39" i="1"/>
  <c r="F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H40" i="1"/>
  <c r="AI40" i="1"/>
  <c r="AJ40" i="1"/>
  <c r="AK40" i="1"/>
  <c r="AL40" i="1"/>
  <c r="AM40" i="1"/>
  <c r="F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H41" i="1"/>
  <c r="AI41" i="1"/>
  <c r="AJ41" i="1"/>
  <c r="AK41" i="1"/>
  <c r="AL41" i="1"/>
  <c r="AM41" i="1"/>
  <c r="F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H42" i="1"/>
  <c r="AI42" i="1"/>
  <c r="AJ42" i="1"/>
  <c r="AK42" i="1"/>
  <c r="AL42" i="1"/>
  <c r="AM42" i="1"/>
  <c r="F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H43" i="1"/>
  <c r="AI43" i="1"/>
  <c r="AJ43" i="1"/>
  <c r="AK43" i="1"/>
  <c r="AL43" i="1"/>
  <c r="AM43" i="1"/>
  <c r="F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H44" i="1"/>
  <c r="AI44" i="1"/>
  <c r="AJ44" i="1"/>
  <c r="AK44" i="1"/>
  <c r="AL44" i="1"/>
  <c r="AM44" i="1"/>
  <c r="F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H45" i="1"/>
  <c r="AI45" i="1"/>
  <c r="AJ45" i="1"/>
  <c r="AK45" i="1"/>
  <c r="AL45" i="1"/>
  <c r="AM45" i="1"/>
  <c r="F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H46" i="1"/>
  <c r="AI46" i="1"/>
  <c r="AJ46" i="1"/>
  <c r="AK46" i="1"/>
  <c r="AL46" i="1"/>
  <c r="AM46" i="1"/>
  <c r="F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H47" i="1"/>
  <c r="AI47" i="1"/>
  <c r="AJ47" i="1"/>
  <c r="AK47" i="1"/>
  <c r="AL47" i="1"/>
  <c r="AM47" i="1"/>
  <c r="F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H48" i="1"/>
  <c r="AI48" i="1"/>
  <c r="AJ48" i="1"/>
  <c r="AK48" i="1"/>
  <c r="AL48" i="1"/>
  <c r="AM48" i="1"/>
  <c r="F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H49" i="1"/>
  <c r="AI49" i="1"/>
  <c r="AJ49" i="1"/>
  <c r="AK49" i="1"/>
  <c r="AL49" i="1"/>
  <c r="AM49" i="1"/>
  <c r="F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H50" i="1"/>
  <c r="AI50" i="1"/>
  <c r="AJ50" i="1"/>
  <c r="AK50" i="1"/>
  <c r="AL50" i="1"/>
  <c r="AM50" i="1"/>
  <c r="F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H51" i="1"/>
  <c r="AI51" i="1"/>
  <c r="AJ51" i="1"/>
  <c r="AK51" i="1"/>
  <c r="AL51" i="1"/>
  <c r="AM51" i="1"/>
  <c r="F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H52" i="1"/>
  <c r="AI52" i="1"/>
  <c r="AJ52" i="1"/>
  <c r="AK52" i="1"/>
  <c r="AL52" i="1"/>
  <c r="AM52" i="1"/>
  <c r="F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H53" i="1"/>
  <c r="AI53" i="1"/>
  <c r="AJ53" i="1"/>
  <c r="AK53" i="1"/>
  <c r="AL53" i="1"/>
  <c r="AM53" i="1"/>
  <c r="F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H54" i="1"/>
  <c r="AI54" i="1"/>
  <c r="AJ54" i="1"/>
  <c r="AK54" i="1"/>
  <c r="AL54" i="1"/>
  <c r="AM54" i="1"/>
  <c r="F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H55" i="1"/>
  <c r="AI55" i="1"/>
  <c r="AJ55" i="1"/>
  <c r="AK55" i="1"/>
  <c r="AL55" i="1"/>
  <c r="AM55" i="1"/>
  <c r="F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H56" i="1"/>
  <c r="AI56" i="1"/>
  <c r="AJ56" i="1"/>
  <c r="AK56" i="1"/>
  <c r="AL56" i="1"/>
  <c r="AM56" i="1"/>
  <c r="F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H57" i="1"/>
  <c r="AI57" i="1"/>
  <c r="AJ57" i="1"/>
  <c r="AK57" i="1"/>
  <c r="AL57" i="1"/>
  <c r="AM57" i="1"/>
  <c r="F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H58" i="1"/>
  <c r="AI58" i="1"/>
  <c r="AJ58" i="1"/>
  <c r="AK58" i="1"/>
  <c r="AL58" i="1"/>
  <c r="AM58" i="1"/>
  <c r="F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H59" i="1"/>
  <c r="AI59" i="1"/>
  <c r="AJ59" i="1"/>
  <c r="AK59" i="1"/>
  <c r="AL59" i="1"/>
  <c r="AM59" i="1"/>
  <c r="F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H60" i="1"/>
  <c r="AI60" i="1"/>
  <c r="AJ60" i="1"/>
  <c r="AK60" i="1"/>
  <c r="AL60" i="1"/>
  <c r="AM60" i="1"/>
  <c r="F61" i="1"/>
  <c r="AN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H61" i="1"/>
  <c r="AI61" i="1"/>
  <c r="AJ61" i="1"/>
  <c r="AK61" i="1"/>
  <c r="AL61" i="1"/>
  <c r="AM61" i="1"/>
  <c r="F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H62" i="1"/>
  <c r="AI62" i="1"/>
  <c r="AJ62" i="1"/>
  <c r="AK62" i="1"/>
  <c r="AL62" i="1"/>
  <c r="AM62" i="1"/>
  <c r="F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H63" i="1"/>
  <c r="AI63" i="1"/>
  <c r="AJ63" i="1"/>
  <c r="AK63" i="1"/>
  <c r="AL63" i="1"/>
  <c r="AM63" i="1"/>
  <c r="F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H64" i="1"/>
  <c r="AI64" i="1"/>
  <c r="AJ64" i="1"/>
  <c r="AK64" i="1"/>
  <c r="AL64" i="1"/>
  <c r="AM64" i="1"/>
  <c r="F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H65" i="1"/>
  <c r="AI65" i="1"/>
  <c r="AJ65" i="1"/>
  <c r="AK65" i="1"/>
  <c r="AL65" i="1"/>
  <c r="AM65" i="1"/>
  <c r="F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H66" i="1"/>
  <c r="AI66" i="1"/>
  <c r="AJ66" i="1"/>
  <c r="AK66" i="1"/>
  <c r="AL66" i="1"/>
  <c r="AM66" i="1"/>
  <c r="F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H67" i="1"/>
  <c r="AI67" i="1"/>
  <c r="AJ67" i="1"/>
  <c r="AK67" i="1"/>
  <c r="AL67" i="1"/>
  <c r="AM67" i="1"/>
  <c r="F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H68" i="1"/>
  <c r="AI68" i="1"/>
  <c r="AJ68" i="1"/>
  <c r="AK68" i="1"/>
  <c r="AL68" i="1"/>
  <c r="AM68" i="1"/>
  <c r="F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H69" i="1"/>
  <c r="AI69" i="1"/>
  <c r="AJ69" i="1"/>
  <c r="AK69" i="1"/>
  <c r="AL69" i="1"/>
  <c r="AM69" i="1"/>
  <c r="F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H70" i="1"/>
  <c r="AI70" i="1"/>
  <c r="AJ70" i="1"/>
  <c r="AK70" i="1"/>
  <c r="AL70" i="1"/>
  <c r="AM70" i="1"/>
  <c r="F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H71" i="1"/>
  <c r="AI71" i="1"/>
  <c r="AJ71" i="1"/>
  <c r="AK71" i="1"/>
  <c r="AL71" i="1"/>
  <c r="AM71" i="1"/>
  <c r="F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H72" i="1"/>
  <c r="AI72" i="1"/>
  <c r="AJ72" i="1"/>
  <c r="AK72" i="1"/>
  <c r="AL72" i="1"/>
  <c r="AM72" i="1"/>
  <c r="F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H73" i="1"/>
  <c r="AI73" i="1"/>
  <c r="AJ73" i="1"/>
  <c r="AK73" i="1"/>
  <c r="AL73" i="1"/>
  <c r="AM73" i="1"/>
  <c r="F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H74" i="1"/>
  <c r="AI74" i="1"/>
  <c r="AJ74" i="1"/>
  <c r="AK74" i="1"/>
  <c r="AL74" i="1"/>
  <c r="AM74" i="1"/>
  <c r="F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H75" i="1"/>
  <c r="AI75" i="1"/>
  <c r="AJ75" i="1"/>
  <c r="AK75" i="1"/>
  <c r="AL75" i="1"/>
  <c r="AM75" i="1"/>
  <c r="F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H76" i="1"/>
  <c r="AI76" i="1"/>
  <c r="AJ76" i="1"/>
  <c r="AK76" i="1"/>
  <c r="AL76" i="1"/>
  <c r="AM76" i="1"/>
  <c r="F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H77" i="1"/>
  <c r="AI77" i="1"/>
  <c r="AJ77" i="1"/>
  <c r="AK77" i="1"/>
  <c r="AL77" i="1"/>
  <c r="AM77" i="1"/>
  <c r="F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H78" i="1"/>
  <c r="AI78" i="1"/>
  <c r="AJ78" i="1"/>
  <c r="AK78" i="1"/>
  <c r="AL78" i="1"/>
  <c r="AM78" i="1"/>
  <c r="F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H79" i="1"/>
  <c r="AI79" i="1"/>
  <c r="AJ79" i="1"/>
  <c r="AK79" i="1"/>
  <c r="AL79" i="1"/>
  <c r="AM79" i="1"/>
  <c r="F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H80" i="1"/>
  <c r="AI80" i="1"/>
  <c r="AJ80" i="1"/>
  <c r="AK80" i="1"/>
  <c r="AL80" i="1"/>
  <c r="AM80" i="1"/>
  <c r="F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H81" i="1"/>
  <c r="AI81" i="1"/>
  <c r="AJ81" i="1"/>
  <c r="AK81" i="1"/>
  <c r="AL81" i="1"/>
  <c r="AM81" i="1"/>
  <c r="F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H82" i="1"/>
  <c r="AI82" i="1"/>
  <c r="AJ82" i="1"/>
  <c r="AK82" i="1"/>
  <c r="AL82" i="1"/>
  <c r="AM82" i="1"/>
  <c r="F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H83" i="1"/>
  <c r="AI83" i="1"/>
  <c r="AJ83" i="1"/>
  <c r="AK83" i="1"/>
  <c r="AL83" i="1"/>
  <c r="AM83" i="1"/>
  <c r="F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H84" i="1"/>
  <c r="AI84" i="1"/>
  <c r="AJ84" i="1"/>
  <c r="AK84" i="1"/>
  <c r="AL84" i="1"/>
  <c r="AM84" i="1"/>
  <c r="F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H85" i="1"/>
  <c r="AI85" i="1"/>
  <c r="AJ85" i="1"/>
  <c r="AK85" i="1"/>
  <c r="AL85" i="1"/>
  <c r="AM85" i="1"/>
  <c r="F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H86" i="1"/>
  <c r="AI86" i="1"/>
  <c r="AJ86" i="1"/>
  <c r="AK86" i="1"/>
  <c r="AL86" i="1"/>
  <c r="AM86" i="1"/>
  <c r="F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H87" i="1"/>
  <c r="AI87" i="1"/>
  <c r="AJ87" i="1"/>
  <c r="AK87" i="1"/>
  <c r="AL87" i="1"/>
  <c r="AM87" i="1"/>
  <c r="F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H88" i="1"/>
  <c r="AI88" i="1"/>
  <c r="AJ88" i="1"/>
  <c r="AK88" i="1"/>
  <c r="AL88" i="1"/>
  <c r="AM88" i="1"/>
  <c r="F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H89" i="1"/>
  <c r="AI89" i="1"/>
  <c r="AJ89" i="1"/>
  <c r="AK89" i="1"/>
  <c r="AL89" i="1"/>
  <c r="AM89" i="1"/>
  <c r="F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H90" i="1"/>
  <c r="AI90" i="1"/>
  <c r="AJ90" i="1"/>
  <c r="AK90" i="1"/>
  <c r="AL90" i="1"/>
  <c r="AM90" i="1"/>
  <c r="F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H91" i="1"/>
  <c r="AI91" i="1"/>
  <c r="AJ91" i="1"/>
  <c r="AK91" i="1"/>
  <c r="AL91" i="1"/>
  <c r="AM91" i="1"/>
  <c r="F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H92" i="1"/>
  <c r="AI92" i="1"/>
  <c r="AJ92" i="1"/>
  <c r="AK92" i="1"/>
  <c r="AL92" i="1"/>
  <c r="AM92" i="1"/>
  <c r="F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H93" i="1"/>
  <c r="AI93" i="1"/>
  <c r="AJ93" i="1"/>
  <c r="AK93" i="1"/>
  <c r="AL93" i="1"/>
  <c r="AM93" i="1"/>
  <c r="F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H94" i="1"/>
  <c r="AI94" i="1"/>
  <c r="AJ94" i="1"/>
  <c r="AK94" i="1"/>
  <c r="AL94" i="1"/>
  <c r="AM94" i="1"/>
  <c r="F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H95" i="1"/>
  <c r="AI95" i="1"/>
  <c r="AJ95" i="1"/>
  <c r="AK95" i="1"/>
  <c r="AL95" i="1"/>
  <c r="AM95" i="1"/>
  <c r="F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H96" i="1"/>
  <c r="AI96" i="1"/>
  <c r="AJ96" i="1"/>
  <c r="AK96" i="1"/>
  <c r="AL96" i="1"/>
  <c r="AM96" i="1"/>
  <c r="F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H97" i="1"/>
  <c r="AI97" i="1"/>
  <c r="AJ97" i="1"/>
  <c r="AK97" i="1"/>
  <c r="AL97" i="1"/>
  <c r="AM97" i="1"/>
  <c r="F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H98" i="1"/>
  <c r="AI98" i="1"/>
  <c r="AJ98" i="1"/>
  <c r="AK98" i="1"/>
  <c r="AL98" i="1"/>
  <c r="AM98" i="1"/>
  <c r="F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H99" i="1"/>
  <c r="AI99" i="1"/>
  <c r="AJ99" i="1"/>
  <c r="AK99" i="1"/>
  <c r="AL99" i="1"/>
  <c r="AM99" i="1"/>
  <c r="F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H100" i="1"/>
  <c r="AI100" i="1"/>
  <c r="AJ100" i="1"/>
  <c r="AK100" i="1"/>
  <c r="AL100" i="1"/>
  <c r="AM100" i="1"/>
  <c r="F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H101" i="1"/>
  <c r="AI101" i="1"/>
  <c r="AJ101" i="1"/>
  <c r="AK101" i="1"/>
  <c r="AL101" i="1"/>
  <c r="AM101" i="1"/>
  <c r="F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H102" i="1"/>
  <c r="AI102" i="1"/>
  <c r="AJ102" i="1"/>
  <c r="AK102" i="1"/>
  <c r="AL102" i="1"/>
  <c r="AM102" i="1"/>
  <c r="F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H103" i="1"/>
  <c r="AI103" i="1"/>
  <c r="AJ103" i="1"/>
  <c r="AK103" i="1"/>
  <c r="AL103" i="1"/>
  <c r="AM103" i="1"/>
  <c r="F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H104" i="1"/>
  <c r="AI104" i="1"/>
  <c r="AJ104" i="1"/>
  <c r="AK104" i="1"/>
  <c r="AL104" i="1"/>
  <c r="AM104" i="1"/>
  <c r="F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H105" i="1"/>
  <c r="AI105" i="1"/>
  <c r="AJ105" i="1"/>
  <c r="AK105" i="1"/>
  <c r="AL105" i="1"/>
  <c r="AM105" i="1"/>
  <c r="F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H106" i="1"/>
  <c r="AI106" i="1"/>
  <c r="AJ106" i="1"/>
  <c r="AK106" i="1"/>
  <c r="AL106" i="1"/>
  <c r="AM106" i="1"/>
  <c r="F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H107" i="1"/>
  <c r="AI107" i="1"/>
  <c r="AJ107" i="1"/>
  <c r="AK107" i="1"/>
  <c r="AL107" i="1"/>
  <c r="AM107" i="1"/>
  <c r="F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H108" i="1"/>
  <c r="AI108" i="1"/>
  <c r="AJ108" i="1"/>
  <c r="AK108" i="1"/>
  <c r="AL108" i="1"/>
  <c r="AM108" i="1"/>
  <c r="F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H109" i="1"/>
  <c r="AI109" i="1"/>
  <c r="AJ109" i="1"/>
  <c r="AK109" i="1"/>
  <c r="AL109" i="1"/>
  <c r="AM109" i="1"/>
  <c r="F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H110" i="1"/>
  <c r="AI110" i="1"/>
  <c r="AJ110" i="1"/>
  <c r="AK110" i="1"/>
  <c r="AL110" i="1"/>
  <c r="AM110" i="1"/>
  <c r="F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H111" i="1"/>
  <c r="AI111" i="1"/>
  <c r="AJ111" i="1"/>
  <c r="AK111" i="1"/>
  <c r="AL111" i="1"/>
  <c r="AM111" i="1"/>
  <c r="F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H112" i="1"/>
  <c r="AI112" i="1"/>
  <c r="AJ112" i="1"/>
  <c r="AK112" i="1"/>
  <c r="AL112" i="1"/>
  <c r="AM112" i="1"/>
  <c r="F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H113" i="1"/>
  <c r="AI113" i="1"/>
  <c r="AJ113" i="1"/>
  <c r="AK113" i="1"/>
  <c r="AL113" i="1"/>
  <c r="AM113" i="1"/>
  <c r="F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H114" i="1"/>
  <c r="AI114" i="1"/>
  <c r="AJ114" i="1"/>
  <c r="AK114" i="1"/>
  <c r="AL114" i="1"/>
  <c r="AM114" i="1"/>
  <c r="F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H115" i="1"/>
  <c r="AI115" i="1"/>
  <c r="AJ115" i="1"/>
  <c r="AK115" i="1"/>
  <c r="AL115" i="1"/>
  <c r="AM115" i="1"/>
  <c r="F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H116" i="1"/>
  <c r="AI116" i="1"/>
  <c r="AJ116" i="1"/>
  <c r="AK116" i="1"/>
  <c r="AL116" i="1"/>
  <c r="AM116" i="1"/>
  <c r="F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H117" i="1"/>
  <c r="AI117" i="1"/>
  <c r="AJ117" i="1"/>
  <c r="AK117" i="1"/>
  <c r="AL117" i="1"/>
  <c r="AM117" i="1"/>
  <c r="F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H118" i="1"/>
  <c r="AI118" i="1"/>
  <c r="AJ118" i="1"/>
  <c r="AK118" i="1"/>
  <c r="AL118" i="1"/>
  <c r="AM118" i="1"/>
  <c r="F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H119" i="1"/>
  <c r="AI119" i="1"/>
  <c r="AJ119" i="1"/>
  <c r="AK119" i="1"/>
  <c r="AL119" i="1"/>
  <c r="AM119" i="1"/>
  <c r="F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H120" i="1"/>
  <c r="AI120" i="1"/>
  <c r="AJ120" i="1"/>
  <c r="AK120" i="1"/>
  <c r="AL120" i="1"/>
  <c r="AM120" i="1"/>
  <c r="F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H121" i="1"/>
  <c r="AI121" i="1"/>
  <c r="AJ121" i="1"/>
  <c r="AK121" i="1"/>
  <c r="AL121" i="1"/>
  <c r="AM121" i="1"/>
  <c r="F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H122" i="1"/>
  <c r="AI122" i="1"/>
  <c r="AJ122" i="1"/>
  <c r="AK122" i="1"/>
  <c r="AL122" i="1"/>
  <c r="AM122" i="1"/>
  <c r="F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H123" i="1"/>
  <c r="AI123" i="1"/>
  <c r="AJ123" i="1"/>
  <c r="AK123" i="1"/>
  <c r="AL123" i="1"/>
  <c r="AM123" i="1"/>
  <c r="F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H124" i="1"/>
  <c r="AI124" i="1"/>
  <c r="AJ124" i="1"/>
  <c r="AK124" i="1"/>
  <c r="AL124" i="1"/>
  <c r="AM124" i="1"/>
  <c r="F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H125" i="1"/>
  <c r="AI125" i="1"/>
  <c r="AJ125" i="1"/>
  <c r="AK125" i="1"/>
  <c r="AL125" i="1"/>
  <c r="AM125" i="1"/>
  <c r="F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H126" i="1"/>
  <c r="AI126" i="1"/>
  <c r="AJ126" i="1"/>
  <c r="AK126" i="1"/>
  <c r="AL126" i="1"/>
  <c r="AM126" i="1"/>
  <c r="F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H127" i="1"/>
  <c r="AI127" i="1"/>
  <c r="AJ127" i="1"/>
  <c r="AK127" i="1"/>
  <c r="AL127" i="1"/>
  <c r="AM127" i="1"/>
  <c r="F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H128" i="1"/>
  <c r="AI128" i="1"/>
  <c r="AJ128" i="1"/>
  <c r="AK128" i="1"/>
  <c r="AL128" i="1"/>
  <c r="AM128" i="1"/>
  <c r="F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H129" i="1"/>
  <c r="AI129" i="1"/>
  <c r="AJ129" i="1"/>
  <c r="AK129" i="1"/>
  <c r="AL129" i="1"/>
  <c r="AM129" i="1"/>
  <c r="F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H130" i="1"/>
  <c r="AI130" i="1"/>
  <c r="AJ130" i="1"/>
  <c r="AK130" i="1"/>
  <c r="AL130" i="1"/>
  <c r="AM130" i="1"/>
  <c r="F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H131" i="1"/>
  <c r="AI131" i="1"/>
  <c r="AJ131" i="1"/>
  <c r="AK131" i="1"/>
  <c r="AL131" i="1"/>
  <c r="AM131" i="1"/>
  <c r="F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H132" i="1"/>
  <c r="AI132" i="1"/>
  <c r="AJ132" i="1"/>
  <c r="AK132" i="1"/>
  <c r="AL132" i="1"/>
  <c r="AM132" i="1"/>
  <c r="F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H133" i="1"/>
  <c r="AI133" i="1"/>
  <c r="AJ133" i="1"/>
  <c r="AK133" i="1"/>
  <c r="AL133" i="1"/>
  <c r="AM133" i="1"/>
  <c r="F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H134" i="1"/>
  <c r="AI134" i="1"/>
  <c r="AJ134" i="1"/>
  <c r="AK134" i="1"/>
  <c r="AL134" i="1"/>
  <c r="AM134" i="1"/>
  <c r="F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H135" i="1"/>
  <c r="AI135" i="1"/>
  <c r="AJ135" i="1"/>
  <c r="AK135" i="1"/>
  <c r="AL135" i="1"/>
  <c r="AM135" i="1"/>
  <c r="F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H136" i="1"/>
  <c r="AI136" i="1"/>
  <c r="AJ136" i="1"/>
  <c r="AK136" i="1"/>
  <c r="AL136" i="1"/>
  <c r="AM136" i="1"/>
  <c r="F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H137" i="1"/>
  <c r="AI137" i="1"/>
  <c r="AJ137" i="1"/>
  <c r="AK137" i="1"/>
  <c r="AL137" i="1"/>
  <c r="AM137" i="1"/>
  <c r="F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H138" i="1"/>
  <c r="AI138" i="1"/>
  <c r="AJ138" i="1"/>
  <c r="AK138" i="1"/>
  <c r="AL138" i="1"/>
  <c r="AM138" i="1"/>
  <c r="F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H139" i="1"/>
  <c r="AI139" i="1"/>
  <c r="AJ139" i="1"/>
  <c r="AK139" i="1"/>
  <c r="AL139" i="1"/>
  <c r="AM139" i="1"/>
  <c r="F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H140" i="1"/>
  <c r="AI140" i="1"/>
  <c r="AJ140" i="1"/>
  <c r="AK140" i="1"/>
  <c r="AL140" i="1"/>
  <c r="AM140" i="1"/>
  <c r="F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H141" i="1"/>
  <c r="AI141" i="1"/>
  <c r="AJ141" i="1"/>
  <c r="AK141" i="1"/>
  <c r="AL141" i="1"/>
  <c r="AM141" i="1"/>
  <c r="F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H142" i="1"/>
  <c r="AI142" i="1"/>
  <c r="AJ142" i="1"/>
  <c r="AK142" i="1"/>
  <c r="AL142" i="1"/>
  <c r="AM142" i="1"/>
  <c r="F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H143" i="1"/>
  <c r="AI143" i="1"/>
  <c r="AJ143" i="1"/>
  <c r="AK143" i="1"/>
  <c r="AL143" i="1"/>
  <c r="AM143" i="1"/>
  <c r="F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H144" i="1"/>
  <c r="AI144" i="1"/>
  <c r="AJ144" i="1"/>
  <c r="AK144" i="1"/>
  <c r="AL144" i="1"/>
  <c r="AM144" i="1"/>
  <c r="F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H145" i="1"/>
  <c r="AI145" i="1"/>
  <c r="AJ145" i="1"/>
  <c r="AK145" i="1"/>
  <c r="AL145" i="1"/>
  <c r="AM145" i="1"/>
  <c r="F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H146" i="1"/>
  <c r="AI146" i="1"/>
  <c r="AJ146" i="1"/>
  <c r="AK146" i="1"/>
  <c r="AL146" i="1"/>
  <c r="AM146" i="1"/>
  <c r="F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H147" i="1"/>
  <c r="AI147" i="1"/>
  <c r="AJ147" i="1"/>
  <c r="AK147" i="1"/>
  <c r="AL147" i="1"/>
  <c r="AM147" i="1"/>
  <c r="F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H148" i="1"/>
  <c r="AI148" i="1"/>
  <c r="AJ148" i="1"/>
  <c r="AK148" i="1"/>
  <c r="AL148" i="1"/>
  <c r="AM148" i="1"/>
  <c r="F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H149" i="1"/>
  <c r="AI149" i="1"/>
  <c r="AJ149" i="1"/>
  <c r="AK149" i="1"/>
  <c r="AL149" i="1"/>
  <c r="AM149" i="1"/>
  <c r="F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H150" i="1"/>
  <c r="AI150" i="1"/>
  <c r="AJ150" i="1"/>
  <c r="AK150" i="1"/>
  <c r="AL150" i="1"/>
  <c r="AM150" i="1"/>
  <c r="F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H151" i="1"/>
  <c r="AI151" i="1"/>
  <c r="AJ151" i="1"/>
  <c r="AK151" i="1"/>
  <c r="AL151" i="1"/>
  <c r="AM151" i="1"/>
  <c r="F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H152" i="1"/>
  <c r="AI152" i="1"/>
  <c r="AJ152" i="1"/>
  <c r="AK152" i="1"/>
  <c r="AL152" i="1"/>
  <c r="AM152" i="1"/>
  <c r="F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H153" i="1"/>
  <c r="AI153" i="1"/>
  <c r="AJ153" i="1"/>
  <c r="AK153" i="1"/>
  <c r="AL153" i="1"/>
  <c r="AM153" i="1"/>
  <c r="F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H154" i="1"/>
  <c r="AI154" i="1"/>
  <c r="AJ154" i="1"/>
  <c r="AK154" i="1"/>
  <c r="AL154" i="1"/>
  <c r="AM154" i="1"/>
  <c r="F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H155" i="1"/>
  <c r="AI155" i="1"/>
  <c r="AJ155" i="1"/>
  <c r="AK155" i="1"/>
  <c r="AL155" i="1"/>
  <c r="AM155" i="1"/>
  <c r="F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H156" i="1"/>
  <c r="AI156" i="1"/>
  <c r="AJ156" i="1"/>
  <c r="AK156" i="1"/>
  <c r="AL156" i="1"/>
  <c r="AM156" i="1"/>
  <c r="F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H157" i="1"/>
  <c r="AI157" i="1"/>
  <c r="AJ157" i="1"/>
  <c r="AK157" i="1"/>
  <c r="AL157" i="1"/>
  <c r="AM157" i="1"/>
  <c r="F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H158" i="1"/>
  <c r="AI158" i="1"/>
  <c r="AJ158" i="1"/>
  <c r="AK158" i="1"/>
  <c r="AL158" i="1"/>
  <c r="AM158" i="1"/>
  <c r="F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H159" i="1"/>
  <c r="AI159" i="1"/>
  <c r="AJ159" i="1"/>
  <c r="AK159" i="1"/>
  <c r="AL159" i="1"/>
  <c r="AM159" i="1"/>
  <c r="F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H160" i="1"/>
  <c r="AI160" i="1"/>
  <c r="AJ160" i="1"/>
  <c r="AK160" i="1"/>
  <c r="AL160" i="1"/>
  <c r="AM160" i="1"/>
  <c r="F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H161" i="1"/>
  <c r="AI161" i="1"/>
  <c r="AJ161" i="1"/>
  <c r="AK161" i="1"/>
  <c r="AL161" i="1"/>
  <c r="AM161" i="1"/>
  <c r="F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H162" i="1"/>
  <c r="AI162" i="1"/>
  <c r="AJ162" i="1"/>
  <c r="AK162" i="1"/>
  <c r="AL162" i="1"/>
  <c r="AM162" i="1"/>
  <c r="F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H163" i="1"/>
  <c r="AI163" i="1"/>
  <c r="AJ163" i="1"/>
  <c r="AK163" i="1"/>
  <c r="AL163" i="1"/>
  <c r="AM163" i="1"/>
  <c r="F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H164" i="1"/>
  <c r="AI164" i="1"/>
  <c r="AJ164" i="1"/>
  <c r="AK164" i="1"/>
  <c r="AL164" i="1"/>
  <c r="AM164" i="1"/>
  <c r="F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H165" i="1"/>
  <c r="AI165" i="1"/>
  <c r="AJ165" i="1"/>
  <c r="AK165" i="1"/>
  <c r="AL165" i="1"/>
  <c r="AM165" i="1"/>
  <c r="F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H166" i="1"/>
  <c r="AI166" i="1"/>
  <c r="AJ166" i="1"/>
  <c r="AK166" i="1"/>
  <c r="AL166" i="1"/>
  <c r="AM166" i="1"/>
  <c r="F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H167" i="1"/>
  <c r="AI167" i="1"/>
  <c r="AJ167" i="1"/>
  <c r="AK167" i="1"/>
  <c r="AL167" i="1"/>
  <c r="AM167" i="1"/>
  <c r="F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H168" i="1"/>
  <c r="AI168" i="1"/>
  <c r="AJ168" i="1"/>
  <c r="AK168" i="1"/>
  <c r="AL168" i="1"/>
  <c r="AM168" i="1"/>
  <c r="F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H169" i="1"/>
  <c r="AI169" i="1"/>
  <c r="AJ169" i="1"/>
  <c r="AK169" i="1"/>
  <c r="AL169" i="1"/>
  <c r="AM169" i="1"/>
  <c r="F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H170" i="1"/>
  <c r="AI170" i="1"/>
  <c r="AJ170" i="1"/>
  <c r="AK170" i="1"/>
  <c r="AL170" i="1"/>
  <c r="AM170" i="1"/>
  <c r="F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H171" i="1"/>
  <c r="AI171" i="1"/>
  <c r="AJ171" i="1"/>
  <c r="AK171" i="1"/>
  <c r="AL171" i="1"/>
  <c r="AM171" i="1"/>
  <c r="F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H172" i="1"/>
  <c r="AI172" i="1"/>
  <c r="AJ172" i="1"/>
  <c r="AK172" i="1"/>
  <c r="AL172" i="1"/>
  <c r="AM172" i="1"/>
  <c r="F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H173" i="1"/>
  <c r="AI173" i="1"/>
  <c r="AJ173" i="1"/>
  <c r="AK173" i="1"/>
  <c r="AL173" i="1"/>
  <c r="AM173" i="1"/>
  <c r="F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H174" i="1"/>
  <c r="AI174" i="1"/>
  <c r="AJ174" i="1"/>
  <c r="AK174" i="1"/>
  <c r="AL174" i="1"/>
  <c r="AM174" i="1"/>
  <c r="F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H175" i="1"/>
  <c r="AI175" i="1"/>
  <c r="AJ175" i="1"/>
  <c r="AK175" i="1"/>
  <c r="AL175" i="1"/>
  <c r="AM175" i="1"/>
  <c r="F176" i="1"/>
  <c r="AN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H176" i="1"/>
  <c r="AI176" i="1"/>
  <c r="AJ176" i="1"/>
  <c r="AK176" i="1"/>
  <c r="AL176" i="1"/>
  <c r="AM176" i="1"/>
  <c r="F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H177" i="1"/>
  <c r="AI177" i="1"/>
  <c r="AJ177" i="1"/>
  <c r="AK177" i="1"/>
  <c r="AL177" i="1"/>
  <c r="AM177" i="1"/>
  <c r="F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H178" i="1"/>
  <c r="AI178" i="1"/>
  <c r="AJ178" i="1"/>
  <c r="AK178" i="1"/>
  <c r="AL178" i="1"/>
  <c r="AM178" i="1"/>
  <c r="F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H179" i="1"/>
  <c r="AI179" i="1"/>
  <c r="AJ179" i="1"/>
  <c r="AK179" i="1"/>
  <c r="AL179" i="1"/>
  <c r="AM179" i="1"/>
  <c r="F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H180" i="1"/>
  <c r="AI180" i="1"/>
  <c r="AJ180" i="1"/>
  <c r="AK180" i="1"/>
  <c r="AL180" i="1"/>
  <c r="AM180" i="1"/>
  <c r="F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H181" i="1"/>
  <c r="AI181" i="1"/>
  <c r="AJ181" i="1"/>
  <c r="AK181" i="1"/>
  <c r="AL181" i="1"/>
  <c r="AM181" i="1"/>
  <c r="F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H182" i="1"/>
  <c r="AI182" i="1"/>
  <c r="AJ182" i="1"/>
  <c r="AK182" i="1"/>
  <c r="AL182" i="1"/>
  <c r="AM182" i="1"/>
  <c r="F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H183" i="1"/>
  <c r="AI183" i="1"/>
  <c r="AJ183" i="1"/>
  <c r="AK183" i="1"/>
  <c r="AL183" i="1"/>
  <c r="AM183" i="1"/>
  <c r="F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H184" i="1"/>
  <c r="AI184" i="1"/>
  <c r="AJ184" i="1"/>
  <c r="AK184" i="1"/>
  <c r="AL184" i="1"/>
  <c r="AM184" i="1"/>
  <c r="F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H185" i="1"/>
  <c r="AI185" i="1"/>
  <c r="AJ185" i="1"/>
  <c r="AK185" i="1"/>
  <c r="AL185" i="1"/>
  <c r="AM185" i="1"/>
  <c r="F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H186" i="1"/>
  <c r="AI186" i="1"/>
  <c r="AJ186" i="1"/>
  <c r="AK186" i="1"/>
  <c r="AL186" i="1"/>
  <c r="AM186" i="1"/>
  <c r="F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H187" i="1"/>
  <c r="AI187" i="1"/>
  <c r="AJ187" i="1"/>
  <c r="AK187" i="1"/>
  <c r="AL187" i="1"/>
  <c r="AM187" i="1"/>
  <c r="F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H188" i="1"/>
  <c r="AI188" i="1"/>
  <c r="AJ188" i="1"/>
  <c r="AK188" i="1"/>
  <c r="AL188" i="1"/>
  <c r="AM188" i="1"/>
  <c r="F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H189" i="1"/>
  <c r="AI189" i="1"/>
  <c r="AJ189" i="1"/>
  <c r="AK189" i="1"/>
  <c r="AL189" i="1"/>
  <c r="AM189" i="1"/>
  <c r="F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H190" i="1"/>
  <c r="AI190" i="1"/>
  <c r="AJ190" i="1"/>
  <c r="AK190" i="1"/>
  <c r="AL190" i="1"/>
  <c r="AM190" i="1"/>
  <c r="F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H191" i="1"/>
  <c r="AI191" i="1"/>
  <c r="AJ191" i="1"/>
  <c r="AK191" i="1"/>
  <c r="AL191" i="1"/>
  <c r="AM191" i="1"/>
  <c r="F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H192" i="1"/>
  <c r="AI192" i="1"/>
  <c r="AJ192" i="1"/>
  <c r="AK192" i="1"/>
  <c r="AL192" i="1"/>
  <c r="AM192" i="1"/>
  <c r="F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H193" i="1"/>
  <c r="AI193" i="1"/>
  <c r="AJ193" i="1"/>
  <c r="AK193" i="1"/>
  <c r="AL193" i="1"/>
  <c r="AM193" i="1"/>
  <c r="F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H194" i="1"/>
  <c r="AI194" i="1"/>
  <c r="AJ194" i="1"/>
  <c r="AK194" i="1"/>
  <c r="AL194" i="1"/>
  <c r="AM194" i="1"/>
  <c r="F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H195" i="1"/>
  <c r="AI195" i="1"/>
  <c r="AJ195" i="1"/>
  <c r="AK195" i="1"/>
  <c r="AL195" i="1"/>
  <c r="AM195" i="1"/>
  <c r="F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H196" i="1"/>
  <c r="AI196" i="1"/>
  <c r="AJ196" i="1"/>
  <c r="AK196" i="1"/>
  <c r="AL196" i="1"/>
  <c r="AM196" i="1"/>
  <c r="F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H197" i="1"/>
  <c r="AI197" i="1"/>
  <c r="AJ197" i="1"/>
  <c r="AK197" i="1"/>
  <c r="AL197" i="1"/>
  <c r="AM197" i="1"/>
  <c r="F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H198" i="1"/>
  <c r="AI198" i="1"/>
  <c r="AJ198" i="1"/>
  <c r="AK198" i="1"/>
  <c r="AL198" i="1"/>
  <c r="AM198" i="1"/>
  <c r="F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H199" i="1"/>
  <c r="AI199" i="1"/>
  <c r="AJ199" i="1"/>
  <c r="AK199" i="1"/>
  <c r="AL199" i="1"/>
  <c r="AM199" i="1"/>
  <c r="F200" i="1"/>
  <c r="AN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H200" i="1"/>
  <c r="AI200" i="1"/>
  <c r="AJ200" i="1"/>
  <c r="AK200" i="1"/>
  <c r="AL200" i="1"/>
  <c r="AM200" i="1"/>
  <c r="F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H201" i="1"/>
  <c r="AI201" i="1"/>
  <c r="AJ201" i="1"/>
  <c r="AK201" i="1"/>
  <c r="AL201" i="1"/>
  <c r="AM201" i="1"/>
  <c r="F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H202" i="1"/>
  <c r="AI202" i="1"/>
  <c r="AJ202" i="1"/>
  <c r="AK202" i="1"/>
  <c r="AL202" i="1"/>
  <c r="AM202" i="1"/>
  <c r="F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H203" i="1"/>
  <c r="AI203" i="1"/>
  <c r="AJ203" i="1"/>
  <c r="AK203" i="1"/>
  <c r="AL203" i="1"/>
  <c r="AM203" i="1"/>
  <c r="F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H204" i="1"/>
  <c r="AI204" i="1"/>
  <c r="AJ204" i="1"/>
  <c r="AK204" i="1"/>
  <c r="AL204" i="1"/>
  <c r="AM204" i="1"/>
  <c r="F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H205" i="1"/>
  <c r="AI205" i="1"/>
  <c r="AJ205" i="1"/>
  <c r="AK205" i="1"/>
  <c r="AL205" i="1"/>
  <c r="AM205" i="1"/>
  <c r="F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H206" i="1"/>
  <c r="AI206" i="1"/>
  <c r="AJ206" i="1"/>
  <c r="AK206" i="1"/>
  <c r="AL206" i="1"/>
  <c r="AM206" i="1"/>
  <c r="F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H207" i="1"/>
  <c r="AI207" i="1"/>
  <c r="AJ207" i="1"/>
  <c r="AK207" i="1"/>
  <c r="AL207" i="1"/>
  <c r="AM207" i="1"/>
  <c r="F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H208" i="1"/>
  <c r="AI208" i="1"/>
  <c r="AJ208" i="1"/>
  <c r="AK208" i="1"/>
  <c r="AL208" i="1"/>
  <c r="AM208" i="1"/>
  <c r="F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H209" i="1"/>
  <c r="AI209" i="1"/>
  <c r="AJ209" i="1"/>
  <c r="AK209" i="1"/>
  <c r="AL209" i="1"/>
  <c r="AM209" i="1"/>
  <c r="F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H210" i="1"/>
  <c r="AI210" i="1"/>
  <c r="AJ210" i="1"/>
  <c r="AK210" i="1"/>
  <c r="AL210" i="1"/>
  <c r="AM210" i="1"/>
  <c r="F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H211" i="1"/>
  <c r="AI211" i="1"/>
  <c r="AJ211" i="1"/>
  <c r="AK211" i="1"/>
  <c r="AL211" i="1"/>
  <c r="AM211" i="1"/>
  <c r="F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H212" i="1"/>
  <c r="AI212" i="1"/>
  <c r="AJ212" i="1"/>
  <c r="AK212" i="1"/>
  <c r="AL212" i="1"/>
  <c r="AM212" i="1"/>
  <c r="F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H213" i="1"/>
  <c r="AI213" i="1"/>
  <c r="AJ213" i="1"/>
  <c r="AK213" i="1"/>
  <c r="AL213" i="1"/>
  <c r="AM213" i="1"/>
  <c r="F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H214" i="1"/>
  <c r="AI214" i="1"/>
  <c r="AJ214" i="1"/>
  <c r="AK214" i="1"/>
  <c r="AL214" i="1"/>
  <c r="AM214" i="1"/>
  <c r="F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H215" i="1"/>
  <c r="AI215" i="1"/>
  <c r="AJ215" i="1"/>
  <c r="AK215" i="1"/>
  <c r="AL215" i="1"/>
  <c r="AM215" i="1"/>
  <c r="F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H216" i="1"/>
  <c r="AI216" i="1"/>
  <c r="AJ216" i="1"/>
  <c r="AK216" i="1"/>
  <c r="AL216" i="1"/>
  <c r="AM216" i="1"/>
  <c r="F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H217" i="1"/>
  <c r="AI217" i="1"/>
  <c r="AJ217" i="1"/>
  <c r="AK217" i="1"/>
  <c r="AL217" i="1"/>
  <c r="AM217" i="1"/>
  <c r="F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H218" i="1"/>
  <c r="AI218" i="1"/>
  <c r="AJ218" i="1"/>
  <c r="AK218" i="1"/>
  <c r="AL218" i="1"/>
  <c r="AM218" i="1"/>
  <c r="F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H219" i="1"/>
  <c r="AI219" i="1"/>
  <c r="AJ219" i="1"/>
  <c r="AK219" i="1"/>
  <c r="AL219" i="1"/>
  <c r="AM219" i="1"/>
  <c r="F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H220" i="1"/>
  <c r="AI220" i="1"/>
  <c r="AJ220" i="1"/>
  <c r="AK220" i="1"/>
  <c r="AL220" i="1"/>
  <c r="AM220" i="1"/>
  <c r="F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H221" i="1"/>
  <c r="AI221" i="1"/>
  <c r="AJ221" i="1"/>
  <c r="AK221" i="1"/>
  <c r="AL221" i="1"/>
  <c r="AM221" i="1"/>
  <c r="F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H222" i="1"/>
  <c r="AI222" i="1"/>
  <c r="AJ222" i="1"/>
  <c r="AK222" i="1"/>
  <c r="AL222" i="1"/>
  <c r="AM222" i="1"/>
  <c r="F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H223" i="1"/>
  <c r="AI223" i="1"/>
  <c r="AJ223" i="1"/>
  <c r="AK223" i="1"/>
  <c r="AL223" i="1"/>
  <c r="AM223" i="1"/>
  <c r="F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H224" i="1"/>
  <c r="AI224" i="1"/>
  <c r="AJ224" i="1"/>
  <c r="AK224" i="1"/>
  <c r="AL224" i="1"/>
  <c r="AM224" i="1"/>
  <c r="F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H225" i="1"/>
  <c r="AI225" i="1"/>
  <c r="AJ225" i="1"/>
  <c r="AK225" i="1"/>
  <c r="AL225" i="1"/>
  <c r="AM225" i="1"/>
  <c r="F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H226" i="1"/>
  <c r="AI226" i="1"/>
  <c r="AJ226" i="1"/>
  <c r="AK226" i="1"/>
  <c r="AL226" i="1"/>
  <c r="AM226" i="1"/>
  <c r="F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H227" i="1"/>
  <c r="AI227" i="1"/>
  <c r="AJ227" i="1"/>
  <c r="AK227" i="1"/>
  <c r="AL227" i="1"/>
  <c r="AM227" i="1"/>
  <c r="F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H228" i="1"/>
  <c r="AI228" i="1"/>
  <c r="AJ228" i="1"/>
  <c r="AK228" i="1"/>
  <c r="AL228" i="1"/>
  <c r="AM228" i="1"/>
  <c r="F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H229" i="1"/>
  <c r="AI229" i="1"/>
  <c r="AJ229" i="1"/>
  <c r="AK229" i="1"/>
  <c r="AL229" i="1"/>
  <c r="AM229" i="1"/>
  <c r="F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H230" i="1"/>
  <c r="AI230" i="1"/>
  <c r="AJ230" i="1"/>
  <c r="AK230" i="1"/>
  <c r="AL230" i="1"/>
  <c r="AM230" i="1"/>
  <c r="F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H231" i="1"/>
  <c r="AI231" i="1"/>
  <c r="AJ231" i="1"/>
  <c r="AK231" i="1"/>
  <c r="AL231" i="1"/>
  <c r="AM231" i="1"/>
  <c r="F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H232" i="1"/>
  <c r="AI232" i="1"/>
  <c r="AJ232" i="1"/>
  <c r="AK232" i="1"/>
  <c r="AL232" i="1"/>
  <c r="AM232" i="1"/>
  <c r="F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H233" i="1"/>
  <c r="AI233" i="1"/>
  <c r="AJ233" i="1"/>
  <c r="AK233" i="1"/>
  <c r="AL233" i="1"/>
  <c r="AM233" i="1"/>
  <c r="F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H234" i="1"/>
  <c r="AI234" i="1"/>
  <c r="AJ234" i="1"/>
  <c r="AK234" i="1"/>
  <c r="AL234" i="1"/>
  <c r="AM234" i="1"/>
  <c r="F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H235" i="1"/>
  <c r="AI235" i="1"/>
  <c r="AJ235" i="1"/>
  <c r="AK235" i="1"/>
  <c r="AL235" i="1"/>
  <c r="AM235" i="1"/>
  <c r="F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H236" i="1"/>
  <c r="AI236" i="1"/>
  <c r="AJ236" i="1"/>
  <c r="AK236" i="1"/>
  <c r="AL236" i="1"/>
  <c r="AM236" i="1"/>
  <c r="F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H237" i="1"/>
  <c r="AI237" i="1"/>
  <c r="AJ237" i="1"/>
  <c r="AK237" i="1"/>
  <c r="AL237" i="1"/>
  <c r="AM237" i="1"/>
  <c r="F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H238" i="1"/>
  <c r="AI238" i="1"/>
  <c r="AJ238" i="1"/>
  <c r="AK238" i="1"/>
  <c r="AL238" i="1"/>
  <c r="AM238" i="1"/>
  <c r="F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H239" i="1"/>
  <c r="AI239" i="1"/>
  <c r="AJ239" i="1"/>
  <c r="AK239" i="1"/>
  <c r="AL239" i="1"/>
  <c r="AM239" i="1"/>
  <c r="F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H240" i="1"/>
  <c r="AI240" i="1"/>
  <c r="AJ240" i="1"/>
  <c r="AK240" i="1"/>
  <c r="AL240" i="1"/>
  <c r="AM240" i="1"/>
  <c r="F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H241" i="1"/>
  <c r="AI241" i="1"/>
  <c r="AJ241" i="1"/>
  <c r="AK241" i="1"/>
  <c r="AL241" i="1"/>
  <c r="AM241" i="1"/>
  <c r="F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H242" i="1"/>
  <c r="AI242" i="1"/>
  <c r="AJ242" i="1"/>
  <c r="AK242" i="1"/>
  <c r="AL242" i="1"/>
  <c r="AM242" i="1"/>
  <c r="F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H243" i="1"/>
  <c r="AI243" i="1"/>
  <c r="AJ243" i="1"/>
  <c r="AK243" i="1"/>
  <c r="AL243" i="1"/>
  <c r="AM243" i="1"/>
  <c r="F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H244" i="1"/>
  <c r="AI244" i="1"/>
  <c r="AJ244" i="1"/>
  <c r="AK244" i="1"/>
  <c r="AL244" i="1"/>
  <c r="AM244" i="1"/>
  <c r="F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H245" i="1"/>
  <c r="AI245" i="1"/>
  <c r="AJ245" i="1"/>
  <c r="AK245" i="1"/>
  <c r="AL245" i="1"/>
  <c r="AM245" i="1"/>
  <c r="F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H246" i="1"/>
  <c r="AI246" i="1"/>
  <c r="AJ246" i="1"/>
  <c r="AK246" i="1"/>
  <c r="AL246" i="1"/>
  <c r="AM246" i="1"/>
  <c r="F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H247" i="1"/>
  <c r="AI247" i="1"/>
  <c r="AJ247" i="1"/>
  <c r="AK247" i="1"/>
  <c r="AL247" i="1"/>
  <c r="AM247" i="1"/>
  <c r="F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H248" i="1"/>
  <c r="AI248" i="1"/>
  <c r="AJ248" i="1"/>
  <c r="AK248" i="1"/>
  <c r="AL248" i="1"/>
  <c r="AM248" i="1"/>
  <c r="F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H249" i="1"/>
  <c r="AI249" i="1"/>
  <c r="AJ249" i="1"/>
  <c r="AK249" i="1"/>
  <c r="AL249" i="1"/>
  <c r="AM249" i="1"/>
  <c r="F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H250" i="1"/>
  <c r="AI250" i="1"/>
  <c r="AJ250" i="1"/>
  <c r="AK250" i="1"/>
  <c r="AL250" i="1"/>
  <c r="AM250" i="1"/>
  <c r="F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H251" i="1"/>
  <c r="AI251" i="1"/>
  <c r="AJ251" i="1"/>
  <c r="AK251" i="1"/>
  <c r="AL251" i="1"/>
  <c r="AM251" i="1"/>
  <c r="F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H252" i="1"/>
  <c r="AI252" i="1"/>
  <c r="AJ252" i="1"/>
  <c r="AK252" i="1"/>
  <c r="AL252" i="1"/>
  <c r="AM252" i="1"/>
  <c r="F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H253" i="1"/>
  <c r="AI253" i="1"/>
  <c r="AJ253" i="1"/>
  <c r="AK253" i="1"/>
  <c r="AL253" i="1"/>
  <c r="AM253" i="1"/>
  <c r="F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H254" i="1"/>
  <c r="AI254" i="1"/>
  <c r="AJ254" i="1"/>
  <c r="AK254" i="1"/>
  <c r="AL254" i="1"/>
  <c r="AM254" i="1"/>
  <c r="F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H255" i="1"/>
  <c r="AI255" i="1"/>
  <c r="AJ255" i="1"/>
  <c r="AK255" i="1"/>
  <c r="AL255" i="1"/>
  <c r="AM255" i="1"/>
  <c r="F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H256" i="1"/>
  <c r="AI256" i="1"/>
  <c r="AJ256" i="1"/>
  <c r="AK256" i="1"/>
  <c r="AL256" i="1"/>
  <c r="AM256" i="1"/>
  <c r="F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H257" i="1"/>
  <c r="AI257" i="1"/>
  <c r="AJ257" i="1"/>
  <c r="AK257" i="1"/>
  <c r="AL257" i="1"/>
  <c r="AM257" i="1"/>
  <c r="F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H258" i="1"/>
  <c r="AI258" i="1"/>
  <c r="AJ258" i="1"/>
  <c r="AK258" i="1"/>
  <c r="AL258" i="1"/>
  <c r="AM258" i="1"/>
  <c r="F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H259" i="1"/>
  <c r="AI259" i="1"/>
  <c r="AJ259" i="1"/>
  <c r="AK259" i="1"/>
  <c r="AL259" i="1"/>
  <c r="AM259" i="1"/>
  <c r="F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H260" i="1"/>
  <c r="AI260" i="1"/>
  <c r="AJ260" i="1"/>
  <c r="AK260" i="1"/>
  <c r="AL260" i="1"/>
  <c r="AM260" i="1"/>
  <c r="F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H261" i="1"/>
  <c r="AI261" i="1"/>
  <c r="AJ261" i="1"/>
  <c r="AK261" i="1"/>
  <c r="AL261" i="1"/>
  <c r="AM261" i="1"/>
  <c r="F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H262" i="1"/>
  <c r="AI262" i="1"/>
  <c r="AJ262" i="1"/>
  <c r="AK262" i="1"/>
  <c r="AL262" i="1"/>
  <c r="AM262" i="1"/>
  <c r="F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H263" i="1"/>
  <c r="AI263" i="1"/>
  <c r="AJ263" i="1"/>
  <c r="AK263" i="1"/>
  <c r="AL263" i="1"/>
  <c r="AM263" i="1"/>
  <c r="F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H264" i="1"/>
  <c r="AI264" i="1"/>
  <c r="AJ264" i="1"/>
  <c r="AK264" i="1"/>
  <c r="AL264" i="1"/>
  <c r="AM264" i="1"/>
  <c r="F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H265" i="1"/>
  <c r="AI265" i="1"/>
  <c r="AJ265" i="1"/>
  <c r="AK265" i="1"/>
  <c r="AL265" i="1"/>
  <c r="AM265" i="1"/>
  <c r="F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H266" i="1"/>
  <c r="AI266" i="1"/>
  <c r="AJ266" i="1"/>
  <c r="AK266" i="1"/>
  <c r="AL266" i="1"/>
  <c r="AM266" i="1"/>
  <c r="F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H267" i="1"/>
  <c r="AI267" i="1"/>
  <c r="AJ267" i="1"/>
  <c r="AK267" i="1"/>
  <c r="AL267" i="1"/>
  <c r="AM267" i="1"/>
  <c r="F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H268" i="1"/>
  <c r="AI268" i="1"/>
  <c r="AJ268" i="1"/>
  <c r="AK268" i="1"/>
  <c r="AL268" i="1"/>
  <c r="AM268" i="1"/>
  <c r="F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H269" i="1"/>
  <c r="AI269" i="1"/>
  <c r="AJ269" i="1"/>
  <c r="AK269" i="1"/>
  <c r="AL269" i="1"/>
  <c r="AM269" i="1"/>
  <c r="F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H270" i="1"/>
  <c r="AI270" i="1"/>
  <c r="AJ270" i="1"/>
  <c r="AK270" i="1"/>
  <c r="AL270" i="1"/>
  <c r="AM270" i="1"/>
  <c r="F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H271" i="1"/>
  <c r="AI271" i="1"/>
  <c r="AJ271" i="1"/>
  <c r="AK271" i="1"/>
  <c r="AL271" i="1"/>
  <c r="AM271" i="1"/>
  <c r="F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H272" i="1"/>
  <c r="AI272" i="1"/>
  <c r="AJ272" i="1"/>
  <c r="AK272" i="1"/>
  <c r="AL272" i="1"/>
  <c r="AM272" i="1"/>
  <c r="F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H273" i="1"/>
  <c r="AI273" i="1"/>
  <c r="AJ273" i="1"/>
  <c r="AK273" i="1"/>
  <c r="AL273" i="1"/>
  <c r="AM273" i="1"/>
  <c r="F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H274" i="1"/>
  <c r="AI274" i="1"/>
  <c r="AJ274" i="1"/>
  <c r="AK274" i="1"/>
  <c r="AL274" i="1"/>
  <c r="AM274" i="1"/>
  <c r="F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H275" i="1"/>
  <c r="AI275" i="1"/>
  <c r="AJ275" i="1"/>
  <c r="AK275" i="1"/>
  <c r="AL275" i="1"/>
  <c r="AM275" i="1"/>
  <c r="F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H276" i="1"/>
  <c r="AI276" i="1"/>
  <c r="AJ276" i="1"/>
  <c r="AK276" i="1"/>
  <c r="AL276" i="1"/>
  <c r="AM276" i="1"/>
  <c r="F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H277" i="1"/>
  <c r="AI277" i="1"/>
  <c r="AJ277" i="1"/>
  <c r="AK277" i="1"/>
  <c r="AL277" i="1"/>
  <c r="AM277" i="1"/>
  <c r="F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H278" i="1"/>
  <c r="AI278" i="1"/>
  <c r="AJ278" i="1"/>
  <c r="AK278" i="1"/>
  <c r="AL278" i="1"/>
  <c r="AM278" i="1"/>
  <c r="F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H279" i="1"/>
  <c r="AI279" i="1"/>
  <c r="AJ279" i="1"/>
  <c r="AK279" i="1"/>
  <c r="AL279" i="1"/>
  <c r="AM279" i="1"/>
  <c r="F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H280" i="1"/>
  <c r="AI280" i="1"/>
  <c r="AJ280" i="1"/>
  <c r="AK280" i="1"/>
  <c r="AL280" i="1"/>
  <c r="AM280" i="1"/>
  <c r="F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H281" i="1"/>
  <c r="AI281" i="1"/>
  <c r="AJ281" i="1"/>
  <c r="AK281" i="1"/>
  <c r="AL281" i="1"/>
  <c r="AM281" i="1"/>
  <c r="F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H282" i="1"/>
  <c r="AI282" i="1"/>
  <c r="AJ282" i="1"/>
  <c r="AK282" i="1"/>
  <c r="AL282" i="1"/>
  <c r="AM282" i="1"/>
  <c r="F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H283" i="1"/>
  <c r="AI283" i="1"/>
  <c r="AJ283" i="1"/>
  <c r="AK283" i="1"/>
  <c r="AL283" i="1"/>
  <c r="AM283" i="1"/>
  <c r="F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H284" i="1"/>
  <c r="AI284" i="1"/>
  <c r="AJ284" i="1"/>
  <c r="AK284" i="1"/>
  <c r="AL284" i="1"/>
  <c r="AM284" i="1"/>
  <c r="F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H285" i="1"/>
  <c r="AI285" i="1"/>
  <c r="AJ285" i="1"/>
  <c r="AK285" i="1"/>
  <c r="AL285" i="1"/>
  <c r="AM285" i="1"/>
  <c r="F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H286" i="1"/>
  <c r="AI286" i="1"/>
  <c r="AJ286" i="1"/>
  <c r="AK286" i="1"/>
  <c r="AL286" i="1"/>
  <c r="AM286" i="1"/>
  <c r="F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H287" i="1"/>
  <c r="AI287" i="1"/>
  <c r="AJ287" i="1"/>
  <c r="AK287" i="1"/>
  <c r="AL287" i="1"/>
  <c r="AM287" i="1"/>
  <c r="F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H288" i="1"/>
  <c r="AI288" i="1"/>
  <c r="AJ288" i="1"/>
  <c r="AK288" i="1"/>
  <c r="AL288" i="1"/>
  <c r="AM288" i="1"/>
  <c r="F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H289" i="1"/>
  <c r="AI289" i="1"/>
  <c r="AJ289" i="1"/>
  <c r="AK289" i="1"/>
  <c r="AL289" i="1"/>
  <c r="AM289" i="1"/>
  <c r="F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H290" i="1"/>
  <c r="AI290" i="1"/>
  <c r="AJ290" i="1"/>
  <c r="AK290" i="1"/>
  <c r="AL290" i="1"/>
  <c r="AM290" i="1"/>
  <c r="F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H291" i="1"/>
  <c r="AI291" i="1"/>
  <c r="AJ291" i="1"/>
  <c r="AK291" i="1"/>
  <c r="AL291" i="1"/>
  <c r="AM291" i="1"/>
  <c r="F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H292" i="1"/>
  <c r="AI292" i="1"/>
  <c r="AJ292" i="1"/>
  <c r="AK292" i="1"/>
  <c r="AL292" i="1"/>
  <c r="AM292" i="1"/>
  <c r="F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H293" i="1"/>
  <c r="AI293" i="1"/>
  <c r="AJ293" i="1"/>
  <c r="AK293" i="1"/>
  <c r="AL293" i="1"/>
  <c r="AM293" i="1"/>
  <c r="F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H294" i="1"/>
  <c r="AI294" i="1"/>
  <c r="AJ294" i="1"/>
  <c r="AK294" i="1"/>
  <c r="AL294" i="1"/>
  <c r="AM294" i="1"/>
  <c r="F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H295" i="1"/>
  <c r="AI295" i="1"/>
  <c r="AJ295" i="1"/>
  <c r="AK295" i="1"/>
  <c r="AL295" i="1"/>
  <c r="AM295" i="1"/>
  <c r="F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H296" i="1"/>
  <c r="AI296" i="1"/>
  <c r="AJ296" i="1"/>
  <c r="AK296" i="1"/>
  <c r="AL296" i="1"/>
  <c r="AM296" i="1"/>
  <c r="F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H297" i="1"/>
  <c r="AI297" i="1"/>
  <c r="AJ297" i="1"/>
  <c r="AK297" i="1"/>
  <c r="AL297" i="1"/>
  <c r="AM297" i="1"/>
  <c r="F298" i="1"/>
  <c r="AN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H298" i="1"/>
  <c r="AI298" i="1"/>
  <c r="AJ298" i="1"/>
  <c r="AK298" i="1"/>
  <c r="AL298" i="1"/>
  <c r="AM298" i="1"/>
  <c r="F299" i="1"/>
  <c r="AN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H299" i="1"/>
  <c r="AI299" i="1"/>
  <c r="AJ299" i="1"/>
  <c r="AK299" i="1"/>
  <c r="AL299" i="1"/>
  <c r="AM299" i="1"/>
  <c r="F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H300" i="1"/>
  <c r="AI300" i="1"/>
  <c r="AJ300" i="1"/>
  <c r="AK300" i="1"/>
  <c r="AL300" i="1"/>
  <c r="AM300" i="1"/>
  <c r="F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H301" i="1"/>
  <c r="AI301" i="1"/>
  <c r="AJ301" i="1"/>
  <c r="AK301" i="1"/>
  <c r="AL301" i="1"/>
  <c r="AM301" i="1"/>
  <c r="F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H302" i="1"/>
  <c r="AI302" i="1"/>
  <c r="AJ302" i="1"/>
  <c r="AK302" i="1"/>
  <c r="AL302" i="1"/>
  <c r="AM302" i="1"/>
  <c r="F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H303" i="1"/>
  <c r="AI303" i="1"/>
  <c r="AJ303" i="1"/>
  <c r="AK303" i="1"/>
  <c r="AL303" i="1"/>
  <c r="AM303" i="1"/>
  <c r="F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H304" i="1"/>
  <c r="AI304" i="1"/>
  <c r="AJ304" i="1"/>
  <c r="AK304" i="1"/>
  <c r="AL304" i="1"/>
  <c r="AM304" i="1"/>
  <c r="F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H305" i="1"/>
  <c r="AI305" i="1"/>
  <c r="AJ305" i="1"/>
  <c r="AK305" i="1"/>
  <c r="AL305" i="1"/>
  <c r="AM305" i="1"/>
  <c r="F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H306" i="1"/>
  <c r="AI306" i="1"/>
  <c r="AJ306" i="1"/>
  <c r="AK306" i="1"/>
  <c r="AL306" i="1"/>
  <c r="AM306" i="1"/>
  <c r="F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H307" i="1"/>
  <c r="AI307" i="1"/>
  <c r="AJ307" i="1"/>
  <c r="AK307" i="1"/>
  <c r="AL307" i="1"/>
  <c r="AM307" i="1"/>
  <c r="F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H308" i="1"/>
  <c r="AI308" i="1"/>
  <c r="AJ308" i="1"/>
  <c r="AK308" i="1"/>
  <c r="AL308" i="1"/>
  <c r="AM308" i="1"/>
  <c r="F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H309" i="1"/>
  <c r="AI309" i="1"/>
  <c r="AJ309" i="1"/>
  <c r="AK309" i="1"/>
  <c r="AL309" i="1"/>
  <c r="AM309" i="1"/>
  <c r="F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H310" i="1"/>
  <c r="AI310" i="1"/>
  <c r="AJ310" i="1"/>
  <c r="AK310" i="1"/>
  <c r="AL310" i="1"/>
  <c r="AM310" i="1"/>
  <c r="F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H311" i="1"/>
  <c r="AI311" i="1"/>
  <c r="AJ311" i="1"/>
  <c r="AK311" i="1"/>
  <c r="AL311" i="1"/>
  <c r="AM311" i="1"/>
  <c r="F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H312" i="1"/>
  <c r="AI312" i="1"/>
  <c r="AJ312" i="1"/>
  <c r="AK312" i="1"/>
  <c r="AL312" i="1"/>
  <c r="AM312" i="1"/>
  <c r="F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H313" i="1"/>
  <c r="AI313" i="1"/>
  <c r="AJ313" i="1"/>
  <c r="AK313" i="1"/>
  <c r="AL313" i="1"/>
  <c r="AM313" i="1"/>
  <c r="F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H314" i="1"/>
  <c r="AI314" i="1"/>
  <c r="AJ314" i="1"/>
  <c r="AK314" i="1"/>
  <c r="AL314" i="1"/>
  <c r="AM314" i="1"/>
  <c r="F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H315" i="1"/>
  <c r="AI315" i="1"/>
  <c r="AJ315" i="1"/>
  <c r="AK315" i="1"/>
  <c r="AL315" i="1"/>
  <c r="AM315" i="1"/>
  <c r="F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H316" i="1"/>
  <c r="AI316" i="1"/>
  <c r="AJ316" i="1"/>
  <c r="AK316" i="1"/>
  <c r="AL316" i="1"/>
  <c r="AM316" i="1"/>
  <c r="F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H317" i="1"/>
  <c r="AI317" i="1"/>
  <c r="AJ317" i="1"/>
  <c r="AK317" i="1"/>
  <c r="AL317" i="1"/>
  <c r="AM317" i="1"/>
  <c r="F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H318" i="1"/>
  <c r="AI318" i="1"/>
  <c r="AJ318" i="1"/>
  <c r="AK318" i="1"/>
  <c r="AL318" i="1"/>
  <c r="AM318" i="1"/>
  <c r="F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H319" i="1"/>
  <c r="AI319" i="1"/>
  <c r="AJ319" i="1"/>
  <c r="AK319" i="1"/>
  <c r="AL319" i="1"/>
  <c r="AM319" i="1"/>
  <c r="F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H320" i="1"/>
  <c r="AI320" i="1"/>
  <c r="AJ320" i="1"/>
  <c r="AK320" i="1"/>
  <c r="AL320" i="1"/>
  <c r="AM320" i="1"/>
  <c r="F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H321" i="1"/>
  <c r="AI321" i="1"/>
  <c r="AJ321" i="1"/>
  <c r="AK321" i="1"/>
  <c r="AL321" i="1"/>
  <c r="AM321" i="1"/>
  <c r="F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H322" i="1"/>
  <c r="AI322" i="1"/>
  <c r="AJ322" i="1"/>
  <c r="AK322" i="1"/>
  <c r="AL322" i="1"/>
  <c r="AM322" i="1"/>
  <c r="F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H323" i="1"/>
  <c r="AI323" i="1"/>
  <c r="AJ323" i="1"/>
  <c r="AK323" i="1"/>
  <c r="AL323" i="1"/>
  <c r="AM323" i="1"/>
  <c r="F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H324" i="1"/>
  <c r="AI324" i="1"/>
  <c r="AJ324" i="1"/>
  <c r="AK324" i="1"/>
  <c r="AL324" i="1"/>
  <c r="AM324" i="1"/>
  <c r="F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H325" i="1"/>
  <c r="AI325" i="1"/>
  <c r="AJ325" i="1"/>
  <c r="AK325" i="1"/>
  <c r="AL325" i="1"/>
  <c r="AM325" i="1"/>
  <c r="F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H326" i="1"/>
  <c r="AI326" i="1"/>
  <c r="AJ326" i="1"/>
  <c r="AK326" i="1"/>
  <c r="AL326" i="1"/>
  <c r="AM326" i="1"/>
  <c r="F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H327" i="1"/>
  <c r="AI327" i="1"/>
  <c r="AJ327" i="1"/>
  <c r="AK327" i="1"/>
  <c r="AL327" i="1"/>
  <c r="AM327" i="1"/>
  <c r="F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H328" i="1"/>
  <c r="AI328" i="1"/>
  <c r="AJ328" i="1"/>
  <c r="AK328" i="1"/>
  <c r="AL328" i="1"/>
  <c r="AM328" i="1"/>
  <c r="F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H329" i="1"/>
  <c r="AI329" i="1"/>
  <c r="AJ329" i="1"/>
  <c r="AK329" i="1"/>
  <c r="AL329" i="1"/>
  <c r="AM329" i="1"/>
  <c r="F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H330" i="1"/>
  <c r="AI330" i="1"/>
  <c r="AJ330" i="1"/>
  <c r="AK330" i="1"/>
  <c r="AL330" i="1"/>
  <c r="AM330" i="1"/>
  <c r="F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H331" i="1"/>
  <c r="AI331" i="1"/>
  <c r="AJ331" i="1"/>
  <c r="AK331" i="1"/>
  <c r="AL331" i="1"/>
  <c r="AM331" i="1"/>
  <c r="F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H332" i="1"/>
  <c r="AI332" i="1"/>
  <c r="AJ332" i="1"/>
  <c r="AK332" i="1"/>
  <c r="AL332" i="1"/>
  <c r="AM332" i="1"/>
  <c r="F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H333" i="1"/>
  <c r="AI333" i="1"/>
  <c r="AJ333" i="1"/>
  <c r="AK333" i="1"/>
  <c r="AL333" i="1"/>
  <c r="AM333" i="1"/>
  <c r="F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H334" i="1"/>
  <c r="AI334" i="1"/>
  <c r="AJ334" i="1"/>
  <c r="AK334" i="1"/>
  <c r="AL334" i="1"/>
  <c r="AM334" i="1"/>
  <c r="F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H335" i="1"/>
  <c r="AI335" i="1"/>
  <c r="AJ335" i="1"/>
  <c r="AK335" i="1"/>
  <c r="AL335" i="1"/>
  <c r="AM335" i="1"/>
  <c r="F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H336" i="1"/>
  <c r="AI336" i="1"/>
  <c r="AJ336" i="1"/>
  <c r="AK336" i="1"/>
  <c r="AL336" i="1"/>
  <c r="AM336" i="1"/>
  <c r="F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H337" i="1"/>
  <c r="AI337" i="1"/>
  <c r="AJ337" i="1"/>
  <c r="AK337" i="1"/>
  <c r="AL337" i="1"/>
  <c r="AM337" i="1"/>
  <c r="F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H338" i="1"/>
  <c r="AI338" i="1"/>
  <c r="AJ338" i="1"/>
  <c r="AK338" i="1"/>
  <c r="AL338" i="1"/>
  <c r="AM338" i="1"/>
  <c r="F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H339" i="1"/>
  <c r="AI339" i="1"/>
  <c r="AJ339" i="1"/>
  <c r="AK339" i="1"/>
  <c r="AL339" i="1"/>
  <c r="AM339" i="1"/>
  <c r="F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H340" i="1"/>
  <c r="AI340" i="1"/>
  <c r="AJ340" i="1"/>
  <c r="AK340" i="1"/>
  <c r="AL340" i="1"/>
  <c r="AM340" i="1"/>
  <c r="F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H341" i="1"/>
  <c r="AI341" i="1"/>
  <c r="AJ341" i="1"/>
  <c r="AK341" i="1"/>
  <c r="AL341" i="1"/>
  <c r="AM341" i="1"/>
  <c r="F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H342" i="1"/>
  <c r="AI342" i="1"/>
  <c r="AJ342" i="1"/>
  <c r="AK342" i="1"/>
  <c r="AL342" i="1"/>
  <c r="AM342" i="1"/>
  <c r="F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H343" i="1"/>
  <c r="AI343" i="1"/>
  <c r="AJ343" i="1"/>
  <c r="AK343" i="1"/>
  <c r="AL343" i="1"/>
  <c r="AM343" i="1"/>
  <c r="F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H344" i="1"/>
  <c r="AI344" i="1"/>
  <c r="AJ344" i="1"/>
  <c r="AK344" i="1"/>
  <c r="AL344" i="1"/>
  <c r="AM344" i="1"/>
  <c r="F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H345" i="1"/>
  <c r="AI345" i="1"/>
  <c r="AJ345" i="1"/>
  <c r="AK345" i="1"/>
  <c r="AL345" i="1"/>
  <c r="AM345" i="1"/>
  <c r="F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H346" i="1"/>
  <c r="AI346" i="1"/>
  <c r="AJ346" i="1"/>
  <c r="AK346" i="1"/>
  <c r="AL346" i="1"/>
  <c r="AM346" i="1"/>
  <c r="F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H347" i="1"/>
  <c r="AI347" i="1"/>
  <c r="AJ347" i="1"/>
  <c r="AK347" i="1"/>
  <c r="AL347" i="1"/>
  <c r="AM347" i="1"/>
  <c r="F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H348" i="1"/>
  <c r="AI348" i="1"/>
  <c r="AJ348" i="1"/>
  <c r="AK348" i="1"/>
  <c r="AL348" i="1"/>
  <c r="AM348" i="1"/>
  <c r="F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H349" i="1"/>
  <c r="AI349" i="1"/>
  <c r="AJ349" i="1"/>
  <c r="AK349" i="1"/>
  <c r="AL349" i="1"/>
  <c r="AM349" i="1"/>
  <c r="F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H350" i="1"/>
  <c r="AI350" i="1"/>
  <c r="AJ350" i="1"/>
  <c r="AK350" i="1"/>
  <c r="AL350" i="1"/>
  <c r="AM350" i="1"/>
  <c r="F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H351" i="1"/>
  <c r="AI351" i="1"/>
  <c r="AJ351" i="1"/>
  <c r="AK351" i="1"/>
  <c r="AL351" i="1"/>
  <c r="AM351" i="1"/>
  <c r="F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H352" i="1"/>
  <c r="AI352" i="1"/>
  <c r="AJ352" i="1"/>
  <c r="AK352" i="1"/>
  <c r="AL352" i="1"/>
  <c r="AM352" i="1"/>
  <c r="F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H353" i="1"/>
  <c r="AI353" i="1"/>
  <c r="AJ353" i="1"/>
  <c r="AK353" i="1"/>
  <c r="AL353" i="1"/>
  <c r="AM353" i="1"/>
  <c r="F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H354" i="1"/>
  <c r="AI354" i="1"/>
  <c r="AJ354" i="1"/>
  <c r="AK354" i="1"/>
  <c r="AL354" i="1"/>
  <c r="AM354" i="1"/>
  <c r="F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H355" i="1"/>
  <c r="AI355" i="1"/>
  <c r="AJ355" i="1"/>
  <c r="AK355" i="1"/>
  <c r="AL355" i="1"/>
  <c r="AM355" i="1"/>
  <c r="F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H356" i="1"/>
  <c r="AI356" i="1"/>
  <c r="AJ356" i="1"/>
  <c r="AK356" i="1"/>
  <c r="AL356" i="1"/>
  <c r="AM356" i="1"/>
  <c r="F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H357" i="1"/>
  <c r="AI357" i="1"/>
  <c r="AJ357" i="1"/>
  <c r="AK357" i="1"/>
  <c r="AL357" i="1"/>
  <c r="AM357" i="1"/>
  <c r="F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H358" i="1"/>
  <c r="AI358" i="1"/>
  <c r="AJ358" i="1"/>
  <c r="AK358" i="1"/>
  <c r="AL358" i="1"/>
  <c r="AM358" i="1"/>
  <c r="F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H359" i="1"/>
  <c r="AI359" i="1"/>
  <c r="AJ359" i="1"/>
  <c r="AK359" i="1"/>
  <c r="AL359" i="1"/>
  <c r="AM359" i="1"/>
  <c r="F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H360" i="1"/>
  <c r="AI360" i="1"/>
  <c r="AJ360" i="1"/>
  <c r="AK360" i="1"/>
  <c r="AL360" i="1"/>
  <c r="AM360" i="1"/>
  <c r="F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H361" i="1"/>
  <c r="AI361" i="1"/>
  <c r="AJ361" i="1"/>
  <c r="AK361" i="1"/>
  <c r="AL361" i="1"/>
  <c r="AM361" i="1"/>
  <c r="F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H362" i="1"/>
  <c r="AI362" i="1"/>
  <c r="AJ362" i="1"/>
  <c r="AK362" i="1"/>
  <c r="AL362" i="1"/>
  <c r="AM362" i="1"/>
  <c r="F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H363" i="1"/>
  <c r="AI363" i="1"/>
  <c r="AJ363" i="1"/>
  <c r="AK363" i="1"/>
  <c r="AL363" i="1"/>
  <c r="AM363" i="1"/>
  <c r="F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H364" i="1"/>
  <c r="AI364" i="1"/>
  <c r="AJ364" i="1"/>
  <c r="AK364" i="1"/>
  <c r="AL364" i="1"/>
  <c r="AM364" i="1"/>
  <c r="F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H365" i="1"/>
  <c r="AI365" i="1"/>
  <c r="AJ365" i="1"/>
  <c r="AK365" i="1"/>
  <c r="AL365" i="1"/>
  <c r="AM365" i="1"/>
  <c r="F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H366" i="1"/>
  <c r="AI366" i="1"/>
  <c r="AJ366" i="1"/>
  <c r="AK366" i="1"/>
  <c r="AL366" i="1"/>
  <c r="AM366" i="1"/>
  <c r="F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H367" i="1"/>
  <c r="AI367" i="1"/>
  <c r="AJ367" i="1"/>
  <c r="AK367" i="1"/>
  <c r="AL367" i="1"/>
  <c r="AM367" i="1"/>
  <c r="F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H368" i="1"/>
  <c r="AI368" i="1"/>
  <c r="AJ368" i="1"/>
  <c r="AK368" i="1"/>
  <c r="AL368" i="1"/>
  <c r="AM368" i="1"/>
  <c r="F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H369" i="1"/>
  <c r="AI369" i="1"/>
  <c r="AJ369" i="1"/>
  <c r="AK369" i="1"/>
  <c r="AL369" i="1"/>
  <c r="AM369" i="1"/>
  <c r="F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H370" i="1"/>
  <c r="AI370" i="1"/>
  <c r="AJ370" i="1"/>
  <c r="AK370" i="1"/>
  <c r="AL370" i="1"/>
  <c r="AM370" i="1"/>
  <c r="F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H371" i="1"/>
  <c r="AI371" i="1"/>
  <c r="AJ371" i="1"/>
  <c r="AK371" i="1"/>
  <c r="AL371" i="1"/>
  <c r="AM371" i="1"/>
  <c r="F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H372" i="1"/>
  <c r="AI372" i="1"/>
  <c r="AJ372" i="1"/>
  <c r="AK372" i="1"/>
  <c r="AL372" i="1"/>
  <c r="AM372" i="1"/>
  <c r="F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H373" i="1"/>
  <c r="AI373" i="1"/>
  <c r="AJ373" i="1"/>
  <c r="AK373" i="1"/>
  <c r="AL373" i="1"/>
  <c r="AM373" i="1"/>
  <c r="F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H374" i="1"/>
  <c r="AI374" i="1"/>
  <c r="AJ374" i="1"/>
  <c r="AK374" i="1"/>
  <c r="AL374" i="1"/>
  <c r="AM374" i="1"/>
  <c r="F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H375" i="1"/>
  <c r="AI375" i="1"/>
  <c r="AJ375" i="1"/>
  <c r="AK375" i="1"/>
  <c r="AL375" i="1"/>
  <c r="AM375" i="1"/>
  <c r="F3" i="1"/>
  <c r="W3" i="1"/>
  <c r="V3" i="1"/>
  <c r="U3" i="1"/>
  <c r="T3" i="1"/>
  <c r="S3" i="1"/>
  <c r="R3" i="1"/>
  <c r="N3" i="1"/>
  <c r="M3" i="1"/>
  <c r="L3" i="1"/>
  <c r="O3" i="1"/>
  <c r="AB3" i="1"/>
  <c r="AM3" i="1"/>
  <c r="AL3" i="1"/>
  <c r="AK3" i="1"/>
  <c r="AJ3" i="1"/>
  <c r="AI3" i="1"/>
  <c r="AH3" i="1"/>
  <c r="AD3" i="1"/>
  <c r="AC3" i="1"/>
  <c r="AA3" i="1"/>
  <c r="Z3" i="1"/>
  <c r="Y3" i="1"/>
  <c r="X3" i="1"/>
  <c r="Q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<sst xmlns="http://schemas.openxmlformats.org/spreadsheetml/2006/main" count="13625" uniqueCount="2803">
  <si>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</si>
  <si>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</si>
  <si>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</si>
  <si>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</si>
  <si>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</si>
  <si>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</si>
  <si>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</si>
  <si>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</si>
  <si>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</si>
  <si>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</si>
  <si>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</si>
  <si>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</si>
  <si>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</si>
  <si>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</si>
  <si>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</si>
  <si>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</si>
  <si>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</si>
  <si>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</si>
  <si>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</si>
  <si>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</si>
  <si>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</si>
  <si>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</si>
  <si>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</si>
  <si>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</si>
  <si>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</si>
  <si>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</si>
  <si>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</si>
  <si>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</si>
  <si>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</si>
  <si>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</si>
  <si>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</si>
  <si>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</si>
  <si>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</si>
  <si>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</si>
  <si>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</si>
  <si>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</si>
  <si>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</si>
  <si>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</si>
  <si>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</si>
  <si>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</si>
  <si>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</si>
  <si>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</si>
  <si>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</si>
  <si>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</si>
  <si>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</si>
  <si>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</si>
  <si>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</si>
  <si>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</si>
  <si>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</si>
  <si>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</si>
  <si>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</si>
  <si>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</si>
  <si>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</si>
  <si>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</si>
  <si>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</si>
  <si>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</si>
  <si>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</si>
  <si>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</si>
  <si>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</si>
  <si>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</si>
  <si>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</si>
  <si>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</si>
  <si>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</si>
  <si>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</si>
  <si>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</si>
  <si>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</si>
  <si>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</si>
  <si>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</si>
  <si>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</si>
  <si>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</si>
  <si>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</si>
  <si>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</si>
  <si>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</si>
  <si>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</si>
  <si>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</si>
  <si>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</si>
  <si>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</si>
  <si>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</si>
  <si>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</si>
  <si>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</si>
  <si>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</si>
  <si>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</si>
  <si>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</si>
  <si>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</si>
  <si>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</si>
  <si>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</si>
  <si>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</si>
  <si>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</si>
  <si>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</si>
  <si>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</si>
  <si>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</si>
  <si>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</si>
  <si>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</si>
  <si>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</si>
  <si>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</si>
  <si>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</si>
  <si>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</si>
  <si>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</si>
  <si>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</si>
  <si>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</si>
  <si>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</si>
  <si>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</si>
  <si>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</si>
  <si>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</si>
  <si>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</si>
  <si>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</si>
  <si>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</si>
  <si>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</si>
  <si>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</si>
  <si>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</si>
  <si>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</si>
  <si>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</si>
  <si>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</si>
  <si>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</si>
  <si>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</si>
  <si>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</si>
  <si>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</si>
  <si>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</si>
  <si>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</si>
  <si>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</si>
  <si>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</si>
  <si>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</si>
  <si>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</si>
  <si>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</si>
  <si>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</si>
  <si>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</si>
  <si>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</si>
  <si>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</si>
  <si>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</si>
  <si>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</si>
  <si>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</si>
  <si>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</si>
  <si>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</si>
  <si>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</si>
  <si>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</si>
  <si>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</si>
  <si>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</si>
  <si>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</si>
  <si>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</si>
  <si>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</si>
  <si>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</si>
  <si>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</si>
  <si>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</si>
  <si>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</si>
  <si>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</si>
  <si>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</si>
  <si>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</si>
  <si>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</si>
  <si>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</si>
  <si>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</si>
  <si>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</si>
  <si>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</si>
  <si>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</si>
  <si>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</si>
  <si>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</si>
  <si>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</si>
  <si>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</si>
  <si>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</si>
  <si>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</si>
  <si>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</si>
  <si>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</si>
  <si>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</si>
  <si>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</si>
  <si>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</si>
  <si>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</si>
  <si>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</si>
  <si>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</si>
  <si>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</si>
  <si>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</si>
  <si>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</si>
  <si>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</si>
  <si>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</si>
  <si>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</si>
  <si>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</si>
  <si>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</si>
  <si>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</si>
  <si>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</si>
  <si>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</si>
  <si>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</si>
  <si>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</si>
  <si>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</si>
  <si>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</si>
  <si>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</si>
  <si>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</si>
  <si>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</si>
  <si>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</si>
  <si>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</si>
  <si>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</si>
  <si>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</si>
  <si>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</si>
  <si>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</si>
  <si>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</si>
  <si>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</si>
  <si>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</si>
  <si>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</si>
  <si>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</si>
  <si>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</si>
  <si>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</si>
  <si>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</si>
  <si>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</si>
  <si>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</si>
  <si>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</si>
  <si>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</si>
  <si>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</si>
  <si>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</si>
  <si>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</si>
  <si>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</si>
  <si>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</si>
  <si>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</si>
  <si>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</si>
  <si>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</si>
  <si>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</si>
  <si>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</si>
  <si>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</si>
  <si>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</si>
  <si>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</si>
  <si>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</si>
  <si>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</si>
  <si>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</si>
  <si>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</si>
  <si>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</si>
  <si>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</si>
  <si>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</si>
  <si>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</si>
  <si>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</si>
  <si>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</si>
  <si>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</si>
  <si>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</si>
  <si>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</si>
  <si>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</si>
  <si>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</si>
  <si>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</si>
  <si>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</si>
  <si>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</si>
  <si>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</si>
  <si>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</si>
  <si>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</si>
  <si>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</si>
  <si>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</si>
  <si>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</si>
  <si>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</si>
  <si>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</si>
  <si>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</si>
  <si>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</si>
  <si>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</si>
  <si>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</si>
  <si>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</si>
  <si>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</si>
  <si>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</si>
  <si>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</si>
  <si>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</si>
  <si>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</si>
  <si>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</si>
  <si>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</si>
  <si>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</si>
  <si>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</si>
  <si>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</si>
  <si>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</si>
  <si>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</si>
  <si>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</si>
  <si>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</si>
  <si>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</si>
  <si>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</si>
  <si>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</si>
  <si>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</si>
  <si>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</si>
  <si>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</si>
  <si>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</si>
  <si>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</si>
  <si>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</si>
  <si>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</si>
  <si>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</si>
  <si>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</si>
  <si>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</si>
  <si>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</si>
  <si>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</si>
  <si>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</si>
  <si>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</si>
  <si>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</si>
  <si>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</si>
  <si>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</si>
  <si>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</si>
  <si>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</si>
  <si>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</si>
  <si>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</si>
  <si>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</si>
  <si>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</si>
  <si>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</si>
  <si>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</si>
  <si>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</si>
  <si>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</si>
  <si>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</si>
  <si>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</si>
  <si>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</si>
  <si>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</si>
  <si>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</si>
  <si>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</si>
  <si>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</si>
  <si>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</si>
  <si>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</si>
  <si>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</si>
  <si>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</si>
  <si>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</si>
  <si>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</si>
  <si>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</si>
  <si>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</si>
  <si>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</si>
  <si>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</si>
  <si>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</si>
  <si>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</si>
  <si>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</si>
  <si>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</si>
  <si>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</si>
  <si>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</si>
  <si>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</si>
  <si>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</si>
  <si>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</si>
  <si>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</si>
  <si>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</si>
  <si>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</si>
  <si>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</si>
  <si>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</si>
  <si>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</si>
  <si>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</si>
  <si>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</si>
  <si>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</si>
  <si>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</si>
  <si>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</si>
  <si>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</si>
  <si>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</si>
  <si>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</si>
  <si>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</si>
  <si>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</si>
  <si>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</si>
  <si>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</si>
  <si>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</si>
  <si>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</si>
  <si>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</si>
  <si>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</si>
  <si>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</si>
  <si>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</si>
  <si>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</si>
  <si>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</si>
  <si>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</si>
  <si>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</si>
  <si>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</si>
  <si>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</si>
  <si>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</si>
  <si>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</si>
  <si>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</si>
  <si>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</si>
  <si>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</si>
  <si>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</si>
  <si>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</si>
  <si>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</si>
  <si>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</si>
  <si>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</si>
  <si>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</si>
  <si>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</si>
  <si>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</si>
  <si>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</si>
  <si>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</si>
  <si>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</si>
  <si>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</si>
  <si>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</si>
  <si>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</si>
  <si>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</si>
  <si>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</si>
  <si>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</si>
  <si>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</si>
  <si>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</si>
  <si>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</si>
  <si>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</si>
  <si>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</si>
  <si>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</si>
  <si>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</si>
  <si>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</si>
  <si>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</si>
  <si>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</si>
  <si>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</si>
  <si>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</si>
  <si>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</si>
  <si>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</si>
  <si>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</si>
  <si>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</si>
  <si>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</si>
  <si>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</si>
  <si>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</si>
  <si>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</si>
  <si>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</si>
  <si>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</si>
  <si>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</si>
  <si>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</si>
  <si>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</si>
  <si>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</si>
  <si>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</si>
  <si>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</si>
  <si>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</si>
  <si>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</si>
  <si>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</si>
  <si>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</si>
  <si>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</si>
  <si>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</si>
  <si>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</si>
  <si>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</si>
  <si>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</si>
  <si>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</si>
  <si>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</si>
  <si>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</si>
  <si>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</si>
  <si>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</si>
  <si>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</si>
  <si>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</si>
  <si>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</si>
  <si>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</si>
  <si>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</si>
  <si>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</si>
  <si>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</si>
  <si>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</si>
  <si>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</si>
  <si>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</si>
  <si>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</si>
  <si>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</si>
  <si>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</si>
  <si>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</si>
  <si>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</si>
  <si>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</si>
  <si>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</si>
  <si>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</si>
  <si>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</si>
  <si>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</si>
  <si>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</si>
  <si>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</si>
  <si>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</si>
  <si>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</si>
  <si>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</si>
  <si>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</si>
  <si>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</si>
  <si>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</si>
  <si>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</si>
  <si>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</si>
  <si>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</si>
  <si>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</si>
  <si>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</si>
  <si>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</si>
  <si>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</si>
  <si>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</si>
  <si>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</si>
  <si>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</si>
  <si>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</si>
  <si>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</si>
  <si>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</si>
  <si>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</si>
  <si>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</si>
  <si>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</si>
  <si>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</si>
  <si>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</si>
  <si>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</si>
  <si>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</si>
  <si>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</si>
  <si>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</si>
  <si>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</si>
  <si>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</si>
  <si>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</si>
  <si>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</si>
  <si>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</si>
  <si>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</si>
  <si>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</si>
  <si>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</si>
  <si>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</si>
  <si>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</si>
  <si>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</si>
  <si>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</si>
  <si>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</si>
  <si>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</si>
  <si>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</si>
  <si>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</si>
  <si>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</si>
  <si>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</si>
  <si>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</si>
  <si>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</si>
  <si>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</si>
  <si>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</si>
  <si>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</si>
  <si>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</si>
  <si>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</si>
  <si>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</si>
  <si>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</si>
  <si>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</si>
  <si>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</si>
  <si>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</si>
  <si>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</si>
  <si>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</si>
  <si>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</si>
  <si>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</si>
  <si>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</si>
  <si>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</si>
  <si>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</si>
  <si>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</si>
  <si>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</si>
  <si>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</si>
  <si>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</si>
  <si>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</si>
  <si>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</si>
  <si>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</si>
  <si>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</si>
  <si>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</si>
  <si>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</si>
  <si>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</si>
  <si>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</si>
  <si>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</si>
  <si>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</si>
  <si>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</si>
  <si>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</si>
  <si>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</si>
  <si>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</si>
  <si>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</si>
  <si>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</si>
  <si>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</si>
  <si>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</si>
  <si>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</si>
  <si>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</si>
  <si>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</si>
  <si>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</si>
  <si>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</si>
  <si>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</si>
  <si>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</si>
  <si>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</si>
  <si>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</si>
  <si>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</si>
  <si>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</si>
  <si>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</si>
  <si>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</si>
  <si>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</si>
  <si>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</si>
  <si>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</si>
  <si>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</si>
  <si>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</si>
  <si>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</si>
  <si>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</si>
  <si>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</si>
  <si>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</si>
  <si>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</si>
  <si>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</si>
  <si>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</si>
  <si>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</si>
  <si>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</si>
  <si>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</si>
  <si>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</si>
  <si>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</si>
  <si>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</si>
  <si>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</si>
  <si>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</si>
  <si>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</si>
  <si>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</si>
  <si>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</si>
  <si>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</si>
  <si>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</si>
  <si>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</si>
  <si>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</si>
  <si>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</si>
  <si>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</si>
  <si>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</si>
  <si>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</si>
  <si>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</si>
  <si>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</si>
  <si>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</si>
  <si>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</si>
  <si>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</si>
  <si>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</si>
  <si>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</si>
  <si>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</si>
  <si>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</si>
  <si>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</si>
  <si>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</si>
  <si>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</si>
  <si>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</si>
  <si>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</si>
  <si>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</si>
  <si>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</si>
  <si>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</si>
  <si>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</si>
  <si>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</si>
  <si>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</si>
  <si>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</si>
  <si>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</si>
  <si>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</si>
  <si>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</si>
  <si>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</si>
  <si>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</si>
  <si>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</si>
  <si>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</si>
  <si>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</si>
  <si>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</si>
  <si>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</si>
  <si>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</si>
  <si>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</si>
  <si>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</si>
  <si>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</si>
  <si>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</si>
  <si>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</si>
  <si>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</si>
  <si>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</si>
  <si>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</si>
  <si>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</si>
  <si>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</si>
  <si>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</si>
  <si>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</si>
  <si>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</si>
  <si>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</si>
  <si>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</si>
  <si>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</si>
  <si>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</si>
  <si>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</si>
  <si>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</si>
  <si>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</si>
  <si>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</si>
  <si>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</si>
  <si>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</si>
  <si>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</si>
  <si>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</si>
  <si>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</si>
  <si>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</si>
  <si>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</si>
  <si>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</si>
  <si>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</si>
  <si>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</si>
  <si>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</si>
  <si>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</si>
  <si>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</si>
  <si>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</si>
  <si>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</si>
  <si>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</si>
  <si>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</si>
  <si>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</si>
  <si>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</si>
  <si>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</si>
  <si>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</si>
  <si>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</si>
  <si>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</si>
  <si>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</si>
  <si>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</si>
  <si>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</si>
  <si>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</si>
  <si>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</si>
  <si>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</si>
  <si>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</si>
  <si>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</si>
  <si>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</si>
  <si>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</si>
  <si>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</si>
  <si>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</si>
  <si>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</si>
  <si>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</si>
  <si>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</si>
  <si>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</si>
  <si>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</si>
  <si>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</si>
  <si>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</si>
  <si>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</si>
  <si>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</si>
  <si>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</si>
  <si>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</si>
  <si>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</si>
  <si>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</si>
  <si>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</si>
  <si>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</si>
  <si>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</si>
  <si>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</si>
  <si>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</si>
  <si>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</si>
  <si>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</si>
  <si>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</si>
  <si>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</si>
  <si>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</si>
  <si>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</si>
  <si>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</si>
  <si>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</si>
  <si>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</si>
  <si>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</si>
  <si>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</si>
  <si>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</si>
  <si>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</si>
  <si>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</si>
  <si>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</si>
  <si>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</si>
  <si>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</si>
  <si>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</si>
  <si>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</si>
  <si>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</si>
  <si>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</si>
  <si>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</si>
  <si>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</si>
  <si>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</si>
  <si>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</si>
  <si>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</si>
  <si>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</si>
  <si>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</si>
  <si>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</si>
  <si>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</si>
  <si>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</si>
  <si>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</si>
  <si>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</si>
  <si>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</si>
  <si>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</si>
  <si>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</si>
  <si>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</si>
  <si>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</si>
  <si>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</si>
  <si>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</si>
  <si>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</si>
  <si>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</si>
  <si>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</si>
  <si>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</si>
  <si>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</si>
  <si>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</si>
  <si>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</si>
  <si>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</si>
  <si>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</si>
  <si>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</si>
  <si>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</si>
  <si>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</si>
  <si>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</si>
  <si>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</si>
  <si>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</si>
  <si>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</si>
  <si>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</si>
  <si>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</si>
  <si>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</si>
  <si>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</si>
  <si>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</si>
  <si>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</si>
  <si>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</si>
  <si>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</si>
  <si>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</si>
  <si>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</si>
  <si>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</si>
  <si>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</si>
  <si>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</si>
  <si>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</si>
  <si>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</si>
  <si>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</si>
  <si>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</si>
  <si>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</si>
  <si>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</si>
  <si>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</si>
  <si>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</si>
  <si>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</si>
  <si>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</si>
  <si>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</si>
  <si>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</si>
  <si>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</si>
  <si>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</si>
  <si>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</si>
  <si>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</si>
  <si>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</si>
  <si>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</si>
  <si>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</si>
  <si>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</si>
  <si>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</si>
  <si>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</si>
  <si>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</si>
  <si>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</si>
  <si>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</si>
  <si>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</si>
  <si>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</si>
  <si>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</si>
  <si>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</si>
  <si>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</si>
  <si>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</si>
  <si>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</si>
  <si>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</si>
  <si>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</si>
  <si>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</si>
  <si>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</si>
  <si>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</si>
  <si>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</si>
  <si>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</si>
  <si>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</si>
  <si>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</si>
  <si>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</si>
  <si>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</si>
  <si>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</si>
  <si>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</si>
  <si>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</si>
  <si>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</si>
  <si>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</si>
  <si>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</si>
  <si>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</si>
  <si>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</si>
  <si>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</si>
  <si>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</si>
  <si>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</si>
  <si>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</si>
  <si>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</si>
  <si>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</si>
  <si>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</si>
  <si>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</si>
  <si>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</si>
  <si>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</si>
  <si>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</si>
  <si>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</si>
  <si>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</si>
  <si>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</si>
  <si>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</si>
  <si>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</si>
  <si>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</si>
  <si>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</si>
  <si>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</si>
  <si>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</si>
  <si>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</si>
  <si>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</si>
  <si>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</si>
  <si>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</si>
  <si>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</si>
  <si>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</si>
  <si>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</si>
  <si>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</si>
  <si>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</si>
  <si>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</si>
  <si>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</si>
  <si>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</si>
  <si>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</si>
  <si>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</si>
  <si>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</si>
  <si>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</si>
  <si>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</si>
  <si>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</si>
  <si>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</si>
  <si>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</si>
  <si>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</si>
  <si>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</si>
  <si>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</si>
  <si>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</si>
  <si>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</si>
  <si>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</si>
  <si>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</si>
  <si>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</si>
  <si>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</si>
  <si>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</si>
  <si>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</si>
  <si>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</si>
  <si>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</si>
  <si>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</si>
  <si>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</si>
  <si>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</si>
  <si>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</si>
  <si>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</si>
  <si>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</si>
  <si>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</si>
  <si>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</si>
  <si>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</si>
  <si>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</si>
  <si>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</si>
  <si>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</si>
  <si>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</si>
  <si>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</si>
  <si>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</si>
  <si>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</si>
  <si>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</si>
  <si>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</si>
  <si>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</si>
  <si>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</si>
  <si>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</si>
  <si>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</si>
  <si>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</si>
  <si>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</si>
  <si>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</si>
  <si>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</si>
  <si>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</si>
  <si>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</si>
  <si>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</si>
  <si>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</si>
  <si>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</si>
  <si>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</si>
  <si>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</si>
  <si>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</si>
  <si>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</si>
  <si>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</si>
  <si>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</si>
  <si>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</si>
  <si>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</si>
  <si>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</si>
  <si>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</si>
  <si>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</si>
  <si>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</si>
  <si>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</si>
  <si>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</si>
  <si>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</si>
  <si>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</si>
  <si>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</si>
  <si>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</si>
  <si>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</si>
  <si>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</si>
  <si>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</si>
  <si>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</si>
  <si>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</si>
  <si>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</si>
  <si>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</si>
  <si>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</si>
  <si>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</si>
  <si>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</si>
  <si>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</si>
  <si>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</si>
  <si>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</si>
  <si>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</si>
  <si>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</si>
  <si>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</si>
  <si>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</si>
  <si>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</si>
  <si>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</si>
  <si>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</si>
  <si>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</si>
  <si>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</si>
  <si>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</si>
  <si>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</si>
  <si>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</si>
  <si>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</si>
  <si>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</si>
  <si>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</si>
  <si>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</si>
  <si>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</si>
  <si>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</si>
  <si>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</si>
  <si>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</si>
  <si>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</si>
  <si>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</si>
  <si>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</si>
  <si>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</si>
  <si>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</si>
  <si>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</si>
  <si>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</si>
  <si>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</si>
  <si>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</si>
  <si>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</si>
  <si>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</si>
  <si>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</si>
  <si>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</si>
  <si>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</si>
  <si>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</si>
  <si>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</si>
  <si>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</si>
  <si>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</si>
  <si>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</si>
  <si>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</si>
  <si>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</si>
  <si>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</si>
  <si>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</si>
  <si>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</si>
  <si>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</si>
  <si>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</si>
  <si>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</si>
  <si>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</si>
  <si>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</si>
  <si>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</si>
  <si>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</si>
  <si>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</si>
  <si>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</si>
  <si>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</si>
  <si>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</si>
  <si>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</si>
  <si>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</si>
  <si>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</si>
  <si>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</si>
  <si>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</si>
  <si>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</si>
  <si>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</si>
  <si>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</si>
  <si>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</si>
  <si>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</si>
  <si>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</si>
  <si>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</si>
  <si>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</si>
  <si>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</si>
  <si>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</si>
  <si>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</si>
  <si>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</si>
  <si>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</si>
  <si>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</si>
  <si>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</si>
  <si>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</si>
  <si>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</si>
  <si>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</si>
  <si>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</si>
  <si>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</si>
  <si>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</si>
  <si>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</si>
  <si>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</si>
  <si>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</si>
  <si>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</si>
  <si>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</si>
  <si>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</si>
  <si>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</si>
  <si>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</si>
  <si>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</si>
  <si>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</si>
  <si>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</si>
  <si>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</si>
  <si>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</si>
  <si>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</si>
  <si>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</si>
  <si>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</si>
  <si>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</si>
  <si>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</si>
  <si>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</si>
  <si>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</si>
  <si>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</si>
  <si>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</si>
  <si>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</si>
  <si>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</si>
  <si>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</si>
  <si>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</si>
  <si>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</si>
  <si>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</si>
  <si>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</si>
  <si>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</si>
  <si>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</si>
  <si>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</si>
  <si>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</si>
  <si>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</si>
  <si>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</si>
  <si>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</si>
  <si>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</si>
  <si>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</si>
  <si>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</si>
  <si>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</si>
  <si>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</si>
  <si>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</si>
  <si>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</si>
  <si>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</si>
  <si>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</si>
  <si>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</si>
  <si>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</si>
  <si>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</si>
  <si>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</si>
  <si>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</si>
  <si>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</si>
  <si>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</si>
  <si>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</si>
  <si>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</si>
  <si>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</si>
  <si>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</si>
  <si>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</si>
  <si>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</si>
  <si>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</si>
  <si>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</si>
  <si>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</si>
  <si>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</si>
  <si>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</si>
  <si>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</si>
  <si>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</si>
  <si>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</si>
  <si>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</si>
  <si>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</si>
  <si>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</si>
  <si>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</si>
  <si>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</si>
  <si>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</si>
  <si>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</si>
  <si>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</si>
  <si>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</si>
  <si>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</si>
  <si>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</si>
  <si>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</si>
  <si>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</si>
  <si>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</si>
  <si>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</si>
  <si>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</si>
  <si>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</si>
  <si>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</si>
  <si>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</si>
  <si>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</si>
  <si>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</si>
  <si>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</si>
  <si>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</si>
  <si>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</si>
  <si>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</si>
  <si>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</si>
  <si>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</si>
  <si>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</si>
  <si>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</si>
  <si>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</si>
  <si>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</si>
  <si>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</si>
  <si>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</si>
  <si>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</si>
  <si>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</si>
  <si>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</si>
  <si>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</si>
  <si>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</si>
  <si>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</si>
  <si>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</si>
  <si>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</si>
  <si>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</si>
  <si>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</si>
  <si>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</si>
  <si>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</si>
  <si>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</si>
  <si>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</si>
  <si>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</si>
  <si>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</si>
  <si>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</si>
  <si>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</si>
  <si>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</si>
  <si>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</si>
  <si>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</si>
  <si>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</si>
  <si>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</si>
  <si>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</si>
  <si>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</si>
  <si>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</si>
  <si>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</si>
  <si>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</si>
  <si>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</si>
  <si>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</si>
  <si>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</si>
  <si>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</si>
  <si>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</si>
  <si>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</si>
  <si>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</si>
  <si>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</si>
  <si>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</si>
  <si>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</si>
  <si>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</si>
  <si>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</si>
  <si>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</si>
  <si>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</si>
  <si>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</si>
  <si>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</si>
  <si>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</si>
  <si>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</si>
  <si>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</si>
  <si>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</si>
  <si>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</si>
  <si>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</si>
  <si>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</si>
  <si>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</si>
  <si>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</si>
  <si>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</si>
  <si>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</si>
  <si>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</si>
  <si>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</si>
  <si>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</si>
  <si>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</si>
  <si>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</si>
  <si>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</si>
  <si>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</si>
  <si>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</si>
  <si>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</si>
  <si>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</si>
  <si>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</si>
  <si>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</si>
  <si>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</si>
  <si>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</si>
  <si>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</si>
  <si>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</si>
  <si>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</si>
  <si>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</si>
  <si>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</si>
  <si>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</si>
  <si>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</si>
  <si>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</si>
  <si>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</si>
  <si>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</si>
  <si>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</si>
  <si>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</si>
  <si>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</si>
  <si>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</si>
  <si>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</si>
  <si>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</si>
  <si>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</si>
  <si>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</si>
  <si>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</si>
  <si>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</si>
  <si>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</si>
  <si>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</si>
  <si>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</si>
  <si>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</si>
  <si>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</si>
  <si>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</si>
  <si>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</si>
  <si>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</si>
  <si>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</si>
  <si>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</si>
  <si>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</si>
  <si>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</si>
  <si>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</si>
  <si>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</si>
  <si>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</si>
  <si>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</si>
  <si>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</si>
  <si>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</si>
  <si>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</si>
  <si>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</si>
  <si>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</si>
  <si>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</si>
  <si>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</si>
  <si>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</si>
  <si>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</si>
  <si>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</si>
  <si>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</si>
  <si>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</si>
  <si>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</si>
  <si>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</si>
  <si>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</si>
  <si>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</si>
  <si>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</si>
  <si>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</si>
  <si>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</si>
  <si>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</si>
  <si>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</si>
  <si>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</si>
  <si>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</si>
  <si>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</si>
  <si>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</si>
  <si>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</si>
  <si>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</si>
  <si>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</si>
  <si>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</si>
  <si>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</si>
  <si>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</si>
  <si>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</si>
  <si>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</si>
  <si>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</si>
  <si>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</si>
  <si>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</si>
  <si>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</si>
  <si>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</si>
  <si>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</si>
  <si>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</si>
  <si>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</si>
  <si>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</si>
  <si>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</si>
  <si>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</si>
  <si>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</si>
  <si>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</si>
  <si>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</si>
  <si>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</si>
  <si>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</si>
  <si>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</si>
  <si>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</si>
  <si>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</si>
  <si>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</si>
  <si>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</si>
  <si>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</si>
  <si>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</si>
  <si>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</si>
  <si>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</si>
  <si>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</si>
  <si>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</si>
  <si>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</si>
  <si>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</si>
  <si>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</si>
  <si>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</si>
  <si>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</si>
  <si>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</si>
  <si>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</si>
  <si>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</si>
  <si>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</si>
  <si>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</si>
  <si>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</si>
  <si>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</si>
  <si>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</si>
  <si>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</si>
  <si>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</si>
  <si>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</si>
  <si>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</si>
  <si>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</si>
  <si>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</si>
  <si>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</si>
  <si>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</si>
  <si>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</si>
  <si>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</si>
  <si>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</si>
  <si>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</si>
  <si>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</si>
  <si>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</si>
  <si>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</si>
  <si>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</si>
  <si>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</si>
  <si>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</si>
  <si>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</si>
  <si>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</si>
  <si>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</si>
  <si>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</si>
  <si>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</si>
  <si>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</si>
  <si>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</si>
  <si>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</si>
  <si>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</si>
  <si>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</si>
  <si>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</si>
  <si>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</si>
  <si>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</si>
  <si>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</si>
  <si>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</si>
  <si>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</si>
  <si>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</si>
  <si>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</si>
  <si>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</si>
  <si>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</si>
  <si>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</si>
  <si>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</si>
  <si>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</si>
  <si>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</si>
  <si>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</si>
  <si>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</si>
  <si>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</si>
  <si>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</si>
  <si>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</si>
  <si>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</si>
  <si>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</si>
  <si>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</si>
  <si>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</si>
  <si>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</si>
  <si>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</si>
  <si>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</si>
  <si>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</si>
  <si>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</si>
  <si>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</si>
  <si>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</si>
  <si>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</si>
  <si>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</si>
  <si>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</si>
  <si>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</si>
  <si>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</si>
  <si>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</si>
  <si>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</si>
  <si>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</si>
  <si>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</si>
  <si>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</si>
  <si>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</si>
  <si>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</si>
  <si>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</si>
  <si>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</si>
  <si>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</si>
  <si>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</si>
  <si>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</si>
  <si>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</si>
  <si>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</si>
  <si>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</si>
  <si>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</si>
  <si>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</si>
  <si>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</si>
  <si>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</si>
  <si>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</si>
  <si>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</si>
  <si>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</si>
  <si>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</si>
  <si>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</si>
  <si>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</si>
  <si>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</si>
  <si>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</si>
  <si>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</si>
  <si>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</si>
  <si>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</si>
  <si>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</si>
  <si>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</si>
  <si>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</si>
  <si>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</si>
  <si>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</si>
  <si>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</si>
  <si>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</si>
  <si>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</si>
  <si>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</si>
  <si>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</si>
  <si>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</si>
  <si>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</si>
  <si>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</si>
  <si>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</si>
  <si>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</si>
  <si>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</si>
  <si>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</si>
  <si>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</si>
  <si>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</si>
  <si>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</si>
  <si>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</si>
  <si>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</si>
  <si>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</si>
  <si>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</si>
  <si>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</si>
  <si>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</si>
  <si>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</si>
  <si>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</si>
  <si>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</si>
  <si>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</si>
  <si>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</si>
  <si>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</si>
  <si>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</si>
  <si>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</si>
  <si>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</si>
  <si>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</si>
  <si>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</si>
  <si>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</si>
  <si>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</si>
  <si>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</si>
  <si>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</si>
  <si>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</si>
  <si>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</si>
  <si>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</si>
  <si>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</si>
  <si>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</si>
  <si>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</si>
  <si>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</si>
  <si>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</si>
  <si>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</si>
  <si>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</si>
  <si>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</si>
  <si>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</si>
  <si>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</si>
  <si>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</si>
  <si>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</si>
  <si>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</si>
  <si>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</si>
  <si>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</si>
  <si>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</si>
  <si>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</si>
  <si>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</si>
  <si>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</si>
  <si>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</si>
  <si>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</si>
  <si>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</si>
  <si>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</si>
  <si>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</si>
  <si>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</si>
  <si>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</si>
  <si>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</si>
  <si>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</si>
  <si>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</si>
  <si>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</si>
  <si>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</si>
  <si>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</si>
  <si>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</si>
  <si>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</si>
  <si>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</si>
  <si>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</si>
  <si>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</si>
  <si>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</si>
  <si>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</si>
  <si>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</si>
  <si>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</si>
  <si>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</si>
  <si>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</si>
  <si>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</si>
  <si>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</si>
  <si>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</si>
  <si>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</si>
  <si>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</si>
  <si>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</si>
  <si>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</si>
  <si>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</si>
  <si>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</si>
  <si>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</si>
  <si>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</si>
  <si>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</si>
  <si>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</si>
  <si>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</si>
  <si>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</si>
  <si>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</si>
  <si>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</si>
  <si>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</si>
  <si>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</si>
  <si>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</si>
  <si>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</si>
  <si>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</si>
  <si>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</si>
  <si>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</si>
  <si>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</si>
  <si>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</si>
  <si>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</si>
  <si>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</si>
  <si>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</si>
  <si>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</si>
  <si>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</si>
  <si>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</si>
  <si>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</si>
  <si>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</si>
  <si>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</si>
  <si>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</si>
  <si>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</si>
  <si>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</si>
  <si>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</si>
  <si>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</si>
  <si>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</si>
  <si>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</si>
  <si>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</si>
  <si>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</si>
  <si>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</si>
  <si>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</si>
  <si>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</si>
  <si>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</si>
  <si>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</si>
  <si>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</si>
  <si>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</si>
  <si>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</si>
  <si>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</si>
  <si>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</si>
  <si>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</si>
  <si>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</si>
  <si>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</si>
  <si>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</si>
  <si>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</si>
  <si>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</si>
  <si>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</si>
  <si>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</si>
  <si>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</si>
  <si>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</si>
  <si>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</si>
  <si>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</si>
  <si>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</si>
  <si>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</si>
  <si>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</si>
  <si>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</si>
  <si>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</si>
  <si>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</si>
  <si>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</si>
  <si>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</si>
  <si>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</si>
  <si>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</si>
  <si>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</si>
  <si>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</si>
  <si>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</si>
  <si>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</si>
  <si>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</si>
  <si>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</si>
  <si>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</si>
  <si>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</si>
  <si>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</si>
  <si>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</si>
  <si>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</si>
  <si>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</si>
  <si>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</si>
  <si>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</si>
  <si>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</si>
  <si>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</si>
  <si>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</si>
  <si>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</si>
  <si>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</si>
  <si>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</si>
  <si>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</si>
  <si>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</si>
  <si>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</si>
  <si>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</si>
  <si>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</si>
  <si>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</si>
  <si>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</si>
  <si>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</si>
  <si>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</si>
  <si>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</si>
  <si>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</si>
  <si>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</si>
  <si>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</si>
  <si>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</si>
  <si>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</si>
  <si>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</si>
  <si>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</si>
  <si>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</si>
  <si>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</si>
  <si>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</si>
  <si>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</si>
  <si>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</si>
  <si>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</si>
  <si>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</si>
  <si>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</si>
  <si>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</si>
  <si>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</si>
  <si>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</si>
  <si>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</si>
  <si>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</si>
  <si>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</si>
  <si>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</si>
  <si>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</si>
  <si>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</si>
  <si>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</si>
  <si>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</si>
  <si>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</si>
  <si>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</si>
  <si>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</si>
  <si>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</si>
  <si>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</si>
  <si>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</si>
  <si>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</si>
  <si>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</si>
  <si>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</si>
  <si>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</si>
  <si>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</si>
  <si>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</si>
  <si>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</si>
  <si>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</si>
  <si>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</si>
  <si>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</si>
  <si>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</si>
  <si>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</si>
  <si>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</si>
  <si>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</si>
  <si>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</si>
  <si>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</si>
  <si>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</si>
  <si>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</si>
  <si>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</si>
  <si>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</si>
  <si>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</si>
  <si>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</si>
  <si>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</si>
  <si>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</si>
  <si>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</si>
  <si>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</si>
  <si>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</si>
  <si>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</si>
  <si>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</si>
  <si>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</si>
  <si>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</si>
  <si>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</si>
  <si>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</si>
  <si>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</si>
  <si>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</si>
  <si>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</si>
  <si>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</si>
  <si>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</si>
  <si>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</si>
  <si>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</si>
  <si>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</si>
  <si>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</si>
  <si>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</si>
  <si>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</si>
  <si>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</si>
  <si>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</si>
  <si>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</si>
  <si>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</si>
  <si>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</si>
  <si>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</si>
  <si>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</si>
  <si>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</si>
  <si>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</si>
  <si>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</si>
  <si>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</si>
  <si>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</si>
  <si>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</si>
  <si>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</si>
  <si>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</si>
  <si>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</si>
  <si>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</si>
  <si>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</si>
  <si>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</si>
  <si>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</si>
  <si>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</si>
  <si>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</si>
  <si>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</si>
  <si>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</si>
  <si>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</si>
  <si>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</si>
  <si>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</si>
  <si>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</si>
  <si>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</si>
  <si>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</si>
  <si>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</si>
  <si>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</si>
  <si>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</si>
  <si>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</si>
  <si>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</si>
  <si>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</si>
  <si>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</si>
  <si>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</si>
  <si>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</si>
  <si>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</si>
  <si>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</si>
  <si>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</si>
  <si>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</si>
  <si>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</si>
  <si>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</si>
  <si>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</si>
  <si>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</si>
  <si>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</si>
  <si>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</si>
  <si>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</si>
  <si>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</si>
  <si>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</si>
  <si>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</si>
  <si>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</si>
  <si>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</si>
  <si>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</si>
  <si>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</si>
  <si>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</si>
  <si>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</si>
  <si>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</si>
  <si>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</si>
  <si>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</si>
  <si>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</si>
  <si>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</si>
  <si>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</si>
  <si>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</si>
  <si>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</si>
  <si>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</si>
  <si>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</si>
  <si>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</si>
  <si>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</si>
  <si>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</si>
  <si>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</si>
  <si>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</si>
  <si>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</si>
  <si>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</si>
  <si>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</si>
  <si>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</si>
  <si>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</si>
  <si>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</si>
  <si>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</si>
  <si>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</si>
  <si>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</si>
  <si>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</si>
  <si>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</si>
  <si>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</si>
  <si>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</si>
  <si>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</si>
  <si>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</si>
  <si>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</si>
  <si>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</si>
  <si>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</si>
  <si>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</si>
  <si>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</si>
  <si>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</si>
  <si>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</si>
  <si>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</si>
  <si>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</si>
  <si>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</si>
  <si>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</si>
  <si>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</si>
  <si>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</si>
  <si>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</si>
  <si>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</si>
  <si>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</si>
  <si>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</si>
  <si>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</si>
  <si>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</si>
  <si>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</si>
  <si>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</si>
  <si>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</si>
  <si>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</si>
  <si>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</si>
  <si>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</si>
  <si>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</si>
  <si>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</si>
  <si>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</si>
  <si>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</si>
  <si>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</si>
  <si>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</si>
  <si>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</si>
  <si>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</si>
  <si>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</si>
  <si>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</si>
  <si>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</si>
  <si>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</si>
  <si>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</si>
  <si>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</si>
  <si>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</si>
  <si>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</si>
  <si>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</si>
  <si>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</si>
  <si>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</si>
  <si>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</si>
  <si>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</si>
  <si>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</si>
  <si>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</si>
  <si>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</si>
  <si>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</si>
  <si>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</si>
  <si>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</si>
  <si>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</si>
  <si>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</si>
  <si>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</si>
  <si>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</si>
  <si>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</si>
  <si>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</si>
  <si>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</si>
  <si>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</si>
  <si>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</si>
  <si>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</si>
  <si>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</si>
  <si>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</si>
  <si>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</si>
  <si>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</si>
  <si>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</si>
  <si>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</si>
  <si>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</si>
  <si>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</si>
  <si>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</si>
  <si>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</si>
  <si>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</si>
  <si>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</si>
  <si>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</si>
  <si>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</si>
  <si>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</si>
  <si>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</si>
  <si>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</si>
  <si>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</si>
  <si>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</si>
  <si>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</si>
  <si>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</si>
  <si>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</si>
  <si>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</si>
  <si>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</si>
  <si>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</si>
  <si>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</si>
  <si>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</si>
  <si>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</si>
  <si>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</si>
  <si>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</si>
  <si>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</si>
  <si>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</si>
  <si>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</si>
  <si>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</si>
  <si>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</si>
  <si>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</si>
  <si>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</si>
  <si>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</si>
  <si>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</si>
  <si>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</si>
  <si>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</si>
  <si>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</si>
  <si>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</si>
  <si>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</si>
  <si>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</si>
  <si>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</si>
  <si>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</si>
  <si>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</si>
  <si>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</si>
  <si>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</si>
  <si>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</si>
  <si>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</si>
  <si>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</si>
  <si>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</si>
  <si>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</si>
  <si>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</si>
  <si>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</si>
  <si>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</si>
  <si>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</si>
  <si>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</si>
  <si>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</si>
  <si>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</si>
  <si>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</si>
  <si>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</si>
  <si>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</si>
  <si>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</si>
  <si>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</si>
  <si>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</si>
  <si>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</si>
  <si>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</si>
  <si>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</si>
  <si>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</si>
  <si>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</si>
  <si>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</si>
  <si>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</si>
  <si>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</si>
  <si>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</si>
  <si>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</si>
  <si>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</si>
  <si>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</si>
  <si>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</si>
  <si>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</si>
  <si>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</si>
  <si>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</si>
  <si>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</si>
  <si>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</si>
  <si>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</si>
  <si>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</si>
  <si>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</si>
  <si>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</si>
  <si>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</si>
  <si>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</si>
  <si>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</si>
  <si>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</si>
  <si>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</si>
  <si>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</si>
  <si>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</si>
  <si>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</si>
  <si>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</si>
  <si>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</si>
  <si>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</si>
  <si>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</si>
  <si>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</si>
  <si>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</si>
  <si>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</si>
  <si>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</si>
  <si>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</si>
  <si>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</si>
  <si>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</si>
  <si>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</si>
  <si>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</si>
  <si>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</si>
  <si>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</si>
  <si>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</si>
  <si>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</si>
  <si>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</si>
  <si>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</si>
  <si>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</si>
  <si>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</si>
  <si>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</si>
  <si>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</si>
  <si>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</si>
  <si>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</si>
  <si>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</si>
  <si>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</si>
  <si>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</si>
  <si>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</si>
  <si>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</si>
  <si>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</si>
  <si>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</si>
  <si>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</si>
  <si>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</si>
  <si>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</si>
  <si>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</si>
  <si>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</si>
  <si>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</si>
  <si>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</si>
  <si>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</si>
  <si>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</si>
  <si>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</si>
  <si>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</si>
  <si>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</si>
  <si>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</si>
  <si>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</si>
  <si>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</si>
  <si>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</si>
  <si>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</si>
  <si>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</si>
  <si>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</si>
  <si>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</si>
  <si>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</si>
  <si>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</si>
  <si>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</si>
  <si>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</si>
  <si>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</si>
  <si>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</si>
  <si>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</si>
  <si>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</si>
  <si>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</si>
  <si>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</si>
  <si>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</si>
  <si>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</si>
  <si>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</si>
  <si>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</si>
  <si>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</si>
  <si>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</si>
  <si>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</si>
  <si>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</si>
  <si>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</si>
  <si>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</si>
  <si>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</si>
  <si>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</si>
  <si>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</si>
  <si>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</si>
  <si>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</si>
  <si>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</si>
  <si>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</si>
  <si>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</si>
  <si>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</si>
  <si>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</si>
  <si>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</si>
  <si>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</si>
  <si>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</si>
  <si>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</si>
  <si>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</si>
  <si>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</si>
  <si>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</si>
  <si>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</si>
  <si>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</si>
  <si>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</si>
  <si>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</si>
  <si>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</si>
  <si>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</si>
  <si>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</si>
  <si>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</si>
  <si>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</si>
  <si>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</si>
  <si>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</si>
  <si>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</si>
  <si>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</si>
  <si>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</si>
  <si>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</si>
  <si>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</si>
  <si>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</si>
  <si>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</si>
  <si>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</si>
  <si>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</si>
  <si>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</si>
  <si>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</si>
  <si>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</si>
  <si>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</si>
  <si>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</si>
  <si>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</si>
  <si>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</si>
  <si>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</si>
  <si>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</si>
  <si>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</si>
  <si>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</si>
  <si>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</si>
  <si>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</si>
  <si>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</si>
  <si>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</si>
  <si>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</si>
  <si>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</si>
  <si>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</si>
  <si>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</si>
  <si>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</si>
  <si>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</si>
  <si>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</si>
  <si>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</si>
  <si>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</si>
  <si>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</si>
  <si>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</si>
  <si>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</si>
  <si>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</si>
  <si>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</si>
  <si>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</si>
  <si>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</si>
  <si>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</si>
  <si>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</si>
  <si>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</si>
  <si>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</si>
  <si>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</si>
  <si>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</si>
  <si>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</si>
  <si>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</si>
  <si>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</si>
  <si>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</si>
  <si>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</si>
  <si>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</si>
  <si>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</si>
  <si>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</si>
  <si>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</si>
  <si>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</si>
  <si>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</si>
  <si>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</si>
  <si>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</si>
  <si>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</si>
  <si>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</si>
  <si>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</si>
  <si>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</si>
  <si>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</si>
  <si>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</si>
  <si>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</si>
  <si>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</si>
  <si>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</si>
  <si>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</si>
  <si>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</si>
  <si>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</si>
  <si>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</si>
  <si>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</si>
  <si>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</si>
  <si>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</si>
  <si>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</si>
  <si>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</si>
  <si>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</si>
  <si>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</si>
  <si>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</si>
  <si>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</si>
  <si>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</si>
  <si>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</si>
  <si>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</si>
  <si>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</si>
  <si>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</si>
  <si>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</si>
  <si>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</si>
  <si>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</si>
  <si>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</si>
  <si>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</si>
  <si>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</si>
  <si>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</si>
  <si>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</si>
  <si>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</si>
  <si>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</si>
  <si>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</si>
  <si>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</si>
  <si>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</si>
  <si>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</si>
  <si>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</si>
  <si>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</si>
  <si>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</si>
  <si>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</si>
  <si>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</si>
  <si>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</si>
  <si>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</si>
  <si>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</si>
  <si>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</si>
  <si>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</si>
  <si>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</si>
  <si>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</si>
  <si>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</si>
  <si>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</si>
  <si>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</si>
  <si>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</si>
  <si>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</si>
  <si>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</si>
  <si>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</si>
  <si>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</si>
  <si>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</si>
  <si>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</si>
  <si>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</si>
  <si>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</si>
  <si>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</si>
  <si>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</si>
  <si>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</si>
  <si>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</si>
  <si>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</si>
  <si>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</si>
  <si>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</si>
  <si>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</si>
  <si>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</si>
  <si>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</si>
  <si>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</si>
  <si>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</si>
  <si>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</si>
  <si>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</si>
  <si>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</si>
  <si>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</si>
  <si>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</si>
  <si>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</si>
  <si>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</si>
  <si>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</si>
  <si>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</si>
  <si>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</si>
  <si>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</si>
  <si>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</si>
  <si>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</si>
  <si>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</si>
  <si>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</si>
  <si>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</si>
  <si>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</si>
  <si>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</si>
  <si>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</si>
  <si>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</si>
  <si>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</si>
  <si>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</si>
  <si>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</si>
  <si>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</si>
  <si>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</si>
  <si>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</si>
  <si>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</si>
  <si>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</si>
  <si>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</si>
  <si>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</si>
  <si>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</si>
  <si>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</si>
  <si>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</si>
  <si>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</si>
  <si>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</si>
  <si>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</si>
  <si>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</si>
  <si>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</si>
  <si>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</si>
  <si>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</si>
  <si>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</si>
  <si>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</si>
  <si>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</si>
  <si>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</si>
  <si>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</si>
  <si>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</si>
  <si>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</si>
  <si>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</si>
  <si>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</si>
  <si>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</si>
  <si>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</si>
  <si>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</si>
  <si>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</si>
  <si>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</si>
  <si>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</si>
  <si>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</si>
  <si>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</si>
  <si>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</si>
  <si>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</si>
  <si>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</si>
  <si>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</si>
  <si>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</si>
  <si>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</si>
  <si>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</si>
  <si>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</si>
  <si>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</si>
  <si>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</si>
  <si>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</si>
  <si>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</si>
  <si>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</si>
  <si>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</si>
  <si>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</si>
  <si>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</si>
  <si>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</si>
  <si>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</si>
  <si>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</si>
  <si>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</si>
  <si>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</si>
  <si>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</si>
  <si>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</si>
  <si>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</si>
  <si>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</si>
  <si>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</si>
  <si>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</si>
  <si>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</si>
  <si>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</si>
  <si>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</si>
  <si>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</si>
  <si>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</si>
  <si>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</si>
  <si>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</si>
  <si>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</si>
  <si>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</si>
  <si>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</si>
  <si>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</si>
  <si>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</si>
  <si>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</si>
  <si>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</si>
  <si>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</si>
  <si>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</si>
  <si>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</si>
  <si>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</si>
  <si>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</si>
  <si>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</si>
  <si>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</si>
  <si>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</si>
  <si>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</si>
  <si>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</si>
  <si>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</si>
  <si>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</si>
  <si>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</si>
  <si>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</si>
  <si>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</si>
  <si>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</si>
  <si>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</si>
  <si>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</si>
  <si>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</si>
  <si>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</si>
  <si>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</si>
  <si>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</si>
  <si>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</si>
  <si>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</si>
  <si>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</si>
  <si>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</si>
  <si>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</si>
  <si>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</si>
  <si>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</si>
  <si>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</si>
  <si>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</si>
  <si>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</si>
  <si>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</si>
  <si>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</si>
  <si>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</si>
  <si>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</si>
  <si>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</si>
  <si>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</si>
  <si>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</si>
  <si>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</si>
  <si>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</si>
  <si>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</si>
  <si>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</si>
  <si>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</si>
  <si>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</si>
  <si>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</si>
  <si>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</si>
  <si>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</si>
  <si>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</si>
  <si>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</si>
  <si>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</si>
  <si>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</si>
  <si>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</si>
  <si>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</si>
  <si>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</si>
  <si>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</si>
  <si>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</si>
  <si>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</si>
  <si>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</si>
  <si>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</si>
  <si>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</si>
  <si>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</si>
  <si>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</si>
  <si>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</si>
  <si>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</si>
  <si>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</si>
  <si>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</si>
  <si>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</si>
  <si>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</si>
  <si>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</si>
  <si>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</si>
  <si>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</si>
  <si>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</si>
  <si>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</si>
  <si>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</si>
  <si>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</si>
  <si>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</si>
  <si>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</si>
  <si>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</si>
  <si>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</si>
  <si>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</si>
  <si>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</si>
  <si>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</si>
  <si>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</si>
  <si>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</si>
  <si>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</si>
  <si>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</si>
  <si>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</si>
  <si>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</si>
  <si>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</si>
  <si>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</si>
  <si>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</si>
  <si>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</si>
  <si>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</si>
  <si>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</si>
  <si>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</si>
  <si>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</si>
  <si>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</si>
  <si>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</si>
  <si>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</si>
  <si>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</si>
  <si>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</si>
  <si>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</si>
  <si>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</si>
  <si>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</si>
  <si>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</si>
  <si>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</si>
  <si>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</si>
  <si>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</si>
  <si>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</si>
  <si>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</si>
  <si>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</si>
  <si>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</si>
  <si>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</si>
  <si>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</si>
  <si>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</si>
  <si>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</si>
  <si>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</si>
  <si>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</si>
  <si>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</si>
  <si>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</si>
  <si>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</si>
  <si>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</si>
  <si>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</si>
  <si>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</si>
  <si>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</si>
  <si>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</si>
  <si>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</si>
  <si>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</si>
  <si>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</si>
  <si>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</si>
  <si>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</si>
  <si>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</si>
  <si>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</si>
  <si>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</si>
  <si>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</si>
  <si>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</si>
  <si>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</si>
  <si>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</si>
  <si>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</si>
  <si>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</si>
  <si>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</si>
  <si>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</si>
  <si>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</si>
  <si>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</si>
  <si>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</si>
  <si>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</si>
  <si>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</si>
  <si>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</si>
  <si>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</si>
  <si>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</si>
  <si>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</si>
  <si>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</si>
  <si>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</si>
  <si>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</si>
  <si>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</si>
  <si>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</si>
  <si>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</si>
  <si>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</si>
  <si>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</si>
  <si>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</si>
  <si>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</si>
  <si>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</si>
  <si>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</si>
  <si>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</si>
  <si>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</si>
  <si>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</si>
  <si>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</si>
  <si>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</si>
  <si>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</si>
  <si>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</si>
  <si>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</si>
  <si>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</si>
  <si>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</si>
  <si>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</si>
  <si>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</si>
  <si>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</si>
  <si>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</si>
  <si>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</si>
  <si>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</si>
  <si>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</si>
  <si>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</si>
  <si>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</si>
  <si>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</si>
  <si>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</si>
  <si>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</si>
  <si>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</si>
  <si>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</si>
  <si>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</si>
  <si>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</si>
  <si>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</si>
  <si>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</si>
  <si>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</si>
  <si>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</si>
  <si>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</si>
  <si>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</si>
  <si>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</si>
  <si>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</si>
  <si>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</si>
  <si>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</si>
  <si>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</si>
  <si>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</si>
  <si>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</si>
  <si>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</si>
  <si>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</si>
  <si>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</si>
  <si>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</si>
  <si>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</si>
  <si>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</si>
  <si>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</si>
  <si>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</si>
  <si>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</si>
  <si>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</si>
  <si>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</si>
  <si>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</si>
  <si>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</si>
  <si>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</si>
  <si>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</si>
  <si>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</si>
  <si>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</si>
  <si>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</si>
  <si>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</si>
  <si>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Imp. Regio 3 - 3003</t>
  </si>
  <si>
    <t>Imp. Regio 3 - 3004</t>
  </si>
  <si>
    <t>Imp. Regio 3 - 3005</t>
  </si>
  <si>
    <t>Imp. Regio 3 - 3006</t>
  </si>
  <si>
    <t>Imp. Regio 3 - 3007</t>
  </si>
  <si>
    <t>Imp. Regio 3 - 3008</t>
  </si>
  <si>
    <t>Imp. Regio 3 - 3009</t>
  </si>
  <si>
    <t>Imp. Regio 3 - 3010</t>
  </si>
  <si>
    <t>Imp. Regio 3 - 3011</t>
  </si>
  <si>
    <t>Imp. Regio 3 - 3012</t>
  </si>
  <si>
    <t>Imp. Regio 3 - 3013</t>
  </si>
  <si>
    <t>Imp. Regio 3 - 3014</t>
  </si>
  <si>
    <t>Imp. Regio 3 - 3015</t>
  </si>
  <si>
    <t>Imp. Regio 3 - 3016</t>
  </si>
  <si>
    <t>Imp. Regio 3 - 3017</t>
  </si>
  <si>
    <t>Imp. Regio 3 - 3018</t>
  </si>
  <si>
    <t>Imp. Regio 3 - 3019</t>
  </si>
  <si>
    <t>Imp. Regio 3 - 3020</t>
  </si>
  <si>
    <t>Imp. Regio 3 - 3021</t>
  </si>
  <si>
    <t>Imp. Regio 3 - 3022</t>
  </si>
  <si>
    <t>Imp. Regio 3 - 3023</t>
  </si>
  <si>
    <t>Imp. Regio 3 - 3024</t>
  </si>
  <si>
    <t>Imp. Regio 3 - 3025</t>
  </si>
  <si>
    <t>Imp. Regio 3 - 3026</t>
  </si>
  <si>
    <t>Imp. Regio 3 - 3027</t>
  </si>
  <si>
    <t>Imp. Regio 3 - 3028</t>
  </si>
  <si>
    <t>Imp. Regio 3 - 3029</t>
  </si>
  <si>
    <t>Imp. Regio 3 - 3030</t>
  </si>
  <si>
    <t>Imp. Regio 3 - 3031</t>
  </si>
  <si>
    <t>Imp. Regio 3 - 3032</t>
  </si>
  <si>
    <t>Imp. Regio 3 - 3033</t>
  </si>
  <si>
    <t>Imp. Regio 3 - 3034</t>
  </si>
  <si>
    <t>Imp. Regio 3 - 3035</t>
  </si>
  <si>
    <t>Imp. Regio 3 - 3036</t>
  </si>
  <si>
    <t>Imp. Regio 3 - 3037</t>
  </si>
  <si>
    <t>Imp. Regio 3 - 3038</t>
  </si>
  <si>
    <t>Imp. Regio 3 - 3039</t>
  </si>
  <si>
    <t>Imp. Regio 3 - 3040</t>
  </si>
  <si>
    <t>Imp. Regio 3 - 3041</t>
  </si>
  <si>
    <t>Imp. Regio 3 - 3042</t>
  </si>
  <si>
    <t>Imp. Regio 3 - 3043</t>
  </si>
  <si>
    <t>Imp. Regio 3 - 3044</t>
  </si>
  <si>
    <t>Imp. Regio 3 - 3045</t>
  </si>
  <si>
    <t>Imp. Regio 3 - 3046</t>
  </si>
  <si>
    <t>Imp. Regio 3 - 3047</t>
  </si>
  <si>
    <t>Imp. Regio 3 - 3048</t>
  </si>
  <si>
    <t>Imp. Regio 3 - 3049</t>
  </si>
  <si>
    <t>Imp. Regio 3 - 3050</t>
  </si>
  <si>
    <t>Imp. Regio 3 - 3051</t>
  </si>
  <si>
    <t>Imp. Regio 3 - 3052</t>
  </si>
  <si>
    <t>Imp. Regio 3 - 3053</t>
  </si>
  <si>
    <t>Imp. Regio 3 - 3054</t>
  </si>
  <si>
    <t>Imp. Regio 3 - 3055</t>
  </si>
  <si>
    <t>Imp. Regio 3 - 3056</t>
  </si>
  <si>
    <t>Imp. Regio 3 - 3057</t>
  </si>
  <si>
    <t>Imp. Regio 3 - 3058</t>
  </si>
  <si>
    <t>Imp. Regio 3 - 3059</t>
  </si>
  <si>
    <t>Imp. Regio 3 - 3060</t>
  </si>
  <si>
    <t>Imp. Regio 3 - 3061</t>
  </si>
  <si>
    <t>Imp. Regio 3 - 3062</t>
  </si>
  <si>
    <t>Imp. Regio 3 - 3063</t>
  </si>
  <si>
    <t>Imp. Regio 3 - 3064</t>
  </si>
  <si>
    <t>Imp. Regio 3 - 3065</t>
  </si>
  <si>
    <t>Imp. Regio 3 - 3066</t>
  </si>
  <si>
    <t>Imp. Regio 3 - 3067</t>
  </si>
  <si>
    <t>Imp. Regio 3 - 3068</t>
  </si>
  <si>
    <t>Imp. Regio 3 - 3069</t>
  </si>
  <si>
    <t>Imp. Regio 3 - 3070</t>
  </si>
  <si>
    <t>Imp. Regio 3 - 3071</t>
  </si>
  <si>
    <t>Imp. Regio 3 - 3072</t>
  </si>
  <si>
    <t>Imp. Regio 3 - 3073</t>
  </si>
  <si>
    <t>Imp. Regio 3 - 3074</t>
  </si>
  <si>
    <t>Imp. Regio 3 - 3075</t>
  </si>
  <si>
    <t>Imp. Regio 3 - 3076</t>
  </si>
  <si>
    <t>Imp. Regio 3 - 3077</t>
  </si>
  <si>
    <t>Imp. Regio 3 - 3078</t>
  </si>
  <si>
    <t>Imp. Regio 3 - 3079</t>
  </si>
  <si>
    <t>Imp. Regio 3 - 3080</t>
  </si>
  <si>
    <t>Imp. Regio 3 - 3081</t>
  </si>
  <si>
    <t>Imp. Regio 3 - 3082</t>
  </si>
  <si>
    <t>Imp. Regio 3 - 3083</t>
  </si>
  <si>
    <t>Imp. Regio 3 - 3084</t>
  </si>
  <si>
    <t>Imp. Regio 3 - 3085</t>
  </si>
  <si>
    <t>Imp. Regio 3 - 3086</t>
  </si>
  <si>
    <t>Imp. Regio 3 - 3087</t>
  </si>
  <si>
    <t>Imp. Regio 3 - 3088</t>
  </si>
  <si>
    <t>Imp. Regio 3 - 3089</t>
  </si>
  <si>
    <t>Imp. Regio 3 - 3090</t>
  </si>
  <si>
    <t>Imp. Regio 3 - 3091</t>
  </si>
  <si>
    <t>Imp. Regio 3 - 3092</t>
  </si>
  <si>
    <t>Imp. Regio 3 - 3093</t>
  </si>
  <si>
    <t>Imp. Regio 3 - 3094</t>
  </si>
  <si>
    <t>Imp. Regio 3 - 3095</t>
  </si>
  <si>
    <t>Imp. Regio 3 - 3096</t>
  </si>
  <si>
    <t>Imp. Regio 3 - 3097</t>
  </si>
  <si>
    <t>Imp. Regio 3 - 3098</t>
  </si>
  <si>
    <t>Imp. Regio 3 - 3099</t>
  </si>
  <si>
    <t>Imp. Regio 3 - 3100</t>
  </si>
  <si>
    <t>Imp. Regio 3 - 3101</t>
  </si>
  <si>
    <t>Imp. Regio 3 - 3102</t>
  </si>
  <si>
    <t>Imp. Regio 3 - 3103</t>
  </si>
  <si>
    <t>Imp. Regio 3 - 3104</t>
  </si>
  <si>
    <t>Imp. Regio 3 - 3105</t>
  </si>
  <si>
    <t>Imp. Regio 3 - 3106</t>
  </si>
  <si>
    <t>Imp. Regio 3 - 3107</t>
  </si>
  <si>
    <t>Imp. Regio 3 - 3108</t>
  </si>
  <si>
    <t>Imp. Regio 3 - 3109</t>
  </si>
  <si>
    <t>Imp. Regio 3 - 3110</t>
  </si>
  <si>
    <t>Imp. Regio 3 - 3111</t>
  </si>
  <si>
    <t>Imp. Regio 3 - 3112</t>
  </si>
  <si>
    <t>Imp. Regio 3 - 3113</t>
  </si>
  <si>
    <t>Imp. Regio 3 - 3114</t>
  </si>
  <si>
    <t>Imp. Regio 3 - 3115</t>
  </si>
  <si>
    <t>Imp. Regio 3 - 3116</t>
  </si>
  <si>
    <t>Imp. Regio 3 - 3117</t>
  </si>
  <si>
    <t>Imp. Regio 3 - 3118</t>
  </si>
  <si>
    <t>Imp. Regio 3 - 3119</t>
  </si>
  <si>
    <t>Imp. Regio 3 - 3120</t>
  </si>
  <si>
    <t>Imp. Regio 3 - 3121</t>
  </si>
  <si>
    <t>Imp. Regio 3 - 3122</t>
  </si>
  <si>
    <t>Imp. Regio 3 - 3123</t>
  </si>
  <si>
    <t>Imp. Regio 3 - 3124</t>
  </si>
  <si>
    <t>Imp. Regio 3 - 3125</t>
  </si>
  <si>
    <t>Imp. Regio 3 - 3126</t>
  </si>
  <si>
    <t>Imp. Regio 3 - 3127</t>
  </si>
  <si>
    <t>Imp. Regio 3 - 3128</t>
  </si>
  <si>
    <t>Imp. Regio 3 - 3129</t>
  </si>
  <si>
    <t>Imp. Regio 3 - 3130</t>
  </si>
  <si>
    <t>Imp. Regio 3 - 3131</t>
  </si>
  <si>
    <t>Imp. Regio 3 - 3132</t>
  </si>
  <si>
    <t>Imp. Regio 3 - 3133</t>
  </si>
  <si>
    <t>Imp. Regio 3 - 3134</t>
  </si>
  <si>
    <t>Imp. Regio 3 - 3135</t>
  </si>
  <si>
    <t>Imp. Regio 3 - 3136</t>
  </si>
  <si>
    <t>Imp. Regio 3 - 3137</t>
  </si>
  <si>
    <t>Imp. Regio 3 - 3138</t>
  </si>
  <si>
    <t>Imp. Regio 3 - 3139</t>
  </si>
  <si>
    <t>Imp. Regio 3 - 3140</t>
  </si>
  <si>
    <t>Imp. Regio 3 - 3141</t>
  </si>
  <si>
    <t>Imp. Regio 3 - 3142</t>
  </si>
  <si>
    <t>Imp. Regio 3 - 3143</t>
  </si>
  <si>
    <t>Imp. Regio 3 - 3144</t>
  </si>
  <si>
    <t>Imp. Regio 3 - 3145</t>
  </si>
  <si>
    <t>Imp. Regio 3 - 3146</t>
  </si>
  <si>
    <t>Imp. Regio 3 - 3147</t>
  </si>
  <si>
    <t>Imp. Regio 3 - 3148</t>
  </si>
  <si>
    <t>Imp. Regio 3 - 3149</t>
  </si>
  <si>
    <t>Imp. Regio 3 - 3150</t>
  </si>
  <si>
    <t>Imp. Regio 3 - 3151</t>
  </si>
  <si>
    <t>Imp. Regio 3 - 3152</t>
  </si>
  <si>
    <t>Imp. Regio 3 - 3153</t>
  </si>
  <si>
    <t>Imp. Regio 3 - 3154</t>
  </si>
  <si>
    <t>Imp. Regio 3 - 3155</t>
  </si>
  <si>
    <t>Imp. Regio 3 - 3156</t>
  </si>
  <si>
    <t>Imp. Regio 3 - 3157</t>
  </si>
  <si>
    <t>Imp. Regio 3 - 3158</t>
  </si>
  <si>
    <t>Imp. Regio 3 - 3159</t>
  </si>
  <si>
    <t>Imp. Regio 3 - 3160</t>
  </si>
  <si>
    <t>Imp. Regio 3 - 3161</t>
  </si>
  <si>
    <t>Imp. Regio 3 - 3162</t>
  </si>
  <si>
    <t>Imp. Regio 3 - 3163</t>
  </si>
  <si>
    <t>Imp. Regio 3 - 3164</t>
  </si>
  <si>
    <t>Imp. Regio 3 - 3165</t>
  </si>
  <si>
    <t>Imp. Regio 3 - 3166</t>
  </si>
  <si>
    <t>Imp. Regio 3 - 3167</t>
  </si>
  <si>
    <t>Imp. Regio 3 - 3168</t>
  </si>
  <si>
    <t>Imp. Regio 3 - 3169</t>
  </si>
  <si>
    <t>Imp. Regio 3 - 3170</t>
  </si>
  <si>
    <t>Imp. Regio 3 - 3171</t>
  </si>
  <si>
    <t>Imp. Regio 3 - 3172</t>
  </si>
  <si>
    <t>Imp. Regio 3 - 3173</t>
  </si>
  <si>
    <t>Imp. Regio 3 - 3174</t>
  </si>
  <si>
    <t>Imp. Regio 3 - 3175</t>
  </si>
  <si>
    <t>Imp. Regio 3 - 3176</t>
  </si>
  <si>
    <t>Imp. Regio 3 - 3177</t>
  </si>
  <si>
    <t>Imp. Regio 3 - 3178</t>
  </si>
  <si>
    <t>Imp. Regio 3 - 3179</t>
  </si>
  <si>
    <t>Imp. Regio 3 - 3180</t>
  </si>
  <si>
    <t>Imp. Regio 3 - 3181</t>
  </si>
  <si>
    <t>Imp. Regio 3 - 3182</t>
  </si>
  <si>
    <t>Imp. Regio 3 - 3183</t>
  </si>
  <si>
    <t>Imp. Regio 3 - 3184</t>
  </si>
  <si>
    <t>Imp. Regio 3 - 3185</t>
  </si>
  <si>
    <t>Imp. Regio 3 - 3186</t>
  </si>
  <si>
    <t>Imp. Regio 3 - 3187</t>
  </si>
  <si>
    <t>Imp. Regio 3 - 3188</t>
  </si>
  <si>
    <t>Imp. Regio 3 - 3189</t>
  </si>
  <si>
    <t>Imp. Regio 3 - 3190</t>
  </si>
  <si>
    <t>Imp. Regio 3 - 3191</t>
  </si>
  <si>
    <t>Imp. Regio 3 - 3192</t>
  </si>
  <si>
    <t>Imp. Regio 3 - 3193</t>
  </si>
  <si>
    <t>Imp. Regio 3 - 3194</t>
  </si>
  <si>
    <t>Imp. Regio 3 - 3195</t>
  </si>
  <si>
    <t>Imp. Regio 3 - 3196</t>
  </si>
  <si>
    <t>Imp. Regio 3 - 3197</t>
  </si>
  <si>
    <t>Imp. Regio 3 - 3198</t>
  </si>
  <si>
    <t>Imp. Regio 3 - 3199</t>
  </si>
  <si>
    <t>Imp. Regio 3 - 3200</t>
  </si>
  <si>
    <t>Imp. Regio 3 - 3201</t>
  </si>
  <si>
    <t>Imp. Regio 3 - 3202</t>
  </si>
  <si>
    <t>Imp. Regio 3 - 3203</t>
  </si>
  <si>
    <t>Imp. Regio 3 - 3204</t>
  </si>
  <si>
    <t>Imp. Regio 3 - 3205</t>
  </si>
  <si>
    <t>Imp. Regio 3 - 3206</t>
  </si>
  <si>
    <t>Imp. Regio 3 - 3207</t>
  </si>
  <si>
    <t>Imp. Regio 3 - 3208</t>
  </si>
  <si>
    <t>Imp. Regio 3 - 3209</t>
  </si>
  <si>
    <t>Imp. Regio 3 - 3210</t>
  </si>
  <si>
    <t>Imp. Regio 3 - 3211</t>
  </si>
  <si>
    <t>Imp. Regio 3 - 3212</t>
  </si>
  <si>
    <t>Imp. Regio 3 - 3213</t>
  </si>
  <si>
    <t>Imp. Regio 3 - 3214</t>
  </si>
  <si>
    <t>Imp. Regio 3 - 3215</t>
  </si>
  <si>
    <t>Imp. Regio 3 - 3216</t>
  </si>
  <si>
    <t>Imp. Regio 3 - 3217</t>
  </si>
  <si>
    <t>Imp. Regio 3 - 3218</t>
  </si>
  <si>
    <t>Imp. Regio 3 - 3219</t>
  </si>
  <si>
    <t>Imp. Regio 3 - 3220</t>
  </si>
  <si>
    <t>Imp. Regio 3 - 3221</t>
  </si>
  <si>
    <t>Imp. Regio 3 - 3222</t>
  </si>
  <si>
    <t>Imp. Regio 3 - 3223</t>
  </si>
  <si>
    <t>Imp. Regio 3 - 3224</t>
  </si>
  <si>
    <t>Imp. Regio 3 - 3225</t>
  </si>
  <si>
    <t>Imp. Regio 3 - 3226</t>
  </si>
  <si>
    <t>Imp. Regio 3 - 3227</t>
  </si>
  <si>
    <t>Imp. Regio 3 - 3228</t>
  </si>
  <si>
    <t>Imp. Regio 3 - 3229</t>
  </si>
  <si>
    <t>Imp. Regio 3 - 3230</t>
  </si>
  <si>
    <t>Imp. Regio 3 - 3231</t>
  </si>
  <si>
    <t>Imp. Regio 3 - 3232</t>
  </si>
  <si>
    <t>Imp. Regio 3 - 3233</t>
  </si>
  <si>
    <t>Imp. Regio 3 - 3234</t>
  </si>
  <si>
    <t>Imp. Regio 3 - 3235</t>
  </si>
  <si>
    <t>Imp. Regio 3 - 3236</t>
  </si>
  <si>
    <t>Imp. Regio 3 - 3237</t>
  </si>
  <si>
    <t>Imp. Regio 3 - 3238</t>
  </si>
  <si>
    <t>Imp. Regio 3 - 3239</t>
  </si>
  <si>
    <t>Imp. Regio 3 - 3240</t>
  </si>
  <si>
    <t>Imp. Regio 3 - 3241</t>
  </si>
  <si>
    <t>Imp. Regio 3 - 3242</t>
  </si>
  <si>
    <t>Imp. Regio 3 - 3243</t>
  </si>
  <si>
    <t>Imp. Regio 3 - 3244</t>
  </si>
  <si>
    <t>Imp. Regio 3 - 3245</t>
  </si>
  <si>
    <t>Imp. Regio 3 - 3246</t>
  </si>
  <si>
    <t>Imp. Regio 3 - 3247</t>
  </si>
  <si>
    <t>Imp. Regio 3 - 3248</t>
  </si>
  <si>
    <t>Imp. Regio 3 - 3249</t>
  </si>
  <si>
    <t>Imp. Regio 3 - 3250</t>
  </si>
  <si>
    <t>Imp. Regio 3 - 3251</t>
  </si>
  <si>
    <t>Imp. Regio 3 - 3252</t>
  </si>
  <si>
    <t>Imp. Regio 3 - 3253</t>
  </si>
  <si>
    <t>Imp. Regio 3 - 3254</t>
  </si>
  <si>
    <t>Imp. Regio 3 - 3255</t>
  </si>
  <si>
    <t>Imp. Regio 3 - 3256</t>
  </si>
  <si>
    <t>Imp. Regio 3 - 3257</t>
  </si>
  <si>
    <t>Imp. Regio 3 - 3258</t>
  </si>
  <si>
    <t>Imp. Regio 3 - 3259</t>
  </si>
  <si>
    <t>Imp. Regio 3 - 3260</t>
  </si>
  <si>
    <t>Imp. Regio 3 - 3261</t>
  </si>
  <si>
    <t>Imp. Regio 3 - 3262</t>
  </si>
  <si>
    <t>Imp. Regio 3 - 3263</t>
  </si>
  <si>
    <t>Imp. Regio 3 - 3264</t>
  </si>
  <si>
    <t>Imp. Regio 3 - 3265</t>
  </si>
  <si>
    <t>Imp. Regio 3 - 3266</t>
  </si>
  <si>
    <t>Imp. Regio 3 - 3267</t>
  </si>
  <si>
    <t>Imp. Regio 3 - 3268</t>
  </si>
  <si>
    <t>Imp. Regio 3 - 3269</t>
  </si>
  <si>
    <t>Imp. Regio 3 - 3270</t>
  </si>
  <si>
    <t>Imp. Regio 3 - 3271</t>
  </si>
  <si>
    <t>Imp. Regio 3 - 3272</t>
  </si>
  <si>
    <t>Imp. Regio 3 - 3273</t>
  </si>
  <si>
    <t>Imp. Regio 3 - 3274</t>
  </si>
  <si>
    <t>Imp. Regio 3 - 3275</t>
  </si>
  <si>
    <t>Imp. Regio 3 - 3276</t>
  </si>
  <si>
    <t>Imp. Regio 3 - 3277</t>
  </si>
  <si>
    <t>Imp. Regio 3 - 3278</t>
  </si>
  <si>
    <t>Imp. Regio 3 - 3279</t>
  </si>
  <si>
    <t>Imp. Regio 3 - 3280</t>
  </si>
  <si>
    <t>Imp. Regio 3 - 3281</t>
  </si>
  <si>
    <t>Imp. Regio 3 - 3282</t>
  </si>
  <si>
    <t>Imp. Regio 3 - 3283</t>
  </si>
  <si>
    <t>Imp. Regio 3 - 3284</t>
  </si>
  <si>
    <t>Imp. Regio 3 - 3285</t>
  </si>
  <si>
    <t>Imp. Regio 3 - 3286</t>
  </si>
  <si>
    <t>Imp. Regio 3 - 3287</t>
  </si>
  <si>
    <t>Imp. Regio 3 - 3288</t>
  </si>
  <si>
    <t>Imp. Regio 3 - 3289</t>
  </si>
  <si>
    <t>Imp. Regio 3 - 3290</t>
  </si>
  <si>
    <t>Imp. Regio 3 - 3291</t>
  </si>
  <si>
    <t>Imp. Regio 3 - 3292</t>
  </si>
  <si>
    <t>Imp. Regio 3 - 3293</t>
  </si>
  <si>
    <t>Imp. Regio 3 - 3294</t>
  </si>
  <si>
    <t>Imp. Regio 3 - 3295</t>
  </si>
  <si>
    <t>Imp. Regio 3 - 3296</t>
  </si>
  <si>
    <t>Imp. Regio 3 - 3297</t>
  </si>
  <si>
    <t>Imp. Regio 3 - 3298</t>
  </si>
  <si>
    <t>Imp. Regio 3 - 3299</t>
  </si>
  <si>
    <t>Imp. Regio 3 - 3300</t>
  </si>
  <si>
    <t>Imp. Regio 3 - 3301</t>
  </si>
  <si>
    <t>Imp. Regio 3 - 3302</t>
  </si>
  <si>
    <t>Imp. Regio 3 - 3303</t>
  </si>
  <si>
    <t>Imp. Regio 3 - 3304</t>
  </si>
  <si>
    <t>Imp. Regio 3 - 3305</t>
  </si>
  <si>
    <t>Imp. Regio 3 - 3306</t>
  </si>
  <si>
    <t>Imp. Regio 3 - 3307</t>
  </si>
  <si>
    <t>Imp. Regio 3 - 3308</t>
  </si>
  <si>
    <t>Imp. Regio 3 - 3309</t>
  </si>
  <si>
    <t>Imp. Regio 3 - 3310</t>
  </si>
  <si>
    <t>Imp. Regio 3 - 3311</t>
  </si>
  <si>
    <t>Imp. Regio 3 - 3312</t>
  </si>
  <si>
    <t>Imp. Regio 3 - 3313</t>
  </si>
  <si>
    <t>Imp. Regio 3 - 3314</t>
  </si>
  <si>
    <t>Imp. Regio 3 - 3315</t>
  </si>
  <si>
    <t>Imp. Regio 3 - 3316</t>
  </si>
  <si>
    <t>Imp. Regio 3 - 3317</t>
  </si>
  <si>
    <t>Imp. Regio 3 - 3318</t>
  </si>
  <si>
    <t>Imp. Regio 3 - 3319</t>
  </si>
  <si>
    <t>Imp. Regio 3 - 3320</t>
  </si>
  <si>
    <t>Imp. Regio 3 - 3321</t>
  </si>
  <si>
    <t>Imp. Regio 3 - 3322</t>
  </si>
  <si>
    <t>Imp. Regio 3 - 3323</t>
  </si>
  <si>
    <t>Imp. Regio 3 - 3324</t>
  </si>
  <si>
    <t>Imp. Regio 3 - 3325</t>
  </si>
  <si>
    <t>Imp. Regio 3 - 3326</t>
  </si>
  <si>
    <t>Imp. Regio 3 - 3327</t>
  </si>
  <si>
    <t>Imp. Regio 3 - 3328</t>
  </si>
  <si>
    <t>Imp. Regio 3 - 3329</t>
  </si>
  <si>
    <t>Imp. Regio 3 - 3330</t>
  </si>
  <si>
    <t>Imp. Regio 3 - 3331</t>
  </si>
  <si>
    <t>Imp. Regio 3 - 3332</t>
  </si>
  <si>
    <t>Imp. Regio 3 - 3333</t>
  </si>
  <si>
    <t>Imp. Regio 3 - 3334</t>
  </si>
  <si>
    <t>Imp. Regio 3 - 3335</t>
  </si>
  <si>
    <t>Imp. Regio 3 - 3336</t>
  </si>
  <si>
    <t>Imp. Regio 3 - 3337</t>
  </si>
  <si>
    <t>Imp. Regio 3 - 3338</t>
  </si>
  <si>
    <t>Imp. Regio 3 - 3339</t>
  </si>
  <si>
    <t>Imp. Regio 3 - 3340</t>
  </si>
  <si>
    <t>Imp. Regio 3 - 3341</t>
  </si>
  <si>
    <t>Imp. Regio 3 - 3342</t>
  </si>
  <si>
    <t>Imp. Regio 3 - 3343</t>
  </si>
  <si>
    <t>Imp. Regio 3 - 3344</t>
  </si>
  <si>
    <t>Imp. Regio 3 - 3345</t>
  </si>
  <si>
    <t>Imp. Regio 3 - 3346</t>
  </si>
  <si>
    <t>Imp. Regio 3 - 3347</t>
  </si>
  <si>
    <t>Imp. Regio 3 - 3348</t>
  </si>
  <si>
    <t>Imp. Regio 3 - 3349</t>
  </si>
  <si>
    <t>Imp. Regio 3 - 3350</t>
  </si>
  <si>
    <t>Imp. Regio 3 - 3351</t>
  </si>
  <si>
    <t>Imp. Regio 3 - 3352</t>
  </si>
  <si>
    <t>Imp. Regio 3 - 3353</t>
  </si>
  <si>
    <t>Imp. Regio 3 - 3354</t>
  </si>
  <si>
    <t>Imp. Regio 3 - 3355</t>
  </si>
  <si>
    <t>Imp. Regio 3 - 3356</t>
  </si>
  <si>
    <t>Imp. Regio 3 - 3357</t>
  </si>
  <si>
    <t>Imp. Regio 3 - 3358</t>
  </si>
  <si>
    <t>Imp. Regio 3 - 3359</t>
  </si>
  <si>
    <t>Imp. Regio 3 - 3360</t>
  </si>
  <si>
    <t>Imp. Regio 3 - 3361</t>
  </si>
  <si>
    <t>Imp. Regio 3 - 3362</t>
  </si>
  <si>
    <t>Imp. Regio 3 - 3363</t>
  </si>
  <si>
    <t>Imp. Regio 3 - 3364</t>
  </si>
  <si>
    <t>Imp. Regio 3 - 3365</t>
  </si>
  <si>
    <t>Imp. Regio 3 - 3366</t>
  </si>
  <si>
    <t>Imp. Regio 3 - 3367</t>
  </si>
  <si>
    <t>Imp. Regio 3 - 3368</t>
  </si>
  <si>
    <t>Imp. Regio 3 - 3369</t>
  </si>
  <si>
    <t>Imp. Regio 3 - 3370</t>
  </si>
  <si>
    <t>Imp. Regio 3 - 3371</t>
  </si>
  <si>
    <t>Imp. Regio 3 - 3372</t>
  </si>
  <si>
    <t>Imp. Regio 3 - 3373</t>
  </si>
  <si>
    <t>Imp. Regio 3 - 3374</t>
  </si>
  <si>
    <t>Imp. Regio 3 - 3375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</si>
</sst>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6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12" fillId="9" borderId="0" xfId="0" applyFont="1" applyFill="1" applyAlignment="1">
      <alignment vertical="center"/>
    </xf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716"/>
  <sheetViews>
    <sheetView tabSelected="1" zoomScale="80" zoomScaleNormal="80" workbookViewId="0">
      <pane ySplit="2" topLeftCell="A364" activePane="bottomLeft" state="frozen"/>
      <selection pane="bottomLeft" activeCell="A375" sqref="A375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1" bestFit="1" customWidth="1"/>
    <col min="28" max="28" width="33.46484375" style="52" bestFit="1" customWidth="1"/>
    <col min="29" max="29" width="21.19921875" style="63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3" customWidth="1"/>
    <col min="42" max="42" width="26.73046875" style="63" bestFit="1" customWidth="1"/>
    <col min="43" max="43" width="19.1328125" style="63" bestFit="1" customWidth="1"/>
    <col min="44" max="44" width="9.06640625" style="30"/>
    <col min="45" max="16384" width="9.06640625" style="51"/>
  </cols>
  <sheetData>
    <row r="1" spans="1:44" ht="21.75" customHeight="1" x14ac:dyDescent="0.45">
      <c r="A1" s="80" t="s">
        <v>29</v>
      </c>
      <c r="B1" s="86"/>
      <c r="C1" s="86"/>
      <c r="D1" s="86"/>
      <c r="E1" s="87" t="s">
        <v>32</v>
      </c>
      <c r="F1" s="81"/>
      <c r="G1" s="53" t="s">
        <v>34</v>
      </c>
      <c r="H1" s="88" t="s">
        <v>38</v>
      </c>
      <c r="I1" s="81"/>
      <c r="J1" s="89" t="s">
        <v>41</v>
      </c>
      <c r="K1" s="81"/>
      <c r="L1" s="90" t="s">
        <v>38</v>
      </c>
      <c r="M1" s="81"/>
      <c r="N1" s="81"/>
      <c r="O1" s="80" t="s">
        <v>51</v>
      </c>
      <c r="P1" s="81"/>
      <c r="Q1" s="81"/>
      <c r="R1" s="81"/>
      <c r="S1" s="81"/>
      <c r="T1" s="81"/>
      <c r="U1" s="82" t="s">
        <v>41</v>
      </c>
      <c r="V1" s="81"/>
      <c r="W1" s="81"/>
      <c r="X1" s="81"/>
      <c r="Y1" s="81"/>
      <c r="Z1" s="81"/>
      <c r="AA1" s="83" t="s">
        <v>38</v>
      </c>
      <c r="AB1" s="81"/>
      <c r="AC1" s="81"/>
      <c r="AD1" s="81"/>
      <c r="AE1" s="81"/>
      <c r="AF1" s="81"/>
      <c r="AG1" s="81"/>
      <c r="AH1" s="84" t="s">
        <v>69</v>
      </c>
      <c r="AI1" s="81"/>
      <c r="AJ1" s="81"/>
      <c r="AK1" s="81"/>
      <c r="AL1" s="81"/>
      <c r="AM1" s="85" t="s">
        <v>41</v>
      </c>
      <c r="AN1" s="81"/>
      <c r="AO1" s="81"/>
      <c r="AP1" s="81"/>
      <c r="AQ1" s="81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79" t="s">
        <v>70</v>
      </c>
      <c r="AO2" s="76" t="s">
        <v>539</v>
      </c>
      <c r="AP2" s="76" t="s">
        <v>662</v>
      </c>
      <c r="AQ2" s="59" t="s">
        <v>71</v>
      </c>
      <c r="AR2" s="78" t="s">
        <v>663</v>
      </c>
    </row>
    <row r="3" spans="1:44" ht="21.75" customHeight="1" x14ac:dyDescent="0.45">
      <c r="B3" s="51" t="s">
        <v>99</v>
      </c>
      <c r="E3" s="52" t="s">
        <v>87</v>
      </c>
      <c r="F3" s="51" t="str">
        <f>"Warengruppe&gt;&gt;"&amp;_xlfn.TEXTJOIN("&gt;&gt;",TRUE,Migrationsartikel!V2:X2)</f>
        <v>Warengruppe&gt;&gt;Früchte und Gemüse&gt;&gt;Früchte und Gemüse&gt;&gt;Früchte</v>
      </c>
      <c r="H3" s="52" t="s">
        <v>109</v>
      </c>
      <c r="J3" s="51" t="str">
        <f>_xlfn.TEXTJOIN(" ",TRUE,Migrationsartikel!B2,Migrationsartikel!E2)</f>
        <v>7610029177671</v>
      </c>
      <c r="L3" s="51" t="str">
        <f>_xlfn.TEXTJOIN(" ",TRUE,Migrationsartikel!F2:H2)</f>
        <v>Marroni gekocht 400g</v>
      </c>
      <c r="M3" s="51" t="str">
        <f>_xlfn.TEXTJOIN(" ",TRUE,Migrationsartikel!J2:L2)</f>
        <v>Marrons cuits 400g</v>
      </c>
      <c r="N3" s="51" t="str">
        <f>_xlfn.TEXTJOIN(" ",TRUE,Migrationsartikel!N2:P2)</f>
        <v>Castagne cotte 400g</v>
      </c>
      <c r="O3" s="51" t="str">
        <f>Migrationsartikel!F2</f>
        <v>Marroni gekocht</v>
      </c>
      <c r="P3" s="51" t="str">
        <f>Migrationsartikel!J2</f>
        <v>Marrons cuits</v>
      </c>
      <c r="Q3" s="51" t="str">
        <f>Migrationsartikel!N2</f>
        <v>Castagne cotte</v>
      </c>
      <c r="R3" s="51" t="str">
        <f>_xlfn.TEXTJOIN(" ",TRUE,Migrationsartikel!G2)</f>
        <v/>
      </c>
      <c r="S3" s="51" t="str">
        <f>_xlfn.TEXTJOIN(" ",TRUE,Migrationsartikel!K2)</f>
        <v/>
      </c>
      <c r="T3" s="51" t="str">
        <f>_xlfn.TEXTJOIN(" ",TRUE,Migrationsartikel!O2)</f>
        <v/>
      </c>
      <c r="U3" s="51" t="str">
        <f>_xlfn.TEXTJOIN(" ",TRUE,Migrationsartikel!H2)</f>
        <v>400g</v>
      </c>
      <c r="V3" s="51" t="str">
        <f>_xlfn.TEXTJOIN(" ",TRUE,Migrationsartikel!L2)</f>
        <v>400g</v>
      </c>
      <c r="W3" s="51" t="str">
        <f>_xlfn.TEXTJOIN(" ",TRUE,Migrationsartikel!P2)</f>
        <v>400g</v>
      </c>
      <c r="X3" s="51" t="str">
        <f>Migrationsartikel!I2</f>
        <v>Marroni gekocht</v>
      </c>
      <c r="Y3" s="51" t="str">
        <f>Migrationsartikel!M2</f>
        <v>Marrons cuits</v>
      </c>
      <c r="Z3" s="51" t="str">
        <f>Migrationsartikel!Q2</f>
        <v>Castagne cotte</v>
      </c>
      <c r="AA3" s="60">
        <f>Migrationsartikel!R2</f>
        <v>1</v>
      </c>
      <c r="AB3" s="51" t="str">
        <f>Migrationsartikel!T2</f>
        <v>Kilogramm</v>
      </c>
      <c r="AC3" s="62">
        <f>Migrationsartikel!S2</f>
        <v>1</v>
      </c>
      <c r="AD3" s="51" t="str">
        <f>Migrationsartikel!U2</f>
        <v>(PCE) Stück</v>
      </c>
      <c r="AE3" s="95" t="str">
        <f>Migrationsartikel!Y2</f>
        <v>3 - Reduzierter Satz</v>
      </c>
      <c r="AF3" s="64" t="str">
        <f>IF(Migrationsartikel!AA2="Kein Depotartikel","",Migrationsartikel!AA2)</f>
        <v/>
      </c>
      <c r="AG3" s="95" t="str">
        <f>Migrationsartikel!Z2</f>
        <v>Keine</v>
      </c>
      <c r="AH3" s="51" t="str">
        <f>IF(Migrationsartikel!AB2="ja","true",FALSE)</f>
        <v>true</v>
      </c>
      <c r="AI3" s="51" t="str">
        <f>IF(Migrationsartikel!AC2="ja","true",FALSE)</f>
        <v>true</v>
      </c>
      <c r="AJ3" s="51" t="str">
        <f>IF(Migrationsartikel!AD2="ja","true",FALSE)</f>
        <v>true</v>
      </c>
      <c r="AK3" s="51" t="str">
        <f>IF(Migrationsartikel!AE2="ja","true",FALSE)</f>
        <v>true</v>
      </c>
      <c r="AL3" s="51" t="str">
        <f>IF(Migrationsartikel!AF2="ja","Denner Partner","")</f>
        <v/>
      </c>
      <c r="AM3" s="51" t="str">
        <f>IF(Migrationsartikel!AG2="ja","true","false")</f>
        <v>false</v>
      </c>
      <c r="AN3" s="51" t="str">
        <f t="shared" ref="AN3" si="0">IF(AND(ISNUMBER(J3),J3&gt;=100,J3&lt;=999),"PLU",IF(AND(ISNUMBER(J3),J3&gt;999),"GTIN","Kassentastenbelegung (ohne GTIN/PLU)"))</f>
        <v>Kassentastenbelegung (ohne GTIN/PLU)</v>
      </c>
      <c r="AO3" s="63" t="s">
        <v>219</v>
      </c>
      <c r="AP3" s="62" t="s">
        <v>2430</v>
      </c>
      <c r="AQ3" s="63" t="s">
        <v>217</v>
      </c>
      <c r="AR3" s="30" t="s">
        <v>219</v>
      </c>
    </row>
    <row r="4" spans="1:44" ht="21.75" customHeight="1" x14ac:dyDescent="0.45">
      <c r="B4" s="51" t="s">
        <v>99</v>
      </c>
      <c r="E4" s="52" t="s">
        <v>87</v>
      </c>
      <c r="F4" s="51" t="str">
        <f>"Warengruppe&gt;&gt;"&amp;_xlfn.TEXTJOIN("&gt;&gt;",TRUE,Migrationsartikel!V3:X3)</f>
        <v>Warengruppe&gt;&gt;Früchte und Gemüse&gt;&gt;Früchte und Gemüse&gt;&gt;Früchte</v>
      </c>
      <c r="H4" s="52" t="s">
        <v>109</v>
      </c>
      <c r="J4" s="51" t="str">
        <f>_xlfn.TEXTJOIN(" ",TRUE,Migrationsartikel!B3,Migrationsartikel!E3)</f>
        <v/>
      </c>
      <c r="L4" s="51" t="str">
        <f>_xlfn.TEXTJOIN(" ",TRUE,Migrationsartikel!F3:H3)</f>
        <v>Aprikosen 1kg</v>
      </c>
      <c r="M4" s="51" t="str">
        <f>_xlfn.TEXTJOIN(" ",TRUE,Migrationsartikel!J3:L3)</f>
        <v>Abricots 1kg</v>
      </c>
      <c r="N4" s="51" t="str">
        <f>_xlfn.TEXTJOIN(" ",TRUE,Migrationsartikel!N3:P3)</f>
        <v>Albicocche 1kg</v>
      </c>
      <c r="O4" s="51" t="str">
        <f>Migrationsartikel!F3</f>
        <v>Aprikosen</v>
      </c>
      <c r="P4" s="51" t="str">
        <f>Migrationsartikel!J3</f>
        <v>Abricots</v>
      </c>
      <c r="Q4" s="51" t="str">
        <f>Migrationsartikel!N3</f>
        <v>Albicocche</v>
      </c>
      <c r="R4" s="51" t="str">
        <f>_xlfn.TEXTJOIN(" ",TRUE,Migrationsartikel!G3)</f>
        <v/>
      </c>
      <c r="S4" s="51" t="str">
        <f>_xlfn.TEXTJOIN(" ",TRUE,Migrationsartikel!K3)</f>
        <v/>
      </c>
      <c r="T4" s="51" t="str">
        <f>_xlfn.TEXTJOIN(" ",TRUE,Migrationsartikel!O3)</f>
        <v/>
      </c>
      <c r="U4" s="51" t="str">
        <f>_xlfn.TEXTJOIN(" ",TRUE,Migrationsartikel!H3)</f>
        <v>1kg</v>
      </c>
      <c r="V4" s="51" t="str">
        <f>_xlfn.TEXTJOIN(" ",TRUE,Migrationsartikel!L3)</f>
        <v>1kg</v>
      </c>
      <c r="W4" s="51" t="str">
        <f>_xlfn.TEXTJOIN(" ",TRUE,Migrationsartikel!P3)</f>
        <v>1kg</v>
      </c>
      <c r="X4" s="51" t="str">
        <f>Migrationsartikel!I3</f>
        <v>Aprikosen 1kg</v>
      </c>
      <c r="Y4" s="51" t="str">
        <f>Migrationsartikel!M3</f>
        <v>Abricots 1g</v>
      </c>
      <c r="Z4" s="51" t="str">
        <f>Migrationsartikel!Q3</f>
        <v>Albicocche 1kg</v>
      </c>
      <c r="AA4" s="60">
        <f>Migrationsartikel!R3</f>
        <v>1</v>
      </c>
      <c r="AB4" s="51" t="str">
        <f>Migrationsartikel!T3</f>
        <v>Kilogramm</v>
      </c>
      <c r="AC4" s="62">
        <f>Migrationsartikel!S3</f>
        <v>1</v>
      </c>
      <c r="AD4" s="51" t="str">
        <f>Migrationsartikel!U3</f>
        <v>(PCE) Stück</v>
      </c>
      <c r="AE4" s="95" t="str">
        <f>Migrationsartikel!Y3</f>
        <v>3 - Reduzierter Satz</v>
      </c>
      <c r="AF4" s="64" t="str">
        <f>IF(Migrationsartikel!AA3="Kein Depotartikel","",Migrationsartikel!AA3)</f>
        <v/>
      </c>
      <c r="AG4" s="95" t="str">
        <f>Migrationsartikel!Z3</f>
        <v>Keine</v>
      </c>
      <c r="AH4" s="51" t="str">
        <f>IF(Migrationsartikel!AB3="ja","true",FALSE)</f>
        <v>true</v>
      </c>
      <c r="AI4" s="51" t="str">
        <f>IF(Migrationsartikel!AC3="ja","true",FALSE)</f>
        <v>true</v>
      </c>
      <c r="AJ4" s="51" t="str">
        <f>IF(Migrationsartikel!AD3="ja","true",FALSE)</f>
        <v>true</v>
      </c>
      <c r="AK4" s="51" t="str">
        <f>IF(Migrationsartikel!AE3="ja","true",FALSE)</f>
        <v>true</v>
      </c>
      <c r="AL4" s="51" t="str">
        <f>IF(Migrationsartikel!AF3="ja","Denner Partner","")</f>
        <v/>
      </c>
      <c r="AM4" s="51" t="str">
        <f>IF(Migrationsartikel!AG3="ja","true","false")</f>
        <v>false</v>
      </c>
      <c r="AN4" s="51" t="str">
        <f t="shared" ref="AN4:AN67" si="1">IF(AND(ISNUMBER(J4),J4&gt;=100,J4&lt;=999),"PLU",IF(AND(ISNUMBER(J4),J4&gt;999),"GTIN","Kassentastenbelegung (ohne GTIN/PLU)"))</f>
        <v>Kassentastenbelegung (ohne GTIN/PLU)</v>
      </c>
      <c r="AO4" s="63" t="s">
        <v>219</v>
      </c>
      <c r="AP4" s="62" t="s">
        <v>2431</v>
      </c>
      <c r="AQ4" s="63" t="s">
        <v>217</v>
      </c>
      <c r="AR4" s="30" t="s">
        <v>219</v>
      </c>
    </row>
    <row r="5" spans="1:44" ht="21.75" customHeight="1" x14ac:dyDescent="0.45">
      <c r="B5" s="51" t="s">
        <v>99</v>
      </c>
      <c r="E5" s="52" t="s">
        <v>87</v>
      </c>
      <c r="F5" s="51" t="str">
        <f>"Warengruppe&gt;&gt;"&amp;_xlfn.TEXTJOIN("&gt;&gt;",TRUE,Migrationsartikel!V4:X4)</f>
        <v>Warengruppe&gt;&gt;Früchte und Gemüse&gt;&gt;Früchte und Gemüse&gt;&gt;Früchte</v>
      </c>
      <c r="H5" s="52" t="s">
        <v>109</v>
      </c>
      <c r="J5" s="51" t="str">
        <f>_xlfn.TEXTJOIN(" ",TRUE,Migrationsartikel!B4,Migrationsartikel!E4)</f>
        <v>7613399055839</v>
      </c>
      <c r="L5" s="51" t="str">
        <f>_xlfn.TEXTJOIN(" ",TRUE,Migrationsartikel!F4:H4)</f>
        <v>Bio Datteln Frisch Medjoul 200g</v>
      </c>
      <c r="M5" s="51" t="str">
        <f>_xlfn.TEXTJOIN(" ",TRUE,Migrationsartikel!J4:L4)</f>
        <v>Bio Dattes fraîches Medjoul 200g</v>
      </c>
      <c r="N5" s="51" t="str">
        <f>_xlfn.TEXTJOIN(" ",TRUE,Migrationsartikel!N4:P4)</f>
        <v>Bio datteri freschi Medjoul 200g</v>
      </c>
      <c r="O5" s="51" t="str">
        <f>Migrationsartikel!F4</f>
        <v>Bio Datteln Frisch</v>
      </c>
      <c r="P5" s="51" t="str">
        <f>Migrationsartikel!J4</f>
        <v>Bio Dattes fraîches</v>
      </c>
      <c r="Q5" s="51" t="str">
        <f>Migrationsartikel!N4</f>
        <v>Bio datteri freschi</v>
      </c>
      <c r="R5" s="51" t="str">
        <f>_xlfn.TEXTJOIN(" ",TRUE,Migrationsartikel!G4)</f>
        <v>Medjoul</v>
      </c>
      <c r="S5" s="51" t="str">
        <f>_xlfn.TEXTJOIN(" ",TRUE,Migrationsartikel!K4)</f>
        <v>Medjoul</v>
      </c>
      <c r="T5" s="51" t="str">
        <f>_xlfn.TEXTJOIN(" ",TRUE,Migrationsartikel!O4)</f>
        <v>Medjoul</v>
      </c>
      <c r="U5" s="51" t="str">
        <f>_xlfn.TEXTJOIN(" ",TRUE,Migrationsartikel!H4)</f>
        <v>200g</v>
      </c>
      <c r="V5" s="51" t="str">
        <f>_xlfn.TEXTJOIN(" ",TRUE,Migrationsartikel!L4)</f>
        <v>200g</v>
      </c>
      <c r="W5" s="51" t="str">
        <f>_xlfn.TEXTJOIN(" ",TRUE,Migrationsartikel!P4)</f>
        <v>200g</v>
      </c>
      <c r="X5" s="51" t="str">
        <f>Migrationsartikel!I4</f>
        <v>Bio Datteln Medjoul 200g</v>
      </c>
      <c r="Y5" s="51" t="str">
        <f>Migrationsartikel!M4</f>
        <v>Bio Dattes fr. Medjoul 200g</v>
      </c>
      <c r="Z5" s="51" t="str">
        <f>Migrationsartikel!Q4</f>
        <v>Bio datteri fre Medjoul 200g</v>
      </c>
      <c r="AA5" s="60">
        <f>Migrationsartikel!R4</f>
        <v>0.2</v>
      </c>
      <c r="AB5" s="51" t="str">
        <f>Migrationsartikel!T4</f>
        <v>Gramm</v>
      </c>
      <c r="AC5" s="62">
        <f>Migrationsartikel!S4</f>
        <v>100</v>
      </c>
      <c r="AD5" s="51" t="str">
        <f>Migrationsartikel!U4</f>
        <v>(PCE) Stück</v>
      </c>
      <c r="AE5" s="95" t="str">
        <f>Migrationsartikel!Y4</f>
        <v>3 - Reduzierter Satz</v>
      </c>
      <c r="AF5" s="64" t="str">
        <f>IF(Migrationsartikel!AA4="Kein Depotartikel","",Migrationsartikel!AA4)</f>
        <v/>
      </c>
      <c r="AG5" s="95" t="str">
        <f>Migrationsartikel!Z4</f>
        <v>Keine</v>
      </c>
      <c r="AH5" s="51" t="str">
        <f>IF(Migrationsartikel!AB4="ja","true",FALSE)</f>
        <v>true</v>
      </c>
      <c r="AI5" s="51" t="str">
        <f>IF(Migrationsartikel!AC4="ja","true",FALSE)</f>
        <v>true</v>
      </c>
      <c r="AJ5" s="51" t="str">
        <f>IF(Migrationsartikel!AD4="ja","true",FALSE)</f>
        <v>true</v>
      </c>
      <c r="AK5" s="51" t="str">
        <f>IF(Migrationsartikel!AE4="ja","true",FALSE)</f>
        <v>true</v>
      </c>
      <c r="AL5" s="51" t="str">
        <f>IF(Migrationsartikel!AF4="ja","Denner Partner","")</f>
        <v/>
      </c>
      <c r="AM5" s="51" t="str">
        <f>IF(Migrationsartikel!AG4="ja","true","false")</f>
        <v>false</v>
      </c>
      <c r="AN5" s="51" t="str">
        <f t="shared" si="1"/>
        <v>Kassentastenbelegung (ohne GTIN/PLU)</v>
      </c>
      <c r="AO5" s="63" t="s">
        <v>219</v>
      </c>
      <c r="AP5" s="62" t="s">
        <v>2432</v>
      </c>
      <c r="AQ5" s="63" t="s">
        <v>217</v>
      </c>
      <c r="AR5" s="30" t="s">
        <v>219</v>
      </c>
    </row>
    <row r="6" spans="1:44" ht="21.75" customHeight="1" x14ac:dyDescent="0.45">
      <c r="B6" s="51" t="s">
        <v>99</v>
      </c>
      <c r="E6" s="52" t="s">
        <v>87</v>
      </c>
      <c r="F6" s="51" t="str">
        <f>"Warengruppe&gt;&gt;"&amp;_xlfn.TEXTJOIN("&gt;&gt;",TRUE,Migrationsartikel!V5:X5)</f>
        <v>Warengruppe&gt;&gt;Früchte und Gemüse&gt;&gt;Früchte und Gemüse&gt;&gt;Früchte</v>
      </c>
      <c r="H6" s="52" t="s">
        <v>109</v>
      </c>
      <c r="J6" s="51" t="str">
        <f>_xlfn.TEXTJOIN(" ",TRUE,Migrationsartikel!B5,Migrationsartikel!E5)</f>
        <v/>
      </c>
      <c r="L6" s="51" t="str">
        <f>_xlfn.TEXTJOIN(" ",TRUE,Migrationsartikel!F5:H5)</f>
        <v>Feigen Pulled 400g</v>
      </c>
      <c r="M6" s="51" t="str">
        <f>_xlfn.TEXTJOIN(" ",TRUE,Migrationsartikel!J5:L5)</f>
        <v>Figues Pulled 400g</v>
      </c>
      <c r="N6" s="51" t="str">
        <f>_xlfn.TEXTJOIN(" ",TRUE,Migrationsartikel!N5:P5)</f>
        <v>Fichi Pulled 400g</v>
      </c>
      <c r="O6" s="51" t="str">
        <f>Migrationsartikel!F5</f>
        <v>Feigen Pulled</v>
      </c>
      <c r="P6" s="51" t="str">
        <f>Migrationsartikel!J5</f>
        <v>Figues Pulled</v>
      </c>
      <c r="Q6" s="51" t="str">
        <f>Migrationsartikel!N5</f>
        <v>Fichi Pulled</v>
      </c>
      <c r="R6" s="51" t="str">
        <f>_xlfn.TEXTJOIN(" ",TRUE,Migrationsartikel!G5)</f>
        <v/>
      </c>
      <c r="S6" s="51" t="str">
        <f>_xlfn.TEXTJOIN(" ",TRUE,Migrationsartikel!K5)</f>
        <v/>
      </c>
      <c r="T6" s="51" t="str">
        <f>_xlfn.TEXTJOIN(" ",TRUE,Migrationsartikel!O5)</f>
        <v/>
      </c>
      <c r="U6" s="51" t="str">
        <f>_xlfn.TEXTJOIN(" ",TRUE,Migrationsartikel!H5)</f>
        <v>400g</v>
      </c>
      <c r="V6" s="51" t="str">
        <f>_xlfn.TEXTJOIN(" ",TRUE,Migrationsartikel!L5)</f>
        <v>400g</v>
      </c>
      <c r="W6" s="51" t="str">
        <f>_xlfn.TEXTJOIN(" ",TRUE,Migrationsartikel!P5)</f>
        <v>400g</v>
      </c>
      <c r="X6" s="51" t="str">
        <f>Migrationsartikel!I5</f>
        <v>Feigen Pulled 400g</v>
      </c>
      <c r="Y6" s="51" t="str">
        <f>Migrationsartikel!M5</f>
        <v>Figues Pulled 400g</v>
      </c>
      <c r="Z6" s="51" t="str">
        <f>Migrationsartikel!Q5</f>
        <v>Fichi Pulled 40g</v>
      </c>
      <c r="AA6" s="60">
        <f>Migrationsartikel!R5</f>
        <v>0.4</v>
      </c>
      <c r="AB6" s="51" t="str">
        <f>Migrationsartikel!T5</f>
        <v>Kilogramm</v>
      </c>
      <c r="AC6" s="62">
        <f>Migrationsartikel!S5</f>
        <v>1</v>
      </c>
      <c r="AD6" s="51" t="str">
        <f>Migrationsartikel!U5</f>
        <v>(PCE) Stück</v>
      </c>
      <c r="AE6" s="95" t="str">
        <f>Migrationsartikel!Y5</f>
        <v>3 - Reduzierter Satz</v>
      </c>
      <c r="AF6" s="64" t="str">
        <f>IF(Migrationsartikel!AA5="Kein Depotartikel","",Migrationsartikel!AA5)</f>
        <v/>
      </c>
      <c r="AG6" s="95" t="str">
        <f>Migrationsartikel!Z5</f>
        <v>Keine</v>
      </c>
      <c r="AH6" s="51" t="str">
        <f>IF(Migrationsartikel!AB5="ja","true",FALSE)</f>
        <v>true</v>
      </c>
      <c r="AI6" s="51" t="str">
        <f>IF(Migrationsartikel!AC5="ja","true",FALSE)</f>
        <v>true</v>
      </c>
      <c r="AJ6" s="51" t="str">
        <f>IF(Migrationsartikel!AD5="ja","true",FALSE)</f>
        <v>true</v>
      </c>
      <c r="AK6" s="51" t="str">
        <f>IF(Migrationsartikel!AE5="ja","true",FALSE)</f>
        <v>true</v>
      </c>
      <c r="AL6" s="51" t="str">
        <f>IF(Migrationsartikel!AF5="ja","Denner Partner","")</f>
        <v/>
      </c>
      <c r="AM6" s="51" t="str">
        <f>IF(Migrationsartikel!AG5="ja","true","false")</f>
        <v>false</v>
      </c>
      <c r="AN6" s="51" t="str">
        <f t="shared" si="1"/>
        <v>Kassentastenbelegung (ohne GTIN/PLU)</v>
      </c>
      <c r="AO6" s="63" t="s">
        <v>219</v>
      </c>
      <c r="AP6" s="62" t="s">
        <v>2433</v>
      </c>
      <c r="AQ6" s="63" t="s">
        <v>217</v>
      </c>
      <c r="AR6" s="30" t="s">
        <v>219</v>
      </c>
    </row>
    <row r="7" spans="1:44" ht="21.75" customHeight="1" x14ac:dyDescent="0.45">
      <c r="B7" s="51" t="s">
        <v>99</v>
      </c>
      <c r="E7" s="52" t="s">
        <v>87</v>
      </c>
      <c r="F7" s="51" t="str">
        <f>"Warengruppe&gt;&gt;"&amp;_xlfn.TEXTJOIN("&gt;&gt;",TRUE,Migrationsartikel!V6:X6)</f>
        <v>Warengruppe&gt;&gt;Früchte und Gemüse&gt;&gt;Früchte und Gemüse&gt;&gt;Früchte</v>
      </c>
      <c r="H7" s="52" t="s">
        <v>109</v>
      </c>
      <c r="J7" s="51" t="str">
        <f>_xlfn.TEXTJOIN(" ",TRUE,Migrationsartikel!B6,Migrationsartikel!E6)</f>
        <v>7613399055365</v>
      </c>
      <c r="L7" s="51" t="str">
        <f>_xlfn.TEXTJOIN(" ",TRUE,Migrationsartikel!F6:H6)</f>
        <v>Haselnüsse 500g</v>
      </c>
      <c r="M7" s="51" t="str">
        <f>_xlfn.TEXTJOIN(" ",TRUE,Migrationsartikel!J6:L6)</f>
        <v>Noisettes 500g</v>
      </c>
      <c r="N7" s="51" t="str">
        <f>_xlfn.TEXTJOIN(" ",TRUE,Migrationsartikel!N6:P6)</f>
        <v>Nocciole 500g</v>
      </c>
      <c r="O7" s="51" t="str">
        <f>Migrationsartikel!F6</f>
        <v>Haselnüsse</v>
      </c>
      <c r="P7" s="51" t="str">
        <f>Migrationsartikel!J6</f>
        <v>Noisettes</v>
      </c>
      <c r="Q7" s="51" t="str">
        <f>Migrationsartikel!N6</f>
        <v>Nocciole</v>
      </c>
      <c r="R7" s="51" t="str">
        <f>_xlfn.TEXTJOIN(" ",TRUE,Migrationsartikel!G6)</f>
        <v/>
      </c>
      <c r="S7" s="51" t="str">
        <f>_xlfn.TEXTJOIN(" ",TRUE,Migrationsartikel!K6)</f>
        <v/>
      </c>
      <c r="T7" s="51" t="str">
        <f>_xlfn.TEXTJOIN(" ",TRUE,Migrationsartikel!O6)</f>
        <v/>
      </c>
      <c r="U7" s="51" t="str">
        <f>_xlfn.TEXTJOIN(" ",TRUE,Migrationsartikel!H6)</f>
        <v>500g</v>
      </c>
      <c r="V7" s="51" t="str">
        <f>_xlfn.TEXTJOIN(" ",TRUE,Migrationsartikel!L6)</f>
        <v>500g</v>
      </c>
      <c r="W7" s="51" t="str">
        <f>_xlfn.TEXTJOIN(" ",TRUE,Migrationsartikel!P6)</f>
        <v>500g</v>
      </c>
      <c r="X7" s="51" t="str">
        <f>Migrationsartikel!I6</f>
        <v>Haselnüsse 500g</v>
      </c>
      <c r="Y7" s="51" t="str">
        <f>Migrationsartikel!M6</f>
        <v>Noisettes 500g</v>
      </c>
      <c r="Z7" s="51" t="str">
        <f>Migrationsartikel!Q6</f>
        <v>Nocciole 500g</v>
      </c>
      <c r="AA7" s="60">
        <f>Migrationsartikel!R6</f>
        <v>0.5</v>
      </c>
      <c r="AB7" s="51" t="str">
        <f>Migrationsartikel!T6</f>
        <v>Kilogramm</v>
      </c>
      <c r="AC7" s="62">
        <f>Migrationsartikel!S6</f>
        <v>1</v>
      </c>
      <c r="AD7" s="51" t="str">
        <f>Migrationsartikel!U6</f>
        <v>(PCE) Stück</v>
      </c>
      <c r="AE7" s="95" t="str">
        <f>Migrationsartikel!Y6</f>
        <v>3 - Reduzierter Satz</v>
      </c>
      <c r="AF7" s="64" t="str">
        <f>IF(Migrationsartikel!AA6="Kein Depotartikel","",Migrationsartikel!AA6)</f>
        <v/>
      </c>
      <c r="AG7" s="95" t="str">
        <f>Migrationsartikel!Z6</f>
        <v>Keine</v>
      </c>
      <c r="AH7" s="51" t="str">
        <f>IF(Migrationsartikel!AB6="ja","true",FALSE)</f>
        <v>true</v>
      </c>
      <c r="AI7" s="51" t="str">
        <f>IF(Migrationsartikel!AC6="ja","true",FALSE)</f>
        <v>true</v>
      </c>
      <c r="AJ7" s="51" t="str">
        <f>IF(Migrationsartikel!AD6="ja","true",FALSE)</f>
        <v>true</v>
      </c>
      <c r="AK7" s="51" t="str">
        <f>IF(Migrationsartikel!AE6="ja","true",FALSE)</f>
        <v>true</v>
      </c>
      <c r="AL7" s="51" t="str">
        <f>IF(Migrationsartikel!AF6="ja","Denner Partner","")</f>
        <v/>
      </c>
      <c r="AM7" s="51" t="str">
        <f>IF(Migrationsartikel!AG6="ja","true","false")</f>
        <v>false</v>
      </c>
      <c r="AN7" s="51" t="str">
        <f t="shared" si="1"/>
        <v>Kassentastenbelegung (ohne GTIN/PLU)</v>
      </c>
      <c r="AO7" s="63" t="s">
        <v>219</v>
      </c>
      <c r="AP7" s="62" t="s">
        <v>2434</v>
      </c>
      <c r="AQ7" s="63" t="s">
        <v>217</v>
      </c>
      <c r="AR7" s="30" t="s">
        <v>219</v>
      </c>
    </row>
    <row r="8" spans="1:44" ht="21.75" customHeight="1" x14ac:dyDescent="0.45">
      <c r="B8" s="51" t="s">
        <v>99</v>
      </c>
      <c r="E8" s="52" t="s">
        <v>87</v>
      </c>
      <c r="F8" s="51" t="str">
        <f>"Warengruppe&gt;&gt;"&amp;_xlfn.TEXTJOIN("&gt;&gt;",TRUE,Migrationsartikel!V7:X7)</f>
        <v>Warengruppe&gt;&gt;Früchte und Gemüse&gt;&gt;Früchte und Gemüse&gt;&gt;Früchte</v>
      </c>
      <c r="H8" s="52" t="s">
        <v>109</v>
      </c>
      <c r="J8" s="51" t="str">
        <f>_xlfn.TEXTJOIN(" ",TRUE,Migrationsartikel!B7,Migrationsartikel!E7)</f>
        <v>143</v>
      </c>
      <c r="L8" s="51" t="str">
        <f>_xlfn.TEXTJOIN(" ",TRUE,Migrationsartikel!F7:H7)</f>
        <v>Birnen Büscheli Offen Kl. 1</v>
      </c>
      <c r="M8" s="51" t="str">
        <f>_xlfn.TEXTJOIN(" ",TRUE,Migrationsartikel!J7:L7)</f>
        <v>Poires Büscheli En vrac, cl. 1</v>
      </c>
      <c r="N8" s="51" t="str">
        <f>_xlfn.TEXTJOIN(" ",TRUE,Migrationsartikel!N7:P7)</f>
        <v>Pere Büscheli Cl. 1 vendita sfusa</v>
      </c>
      <c r="O8" s="51" t="str">
        <f>Migrationsartikel!F7</f>
        <v>Birnen Büscheli</v>
      </c>
      <c r="P8" s="51" t="str">
        <f>Migrationsartikel!J7</f>
        <v>Poires Büscheli</v>
      </c>
      <c r="Q8" s="51" t="str">
        <f>Migrationsartikel!N7</f>
        <v>Pere Büscheli</v>
      </c>
      <c r="R8" s="51" t="str">
        <f>_xlfn.TEXTJOIN(" ",TRUE,Migrationsartikel!G7)</f>
        <v>Offen Kl. 1</v>
      </c>
      <c r="S8" s="51" t="str">
        <f>_xlfn.TEXTJOIN(" ",TRUE,Migrationsartikel!K7)</f>
        <v>En vrac, cl. 1</v>
      </c>
      <c r="T8" s="51" t="str">
        <f>_xlfn.TEXTJOIN(" ",TRUE,Migrationsartikel!O7)</f>
        <v>Cl. 1 vendita sfusa</v>
      </c>
      <c r="U8" s="51" t="str">
        <f>_xlfn.TEXTJOIN(" ",TRUE,Migrationsartikel!H7)</f>
        <v/>
      </c>
      <c r="V8" s="51" t="str">
        <f>_xlfn.TEXTJOIN(" ",TRUE,Migrationsartikel!L7)</f>
        <v/>
      </c>
      <c r="W8" s="51" t="str">
        <f>_xlfn.TEXTJOIN(" ",TRUE,Migrationsartikel!P7)</f>
        <v/>
      </c>
      <c r="X8" s="51" t="str">
        <f>Migrationsartikel!I7</f>
        <v>Birnen Büscheli Offen Kl. 1</v>
      </c>
      <c r="Y8" s="51" t="str">
        <f>Migrationsartikel!M7</f>
        <v>Poires Büscheli</v>
      </c>
      <c r="Z8" s="51" t="str">
        <f>Migrationsartikel!Q7</f>
        <v>Pere Büscheli Cl. 1 v.s.</v>
      </c>
      <c r="AA8" s="60">
        <f>Migrationsartikel!R7</f>
        <v>1</v>
      </c>
      <c r="AB8" s="51" t="str">
        <f>Migrationsartikel!T7</f>
        <v>Kilogramm</v>
      </c>
      <c r="AC8" s="62">
        <f>Migrationsartikel!S7</f>
        <v>1</v>
      </c>
      <c r="AD8" s="51" t="str">
        <f>Migrationsartikel!U7</f>
        <v>(KGM) KG</v>
      </c>
      <c r="AE8" s="95" t="str">
        <f>Migrationsartikel!Y7</f>
        <v>3 - Reduzierter Satz</v>
      </c>
      <c r="AF8" s="64" t="str">
        <f>IF(Migrationsartikel!AA7="Kein Depotartikel","",Migrationsartikel!AA7)</f>
        <v/>
      </c>
      <c r="AG8" s="95" t="str">
        <f>Migrationsartikel!Z7</f>
        <v>Keine</v>
      </c>
      <c r="AH8" s="51" t="str">
        <f>IF(Migrationsartikel!AB7="ja","true",FALSE)</f>
        <v>true</v>
      </c>
      <c r="AI8" s="51" t="str">
        <f>IF(Migrationsartikel!AC7="ja","true",FALSE)</f>
        <v>true</v>
      </c>
      <c r="AJ8" s="51" t="str">
        <f>IF(Migrationsartikel!AD7="ja","true",FALSE)</f>
        <v>true</v>
      </c>
      <c r="AK8" s="51" t="str">
        <f>IF(Migrationsartikel!AE7="ja","true",FALSE)</f>
        <v>true</v>
      </c>
      <c r="AL8" s="51" t="str">
        <f>IF(Migrationsartikel!AF7="ja","Denner Partner","")</f>
        <v/>
      </c>
      <c r="AM8" s="51" t="str">
        <f>IF(Migrationsartikel!AG7="ja","true","false")</f>
        <v>false</v>
      </c>
      <c r="AN8" s="51" t="str">
        <f t="shared" si="1"/>
        <v>Kassentastenbelegung (ohne GTIN/PLU)</v>
      </c>
      <c r="AO8" s="63" t="s">
        <v>219</v>
      </c>
      <c r="AP8" s="62" t="s">
        <v>2435</v>
      </c>
      <c r="AQ8" s="63" t="s">
        <v>217</v>
      </c>
      <c r="AR8" s="30" t="s">
        <v>219</v>
      </c>
    </row>
    <row r="9" spans="1:44" ht="21.75" customHeight="1" x14ac:dyDescent="0.45">
      <c r="B9" s="51" t="s">
        <v>99</v>
      </c>
      <c r="E9" s="52" t="s">
        <v>87</v>
      </c>
      <c r="F9" s="51" t="str">
        <f>"Warengruppe&gt;&gt;"&amp;_xlfn.TEXTJOIN("&gt;&gt;",TRUE,Migrationsartikel!V8:X8)</f>
        <v>Warengruppe&gt;&gt;Früchte und Gemüse&gt;&gt;Früchte und Gemüse&gt;&gt;Früchte</v>
      </c>
      <c r="H9" s="52" t="s">
        <v>109</v>
      </c>
      <c r="J9" s="51" t="str">
        <f>_xlfn.TEXTJOIN(" ",TRUE,Migrationsartikel!B8,Migrationsartikel!E8)</f>
        <v>7613399039945</v>
      </c>
      <c r="L9" s="51" t="str">
        <f>_xlfn.TEXTJOIN(" ",TRUE,Migrationsartikel!F8:H8)</f>
        <v>Granatapfelkerne Becher 125g</v>
      </c>
      <c r="M9" s="51" t="str">
        <f>_xlfn.TEXTJOIN(" ",TRUE,Migrationsartikel!J8:L8)</f>
        <v>Graines de grenade Gobelet 125g</v>
      </c>
      <c r="N9" s="51" t="str">
        <f>_xlfn.TEXTJOIN(" ",TRUE,Migrationsartikel!N8:P8)</f>
        <v>Melagrana chicchi bicchiere 125g</v>
      </c>
      <c r="O9" s="51" t="str">
        <f>Migrationsartikel!F8</f>
        <v>Granatapfelkerne</v>
      </c>
      <c r="P9" s="51" t="str">
        <f>Migrationsartikel!J8</f>
        <v>Graines de grenade</v>
      </c>
      <c r="Q9" s="51" t="str">
        <f>Migrationsartikel!N8</f>
        <v>Melagrana chicchi</v>
      </c>
      <c r="R9" s="51" t="str">
        <f>_xlfn.TEXTJOIN(" ",TRUE,Migrationsartikel!G8)</f>
        <v>Becher</v>
      </c>
      <c r="S9" s="51" t="str">
        <f>_xlfn.TEXTJOIN(" ",TRUE,Migrationsartikel!K8)</f>
        <v>Gobelet</v>
      </c>
      <c r="T9" s="51" t="str">
        <f>_xlfn.TEXTJOIN(" ",TRUE,Migrationsartikel!O8)</f>
        <v>bicchiere</v>
      </c>
      <c r="U9" s="51" t="str">
        <f>_xlfn.TEXTJOIN(" ",TRUE,Migrationsartikel!H8)</f>
        <v>125g</v>
      </c>
      <c r="V9" s="51" t="str">
        <f>_xlfn.TEXTJOIN(" ",TRUE,Migrationsartikel!L8)</f>
        <v>125g</v>
      </c>
      <c r="W9" s="51" t="str">
        <f>_xlfn.TEXTJOIN(" ",TRUE,Migrationsartikel!P8)</f>
        <v>125g</v>
      </c>
      <c r="X9" s="51" t="str">
        <f>Migrationsartikel!I8</f>
        <v>Granatapfelkerne Becher</v>
      </c>
      <c r="Y9" s="51" t="str">
        <f>Migrationsartikel!M8</f>
        <v>Graines de grenade 125g</v>
      </c>
      <c r="Z9" s="51" t="str">
        <f>Migrationsartikel!Q8</f>
        <v>Melagrana chicchi 125g</v>
      </c>
      <c r="AA9" s="60">
        <f>Migrationsartikel!R8</f>
        <v>0.125</v>
      </c>
      <c r="AB9" s="51" t="str">
        <f>Migrationsartikel!T8</f>
        <v>Gramm</v>
      </c>
      <c r="AC9" s="62">
        <f>Migrationsartikel!S8</f>
        <v>100</v>
      </c>
      <c r="AD9" s="51" t="str">
        <f>Migrationsartikel!U8</f>
        <v>(PCE) Stück</v>
      </c>
      <c r="AE9" s="95" t="str">
        <f>Migrationsartikel!Y8</f>
        <v>3 - Reduzierter Satz</v>
      </c>
      <c r="AF9" s="64" t="str">
        <f>IF(Migrationsartikel!AA8="Kein Depotartikel","",Migrationsartikel!AA8)</f>
        <v/>
      </c>
      <c r="AG9" s="95" t="str">
        <f>Migrationsartikel!Z8</f>
        <v>Keine</v>
      </c>
      <c r="AH9" s="51" t="str">
        <f>IF(Migrationsartikel!AB8="ja","true",FALSE)</f>
        <v>true</v>
      </c>
      <c r="AI9" s="51" t="str">
        <f>IF(Migrationsartikel!AC8="ja","true",FALSE)</f>
        <v>true</v>
      </c>
      <c r="AJ9" s="51" t="str">
        <f>IF(Migrationsartikel!AD8="ja","true",FALSE)</f>
        <v>true</v>
      </c>
      <c r="AK9" s="51" t="str">
        <f>IF(Migrationsartikel!AE8="ja","true",FALSE)</f>
        <v>true</v>
      </c>
      <c r="AL9" s="51" t="str">
        <f>IF(Migrationsartikel!AF8="ja","Denner Partner","")</f>
        <v/>
      </c>
      <c r="AM9" s="51" t="str">
        <f>IF(Migrationsartikel!AG8="ja","true","false")</f>
        <v>false</v>
      </c>
      <c r="AN9" s="51" t="str">
        <f t="shared" si="1"/>
        <v>Kassentastenbelegung (ohne GTIN/PLU)</v>
      </c>
      <c r="AO9" s="63" t="s">
        <v>219</v>
      </c>
      <c r="AP9" s="62" t="s">
        <v>2436</v>
      </c>
      <c r="AQ9" s="63" t="s">
        <v>217</v>
      </c>
      <c r="AR9" s="30" t="s">
        <v>219</v>
      </c>
    </row>
    <row r="10" spans="1:44" ht="21.75" customHeight="1" x14ac:dyDescent="0.45">
      <c r="B10" s="51" t="s">
        <v>99</v>
      </c>
      <c r="E10" s="52" t="s">
        <v>87</v>
      </c>
      <c r="F10" s="51" t="str">
        <f>"Warengruppe&gt;&gt;"&amp;_xlfn.TEXTJOIN("&gt;&gt;",TRUE,Migrationsartikel!V9:X9)</f>
        <v>Warengruppe&gt;&gt;Früchte und Gemüse&gt;&gt;Früchte und Gemüse&gt;&gt;Früchte</v>
      </c>
      <c r="H10" s="52" t="s">
        <v>109</v>
      </c>
      <c r="J10" s="51" t="str">
        <f>_xlfn.TEXTJOIN(" ",TRUE,Migrationsartikel!B9,Migrationsartikel!E9)</f>
        <v/>
      </c>
      <c r="L10" s="51" t="str">
        <f>_xlfn.TEXTJOIN(" ",TRUE,Migrationsartikel!F9:H9)</f>
        <v>Ananas Baby 1Stk</v>
      </c>
      <c r="M10" s="51" t="str">
        <f>_xlfn.TEXTJOIN(" ",TRUE,Migrationsartikel!J9:L9)</f>
        <v>Ananas Baby 1pce</v>
      </c>
      <c r="N10" s="51" t="str">
        <f>_xlfn.TEXTJOIN(" ",TRUE,Migrationsartikel!N9:P9)</f>
        <v>Ananas Baby 1pz</v>
      </c>
      <c r="O10" s="51" t="str">
        <f>Migrationsartikel!F9</f>
        <v>Ananas</v>
      </c>
      <c r="P10" s="51" t="str">
        <f>Migrationsartikel!J9</f>
        <v>Ananas</v>
      </c>
      <c r="Q10" s="51" t="str">
        <f>Migrationsartikel!N9</f>
        <v>Ananas</v>
      </c>
      <c r="R10" s="51" t="str">
        <f>_xlfn.TEXTJOIN(" ",TRUE,Migrationsartikel!G9)</f>
        <v>Baby</v>
      </c>
      <c r="S10" s="51" t="str">
        <f>_xlfn.TEXTJOIN(" ",TRUE,Migrationsartikel!K9)</f>
        <v>Baby</v>
      </c>
      <c r="T10" s="51" t="str">
        <f>_xlfn.TEXTJOIN(" ",TRUE,Migrationsartikel!O9)</f>
        <v>Baby</v>
      </c>
      <c r="U10" s="51" t="str">
        <f>_xlfn.TEXTJOIN(" ",TRUE,Migrationsartikel!H9)</f>
        <v>1Stk</v>
      </c>
      <c r="V10" s="51" t="str">
        <f>_xlfn.TEXTJOIN(" ",TRUE,Migrationsartikel!L9)</f>
        <v>1pce</v>
      </c>
      <c r="W10" s="51" t="str">
        <f>_xlfn.TEXTJOIN(" ",TRUE,Migrationsartikel!P9)</f>
        <v>1pz</v>
      </c>
      <c r="X10" s="51" t="str">
        <f>Migrationsartikel!I9</f>
        <v>Ananas Baby Stk</v>
      </c>
      <c r="Y10" s="51" t="str">
        <f>Migrationsartikel!M9</f>
        <v>Ananas Baby</v>
      </c>
      <c r="Z10" s="51" t="str">
        <f>Migrationsartikel!Q9</f>
        <v>Ananas Baby 1 pz</v>
      </c>
      <c r="AA10" s="60">
        <f>Migrationsartikel!R9</f>
        <v>1</v>
      </c>
      <c r="AB10" s="51" t="str">
        <f>Migrationsartikel!T9</f>
        <v>Stück</v>
      </c>
      <c r="AC10" s="62">
        <f>Migrationsartikel!S9</f>
        <v>1</v>
      </c>
      <c r="AD10" s="51" t="str">
        <f>Migrationsartikel!U9</f>
        <v>(PCE) Stück</v>
      </c>
      <c r="AE10" s="95" t="str">
        <f>Migrationsartikel!Y9</f>
        <v>3 - Reduzierter Satz</v>
      </c>
      <c r="AF10" s="64" t="str">
        <f>IF(Migrationsartikel!AA9="Kein Depotartikel","",Migrationsartikel!AA9)</f>
        <v/>
      </c>
      <c r="AG10" s="95" t="str">
        <f>Migrationsartikel!Z9</f>
        <v>Keine</v>
      </c>
      <c r="AH10" s="51" t="str">
        <f>IF(Migrationsartikel!AB9="ja","true",FALSE)</f>
        <v>true</v>
      </c>
      <c r="AI10" s="51" t="str">
        <f>IF(Migrationsartikel!AC9="ja","true",FALSE)</f>
        <v>true</v>
      </c>
      <c r="AJ10" s="51" t="str">
        <f>IF(Migrationsartikel!AD9="ja","true",FALSE)</f>
        <v>true</v>
      </c>
      <c r="AK10" s="51" t="str">
        <f>IF(Migrationsartikel!AE9="ja","true",FALSE)</f>
        <v>true</v>
      </c>
      <c r="AL10" s="51" t="str">
        <f>IF(Migrationsartikel!AF9="ja","Denner Partner","")</f>
        <v/>
      </c>
      <c r="AM10" s="51" t="str">
        <f>IF(Migrationsartikel!AG9="ja","true","false")</f>
        <v>false</v>
      </c>
      <c r="AN10" s="51" t="str">
        <f t="shared" si="1"/>
        <v>Kassentastenbelegung (ohne GTIN/PLU)</v>
      </c>
      <c r="AO10" s="63" t="s">
        <v>219</v>
      </c>
      <c r="AP10" s="62" t="s">
        <v>2437</v>
      </c>
      <c r="AQ10" s="63" t="s">
        <v>217</v>
      </c>
      <c r="AR10" s="30" t="s">
        <v>219</v>
      </c>
    </row>
    <row r="11" spans="1:44" ht="21.75" customHeight="1" x14ac:dyDescent="0.45">
      <c r="B11" s="51" t="s">
        <v>99</v>
      </c>
      <c r="E11" s="52" t="s">
        <v>87</v>
      </c>
      <c r="F11" s="51" t="str">
        <f>"Warengruppe&gt;&gt;"&amp;_xlfn.TEXTJOIN("&gt;&gt;",TRUE,Migrationsartikel!V10:X10)</f>
        <v>Warengruppe&gt;&gt;Früchte und Gemüse&gt;&gt;Früchte und Gemüse&gt;&gt;Früchte</v>
      </c>
      <c r="H11" s="52" t="s">
        <v>109</v>
      </c>
      <c r="J11" s="51" t="str">
        <f>_xlfn.TEXTJOIN(" ",TRUE,Migrationsartikel!B10,Migrationsartikel!E10)</f>
        <v>7613399001270</v>
      </c>
      <c r="L11" s="51" t="str">
        <f>_xlfn.TEXTJOIN(" ",TRUE,Migrationsartikel!F10:H10)</f>
        <v>Ananas Becher 200g</v>
      </c>
      <c r="M11" s="51" t="str">
        <f>_xlfn.TEXTJOIN(" ",TRUE,Migrationsartikel!J10:L10)</f>
        <v>Ananas Gobelet 200g</v>
      </c>
      <c r="N11" s="51" t="str">
        <f>_xlfn.TEXTJOIN(" ",TRUE,Migrationsartikel!N10:P10)</f>
        <v>Ananas bicchiere 200g</v>
      </c>
      <c r="O11" s="51" t="str">
        <f>Migrationsartikel!F10</f>
        <v>Ananas</v>
      </c>
      <c r="P11" s="51" t="str">
        <f>Migrationsartikel!J10</f>
        <v>Ananas</v>
      </c>
      <c r="Q11" s="51" t="str">
        <f>Migrationsartikel!N10</f>
        <v>Ananas</v>
      </c>
      <c r="R11" s="51" t="str">
        <f>_xlfn.TEXTJOIN(" ",TRUE,Migrationsartikel!G10)</f>
        <v>Becher</v>
      </c>
      <c r="S11" s="51" t="str">
        <f>_xlfn.TEXTJOIN(" ",TRUE,Migrationsartikel!K10)</f>
        <v>Gobelet</v>
      </c>
      <c r="T11" s="51" t="str">
        <f>_xlfn.TEXTJOIN(" ",TRUE,Migrationsartikel!O10)</f>
        <v>bicchiere</v>
      </c>
      <c r="U11" s="51" t="str">
        <f>_xlfn.TEXTJOIN(" ",TRUE,Migrationsartikel!H10)</f>
        <v>200g</v>
      </c>
      <c r="V11" s="51" t="str">
        <f>_xlfn.TEXTJOIN(" ",TRUE,Migrationsartikel!L10)</f>
        <v>200g</v>
      </c>
      <c r="W11" s="51" t="str">
        <f>_xlfn.TEXTJOIN(" ",TRUE,Migrationsartikel!P10)</f>
        <v>200g</v>
      </c>
      <c r="X11" s="51" t="str">
        <f>Migrationsartikel!I10</f>
        <v>Ananas Becher 200g</v>
      </c>
      <c r="Y11" s="51" t="str">
        <f>Migrationsartikel!M10</f>
        <v>Ananas gobelet 200g</v>
      </c>
      <c r="Z11" s="51" t="str">
        <f>Migrationsartikel!Q10</f>
        <v>Ananas bicchiere 200g</v>
      </c>
      <c r="AA11" s="60">
        <f>Migrationsartikel!R10</f>
        <v>0.2</v>
      </c>
      <c r="AB11" s="51" t="str">
        <f>Migrationsartikel!T10</f>
        <v>Gramm</v>
      </c>
      <c r="AC11" s="62">
        <f>Migrationsartikel!S10</f>
        <v>100</v>
      </c>
      <c r="AD11" s="51" t="str">
        <f>Migrationsartikel!U10</f>
        <v>(PCE) Stück</v>
      </c>
      <c r="AE11" s="95" t="str">
        <f>Migrationsartikel!Y10</f>
        <v>3 - Reduzierter Satz</v>
      </c>
      <c r="AF11" s="64" t="str">
        <f>IF(Migrationsartikel!AA10="Kein Depotartikel","",Migrationsartikel!AA10)</f>
        <v/>
      </c>
      <c r="AG11" s="95" t="str">
        <f>Migrationsartikel!Z10</f>
        <v>Keine</v>
      </c>
      <c r="AH11" s="51" t="str">
        <f>IF(Migrationsartikel!AB10="ja","true",FALSE)</f>
        <v>true</v>
      </c>
      <c r="AI11" s="51" t="str">
        <f>IF(Migrationsartikel!AC10="ja","true",FALSE)</f>
        <v>true</v>
      </c>
      <c r="AJ11" s="51" t="str">
        <f>IF(Migrationsartikel!AD10="ja","true",FALSE)</f>
        <v>true</v>
      </c>
      <c r="AK11" s="51" t="str">
        <f>IF(Migrationsartikel!AE10="ja","true",FALSE)</f>
        <v>true</v>
      </c>
      <c r="AL11" s="51" t="str">
        <f>IF(Migrationsartikel!AF10="ja","Denner Partner","")</f>
        <v/>
      </c>
      <c r="AM11" s="51" t="str">
        <f>IF(Migrationsartikel!AG10="ja","true","false")</f>
        <v>false</v>
      </c>
      <c r="AN11" s="51" t="str">
        <f t="shared" si="1"/>
        <v>Kassentastenbelegung (ohne GTIN/PLU)</v>
      </c>
      <c r="AO11" s="63" t="s">
        <v>219</v>
      </c>
      <c r="AP11" s="62" t="s">
        <v>2438</v>
      </c>
      <c r="AQ11" s="63" t="s">
        <v>217</v>
      </c>
      <c r="AR11" s="30" t="s">
        <v>219</v>
      </c>
    </row>
    <row r="12" spans="1:44" ht="21.75" customHeight="1" x14ac:dyDescent="0.45">
      <c r="B12" s="51" t="s">
        <v>99</v>
      </c>
      <c r="E12" s="52" t="s">
        <v>87</v>
      </c>
      <c r="F12" s="51" t="str">
        <f>"Warengruppe&gt;&gt;"&amp;_xlfn.TEXTJOIN("&gt;&gt;",TRUE,Migrationsartikel!V11:X11)</f>
        <v>Warengruppe&gt;&gt;Früchte und Gemüse&gt;&gt;Früchte und Gemüse&gt;&gt;Früchte</v>
      </c>
      <c r="H12" s="52" t="s">
        <v>109</v>
      </c>
      <c r="J12" s="51" t="str">
        <f>_xlfn.TEXTJOIN(" ",TRUE,Migrationsartikel!B11,Migrationsartikel!E11)</f>
        <v>104</v>
      </c>
      <c r="L12" s="51" t="str">
        <f>_xlfn.TEXTJOIN(" ",TRUE,Migrationsartikel!F11:H11)</f>
        <v>Äpfel Diwa Offen Kl. 1</v>
      </c>
      <c r="M12" s="51" t="str">
        <f>_xlfn.TEXTJOIN(" ",TRUE,Migrationsartikel!J11:L11)</f>
        <v>Pommes Diwa En vrac, cl. 1</v>
      </c>
      <c r="N12" s="51" t="str">
        <f>_xlfn.TEXTJOIN(" ",TRUE,Migrationsartikel!N11:P11)</f>
        <v>Mele Diwa Cl. 1 vendita sfusa</v>
      </c>
      <c r="O12" s="51" t="str">
        <f>Migrationsartikel!F11</f>
        <v>Äpfel Diwa</v>
      </c>
      <c r="P12" s="51" t="str">
        <f>Migrationsartikel!J11</f>
        <v>Pommes Diwa</v>
      </c>
      <c r="Q12" s="51" t="str">
        <f>Migrationsartikel!N11</f>
        <v>Mele Diwa</v>
      </c>
      <c r="R12" s="51" t="str">
        <f>_xlfn.TEXTJOIN(" ",TRUE,Migrationsartikel!G11)</f>
        <v>Offen Kl. 1</v>
      </c>
      <c r="S12" s="51" t="str">
        <f>_xlfn.TEXTJOIN(" ",TRUE,Migrationsartikel!K11)</f>
        <v>En vrac, cl. 1</v>
      </c>
      <c r="T12" s="51" t="str">
        <f>_xlfn.TEXTJOIN(" ",TRUE,Migrationsartikel!O11)</f>
        <v>Cl. 1 vendita sfusa</v>
      </c>
      <c r="U12" s="51" t="str">
        <f>_xlfn.TEXTJOIN(" ",TRUE,Migrationsartikel!H11)</f>
        <v/>
      </c>
      <c r="V12" s="51" t="str">
        <f>_xlfn.TEXTJOIN(" ",TRUE,Migrationsartikel!L11)</f>
        <v/>
      </c>
      <c r="W12" s="51" t="str">
        <f>_xlfn.TEXTJOIN(" ",TRUE,Migrationsartikel!P11)</f>
        <v/>
      </c>
      <c r="X12" s="51" t="str">
        <f>Migrationsartikel!I11</f>
        <v>Äpfel Diwa Offen Kl. 1</v>
      </c>
      <c r="Y12" s="51" t="str">
        <f>Migrationsartikel!M11</f>
        <v>Pommes Diwa en vrac cl. 1</v>
      </c>
      <c r="Z12" s="51" t="str">
        <f>Migrationsartikel!Q11</f>
        <v>Mele Diwa cl. 1 vend. sfusa</v>
      </c>
      <c r="AA12" s="60">
        <f>Migrationsartikel!R11</f>
        <v>1</v>
      </c>
      <c r="AB12" s="51" t="str">
        <f>Migrationsartikel!T11</f>
        <v>Kilogramm</v>
      </c>
      <c r="AC12" s="62">
        <f>Migrationsartikel!S11</f>
        <v>1</v>
      </c>
      <c r="AD12" s="51" t="str">
        <f>Migrationsartikel!U11</f>
        <v>(KGM) KG</v>
      </c>
      <c r="AE12" s="95" t="str">
        <f>Migrationsartikel!Y11</f>
        <v>3 - Reduzierter Satz</v>
      </c>
      <c r="AF12" s="64" t="str">
        <f>IF(Migrationsartikel!AA11="Kein Depotartikel","",Migrationsartikel!AA11)</f>
        <v/>
      </c>
      <c r="AG12" s="95" t="str">
        <f>Migrationsartikel!Z11</f>
        <v>Keine</v>
      </c>
      <c r="AH12" s="51" t="str">
        <f>IF(Migrationsartikel!AB11="ja","true",FALSE)</f>
        <v>true</v>
      </c>
      <c r="AI12" s="51" t="str">
        <f>IF(Migrationsartikel!AC11="ja","true",FALSE)</f>
        <v>true</v>
      </c>
      <c r="AJ12" s="51" t="str">
        <f>IF(Migrationsartikel!AD11="ja","true",FALSE)</f>
        <v>true</v>
      </c>
      <c r="AK12" s="51" t="str">
        <f>IF(Migrationsartikel!AE11="ja","true",FALSE)</f>
        <v>true</v>
      </c>
      <c r="AL12" s="51" t="str">
        <f>IF(Migrationsartikel!AF11="ja","Denner Partner","")</f>
        <v/>
      </c>
      <c r="AM12" s="51" t="str">
        <f>IF(Migrationsartikel!AG11="ja","true","false")</f>
        <v>false</v>
      </c>
      <c r="AN12" s="51" t="str">
        <f t="shared" si="1"/>
        <v>Kassentastenbelegung (ohne GTIN/PLU)</v>
      </c>
      <c r="AO12" s="63" t="s">
        <v>219</v>
      </c>
      <c r="AP12" s="62" t="s">
        <v>2439</v>
      </c>
      <c r="AQ12" s="63" t="s">
        <v>217</v>
      </c>
      <c r="AR12" s="30" t="s">
        <v>219</v>
      </c>
    </row>
    <row r="13" spans="1:44" ht="21.75" customHeight="1" x14ac:dyDescent="0.45">
      <c r="B13" s="51" t="s">
        <v>99</v>
      </c>
      <c r="E13" s="52" t="s">
        <v>87</v>
      </c>
      <c r="F13" s="51" t="str">
        <f>"Warengruppe&gt;&gt;"&amp;_xlfn.TEXTJOIN("&gt;&gt;",TRUE,Migrationsartikel!V12:X12)</f>
        <v>Warengruppe&gt;&gt;Früchte und Gemüse&gt;&gt;Früchte und Gemüse&gt;&gt;Früchte</v>
      </c>
      <c r="H13" s="52" t="s">
        <v>109</v>
      </c>
      <c r="J13" s="51" t="str">
        <f>_xlfn.TEXTJOIN(" ",TRUE,Migrationsartikel!B12,Migrationsartikel!E12)</f>
        <v>134</v>
      </c>
      <c r="L13" s="51" t="str">
        <f>_xlfn.TEXTJOIN(" ",TRUE,Migrationsartikel!F12:H12)</f>
        <v>IP-Suisse Äpfel Gala Kl. 1</v>
      </c>
      <c r="M13" s="51" t="str">
        <f>_xlfn.TEXTJOIN(" ",TRUE,Migrationsartikel!J12:L12)</f>
        <v>IP-Suisse Pommes Gala Cl. 1</v>
      </c>
      <c r="N13" s="51" t="str">
        <f>_xlfn.TEXTJOIN(" ",TRUE,Migrationsartikel!N12:P12)</f>
        <v>IP-Suisse Mele Gala Cl. 1</v>
      </c>
      <c r="O13" s="51" t="str">
        <f>Migrationsartikel!F12</f>
        <v>IP-Suisse Äpfel Gala</v>
      </c>
      <c r="P13" s="51" t="str">
        <f>Migrationsartikel!J12</f>
        <v>IP-Suisse Pommes Gala</v>
      </c>
      <c r="Q13" s="51" t="str">
        <f>Migrationsartikel!N12</f>
        <v>IP-Suisse Mele Gala</v>
      </c>
      <c r="R13" s="51" t="str">
        <f>_xlfn.TEXTJOIN(" ",TRUE,Migrationsartikel!G12)</f>
        <v>Kl. 1</v>
      </c>
      <c r="S13" s="51" t="str">
        <f>_xlfn.TEXTJOIN(" ",TRUE,Migrationsartikel!K12)</f>
        <v>Cl. 1</v>
      </c>
      <c r="T13" s="51" t="str">
        <f>_xlfn.TEXTJOIN(" ",TRUE,Migrationsartikel!O12)</f>
        <v>Cl. 1</v>
      </c>
      <c r="U13" s="51" t="str">
        <f>_xlfn.TEXTJOIN(" ",TRUE,Migrationsartikel!H12)</f>
        <v/>
      </c>
      <c r="V13" s="51" t="str">
        <f>_xlfn.TEXTJOIN(" ",TRUE,Migrationsartikel!L12)</f>
        <v/>
      </c>
      <c r="W13" s="51" t="str">
        <f>_xlfn.TEXTJOIN(" ",TRUE,Migrationsartikel!P12)</f>
        <v/>
      </c>
      <c r="X13" s="51" t="str">
        <f>Migrationsartikel!I12</f>
        <v>IP-Suisse Äpfel Gala Kl. 1</v>
      </c>
      <c r="Y13" s="51" t="str">
        <f>Migrationsartikel!M12</f>
        <v>IP-Suisse Pommes Gala cl. 1</v>
      </c>
      <c r="Z13" s="51" t="str">
        <f>Migrationsartikel!Q12</f>
        <v>IP-Suisse Mele Gala cl. 1</v>
      </c>
      <c r="AA13" s="60">
        <f>Migrationsartikel!R12</f>
        <v>1</v>
      </c>
      <c r="AB13" s="51" t="str">
        <f>Migrationsartikel!T12</f>
        <v>Kilogramm</v>
      </c>
      <c r="AC13" s="62">
        <f>Migrationsartikel!S12</f>
        <v>1</v>
      </c>
      <c r="AD13" s="51" t="str">
        <f>Migrationsartikel!U12</f>
        <v>(KGM) KG</v>
      </c>
      <c r="AE13" s="95" t="str">
        <f>Migrationsartikel!Y12</f>
        <v>3 - Reduzierter Satz</v>
      </c>
      <c r="AF13" s="64" t="str">
        <f>IF(Migrationsartikel!AA12="Kein Depotartikel","",Migrationsartikel!AA12)</f>
        <v/>
      </c>
      <c r="AG13" s="95" t="str">
        <f>Migrationsartikel!Z12</f>
        <v>Keine</v>
      </c>
      <c r="AH13" s="51" t="str">
        <f>IF(Migrationsartikel!AB12="ja","true",FALSE)</f>
        <v>true</v>
      </c>
      <c r="AI13" s="51" t="str">
        <f>IF(Migrationsartikel!AC12="ja","true",FALSE)</f>
        <v>true</v>
      </c>
      <c r="AJ13" s="51" t="str">
        <f>IF(Migrationsartikel!AD12="ja","true",FALSE)</f>
        <v>true</v>
      </c>
      <c r="AK13" s="51" t="str">
        <f>IF(Migrationsartikel!AE12="ja","true",FALSE)</f>
        <v>true</v>
      </c>
      <c r="AL13" s="51" t="str">
        <f>IF(Migrationsartikel!AF12="ja","Denner Partner","")</f>
        <v/>
      </c>
      <c r="AM13" s="51" t="str">
        <f>IF(Migrationsartikel!AG12="ja","true","false")</f>
        <v>false</v>
      </c>
      <c r="AN13" s="51" t="str">
        <f t="shared" si="1"/>
        <v>Kassentastenbelegung (ohne GTIN/PLU)</v>
      </c>
      <c r="AO13" s="63" t="s">
        <v>219</v>
      </c>
      <c r="AP13" s="62" t="s">
        <v>2440</v>
      </c>
      <c r="AQ13" s="63" t="s">
        <v>217</v>
      </c>
      <c r="AR13" s="30" t="s">
        <v>219</v>
      </c>
    </row>
    <row r="14" spans="1:44" ht="21.75" customHeight="1" x14ac:dyDescent="0.45">
      <c r="B14" s="51" t="s">
        <v>99</v>
      </c>
      <c r="E14" s="52" t="s">
        <v>87</v>
      </c>
      <c r="F14" s="51" t="str">
        <f>"Warengruppe&gt;&gt;"&amp;_xlfn.TEXTJOIN("&gt;&gt;",TRUE,Migrationsartikel!V13:X13)</f>
        <v>Warengruppe&gt;&gt;Früchte und Gemüse&gt;&gt;Früchte und Gemüse&gt;&gt;Früchte</v>
      </c>
      <c r="H14" s="52" t="s">
        <v>109</v>
      </c>
      <c r="J14" s="51" t="str">
        <f>_xlfn.TEXTJOIN(" ",TRUE,Migrationsartikel!B13,Migrationsartikel!E13)</f>
        <v>112</v>
      </c>
      <c r="L14" s="51" t="str">
        <f>_xlfn.TEXTJOIN(" ",TRUE,Migrationsartikel!F13:H13)</f>
        <v>Äpfel Gala Offen Kl. 2</v>
      </c>
      <c r="M14" s="51" t="str">
        <f>_xlfn.TEXTJOIN(" ",TRUE,Migrationsartikel!J13:L13)</f>
        <v>Pommes Gala En vrac, cl. 2</v>
      </c>
      <c r="N14" s="51" t="str">
        <f>_xlfn.TEXTJOIN(" ",TRUE,Migrationsartikel!N13:P13)</f>
        <v>Mele Gala Cl. 2 vendita sfusa</v>
      </c>
      <c r="O14" s="51" t="str">
        <f>Migrationsartikel!F13</f>
        <v>Äpfel Gala</v>
      </c>
      <c r="P14" s="51" t="str">
        <f>Migrationsartikel!J13</f>
        <v>Pommes Gala</v>
      </c>
      <c r="Q14" s="51" t="str">
        <f>Migrationsartikel!N13</f>
        <v>Mele Gala</v>
      </c>
      <c r="R14" s="51" t="str">
        <f>_xlfn.TEXTJOIN(" ",TRUE,Migrationsartikel!G13)</f>
        <v>Offen Kl. 2</v>
      </c>
      <c r="S14" s="51" t="str">
        <f>_xlfn.TEXTJOIN(" ",TRUE,Migrationsartikel!K13)</f>
        <v>En vrac, cl. 2</v>
      </c>
      <c r="T14" s="51" t="str">
        <f>_xlfn.TEXTJOIN(" ",TRUE,Migrationsartikel!O13)</f>
        <v>Cl. 2 vendita sfusa</v>
      </c>
      <c r="U14" s="51" t="str">
        <f>_xlfn.TEXTJOIN(" ",TRUE,Migrationsartikel!H13)</f>
        <v/>
      </c>
      <c r="V14" s="51" t="str">
        <f>_xlfn.TEXTJOIN(" ",TRUE,Migrationsartikel!L13)</f>
        <v/>
      </c>
      <c r="W14" s="51" t="str">
        <f>_xlfn.TEXTJOIN(" ",TRUE,Migrationsartikel!P13)</f>
        <v/>
      </c>
      <c r="X14" s="51" t="str">
        <f>Migrationsartikel!I13</f>
        <v>Äpfel Gala Offen Kl. 2</v>
      </c>
      <c r="Y14" s="51" t="str">
        <f>Migrationsartikel!M13</f>
        <v>Pommes Gala en vrac cl. 2</v>
      </c>
      <c r="Z14" s="51" t="str">
        <f>Migrationsartikel!Q13</f>
        <v>Mele Gala cl. 2 vend. afusa</v>
      </c>
      <c r="AA14" s="60">
        <f>Migrationsartikel!R13</f>
        <v>1</v>
      </c>
      <c r="AB14" s="51" t="str">
        <f>Migrationsartikel!T13</f>
        <v>Kilogramm</v>
      </c>
      <c r="AC14" s="62">
        <f>Migrationsartikel!S13</f>
        <v>1</v>
      </c>
      <c r="AD14" s="51" t="str">
        <f>Migrationsartikel!U13</f>
        <v>(KGM) KG</v>
      </c>
      <c r="AE14" s="95" t="str">
        <f>Migrationsartikel!Y13</f>
        <v>3 - Reduzierter Satz</v>
      </c>
      <c r="AF14" s="64" t="str">
        <f>IF(Migrationsartikel!AA13="Kein Depotartikel","",Migrationsartikel!AA13)</f>
        <v/>
      </c>
      <c r="AG14" s="95" t="str">
        <f>Migrationsartikel!Z13</f>
        <v>Keine</v>
      </c>
      <c r="AH14" s="51" t="str">
        <f>IF(Migrationsartikel!AB13="ja","true",FALSE)</f>
        <v>true</v>
      </c>
      <c r="AI14" s="51" t="str">
        <f>IF(Migrationsartikel!AC13="ja","true",FALSE)</f>
        <v>true</v>
      </c>
      <c r="AJ14" s="51" t="str">
        <f>IF(Migrationsartikel!AD13="ja","true",FALSE)</f>
        <v>true</v>
      </c>
      <c r="AK14" s="51" t="str">
        <f>IF(Migrationsartikel!AE13="ja","true",FALSE)</f>
        <v>true</v>
      </c>
      <c r="AL14" s="51" t="str">
        <f>IF(Migrationsartikel!AF13="ja","Denner Partner","")</f>
        <v/>
      </c>
      <c r="AM14" s="51" t="str">
        <f>IF(Migrationsartikel!AG13="ja","true","false")</f>
        <v>false</v>
      </c>
      <c r="AN14" s="51" t="str">
        <f t="shared" si="1"/>
        <v>Kassentastenbelegung (ohne GTIN/PLU)</v>
      </c>
      <c r="AO14" s="63" t="s">
        <v>219</v>
      </c>
      <c r="AP14" s="62" t="s">
        <v>2441</v>
      </c>
      <c r="AQ14" s="63" t="s">
        <v>217</v>
      </c>
      <c r="AR14" s="30" t="s">
        <v>219</v>
      </c>
    </row>
    <row r="15" spans="1:44" ht="21.75" customHeight="1" x14ac:dyDescent="0.45">
      <c r="B15" s="51" t="s">
        <v>99</v>
      </c>
      <c r="E15" s="52" t="s">
        <v>87</v>
      </c>
      <c r="F15" s="51" t="str">
        <f>"Warengruppe&gt;&gt;"&amp;_xlfn.TEXTJOIN("&gt;&gt;",TRUE,Migrationsartikel!V14:X14)</f>
        <v>Warengruppe&gt;&gt;Früchte und Gemüse&gt;&gt;Früchte und Gemüse&gt;&gt;Früchte</v>
      </c>
      <c r="H15" s="52" t="s">
        <v>109</v>
      </c>
      <c r="J15" s="51" t="str">
        <f>_xlfn.TEXTJOIN(" ",TRUE,Migrationsartikel!B14,Migrationsartikel!E14)</f>
        <v>125</v>
      </c>
      <c r="L15" s="51" t="str">
        <f>_xlfn.TEXTJOIN(" ",TRUE,Migrationsartikel!F14:H14)</f>
        <v>Äpfel Pink Lady Offen Kl. 1</v>
      </c>
      <c r="M15" s="51" t="str">
        <f>_xlfn.TEXTJOIN(" ",TRUE,Migrationsartikel!J14:L14)</f>
        <v>Pommes Pink Lady En vrac, cl. 1</v>
      </c>
      <c r="N15" s="51" t="str">
        <f>_xlfn.TEXTJOIN(" ",TRUE,Migrationsartikel!N14:P14)</f>
        <v>Mele Pink Lady Cl. 1 vendita sfusa</v>
      </c>
      <c r="O15" s="51" t="str">
        <f>Migrationsartikel!F14</f>
        <v>Äpfel Pink Lady</v>
      </c>
      <c r="P15" s="51" t="str">
        <f>Migrationsartikel!J14</f>
        <v>Pommes Pink Lady</v>
      </c>
      <c r="Q15" s="51" t="str">
        <f>Migrationsartikel!N14</f>
        <v>Mele Pink Lady</v>
      </c>
      <c r="R15" s="51" t="str">
        <f>_xlfn.TEXTJOIN(" ",TRUE,Migrationsartikel!G14)</f>
        <v>Offen Kl. 1</v>
      </c>
      <c r="S15" s="51" t="str">
        <f>_xlfn.TEXTJOIN(" ",TRUE,Migrationsartikel!K14)</f>
        <v>En vrac, cl. 1</v>
      </c>
      <c r="T15" s="51" t="str">
        <f>_xlfn.TEXTJOIN(" ",TRUE,Migrationsartikel!O14)</f>
        <v>Cl. 1 vendita sfusa</v>
      </c>
      <c r="U15" s="51" t="str">
        <f>_xlfn.TEXTJOIN(" ",TRUE,Migrationsartikel!H14)</f>
        <v/>
      </c>
      <c r="V15" s="51" t="str">
        <f>_xlfn.TEXTJOIN(" ",TRUE,Migrationsartikel!L14)</f>
        <v/>
      </c>
      <c r="W15" s="51" t="str">
        <f>_xlfn.TEXTJOIN(" ",TRUE,Migrationsartikel!P14)</f>
        <v/>
      </c>
      <c r="X15" s="51" t="str">
        <f>Migrationsartikel!I14</f>
        <v>Äpfel Pink Lady Offen Kl. 1</v>
      </c>
      <c r="Y15" s="51" t="str">
        <f>Migrationsartikel!M14</f>
        <v>Pomm Pink Lady en vrac cl.1</v>
      </c>
      <c r="Z15" s="51" t="str">
        <f>Migrationsartikel!Q14</f>
        <v>Mele Pink Lady cl. 1 vend. s</v>
      </c>
      <c r="AA15" s="60">
        <f>Migrationsartikel!R14</f>
        <v>1</v>
      </c>
      <c r="AB15" s="51" t="str">
        <f>Migrationsartikel!T14</f>
        <v>Kilogramm</v>
      </c>
      <c r="AC15" s="62">
        <f>Migrationsartikel!S14</f>
        <v>1</v>
      </c>
      <c r="AD15" s="51" t="str">
        <f>Migrationsartikel!U14</f>
        <v>(KGM) KG</v>
      </c>
      <c r="AE15" s="95" t="str">
        <f>Migrationsartikel!Y14</f>
        <v>3 - Reduzierter Satz</v>
      </c>
      <c r="AF15" s="64" t="str">
        <f>IF(Migrationsartikel!AA14="Kein Depotartikel","",Migrationsartikel!AA14)</f>
        <v/>
      </c>
      <c r="AG15" s="95" t="str">
        <f>Migrationsartikel!Z14</f>
        <v>Keine</v>
      </c>
      <c r="AH15" s="51" t="str">
        <f>IF(Migrationsartikel!AB14="ja","true",FALSE)</f>
        <v>true</v>
      </c>
      <c r="AI15" s="51" t="str">
        <f>IF(Migrationsartikel!AC14="ja","true",FALSE)</f>
        <v>true</v>
      </c>
      <c r="AJ15" s="51" t="str">
        <f>IF(Migrationsartikel!AD14="ja","true",FALSE)</f>
        <v>true</v>
      </c>
      <c r="AK15" s="51" t="str">
        <f>IF(Migrationsartikel!AE14="ja","true",FALSE)</f>
        <v>true</v>
      </c>
      <c r="AL15" s="51" t="str">
        <f>IF(Migrationsartikel!AF14="ja","Denner Partner","")</f>
        <v/>
      </c>
      <c r="AM15" s="51" t="str">
        <f>IF(Migrationsartikel!AG14="ja","true","false")</f>
        <v>false</v>
      </c>
      <c r="AN15" s="51" t="str">
        <f t="shared" si="1"/>
        <v>Kassentastenbelegung (ohne GTIN/PLU)</v>
      </c>
      <c r="AO15" s="63" t="s">
        <v>219</v>
      </c>
      <c r="AP15" s="62" t="s">
        <v>2442</v>
      </c>
      <c r="AQ15" s="63" t="s">
        <v>217</v>
      </c>
      <c r="AR15" s="30" t="s">
        <v>219</v>
      </c>
    </row>
    <row r="16" spans="1:44" ht="21.75" customHeight="1" x14ac:dyDescent="0.45">
      <c r="B16" s="51" t="s">
        <v>99</v>
      </c>
      <c r="E16" s="52" t="s">
        <v>87</v>
      </c>
      <c r="F16" s="51" t="str">
        <f>"Warengruppe&gt;&gt;"&amp;_xlfn.TEXTJOIN("&gt;&gt;",TRUE,Migrationsartikel!V15:X15)</f>
        <v>Warengruppe&gt;&gt;Früchte und Gemüse&gt;&gt;Früchte und Gemüse&gt;&gt;Früchte</v>
      </c>
      <c r="H16" s="52" t="s">
        <v>109</v>
      </c>
      <c r="J16" s="51" t="str">
        <f>_xlfn.TEXTJOIN(" ",TRUE,Migrationsartikel!B15,Migrationsartikel!E15)</f>
        <v/>
      </c>
      <c r="L16" s="51" t="str">
        <f>_xlfn.TEXTJOIN(" ",TRUE,Migrationsartikel!F15:H15)</f>
        <v>Aprikosen 500g</v>
      </c>
      <c r="M16" s="51" t="str">
        <f>_xlfn.TEXTJOIN(" ",TRUE,Migrationsartikel!J15:L15)</f>
        <v>Abricots 500g</v>
      </c>
      <c r="N16" s="51" t="str">
        <f>_xlfn.TEXTJOIN(" ",TRUE,Migrationsartikel!N15:P15)</f>
        <v>Albicocche 500g</v>
      </c>
      <c r="O16" s="51" t="str">
        <f>Migrationsartikel!F15</f>
        <v>Aprikosen</v>
      </c>
      <c r="P16" s="51" t="str">
        <f>Migrationsartikel!J15</f>
        <v>Abricots</v>
      </c>
      <c r="Q16" s="51" t="str">
        <f>Migrationsartikel!N15</f>
        <v>Albicocche</v>
      </c>
      <c r="R16" s="51" t="str">
        <f>_xlfn.TEXTJOIN(" ",TRUE,Migrationsartikel!G15)</f>
        <v/>
      </c>
      <c r="S16" s="51" t="str">
        <f>_xlfn.TEXTJOIN(" ",TRUE,Migrationsartikel!K15)</f>
        <v/>
      </c>
      <c r="T16" s="51" t="str">
        <f>_xlfn.TEXTJOIN(" ",TRUE,Migrationsartikel!O15)</f>
        <v/>
      </c>
      <c r="U16" s="51" t="str">
        <f>_xlfn.TEXTJOIN(" ",TRUE,Migrationsartikel!H15)</f>
        <v>500g</v>
      </c>
      <c r="V16" s="51" t="str">
        <f>_xlfn.TEXTJOIN(" ",TRUE,Migrationsartikel!L15)</f>
        <v>500g</v>
      </c>
      <c r="W16" s="51" t="str">
        <f>_xlfn.TEXTJOIN(" ",TRUE,Migrationsartikel!P15)</f>
        <v>500g</v>
      </c>
      <c r="X16" s="51" t="str">
        <f>Migrationsartikel!I15</f>
        <v>Aprikosen 500g</v>
      </c>
      <c r="Y16" s="51" t="str">
        <f>Migrationsartikel!M15</f>
        <v>Abricos 500g</v>
      </c>
      <c r="Z16" s="51" t="str">
        <f>Migrationsartikel!Q15</f>
        <v>Albicocche 500g</v>
      </c>
      <c r="AA16" s="60">
        <f>Migrationsartikel!R15</f>
        <v>0.5</v>
      </c>
      <c r="AB16" s="51" t="str">
        <f>Migrationsartikel!T15</f>
        <v>Kilogramm</v>
      </c>
      <c r="AC16" s="62">
        <f>Migrationsartikel!S15</f>
        <v>1</v>
      </c>
      <c r="AD16" s="51" t="str">
        <f>Migrationsartikel!U15</f>
        <v>(PCE) Stück</v>
      </c>
      <c r="AE16" s="95" t="str">
        <f>Migrationsartikel!Y15</f>
        <v>3 - Reduzierter Satz</v>
      </c>
      <c r="AF16" s="64" t="str">
        <f>IF(Migrationsartikel!AA15="Kein Depotartikel","",Migrationsartikel!AA15)</f>
        <v/>
      </c>
      <c r="AG16" s="95" t="str">
        <f>Migrationsartikel!Z15</f>
        <v>Keine</v>
      </c>
      <c r="AH16" s="51" t="str">
        <f>IF(Migrationsartikel!AB15="ja","true",FALSE)</f>
        <v>true</v>
      </c>
      <c r="AI16" s="51" t="str">
        <f>IF(Migrationsartikel!AC15="ja","true",FALSE)</f>
        <v>true</v>
      </c>
      <c r="AJ16" s="51" t="str">
        <f>IF(Migrationsartikel!AD15="ja","true",FALSE)</f>
        <v>true</v>
      </c>
      <c r="AK16" s="51" t="str">
        <f>IF(Migrationsartikel!AE15="ja","true",FALSE)</f>
        <v>true</v>
      </c>
      <c r="AL16" s="51" t="str">
        <f>IF(Migrationsartikel!AF15="ja","Denner Partner","")</f>
        <v/>
      </c>
      <c r="AM16" s="51" t="str">
        <f>IF(Migrationsartikel!AG15="ja","true","false")</f>
        <v>false</v>
      </c>
      <c r="AN16" s="51" t="str">
        <f t="shared" si="1"/>
        <v>Kassentastenbelegung (ohne GTIN/PLU)</v>
      </c>
      <c r="AO16" s="63" t="s">
        <v>219</v>
      </c>
      <c r="AP16" s="62" t="s">
        <v>2443</v>
      </c>
      <c r="AQ16" s="63" t="s">
        <v>217</v>
      </c>
      <c r="AR16" s="30" t="s">
        <v>219</v>
      </c>
    </row>
    <row r="17" spans="2:44" ht="21.75" customHeight="1" x14ac:dyDescent="0.45">
      <c r="B17" s="51" t="s">
        <v>99</v>
      </c>
      <c r="E17" s="52" t="s">
        <v>87</v>
      </c>
      <c r="F17" s="51" t="str">
        <f>"Warengruppe&gt;&gt;"&amp;_xlfn.TEXTJOIN("&gt;&gt;",TRUE,Migrationsartikel!V16:X16)</f>
        <v>Warengruppe&gt;&gt;Früchte und Gemüse&gt;&gt;Früchte und Gemüse&gt;&gt;Früchte</v>
      </c>
      <c r="H17" s="52" t="s">
        <v>109</v>
      </c>
      <c r="J17" s="51" t="str">
        <f>_xlfn.TEXTJOIN(" ",TRUE,Migrationsartikel!B16,Migrationsartikel!E16)</f>
        <v>7613399021476</v>
      </c>
      <c r="L17" s="51" t="str">
        <f>_xlfn.TEXTJOIN(" ",TRUE,Migrationsartikel!F16:H16)</f>
        <v>Aprikosen 2kg</v>
      </c>
      <c r="M17" s="51" t="str">
        <f>_xlfn.TEXTJOIN(" ",TRUE,Migrationsartikel!J16:L16)</f>
        <v>Abricots 2kg</v>
      </c>
      <c r="N17" s="51" t="str">
        <f>_xlfn.TEXTJOIN(" ",TRUE,Migrationsartikel!N16:P16)</f>
        <v>Albicocche 2kg</v>
      </c>
      <c r="O17" s="51" t="str">
        <f>Migrationsartikel!F16</f>
        <v>Aprikosen</v>
      </c>
      <c r="P17" s="51" t="str">
        <f>Migrationsartikel!J16</f>
        <v>Abricots</v>
      </c>
      <c r="Q17" s="51" t="str">
        <f>Migrationsartikel!N16</f>
        <v>Albicocche</v>
      </c>
      <c r="R17" s="51" t="str">
        <f>_xlfn.TEXTJOIN(" ",TRUE,Migrationsartikel!G16)</f>
        <v/>
      </c>
      <c r="S17" s="51" t="str">
        <f>_xlfn.TEXTJOIN(" ",TRUE,Migrationsartikel!K16)</f>
        <v/>
      </c>
      <c r="T17" s="51" t="str">
        <f>_xlfn.TEXTJOIN(" ",TRUE,Migrationsartikel!O16)</f>
        <v/>
      </c>
      <c r="U17" s="51" t="str">
        <f>_xlfn.TEXTJOIN(" ",TRUE,Migrationsartikel!H16)</f>
        <v>2kg</v>
      </c>
      <c r="V17" s="51" t="str">
        <f>_xlfn.TEXTJOIN(" ",TRUE,Migrationsartikel!L16)</f>
        <v>2kg</v>
      </c>
      <c r="W17" s="51" t="str">
        <f>_xlfn.TEXTJOIN(" ",TRUE,Migrationsartikel!P16)</f>
        <v>2kg</v>
      </c>
      <c r="X17" s="51" t="str">
        <f>Migrationsartikel!I16</f>
        <v>Aprikosen 2kg</v>
      </c>
      <c r="Y17" s="51" t="str">
        <f>Migrationsartikel!M16</f>
        <v>Abricots 2kg</v>
      </c>
      <c r="Z17" s="51" t="str">
        <f>Migrationsartikel!Q16</f>
        <v>Albicocche 2kg</v>
      </c>
      <c r="AA17" s="60">
        <f>Migrationsartikel!R16</f>
        <v>2</v>
      </c>
      <c r="AB17" s="51" t="str">
        <f>Migrationsartikel!T16</f>
        <v>Kilogramm</v>
      </c>
      <c r="AC17" s="62">
        <f>Migrationsartikel!S16</f>
        <v>1</v>
      </c>
      <c r="AD17" s="51" t="str">
        <f>Migrationsartikel!U16</f>
        <v>(PCE) Stück</v>
      </c>
      <c r="AE17" s="95" t="str">
        <f>Migrationsartikel!Y16</f>
        <v>3 - Reduzierter Satz</v>
      </c>
      <c r="AF17" s="64" t="str">
        <f>IF(Migrationsartikel!AA16="Kein Depotartikel","",Migrationsartikel!AA16)</f>
        <v/>
      </c>
      <c r="AG17" s="95" t="str">
        <f>Migrationsartikel!Z16</f>
        <v>Keine</v>
      </c>
      <c r="AH17" s="51" t="str">
        <f>IF(Migrationsartikel!AB16="ja","true",FALSE)</f>
        <v>true</v>
      </c>
      <c r="AI17" s="51" t="str">
        <f>IF(Migrationsartikel!AC16="ja","true",FALSE)</f>
        <v>true</v>
      </c>
      <c r="AJ17" s="51" t="str">
        <f>IF(Migrationsartikel!AD16="ja","true",FALSE)</f>
        <v>true</v>
      </c>
      <c r="AK17" s="51" t="str">
        <f>IF(Migrationsartikel!AE16="ja","true",FALSE)</f>
        <v>true</v>
      </c>
      <c r="AL17" s="51" t="str">
        <f>IF(Migrationsartikel!AF16="ja","Denner Partner","")</f>
        <v/>
      </c>
      <c r="AM17" s="51" t="str">
        <f>IF(Migrationsartikel!AG16="ja","true","false")</f>
        <v>false</v>
      </c>
      <c r="AN17" s="51" t="str">
        <f t="shared" si="1"/>
        <v>Kassentastenbelegung (ohne GTIN/PLU)</v>
      </c>
      <c r="AO17" s="63" t="s">
        <v>219</v>
      </c>
      <c r="AP17" s="62" t="s">
        <v>2444</v>
      </c>
      <c r="AQ17" s="63" t="s">
        <v>217</v>
      </c>
      <c r="AR17" s="30" t="s">
        <v>219</v>
      </c>
    </row>
    <row r="18" spans="2:44" ht="21.75" customHeight="1" x14ac:dyDescent="0.45">
      <c r="B18" s="51" t="s">
        <v>99</v>
      </c>
      <c r="E18" s="52" t="s">
        <v>87</v>
      </c>
      <c r="F18" s="51" t="str">
        <f>"Warengruppe&gt;&gt;"&amp;_xlfn.TEXTJOIN("&gt;&gt;",TRUE,Migrationsartikel!V17:X17)</f>
        <v>Warengruppe&gt;&gt;Früchte und Gemüse&gt;&gt;Früchte und Gemüse&gt;&gt;Früchte</v>
      </c>
      <c r="H18" s="52" t="s">
        <v>109</v>
      </c>
      <c r="J18" s="51" t="str">
        <f>_xlfn.TEXTJOIN(" ",TRUE,Migrationsartikel!B17,Migrationsartikel!E17)</f>
        <v>135</v>
      </c>
      <c r="L18" s="51" t="str">
        <f>_xlfn.TEXTJOIN(" ",TRUE,Migrationsartikel!F17:H17)</f>
        <v>Aprikosen Offen AAA</v>
      </c>
      <c r="M18" s="51" t="str">
        <f>_xlfn.TEXTJOIN(" ",TRUE,Migrationsartikel!J17:L17)</f>
        <v>Abricots En vrac AAA</v>
      </c>
      <c r="N18" s="51" t="str">
        <f>_xlfn.TEXTJOIN(" ",TRUE,Migrationsartikel!N17:P17)</f>
        <v>Albicocche vendita sfusa AAA</v>
      </c>
      <c r="O18" s="51" t="str">
        <f>Migrationsartikel!F17</f>
        <v>Aprikosen</v>
      </c>
      <c r="P18" s="51" t="str">
        <f>Migrationsartikel!J17</f>
        <v>Abricots</v>
      </c>
      <c r="Q18" s="51" t="str">
        <f>Migrationsartikel!N17</f>
        <v>Albicocche</v>
      </c>
      <c r="R18" s="51" t="str">
        <f>_xlfn.TEXTJOIN(" ",TRUE,Migrationsartikel!G17)</f>
        <v>Offen AAA</v>
      </c>
      <c r="S18" s="51" t="str">
        <f>_xlfn.TEXTJOIN(" ",TRUE,Migrationsartikel!K17)</f>
        <v>En vrac AAA</v>
      </c>
      <c r="T18" s="51" t="str">
        <f>_xlfn.TEXTJOIN(" ",TRUE,Migrationsartikel!O17)</f>
        <v>vendita sfusa AAA</v>
      </c>
      <c r="U18" s="51" t="str">
        <f>_xlfn.TEXTJOIN(" ",TRUE,Migrationsartikel!H17)</f>
        <v/>
      </c>
      <c r="V18" s="51" t="str">
        <f>_xlfn.TEXTJOIN(" ",TRUE,Migrationsartikel!L17)</f>
        <v/>
      </c>
      <c r="W18" s="51" t="str">
        <f>_xlfn.TEXTJOIN(" ",TRUE,Migrationsartikel!P17)</f>
        <v/>
      </c>
      <c r="X18" s="51" t="str">
        <f>Migrationsartikel!I17</f>
        <v>Aprikosen Offen AAA</v>
      </c>
      <c r="Y18" s="51" t="str">
        <f>Migrationsartikel!M17</f>
        <v>Abricosts en vrac AAA</v>
      </c>
      <c r="Z18" s="51" t="str">
        <f>Migrationsartikel!Q17</f>
        <v>Albicocche vend. sfus. AAA</v>
      </c>
      <c r="AA18" s="60">
        <f>Migrationsartikel!R17</f>
        <v>1</v>
      </c>
      <c r="AB18" s="51" t="str">
        <f>Migrationsartikel!T17</f>
        <v>Kilogramm</v>
      </c>
      <c r="AC18" s="62">
        <f>Migrationsartikel!S17</f>
        <v>1</v>
      </c>
      <c r="AD18" s="51" t="str">
        <f>Migrationsartikel!U17</f>
        <v>(KGM) KG</v>
      </c>
      <c r="AE18" s="95" t="str">
        <f>Migrationsartikel!Y17</f>
        <v>3 - Reduzierter Satz</v>
      </c>
      <c r="AF18" s="64" t="str">
        <f>IF(Migrationsartikel!AA17="Kein Depotartikel","",Migrationsartikel!AA17)</f>
        <v/>
      </c>
      <c r="AG18" s="95" t="str">
        <f>Migrationsartikel!Z17</f>
        <v>Keine</v>
      </c>
      <c r="AH18" s="51" t="str">
        <f>IF(Migrationsartikel!AB17="ja","true",FALSE)</f>
        <v>true</v>
      </c>
      <c r="AI18" s="51" t="str">
        <f>IF(Migrationsartikel!AC17="ja","true",FALSE)</f>
        <v>true</v>
      </c>
      <c r="AJ18" s="51" t="str">
        <f>IF(Migrationsartikel!AD17="ja","true",FALSE)</f>
        <v>true</v>
      </c>
      <c r="AK18" s="51" t="str">
        <f>IF(Migrationsartikel!AE17="ja","true",FALSE)</f>
        <v>true</v>
      </c>
      <c r="AL18" s="51" t="str">
        <f>IF(Migrationsartikel!AF17="ja","Denner Partner","")</f>
        <v/>
      </c>
      <c r="AM18" s="51" t="str">
        <f>IF(Migrationsartikel!AG17="ja","true","false")</f>
        <v>false</v>
      </c>
      <c r="AN18" s="51" t="str">
        <f t="shared" si="1"/>
        <v>Kassentastenbelegung (ohne GTIN/PLU)</v>
      </c>
      <c r="AO18" s="63" t="s">
        <v>219</v>
      </c>
      <c r="AP18" s="62" t="s">
        <v>2445</v>
      </c>
      <c r="AQ18" s="63" t="s">
        <v>217</v>
      </c>
      <c r="AR18" s="30" t="s">
        <v>219</v>
      </c>
    </row>
    <row r="19" spans="2:44" ht="21.75" customHeight="1" x14ac:dyDescent="0.45">
      <c r="B19" s="51" t="s">
        <v>99</v>
      </c>
      <c r="E19" s="52" t="s">
        <v>87</v>
      </c>
      <c r="F19" s="51" t="str">
        <f>"Warengruppe&gt;&gt;"&amp;_xlfn.TEXTJOIN("&gt;&gt;",TRUE,Migrationsartikel!V18:X18)</f>
        <v>Warengruppe&gt;&gt;Früchte und Gemüse&gt;&gt;Früchte und Gemüse&gt;&gt;Früchte</v>
      </c>
      <c r="H19" s="52" t="s">
        <v>109</v>
      </c>
      <c r="J19" s="51" t="str">
        <f>_xlfn.TEXTJOIN(" ",TRUE,Migrationsartikel!B18,Migrationsartikel!E18)</f>
        <v>2202158000000</v>
      </c>
      <c r="L19" s="51" t="str">
        <f>_xlfn.TEXTJOIN(" ",TRUE,Migrationsartikel!F18:H18)</f>
        <v>Aprikosen ca. 800g</v>
      </c>
      <c r="M19" s="51" t="str">
        <f>_xlfn.TEXTJOIN(" ",TRUE,Migrationsartikel!J18:L18)</f>
        <v>Abricots env. 800g</v>
      </c>
      <c r="N19" s="51" t="str">
        <f>_xlfn.TEXTJOIN(" ",TRUE,Migrationsartikel!N18:P18)</f>
        <v>Albicocche ca. 800g</v>
      </c>
      <c r="O19" s="51" t="str">
        <f>Migrationsartikel!F18</f>
        <v>Aprikosen</v>
      </c>
      <c r="P19" s="51" t="str">
        <f>Migrationsartikel!J18</f>
        <v>Abricots</v>
      </c>
      <c r="Q19" s="51" t="str">
        <f>Migrationsartikel!N18</f>
        <v>Albicocche</v>
      </c>
      <c r="R19" s="51" t="str">
        <f>_xlfn.TEXTJOIN(" ",TRUE,Migrationsartikel!G18)</f>
        <v/>
      </c>
      <c r="S19" s="51" t="str">
        <f>_xlfn.TEXTJOIN(" ",TRUE,Migrationsartikel!K18)</f>
        <v/>
      </c>
      <c r="T19" s="51" t="str">
        <f>_xlfn.TEXTJOIN(" ",TRUE,Migrationsartikel!O18)</f>
        <v/>
      </c>
      <c r="U19" s="51" t="str">
        <f>_xlfn.TEXTJOIN(" ",TRUE,Migrationsartikel!H18)</f>
        <v>ca. 800g</v>
      </c>
      <c r="V19" s="51" t="str">
        <f>_xlfn.TEXTJOIN(" ",TRUE,Migrationsartikel!L18)</f>
        <v>env. 800g</v>
      </c>
      <c r="W19" s="51" t="str">
        <f>_xlfn.TEXTJOIN(" ",TRUE,Migrationsartikel!P18)</f>
        <v>ca. 800g</v>
      </c>
      <c r="X19" s="51" t="str">
        <f>Migrationsartikel!I18</f>
        <v>Aprikosen ca. 800g</v>
      </c>
      <c r="Y19" s="51" t="str">
        <f>Migrationsartikel!M18</f>
        <v>Abricots env. 800g</v>
      </c>
      <c r="Z19" s="51" t="str">
        <f>Migrationsartikel!Q18</f>
        <v>Albicocche ca. 800g</v>
      </c>
      <c r="AA19" s="60">
        <f>Migrationsartikel!R18</f>
        <v>0.8</v>
      </c>
      <c r="AB19" s="51" t="str">
        <f>Migrationsartikel!T18</f>
        <v>Kilogramm</v>
      </c>
      <c r="AC19" s="62">
        <f>Migrationsartikel!S18</f>
        <v>1</v>
      </c>
      <c r="AD19" s="51" t="str">
        <f>Migrationsartikel!U18</f>
        <v>(PCE) Stück</v>
      </c>
      <c r="AE19" s="95" t="str">
        <f>Migrationsartikel!Y18</f>
        <v>3 - Reduzierter Satz</v>
      </c>
      <c r="AF19" s="64" t="str">
        <f>IF(Migrationsartikel!AA18="Kein Depotartikel","",Migrationsartikel!AA18)</f>
        <v/>
      </c>
      <c r="AG19" s="95" t="str">
        <f>Migrationsartikel!Z18</f>
        <v>Keine</v>
      </c>
      <c r="AH19" s="51" t="str">
        <f>IF(Migrationsartikel!AB18="ja","true",FALSE)</f>
        <v>true</v>
      </c>
      <c r="AI19" s="51" t="str">
        <f>IF(Migrationsartikel!AC18="ja","true",FALSE)</f>
        <v>true</v>
      </c>
      <c r="AJ19" s="51" t="str">
        <f>IF(Migrationsartikel!AD18="ja","true",FALSE)</f>
        <v>true</v>
      </c>
      <c r="AK19" s="51" t="str">
        <f>IF(Migrationsartikel!AE18="ja","true",FALSE)</f>
        <v>true</v>
      </c>
      <c r="AL19" s="51" t="str">
        <f>IF(Migrationsartikel!AF18="ja","Denner Partner","")</f>
        <v/>
      </c>
      <c r="AM19" s="51" t="str">
        <f>IF(Migrationsartikel!AG18="ja","true","false")</f>
        <v>false</v>
      </c>
      <c r="AN19" s="51" t="str">
        <f t="shared" si="1"/>
        <v>Kassentastenbelegung (ohne GTIN/PLU)</v>
      </c>
      <c r="AO19" s="63" t="s">
        <v>219</v>
      </c>
      <c r="AP19" s="62" t="s">
        <v>2446</v>
      </c>
      <c r="AQ19" s="63" t="s">
        <v>217</v>
      </c>
      <c r="AR19" s="30" t="s">
        <v>219</v>
      </c>
    </row>
    <row r="20" spans="2:44" ht="21.75" customHeight="1" x14ac:dyDescent="0.45">
      <c r="B20" s="51" t="s">
        <v>99</v>
      </c>
      <c r="E20" s="52" t="s">
        <v>87</v>
      </c>
      <c r="F20" s="51" t="str">
        <f>"Warengruppe&gt;&gt;"&amp;_xlfn.TEXTJOIN("&gt;&gt;",TRUE,Migrationsartikel!V19:X19)</f>
        <v>Warengruppe&gt;&gt;Früchte und Gemüse&gt;&gt;Früchte und Gemüse&gt;&gt;Früchte</v>
      </c>
      <c r="H20" s="52" t="s">
        <v>109</v>
      </c>
      <c r="J20" s="51" t="str">
        <f>_xlfn.TEXTJOIN(" ",TRUE,Migrationsartikel!B19,Migrationsartikel!E19)</f>
        <v>2205672000000</v>
      </c>
      <c r="L20" s="51" t="str">
        <f>_xlfn.TEXTJOIN(" ",TRUE,Migrationsartikel!F19:H19)</f>
        <v>Aprikosen Schale 650g</v>
      </c>
      <c r="M20" s="51" t="str">
        <f>_xlfn.TEXTJOIN(" ",TRUE,Migrationsartikel!J19:L19)</f>
        <v>Abricots Barquette 650g</v>
      </c>
      <c r="N20" s="51" t="str">
        <f>_xlfn.TEXTJOIN(" ",TRUE,Migrationsartikel!N19:P19)</f>
        <v>Albicocche vaschetta 650g</v>
      </c>
      <c r="O20" s="51" t="str">
        <f>Migrationsartikel!F19</f>
        <v>Aprikosen</v>
      </c>
      <c r="P20" s="51" t="str">
        <f>Migrationsartikel!J19</f>
        <v>Abricots</v>
      </c>
      <c r="Q20" s="51" t="str">
        <f>Migrationsartikel!N19</f>
        <v>Albicocche</v>
      </c>
      <c r="R20" s="51" t="str">
        <f>_xlfn.TEXTJOIN(" ",TRUE,Migrationsartikel!G19)</f>
        <v>Schale</v>
      </c>
      <c r="S20" s="51" t="str">
        <f>_xlfn.TEXTJOIN(" ",TRUE,Migrationsartikel!K19)</f>
        <v>Barquette</v>
      </c>
      <c r="T20" s="51" t="str">
        <f>_xlfn.TEXTJOIN(" ",TRUE,Migrationsartikel!O19)</f>
        <v>vaschetta</v>
      </c>
      <c r="U20" s="51" t="str">
        <f>_xlfn.TEXTJOIN(" ",TRUE,Migrationsartikel!H19)</f>
        <v>650g</v>
      </c>
      <c r="V20" s="51" t="str">
        <f>_xlfn.TEXTJOIN(" ",TRUE,Migrationsartikel!L19)</f>
        <v>650g</v>
      </c>
      <c r="W20" s="51" t="str">
        <f>_xlfn.TEXTJOIN(" ",TRUE,Migrationsartikel!P19)</f>
        <v>650g</v>
      </c>
      <c r="X20" s="51" t="str">
        <f>Migrationsartikel!I19</f>
        <v>Aprikosen Schale 650g</v>
      </c>
      <c r="Y20" s="51" t="str">
        <f>Migrationsartikel!M19</f>
        <v>Abricots barquette 650g</v>
      </c>
      <c r="Z20" s="51" t="str">
        <f>Migrationsartikel!Q19</f>
        <v>Albicocche vasch. 650g</v>
      </c>
      <c r="AA20" s="60">
        <f>Migrationsartikel!R19</f>
        <v>0.65</v>
      </c>
      <c r="AB20" s="51" t="str">
        <f>Migrationsartikel!T19</f>
        <v>Kilogramm</v>
      </c>
      <c r="AC20" s="62">
        <f>Migrationsartikel!S19</f>
        <v>1</v>
      </c>
      <c r="AD20" s="51" t="str">
        <f>Migrationsartikel!U19</f>
        <v>(PCE) Stück</v>
      </c>
      <c r="AE20" s="95" t="str">
        <f>Migrationsartikel!Y19</f>
        <v>3 - Reduzierter Satz</v>
      </c>
      <c r="AF20" s="64" t="str">
        <f>IF(Migrationsartikel!AA19="Kein Depotartikel","",Migrationsartikel!AA19)</f>
        <v/>
      </c>
      <c r="AG20" s="95" t="str">
        <f>Migrationsartikel!Z19</f>
        <v>Keine</v>
      </c>
      <c r="AH20" s="51" t="str">
        <f>IF(Migrationsartikel!AB19="ja","true",FALSE)</f>
        <v>true</v>
      </c>
      <c r="AI20" s="51" t="str">
        <f>IF(Migrationsartikel!AC19="ja","true",FALSE)</f>
        <v>true</v>
      </c>
      <c r="AJ20" s="51" t="str">
        <f>IF(Migrationsartikel!AD19="ja","true",FALSE)</f>
        <v>true</v>
      </c>
      <c r="AK20" s="51" t="str">
        <f>IF(Migrationsartikel!AE19="ja","true",FALSE)</f>
        <v>true</v>
      </c>
      <c r="AL20" s="51" t="str">
        <f>IF(Migrationsartikel!AF19="ja","Denner Partner","")</f>
        <v/>
      </c>
      <c r="AM20" s="51" t="str">
        <f>IF(Migrationsartikel!AG19="ja","true","false")</f>
        <v>false</v>
      </c>
      <c r="AN20" s="51" t="str">
        <f t="shared" si="1"/>
        <v>Kassentastenbelegung (ohne GTIN/PLU)</v>
      </c>
      <c r="AO20" s="63" t="s">
        <v>219</v>
      </c>
      <c r="AP20" s="62" t="s">
        <v>2447</v>
      </c>
      <c r="AQ20" s="63" t="s">
        <v>217</v>
      </c>
      <c r="AR20" s="30" t="s">
        <v>219</v>
      </c>
    </row>
    <row r="21" spans="2:44" ht="21.75" customHeight="1" x14ac:dyDescent="0.45">
      <c r="B21" s="51" t="s">
        <v>99</v>
      </c>
      <c r="E21" s="52" t="s">
        <v>87</v>
      </c>
      <c r="F21" s="51" t="str">
        <f>"Warengruppe&gt;&gt;"&amp;_xlfn.TEXTJOIN("&gt;&gt;",TRUE,Migrationsartikel!V20:X20)</f>
        <v>Warengruppe&gt;&gt;Früchte und Gemüse&gt;&gt;Früchte und Gemüse&gt;&gt;Früchte</v>
      </c>
      <c r="H21" s="52" t="s">
        <v>109</v>
      </c>
      <c r="J21" s="51" t="str">
        <f>_xlfn.TEXTJOIN(" ",TRUE,Migrationsartikel!B20,Migrationsartikel!E20)</f>
        <v>7613399047834</v>
      </c>
      <c r="L21" s="51" t="str">
        <f>_xlfn.TEXTJOIN(" ",TRUE,Migrationsartikel!F20:H20)</f>
        <v>Aprikosen getrocknet 200g</v>
      </c>
      <c r="M21" s="51" t="str">
        <f>_xlfn.TEXTJOIN(" ",TRUE,Migrationsartikel!J20:L20)</f>
        <v>Abricots secs 200g</v>
      </c>
      <c r="N21" s="51" t="str">
        <f>_xlfn.TEXTJOIN(" ",TRUE,Migrationsartikel!N20:P20)</f>
        <v>Albicocche secche 200g</v>
      </c>
      <c r="O21" s="51" t="str">
        <f>Migrationsartikel!F20</f>
        <v>Aprikosen getrocknet</v>
      </c>
      <c r="P21" s="51" t="str">
        <f>Migrationsartikel!J20</f>
        <v>Abricots secs</v>
      </c>
      <c r="Q21" s="51" t="str">
        <f>Migrationsartikel!N20</f>
        <v>Albicocche secche</v>
      </c>
      <c r="R21" s="51" t="str">
        <f>_xlfn.TEXTJOIN(" ",TRUE,Migrationsartikel!G20)</f>
        <v/>
      </c>
      <c r="S21" s="51" t="str">
        <f>_xlfn.TEXTJOIN(" ",TRUE,Migrationsartikel!K20)</f>
        <v/>
      </c>
      <c r="T21" s="51" t="str">
        <f>_xlfn.TEXTJOIN(" ",TRUE,Migrationsartikel!O20)</f>
        <v/>
      </c>
      <c r="U21" s="51" t="str">
        <f>_xlfn.TEXTJOIN(" ",TRUE,Migrationsartikel!H20)</f>
        <v>200g</v>
      </c>
      <c r="V21" s="51" t="str">
        <f>_xlfn.TEXTJOIN(" ",TRUE,Migrationsartikel!L20)</f>
        <v>200g</v>
      </c>
      <c r="W21" s="51" t="str">
        <f>_xlfn.TEXTJOIN(" ",TRUE,Migrationsartikel!P20)</f>
        <v>200g</v>
      </c>
      <c r="X21" s="51" t="str">
        <f>Migrationsartikel!I20</f>
        <v>Aprikosen getrocknet 200g</v>
      </c>
      <c r="Y21" s="51" t="str">
        <f>Migrationsartikel!M20</f>
        <v>Abricots secs 200g</v>
      </c>
      <c r="Z21" s="51" t="str">
        <f>Migrationsartikel!Q20</f>
        <v>Albicocche secche 200g</v>
      </c>
      <c r="AA21" s="60">
        <f>Migrationsartikel!R20</f>
        <v>0.2</v>
      </c>
      <c r="AB21" s="51" t="str">
        <f>Migrationsartikel!T20</f>
        <v>Gramm</v>
      </c>
      <c r="AC21" s="62">
        <f>Migrationsartikel!S20</f>
        <v>100</v>
      </c>
      <c r="AD21" s="51" t="str">
        <f>Migrationsartikel!U20</f>
        <v>(PCE) Stück</v>
      </c>
      <c r="AE21" s="95" t="str">
        <f>Migrationsartikel!Y20</f>
        <v>3 - Reduzierter Satz</v>
      </c>
      <c r="AF21" s="64" t="str">
        <f>IF(Migrationsartikel!AA20="Kein Depotartikel","",Migrationsartikel!AA20)</f>
        <v/>
      </c>
      <c r="AG21" s="95" t="str">
        <f>Migrationsartikel!Z20</f>
        <v>Keine</v>
      </c>
      <c r="AH21" s="51" t="str">
        <f>IF(Migrationsartikel!AB20="ja","true",FALSE)</f>
        <v>true</v>
      </c>
      <c r="AI21" s="51" t="str">
        <f>IF(Migrationsartikel!AC20="ja","true",FALSE)</f>
        <v>true</v>
      </c>
      <c r="AJ21" s="51" t="str">
        <f>IF(Migrationsartikel!AD20="ja","true",FALSE)</f>
        <v>true</v>
      </c>
      <c r="AK21" s="51" t="str">
        <f>IF(Migrationsartikel!AE20="ja","true",FALSE)</f>
        <v>true</v>
      </c>
      <c r="AL21" s="51" t="str">
        <f>IF(Migrationsartikel!AF20="ja","Denner Partner","")</f>
        <v/>
      </c>
      <c r="AM21" s="51" t="str">
        <f>IF(Migrationsartikel!AG20="ja","true","false")</f>
        <v>false</v>
      </c>
      <c r="AN21" s="51" t="str">
        <f t="shared" si="1"/>
        <v>Kassentastenbelegung (ohne GTIN/PLU)</v>
      </c>
      <c r="AO21" s="63" t="s">
        <v>219</v>
      </c>
      <c r="AP21" s="62" t="s">
        <v>2448</v>
      </c>
      <c r="AQ21" s="63" t="s">
        <v>217</v>
      </c>
      <c r="AR21" s="30" t="s">
        <v>219</v>
      </c>
    </row>
    <row r="22" spans="2:44" ht="21.75" customHeight="1" x14ac:dyDescent="0.45">
      <c r="B22" s="51" t="s">
        <v>99</v>
      </c>
      <c r="E22" s="52" t="s">
        <v>87</v>
      </c>
      <c r="F22" s="51" t="str">
        <f>"Warengruppe&gt;&gt;"&amp;_xlfn.TEXTJOIN("&gt;&gt;",TRUE,Migrationsartikel!V21:X21)</f>
        <v>Warengruppe&gt;&gt;Früchte und Gemüse&gt;&gt;Früchte und Gemüse&gt;&gt;Früchte</v>
      </c>
      <c r="H22" s="52" t="s">
        <v>109</v>
      </c>
      <c r="J22" s="51" t="str">
        <f>_xlfn.TEXTJOIN(" ",TRUE,Migrationsartikel!B21,Migrationsartikel!E21)</f>
        <v>138</v>
      </c>
      <c r="L22" s="51" t="str">
        <f>_xlfn.TEXTJOIN(" ",TRUE,Migrationsartikel!F21:H21)</f>
        <v>Bananen Fyffes Offen</v>
      </c>
      <c r="M22" s="51" t="str">
        <f>_xlfn.TEXTJOIN(" ",TRUE,Migrationsartikel!J21:L21)</f>
        <v>Bananes Fyffes En vrac</v>
      </c>
      <c r="N22" s="51" t="str">
        <f>_xlfn.TEXTJOIN(" ",TRUE,Migrationsartikel!N21:P21)</f>
        <v>Banane Fyffes vendita sfusa</v>
      </c>
      <c r="O22" s="51" t="str">
        <f>Migrationsartikel!F21</f>
        <v>Bananen Fyffes</v>
      </c>
      <c r="P22" s="51" t="str">
        <f>Migrationsartikel!J21</f>
        <v>Bananes Fyffes</v>
      </c>
      <c r="Q22" s="51" t="str">
        <f>Migrationsartikel!N21</f>
        <v>Banane Fyffes</v>
      </c>
      <c r="R22" s="51" t="str">
        <f>_xlfn.TEXTJOIN(" ",TRUE,Migrationsartikel!G21)</f>
        <v>Offen</v>
      </c>
      <c r="S22" s="51" t="str">
        <f>_xlfn.TEXTJOIN(" ",TRUE,Migrationsartikel!K21)</f>
        <v>En vrac</v>
      </c>
      <c r="T22" s="51" t="str">
        <f>_xlfn.TEXTJOIN(" ",TRUE,Migrationsartikel!O21)</f>
        <v>vendita sfusa</v>
      </c>
      <c r="U22" s="51" t="str">
        <f>_xlfn.TEXTJOIN(" ",TRUE,Migrationsartikel!H21)</f>
        <v/>
      </c>
      <c r="V22" s="51" t="str">
        <f>_xlfn.TEXTJOIN(" ",TRUE,Migrationsartikel!L21)</f>
        <v/>
      </c>
      <c r="W22" s="51" t="str">
        <f>_xlfn.TEXTJOIN(" ",TRUE,Migrationsartikel!P21)</f>
        <v/>
      </c>
      <c r="X22" s="51" t="str">
        <f>Migrationsartikel!I21</f>
        <v>Bananen Fyffes Offen</v>
      </c>
      <c r="Y22" s="51" t="str">
        <f>Migrationsartikel!M21</f>
        <v>Bananes Fyffes en vrac</v>
      </c>
      <c r="Z22" s="51" t="str">
        <f>Migrationsartikel!Q21</f>
        <v>Banane Fyffes vend. sfusa</v>
      </c>
      <c r="AA22" s="60">
        <f>Migrationsartikel!R21</f>
        <v>1</v>
      </c>
      <c r="AB22" s="51" t="str">
        <f>Migrationsartikel!T21</f>
        <v>Kilogramm</v>
      </c>
      <c r="AC22" s="62">
        <f>Migrationsartikel!S21</f>
        <v>1</v>
      </c>
      <c r="AD22" s="51" t="str">
        <f>Migrationsartikel!U21</f>
        <v>(KGM) KG</v>
      </c>
      <c r="AE22" s="95" t="str">
        <f>Migrationsartikel!Y21</f>
        <v>3 - Reduzierter Satz</v>
      </c>
      <c r="AF22" s="64" t="str">
        <f>IF(Migrationsartikel!AA21="Kein Depotartikel","",Migrationsartikel!AA21)</f>
        <v/>
      </c>
      <c r="AG22" s="95" t="str">
        <f>Migrationsartikel!Z21</f>
        <v>Keine</v>
      </c>
      <c r="AH22" s="51" t="str">
        <f>IF(Migrationsartikel!AB21="ja","true",FALSE)</f>
        <v>true</v>
      </c>
      <c r="AI22" s="51" t="str">
        <f>IF(Migrationsartikel!AC21="ja","true",FALSE)</f>
        <v>true</v>
      </c>
      <c r="AJ22" s="51" t="str">
        <f>IF(Migrationsartikel!AD21="ja","true",FALSE)</f>
        <v>true</v>
      </c>
      <c r="AK22" s="51" t="str">
        <f>IF(Migrationsartikel!AE21="ja","true",FALSE)</f>
        <v>true</v>
      </c>
      <c r="AL22" s="51" t="str">
        <f>IF(Migrationsartikel!AF21="ja","Denner Partner","")</f>
        <v/>
      </c>
      <c r="AM22" s="51" t="str">
        <f>IF(Migrationsartikel!AG21="ja","true","false")</f>
        <v>false</v>
      </c>
      <c r="AN22" s="51" t="str">
        <f t="shared" si="1"/>
        <v>Kassentastenbelegung (ohne GTIN/PLU)</v>
      </c>
      <c r="AO22" s="63" t="s">
        <v>219</v>
      </c>
      <c r="AP22" s="62" t="s">
        <v>2449</v>
      </c>
      <c r="AQ22" s="63" t="s">
        <v>217</v>
      </c>
      <c r="AR22" s="30" t="s">
        <v>219</v>
      </c>
    </row>
    <row r="23" spans="2:44" ht="21.75" customHeight="1" x14ac:dyDescent="0.45">
      <c r="B23" s="51" t="s">
        <v>99</v>
      </c>
      <c r="E23" s="52" t="s">
        <v>87</v>
      </c>
      <c r="F23" s="51" t="str">
        <f>"Warengruppe&gt;&gt;"&amp;_xlfn.TEXTJOIN("&gt;&gt;",TRUE,Migrationsartikel!V22:X22)</f>
        <v>Warengruppe&gt;&gt;Früchte und Gemüse&gt;&gt;Früchte und Gemüse&gt;&gt;Früchte</v>
      </c>
      <c r="H23" s="52" t="s">
        <v>109</v>
      </c>
      <c r="J23" s="51" t="str">
        <f>_xlfn.TEXTJOIN(" ",TRUE,Migrationsartikel!B22,Migrationsartikel!E22)</f>
        <v>2201581000000</v>
      </c>
      <c r="L23" s="51" t="str">
        <f>_xlfn.TEXTJOIN(" ",TRUE,Migrationsartikel!F22:H22)</f>
        <v>Bananen gepackt</v>
      </c>
      <c r="M23" s="51" t="str">
        <f>_xlfn.TEXTJOIN(" ",TRUE,Migrationsartikel!J22:L22)</f>
        <v>Bananes Emballé</v>
      </c>
      <c r="N23" s="51" t="str">
        <f>_xlfn.TEXTJOIN(" ",TRUE,Migrationsartikel!N22:P22)</f>
        <v>Banane confezionato</v>
      </c>
      <c r="O23" s="51" t="str">
        <f>Migrationsartikel!F22</f>
        <v>Bananen</v>
      </c>
      <c r="P23" s="51" t="str">
        <f>Migrationsartikel!J22</f>
        <v>Bananes</v>
      </c>
      <c r="Q23" s="51" t="str">
        <f>Migrationsartikel!N22</f>
        <v>Banane</v>
      </c>
      <c r="R23" s="51" t="str">
        <f>_xlfn.TEXTJOIN(" ",TRUE,Migrationsartikel!G22)</f>
        <v>gepackt</v>
      </c>
      <c r="S23" s="51" t="str">
        <f>_xlfn.TEXTJOIN(" ",TRUE,Migrationsartikel!K22)</f>
        <v>Emballé</v>
      </c>
      <c r="T23" s="51" t="str">
        <f>_xlfn.TEXTJOIN(" ",TRUE,Migrationsartikel!O22)</f>
        <v>confezionato</v>
      </c>
      <c r="U23" s="51" t="str">
        <f>_xlfn.TEXTJOIN(" ",TRUE,Migrationsartikel!H22)</f>
        <v/>
      </c>
      <c r="V23" s="51" t="str">
        <f>_xlfn.TEXTJOIN(" ",TRUE,Migrationsartikel!L22)</f>
        <v/>
      </c>
      <c r="W23" s="51" t="str">
        <f>_xlfn.TEXTJOIN(" ",TRUE,Migrationsartikel!P22)</f>
        <v/>
      </c>
      <c r="X23" s="51" t="str">
        <f>Migrationsartikel!I22</f>
        <v>Bananen gepackt</v>
      </c>
      <c r="Y23" s="51" t="str">
        <f>Migrationsartikel!M22</f>
        <v>Bananes emballé</v>
      </c>
      <c r="Z23" s="51" t="str">
        <f>Migrationsartikel!Q22</f>
        <v>Banane confezionato</v>
      </c>
      <c r="AA23" s="60">
        <f>Migrationsartikel!R22</f>
        <v>1</v>
      </c>
      <c r="AB23" s="51" t="str">
        <f>Migrationsartikel!T22</f>
        <v>Kilogramm</v>
      </c>
      <c r="AC23" s="62">
        <f>Migrationsartikel!S22</f>
        <v>1</v>
      </c>
      <c r="AD23" s="51" t="str">
        <f>Migrationsartikel!U22</f>
        <v>(PCE) Stück</v>
      </c>
      <c r="AE23" s="95" t="str">
        <f>Migrationsartikel!Y22</f>
        <v>3 - Reduzierter Satz</v>
      </c>
      <c r="AF23" s="64" t="str">
        <f>IF(Migrationsartikel!AA22="Kein Depotartikel","",Migrationsartikel!AA22)</f>
        <v/>
      </c>
      <c r="AG23" s="95" t="str">
        <f>Migrationsartikel!Z22</f>
        <v>Keine</v>
      </c>
      <c r="AH23" s="51" t="str">
        <f>IF(Migrationsartikel!AB22="ja","true",FALSE)</f>
        <v>true</v>
      </c>
      <c r="AI23" s="51" t="str">
        <f>IF(Migrationsartikel!AC22="ja","true",FALSE)</f>
        <v>true</v>
      </c>
      <c r="AJ23" s="51" t="str">
        <f>IF(Migrationsartikel!AD22="ja","true",FALSE)</f>
        <v>true</v>
      </c>
      <c r="AK23" s="51" t="str">
        <f>IF(Migrationsartikel!AE22="ja","true",FALSE)</f>
        <v>true</v>
      </c>
      <c r="AL23" s="51" t="str">
        <f>IF(Migrationsartikel!AF22="ja","Denner Partner","")</f>
        <v/>
      </c>
      <c r="AM23" s="51" t="str">
        <f>IF(Migrationsartikel!AG22="ja","true","false")</f>
        <v>false</v>
      </c>
      <c r="AN23" s="51" t="str">
        <f t="shared" si="1"/>
        <v>Kassentastenbelegung (ohne GTIN/PLU)</v>
      </c>
      <c r="AO23" s="63" t="s">
        <v>219</v>
      </c>
      <c r="AP23" s="62" t="s">
        <v>2450</v>
      </c>
      <c r="AQ23" s="63" t="s">
        <v>217</v>
      </c>
      <c r="AR23" s="30" t="s">
        <v>219</v>
      </c>
    </row>
    <row r="24" spans="2:44" ht="21.75" customHeight="1" x14ac:dyDescent="0.45">
      <c r="B24" s="51" t="s">
        <v>99</v>
      </c>
      <c r="E24" s="52" t="s">
        <v>87</v>
      </c>
      <c r="F24" s="51" t="str">
        <f>"Warengruppe&gt;&gt;"&amp;_xlfn.TEXTJOIN("&gt;&gt;",TRUE,Migrationsartikel!V23:X23)</f>
        <v>Warengruppe&gt;&gt;Früchte und Gemüse&gt;&gt;Früchte und Gemüse&gt;&gt;Früchte</v>
      </c>
      <c r="H24" s="52" t="s">
        <v>109</v>
      </c>
      <c r="J24" s="51" t="str">
        <f>_xlfn.TEXTJOIN(" ",TRUE,Migrationsartikel!B23,Migrationsartikel!E23)</f>
        <v>7610632050514</v>
      </c>
      <c r="L24" s="51" t="str">
        <f>_xlfn.TEXTJOIN(" ",TRUE,Migrationsartikel!F23:H23)</f>
        <v>Beerenmischung Schale 250g</v>
      </c>
      <c r="M24" s="51" t="str">
        <f>_xlfn.TEXTJOIN(" ",TRUE,Migrationsartikel!J23:L23)</f>
        <v>Mélange de baies Barquette 250g</v>
      </c>
      <c r="N24" s="51" t="str">
        <f>_xlfn.TEXTJOIN(" ",TRUE,Migrationsartikel!N23:P23)</f>
        <v>Bacche miste vaschetta 250g</v>
      </c>
      <c r="O24" s="51" t="str">
        <f>Migrationsartikel!F23</f>
        <v>Beerenmischung</v>
      </c>
      <c r="P24" s="51" t="str">
        <f>Migrationsartikel!J23</f>
        <v>Mélange de baies</v>
      </c>
      <c r="Q24" s="51" t="str">
        <f>Migrationsartikel!N23</f>
        <v>Bacche miste</v>
      </c>
      <c r="R24" s="51" t="str">
        <f>_xlfn.TEXTJOIN(" ",TRUE,Migrationsartikel!G23)</f>
        <v>Schale</v>
      </c>
      <c r="S24" s="51" t="str">
        <f>_xlfn.TEXTJOIN(" ",TRUE,Migrationsartikel!K23)</f>
        <v>Barquette</v>
      </c>
      <c r="T24" s="51" t="str">
        <f>_xlfn.TEXTJOIN(" ",TRUE,Migrationsartikel!O23)</f>
        <v>vaschetta</v>
      </c>
      <c r="U24" s="51" t="str">
        <f>_xlfn.TEXTJOIN(" ",TRUE,Migrationsartikel!H23)</f>
        <v>250g</v>
      </c>
      <c r="V24" s="51" t="str">
        <f>_xlfn.TEXTJOIN(" ",TRUE,Migrationsartikel!L23)</f>
        <v>250g</v>
      </c>
      <c r="W24" s="51" t="str">
        <f>_xlfn.TEXTJOIN(" ",TRUE,Migrationsartikel!P23)</f>
        <v>250g</v>
      </c>
      <c r="X24" s="51" t="str">
        <f>Migrationsartikel!I23</f>
        <v>Beerenmischung Schale 250g</v>
      </c>
      <c r="Y24" s="51" t="str">
        <f>Migrationsartikel!M23</f>
        <v>Melange de baies 250g</v>
      </c>
      <c r="Z24" s="51" t="str">
        <f>Migrationsartikel!Q23</f>
        <v>Bacche miste 250g</v>
      </c>
      <c r="AA24" s="60">
        <f>Migrationsartikel!R23</f>
        <v>0.25</v>
      </c>
      <c r="AB24" s="51" t="str">
        <f>Migrationsartikel!T23</f>
        <v>Gramm</v>
      </c>
      <c r="AC24" s="62">
        <f>Migrationsartikel!S23</f>
        <v>100</v>
      </c>
      <c r="AD24" s="51" t="str">
        <f>Migrationsartikel!U23</f>
        <v>(PCE) Stück</v>
      </c>
      <c r="AE24" s="95" t="str">
        <f>Migrationsartikel!Y23</f>
        <v>3 - Reduzierter Satz</v>
      </c>
      <c r="AF24" s="64" t="str">
        <f>IF(Migrationsartikel!AA23="Kein Depotartikel","",Migrationsartikel!AA23)</f>
        <v/>
      </c>
      <c r="AG24" s="95" t="str">
        <f>Migrationsartikel!Z23</f>
        <v>Keine</v>
      </c>
      <c r="AH24" s="51" t="str">
        <f>IF(Migrationsartikel!AB23="ja","true",FALSE)</f>
        <v>true</v>
      </c>
      <c r="AI24" s="51" t="str">
        <f>IF(Migrationsartikel!AC23="ja","true",FALSE)</f>
        <v>true</v>
      </c>
      <c r="AJ24" s="51" t="str">
        <f>IF(Migrationsartikel!AD23="ja","true",FALSE)</f>
        <v>true</v>
      </c>
      <c r="AK24" s="51" t="str">
        <f>IF(Migrationsartikel!AE23="ja","true",FALSE)</f>
        <v>true</v>
      </c>
      <c r="AL24" s="51" t="str">
        <f>IF(Migrationsartikel!AF23="ja","Denner Partner","")</f>
        <v/>
      </c>
      <c r="AM24" s="51" t="str">
        <f>IF(Migrationsartikel!AG23="ja","true","false")</f>
        <v>false</v>
      </c>
      <c r="AN24" s="51" t="str">
        <f t="shared" si="1"/>
        <v>Kassentastenbelegung (ohne GTIN/PLU)</v>
      </c>
      <c r="AO24" s="63" t="s">
        <v>219</v>
      </c>
      <c r="AP24" s="62" t="s">
        <v>2451</v>
      </c>
      <c r="AQ24" s="63" t="s">
        <v>217</v>
      </c>
      <c r="AR24" s="30" t="s">
        <v>219</v>
      </c>
    </row>
    <row r="25" spans="2:44" ht="21.75" customHeight="1" x14ac:dyDescent="0.45">
      <c r="B25" s="51" t="s">
        <v>99</v>
      </c>
      <c r="E25" s="52" t="s">
        <v>87</v>
      </c>
      <c r="F25" s="51" t="str">
        <f>"Warengruppe&gt;&gt;"&amp;_xlfn.TEXTJOIN("&gt;&gt;",TRUE,Migrationsartikel!V24:X24)</f>
        <v>Warengruppe&gt;&gt;Früchte und Gemüse&gt;&gt;Früchte und Gemüse&gt;&gt;Früchte</v>
      </c>
      <c r="H25" s="52" t="s">
        <v>109</v>
      </c>
      <c r="J25" s="51" t="str">
        <f>_xlfn.TEXTJOIN(" ",TRUE,Migrationsartikel!B24,Migrationsartikel!E24)</f>
        <v>145</v>
      </c>
      <c r="L25" s="51" t="str">
        <f>_xlfn.TEXTJOIN(" ",TRUE,Migrationsartikel!F24:H24)</f>
        <v>Birnen Ercolini Offen Kl. 1</v>
      </c>
      <c r="M25" s="51" t="str">
        <f>_xlfn.TEXTJOIN(" ",TRUE,Migrationsartikel!J24:L24)</f>
        <v>Poires Ercolini En vrac, cl. 1</v>
      </c>
      <c r="N25" s="51" t="str">
        <f>_xlfn.TEXTJOIN(" ",TRUE,Migrationsartikel!N24:P24)</f>
        <v>Pere Ercolini Cl. 1 vendita sfusa</v>
      </c>
      <c r="O25" s="51" t="str">
        <f>Migrationsartikel!F24</f>
        <v>Birnen Ercolini</v>
      </c>
      <c r="P25" s="51" t="str">
        <f>Migrationsartikel!J24</f>
        <v>Poires Ercolini</v>
      </c>
      <c r="Q25" s="51" t="str">
        <f>Migrationsartikel!N24</f>
        <v>Pere Ercolini</v>
      </c>
      <c r="R25" s="51" t="str">
        <f>_xlfn.TEXTJOIN(" ",TRUE,Migrationsartikel!G24)</f>
        <v>Offen Kl. 1</v>
      </c>
      <c r="S25" s="51" t="str">
        <f>_xlfn.TEXTJOIN(" ",TRUE,Migrationsartikel!K24)</f>
        <v>En vrac, cl. 1</v>
      </c>
      <c r="T25" s="51" t="str">
        <f>_xlfn.TEXTJOIN(" ",TRUE,Migrationsartikel!O24)</f>
        <v>Cl. 1 vendita sfusa</v>
      </c>
      <c r="U25" s="51" t="str">
        <f>_xlfn.TEXTJOIN(" ",TRUE,Migrationsartikel!H24)</f>
        <v/>
      </c>
      <c r="V25" s="51" t="str">
        <f>_xlfn.TEXTJOIN(" ",TRUE,Migrationsartikel!L24)</f>
        <v/>
      </c>
      <c r="W25" s="51" t="str">
        <f>_xlfn.TEXTJOIN(" ",TRUE,Migrationsartikel!P24)</f>
        <v/>
      </c>
      <c r="X25" s="51" t="str">
        <f>Migrationsartikel!I24</f>
        <v>Birnen Ercolini Offen Kl. 1</v>
      </c>
      <c r="Y25" s="51" t="str">
        <f>Migrationsartikel!M24</f>
        <v>Poire Ercolini en vrac cl. 1</v>
      </c>
      <c r="Z25" s="51" t="str">
        <f>Migrationsartikel!Q24</f>
        <v>Pere Ercolini cl.1 vend. Sf.</v>
      </c>
      <c r="AA25" s="60">
        <f>Migrationsartikel!R24</f>
        <v>1</v>
      </c>
      <c r="AB25" s="51" t="str">
        <f>Migrationsartikel!T24</f>
        <v>Kilogramm</v>
      </c>
      <c r="AC25" s="62">
        <f>Migrationsartikel!S24</f>
        <v>1</v>
      </c>
      <c r="AD25" s="51" t="str">
        <f>Migrationsartikel!U24</f>
        <v>(KGM) KG</v>
      </c>
      <c r="AE25" s="95" t="str">
        <f>Migrationsartikel!Y24</f>
        <v>3 - Reduzierter Satz</v>
      </c>
      <c r="AF25" s="64" t="str">
        <f>IF(Migrationsartikel!AA24="Kein Depotartikel","",Migrationsartikel!AA24)</f>
        <v/>
      </c>
      <c r="AG25" s="95" t="str">
        <f>Migrationsartikel!Z24</f>
        <v>Keine</v>
      </c>
      <c r="AH25" s="51" t="str">
        <f>IF(Migrationsartikel!AB24="ja","true",FALSE)</f>
        <v>true</v>
      </c>
      <c r="AI25" s="51" t="str">
        <f>IF(Migrationsartikel!AC24="ja","true",FALSE)</f>
        <v>true</v>
      </c>
      <c r="AJ25" s="51" t="str">
        <f>IF(Migrationsartikel!AD24="ja","true",FALSE)</f>
        <v>true</v>
      </c>
      <c r="AK25" s="51" t="str">
        <f>IF(Migrationsartikel!AE24="ja","true",FALSE)</f>
        <v>true</v>
      </c>
      <c r="AL25" s="51" t="str">
        <f>IF(Migrationsartikel!AF24="ja","Denner Partner","")</f>
        <v/>
      </c>
      <c r="AM25" s="51" t="str">
        <f>IF(Migrationsartikel!AG24="ja","true","false")</f>
        <v>false</v>
      </c>
      <c r="AN25" s="51" t="str">
        <f t="shared" si="1"/>
        <v>Kassentastenbelegung (ohne GTIN/PLU)</v>
      </c>
      <c r="AO25" s="63" t="s">
        <v>219</v>
      </c>
      <c r="AP25" s="62" t="s">
        <v>2452</v>
      </c>
      <c r="AQ25" s="63" t="s">
        <v>217</v>
      </c>
      <c r="AR25" s="30" t="s">
        <v>219</v>
      </c>
    </row>
    <row r="26" spans="2:44" ht="21.75" customHeight="1" x14ac:dyDescent="0.45">
      <c r="B26" s="51" t="s">
        <v>99</v>
      </c>
      <c r="E26" s="52" t="s">
        <v>87</v>
      </c>
      <c r="F26" s="51" t="str">
        <f>"Warengruppe&gt;&gt;"&amp;_xlfn.TEXTJOIN("&gt;&gt;",TRUE,Migrationsartikel!V25:X25)</f>
        <v>Warengruppe&gt;&gt;Früchte und Gemüse&gt;&gt;Früchte und Gemüse&gt;&gt;Früchte</v>
      </c>
      <c r="H26" s="52" t="s">
        <v>109</v>
      </c>
      <c r="J26" s="51" t="str">
        <f>_xlfn.TEXTJOIN(" ",TRUE,Migrationsartikel!B25,Migrationsartikel!E25)</f>
        <v>151</v>
      </c>
      <c r="L26" s="51" t="str">
        <f>_xlfn.TEXTJOIN(" ",TRUE,Migrationsartikel!F25:H25)</f>
        <v>Birnen Kaiser Offen Kl. 1</v>
      </c>
      <c r="M26" s="51" t="str">
        <f>_xlfn.TEXTJOIN(" ",TRUE,Migrationsartikel!J25:L25)</f>
        <v>Poires Beurré Bosc En vrac, cl. 1</v>
      </c>
      <c r="N26" s="51" t="str">
        <f>_xlfn.TEXTJOIN(" ",TRUE,Migrationsartikel!N25:P25)</f>
        <v>Pere Kaiser Cl. 1 vendita sfusa</v>
      </c>
      <c r="O26" s="51" t="str">
        <f>Migrationsartikel!F25</f>
        <v>Birnen Kaiser</v>
      </c>
      <c r="P26" s="51" t="str">
        <f>Migrationsartikel!J25</f>
        <v>Poires Beurré Bosc</v>
      </c>
      <c r="Q26" s="51" t="str">
        <f>Migrationsartikel!N25</f>
        <v>Pere Kaiser</v>
      </c>
      <c r="R26" s="51" t="str">
        <f>_xlfn.TEXTJOIN(" ",TRUE,Migrationsartikel!G25)</f>
        <v>Offen Kl. 1</v>
      </c>
      <c r="S26" s="51" t="str">
        <f>_xlfn.TEXTJOIN(" ",TRUE,Migrationsartikel!K25)</f>
        <v>En vrac, cl. 1</v>
      </c>
      <c r="T26" s="51" t="str">
        <f>_xlfn.TEXTJOIN(" ",TRUE,Migrationsartikel!O25)</f>
        <v>Cl. 1 vendita sfusa</v>
      </c>
      <c r="U26" s="51" t="str">
        <f>_xlfn.TEXTJOIN(" ",TRUE,Migrationsartikel!H25)</f>
        <v/>
      </c>
      <c r="V26" s="51" t="str">
        <f>_xlfn.TEXTJOIN(" ",TRUE,Migrationsartikel!L25)</f>
        <v/>
      </c>
      <c r="W26" s="51" t="str">
        <f>_xlfn.TEXTJOIN(" ",TRUE,Migrationsartikel!P25)</f>
        <v/>
      </c>
      <c r="X26" s="51" t="str">
        <f>Migrationsartikel!I25</f>
        <v>Birnen Kaiser Offen Kl.1</v>
      </c>
      <c r="Y26" s="51" t="str">
        <f>Migrationsartikel!M25</f>
        <v>Poire Beurré Bosc en v. cl1</v>
      </c>
      <c r="Z26" s="51" t="str">
        <f>Migrationsartikel!Q25</f>
        <v>Pere Kaiser cl. 1 vendta sf.</v>
      </c>
      <c r="AA26" s="60">
        <f>Migrationsartikel!R25</f>
        <v>1</v>
      </c>
      <c r="AB26" s="51" t="str">
        <f>Migrationsartikel!T25</f>
        <v>Kilogramm</v>
      </c>
      <c r="AC26" s="62">
        <f>Migrationsartikel!S25</f>
        <v>1</v>
      </c>
      <c r="AD26" s="51" t="str">
        <f>Migrationsartikel!U25</f>
        <v>(KGM) KG</v>
      </c>
      <c r="AE26" s="95" t="str">
        <f>Migrationsartikel!Y25</f>
        <v>3 - Reduzierter Satz</v>
      </c>
      <c r="AF26" s="64" t="str">
        <f>IF(Migrationsartikel!AA25="Kein Depotartikel","",Migrationsartikel!AA25)</f>
        <v/>
      </c>
      <c r="AG26" s="95" t="str">
        <f>Migrationsartikel!Z25</f>
        <v>Keine</v>
      </c>
      <c r="AH26" s="51" t="str">
        <f>IF(Migrationsartikel!AB25="ja","true",FALSE)</f>
        <v>true</v>
      </c>
      <c r="AI26" s="51" t="str">
        <f>IF(Migrationsartikel!AC25="ja","true",FALSE)</f>
        <v>true</v>
      </c>
      <c r="AJ26" s="51" t="str">
        <f>IF(Migrationsartikel!AD25="ja","true",FALSE)</f>
        <v>true</v>
      </c>
      <c r="AK26" s="51" t="str">
        <f>IF(Migrationsartikel!AE25="ja","true",FALSE)</f>
        <v>true</v>
      </c>
      <c r="AL26" s="51" t="str">
        <f>IF(Migrationsartikel!AF25="ja","Denner Partner","")</f>
        <v/>
      </c>
      <c r="AM26" s="51" t="str">
        <f>IF(Migrationsartikel!AG25="ja","true","false")</f>
        <v>false</v>
      </c>
      <c r="AN26" s="51" t="str">
        <f t="shared" si="1"/>
        <v>Kassentastenbelegung (ohne GTIN/PLU)</v>
      </c>
      <c r="AO26" s="63" t="s">
        <v>219</v>
      </c>
      <c r="AP26" s="62" t="s">
        <v>2453</v>
      </c>
      <c r="AQ26" s="63" t="s">
        <v>217</v>
      </c>
      <c r="AR26" s="30" t="s">
        <v>219</v>
      </c>
    </row>
    <row r="27" spans="2:44" ht="21.75" customHeight="1" x14ac:dyDescent="0.45">
      <c r="B27" s="51" t="s">
        <v>99</v>
      </c>
      <c r="E27" s="52" t="s">
        <v>87</v>
      </c>
      <c r="F27" s="51" t="str">
        <f>"Warengruppe&gt;&gt;"&amp;_xlfn.TEXTJOIN("&gt;&gt;",TRUE,Migrationsartikel!V26:X26)</f>
        <v>Warengruppe&gt;&gt;Früchte und Gemüse&gt;&gt;Früchte und Gemüse&gt;&gt;Früchte</v>
      </c>
      <c r="H27" s="52" t="s">
        <v>109</v>
      </c>
      <c r="J27" s="51" t="str">
        <f>_xlfn.TEXTJOIN(" ",TRUE,Migrationsartikel!B26,Migrationsartikel!E26)</f>
        <v>2203071000000</v>
      </c>
      <c r="L27" s="51" t="str">
        <f>_xlfn.TEXTJOIN(" ",TRUE,Migrationsartikel!F26:H26)</f>
        <v>Birnen Abate Kl. 1 gepackt</v>
      </c>
      <c r="M27" s="51" t="str">
        <f>_xlfn.TEXTJOIN(" ",TRUE,Migrationsartikel!J26:L26)</f>
        <v>Poires Abate Cl. 1 emballé</v>
      </c>
      <c r="N27" s="51" t="str">
        <f>_xlfn.TEXTJOIN(" ",TRUE,Migrationsartikel!N26:P26)</f>
        <v>Pere Abate Cl. 1 confezionato</v>
      </c>
      <c r="O27" s="51" t="str">
        <f>Migrationsartikel!F26</f>
        <v>Birnen Abate</v>
      </c>
      <c r="P27" s="51" t="str">
        <f>Migrationsartikel!J26</f>
        <v>Poires Abate</v>
      </c>
      <c r="Q27" s="51" t="str">
        <f>Migrationsartikel!N26</f>
        <v>Pere Abate</v>
      </c>
      <c r="R27" s="51" t="str">
        <f>_xlfn.TEXTJOIN(" ",TRUE,Migrationsartikel!G26)</f>
        <v>Kl. 1 gepackt</v>
      </c>
      <c r="S27" s="51" t="str">
        <f>_xlfn.TEXTJOIN(" ",TRUE,Migrationsartikel!K26)</f>
        <v>Cl. 1 emballé</v>
      </c>
      <c r="T27" s="51" t="str">
        <f>_xlfn.TEXTJOIN(" ",TRUE,Migrationsartikel!O26)</f>
        <v>Cl. 1 confezionato</v>
      </c>
      <c r="U27" s="51" t="str">
        <f>_xlfn.TEXTJOIN(" ",TRUE,Migrationsartikel!H26)</f>
        <v/>
      </c>
      <c r="V27" s="51" t="str">
        <f>_xlfn.TEXTJOIN(" ",TRUE,Migrationsartikel!L26)</f>
        <v/>
      </c>
      <c r="W27" s="51" t="str">
        <f>_xlfn.TEXTJOIN(" ",TRUE,Migrationsartikel!P26)</f>
        <v/>
      </c>
      <c r="X27" s="51" t="str">
        <f>Migrationsartikel!I26</f>
        <v>Birnen Abate Kl. 1 gepackt</v>
      </c>
      <c r="Y27" s="51" t="str">
        <f>Migrationsartikel!M26</f>
        <v>Poires Abate cl. 1 emballé</v>
      </c>
      <c r="Z27" s="51" t="str">
        <f>Migrationsartikel!Q26</f>
        <v>Pere Abate cl.1 confezionato</v>
      </c>
      <c r="AA27" s="60">
        <f>Migrationsartikel!R26</f>
        <v>1</v>
      </c>
      <c r="AB27" s="51" t="str">
        <f>Migrationsartikel!T26</f>
        <v>Kilogramm</v>
      </c>
      <c r="AC27" s="62">
        <f>Migrationsartikel!S26</f>
        <v>1</v>
      </c>
      <c r="AD27" s="51" t="str">
        <f>Migrationsartikel!U26</f>
        <v>(PCE) Stück</v>
      </c>
      <c r="AE27" s="95" t="str">
        <f>Migrationsartikel!Y26</f>
        <v>3 - Reduzierter Satz</v>
      </c>
      <c r="AF27" s="64" t="str">
        <f>IF(Migrationsartikel!AA26="Kein Depotartikel","",Migrationsartikel!AA26)</f>
        <v/>
      </c>
      <c r="AG27" s="95" t="str">
        <f>Migrationsartikel!Z26</f>
        <v>Keine</v>
      </c>
      <c r="AH27" s="51" t="str">
        <f>IF(Migrationsartikel!AB26="ja","true",FALSE)</f>
        <v>true</v>
      </c>
      <c r="AI27" s="51" t="str">
        <f>IF(Migrationsartikel!AC26="ja","true",FALSE)</f>
        <v>true</v>
      </c>
      <c r="AJ27" s="51" t="str">
        <f>IF(Migrationsartikel!AD26="ja","true",FALSE)</f>
        <v>true</v>
      </c>
      <c r="AK27" s="51" t="str">
        <f>IF(Migrationsartikel!AE26="ja","true",FALSE)</f>
        <v>true</v>
      </c>
      <c r="AL27" s="51" t="str">
        <f>IF(Migrationsartikel!AF26="ja","Denner Partner","")</f>
        <v/>
      </c>
      <c r="AM27" s="51" t="str">
        <f>IF(Migrationsartikel!AG26="ja","true","false")</f>
        <v>false</v>
      </c>
      <c r="AN27" s="51" t="str">
        <f t="shared" si="1"/>
        <v>Kassentastenbelegung (ohne GTIN/PLU)</v>
      </c>
      <c r="AO27" s="63" t="s">
        <v>219</v>
      </c>
      <c r="AP27" s="62" t="s">
        <v>2454</v>
      </c>
      <c r="AQ27" s="63" t="s">
        <v>217</v>
      </c>
      <c r="AR27" s="30" t="s">
        <v>219</v>
      </c>
    </row>
    <row r="28" spans="2:44" ht="21.75" customHeight="1" x14ac:dyDescent="0.45">
      <c r="B28" s="51" t="s">
        <v>99</v>
      </c>
      <c r="E28" s="52" t="s">
        <v>87</v>
      </c>
      <c r="F28" s="51" t="str">
        <f>"Warengruppe&gt;&gt;"&amp;_xlfn.TEXTJOIN("&gt;&gt;",TRUE,Migrationsartikel!V27:X27)</f>
        <v>Warengruppe&gt;&gt;Früchte und Gemüse&gt;&gt;Früchte und Gemüse&gt;&gt;Früchte</v>
      </c>
      <c r="H28" s="52" t="s">
        <v>109</v>
      </c>
      <c r="J28" s="51" t="str">
        <f>_xlfn.TEXTJOIN(" ",TRUE,Migrationsartikel!B27,Migrationsartikel!E27)</f>
        <v>2205627000000</v>
      </c>
      <c r="L28" s="51" t="str">
        <f>_xlfn.TEXTJOIN(" ",TRUE,Migrationsartikel!F27:H27)</f>
        <v>Bio Birnen Abate Kl. 1 gepackt</v>
      </c>
      <c r="M28" s="51" t="str">
        <f>_xlfn.TEXTJOIN(" ",TRUE,Migrationsartikel!J27:L27)</f>
        <v>Bio Poires Abate Cl. 1 emballé</v>
      </c>
      <c r="N28" s="51" t="str">
        <f>_xlfn.TEXTJOIN(" ",TRUE,Migrationsartikel!N27:P27)</f>
        <v>Bio Pere Abate Cl. 1 confezionato</v>
      </c>
      <c r="O28" s="51" t="str">
        <f>Migrationsartikel!F27</f>
        <v>Bio Birnen Abate</v>
      </c>
      <c r="P28" s="51" t="str">
        <f>Migrationsartikel!J27</f>
        <v>Bio Poires Abate</v>
      </c>
      <c r="Q28" s="51" t="str">
        <f>Migrationsartikel!N27</f>
        <v>Bio Pere Abate</v>
      </c>
      <c r="R28" s="51" t="str">
        <f>_xlfn.TEXTJOIN(" ",TRUE,Migrationsartikel!G27)</f>
        <v>Kl. 1 gepackt</v>
      </c>
      <c r="S28" s="51" t="str">
        <f>_xlfn.TEXTJOIN(" ",TRUE,Migrationsartikel!K27)</f>
        <v>Cl. 1 emballé</v>
      </c>
      <c r="T28" s="51" t="str">
        <f>_xlfn.TEXTJOIN(" ",TRUE,Migrationsartikel!O27)</f>
        <v>Cl. 1 confezionato</v>
      </c>
      <c r="U28" s="51" t="str">
        <f>_xlfn.TEXTJOIN(" ",TRUE,Migrationsartikel!H27)</f>
        <v/>
      </c>
      <c r="V28" s="51" t="str">
        <f>_xlfn.TEXTJOIN(" ",TRUE,Migrationsartikel!L27)</f>
        <v/>
      </c>
      <c r="W28" s="51" t="str">
        <f>_xlfn.TEXTJOIN(" ",TRUE,Migrationsartikel!P27)</f>
        <v/>
      </c>
      <c r="X28" s="51" t="str">
        <f>Migrationsartikel!I27</f>
        <v>Bio Birnen Abate Kl. 1 gep.</v>
      </c>
      <c r="Y28" s="51" t="str">
        <f>Migrationsartikel!M27</f>
        <v>Bio Poires Abate cl1 emballé</v>
      </c>
      <c r="Z28" s="51" t="str">
        <f>Migrationsartikel!Q27</f>
        <v>Bio Pere Abate cl. 1 confez.</v>
      </c>
      <c r="AA28" s="60">
        <f>Migrationsartikel!R27</f>
        <v>1</v>
      </c>
      <c r="AB28" s="51" t="str">
        <f>Migrationsartikel!T27</f>
        <v>Kilogramm</v>
      </c>
      <c r="AC28" s="62">
        <f>Migrationsartikel!S27</f>
        <v>1</v>
      </c>
      <c r="AD28" s="51" t="str">
        <f>Migrationsartikel!U27</f>
        <v>(PCE) Stück</v>
      </c>
      <c r="AE28" s="95" t="str">
        <f>Migrationsartikel!Y27</f>
        <v>3 - Reduzierter Satz</v>
      </c>
      <c r="AF28" s="64" t="str">
        <f>IF(Migrationsartikel!AA27="Kein Depotartikel","",Migrationsartikel!AA27)</f>
        <v/>
      </c>
      <c r="AG28" s="95" t="str">
        <f>Migrationsartikel!Z27</f>
        <v>Keine</v>
      </c>
      <c r="AH28" s="51" t="str">
        <f>IF(Migrationsartikel!AB27="ja","true",FALSE)</f>
        <v>true</v>
      </c>
      <c r="AI28" s="51" t="str">
        <f>IF(Migrationsartikel!AC27="ja","true",FALSE)</f>
        <v>true</v>
      </c>
      <c r="AJ28" s="51" t="str">
        <f>IF(Migrationsartikel!AD27="ja","true",FALSE)</f>
        <v>true</v>
      </c>
      <c r="AK28" s="51" t="str">
        <f>IF(Migrationsartikel!AE27="ja","true",FALSE)</f>
        <v>true</v>
      </c>
      <c r="AL28" s="51" t="str">
        <f>IF(Migrationsartikel!AF27="ja","Denner Partner","")</f>
        <v/>
      </c>
      <c r="AM28" s="51" t="str">
        <f>IF(Migrationsartikel!AG27="ja","true","false")</f>
        <v>false</v>
      </c>
      <c r="AN28" s="51" t="str">
        <f t="shared" si="1"/>
        <v>Kassentastenbelegung (ohne GTIN/PLU)</v>
      </c>
      <c r="AO28" s="63" t="s">
        <v>219</v>
      </c>
      <c r="AP28" s="62" t="s">
        <v>2455</v>
      </c>
      <c r="AQ28" s="63" t="s">
        <v>217</v>
      </c>
      <c r="AR28" s="30" t="s">
        <v>219</v>
      </c>
    </row>
    <row r="29" spans="2:44" ht="21.75" customHeight="1" x14ac:dyDescent="0.45">
      <c r="B29" s="51" t="s">
        <v>99</v>
      </c>
      <c r="E29" s="52" t="s">
        <v>87</v>
      </c>
      <c r="F29" s="51" t="str">
        <f>"Warengruppe&gt;&gt;"&amp;_xlfn.TEXTJOIN("&gt;&gt;",TRUE,Migrationsartikel!V28:X28)</f>
        <v>Warengruppe&gt;&gt;Früchte und Gemüse&gt;&gt;Früchte und Gemüse&gt;&gt;Früchte</v>
      </c>
      <c r="H29" s="52" t="s">
        <v>109</v>
      </c>
      <c r="J29" s="51" t="str">
        <f>_xlfn.TEXTJOIN(" ",TRUE,Migrationsartikel!B28,Migrationsartikel!E28)</f>
        <v>142</v>
      </c>
      <c r="L29" s="51" t="str">
        <f>_xlfn.TEXTJOIN(" ",TRUE,Migrationsartikel!F28:H28)</f>
        <v>Birnen Boscop Offen Kl. 1</v>
      </c>
      <c r="M29" s="51" t="str">
        <f>_xlfn.TEXTJOIN(" ",TRUE,Migrationsartikel!J28:L28)</f>
        <v>Poires Boscop En vrac, cl. 1</v>
      </c>
      <c r="N29" s="51" t="str">
        <f>_xlfn.TEXTJOIN(" ",TRUE,Migrationsartikel!N28:P28)</f>
        <v>Pere Boscop Cl. 1 vendita sfusa</v>
      </c>
      <c r="O29" s="51" t="str">
        <f>Migrationsartikel!F28</f>
        <v>Birnen Boscop</v>
      </c>
      <c r="P29" s="51" t="str">
        <f>Migrationsartikel!J28</f>
        <v>Poires Boscop</v>
      </c>
      <c r="Q29" s="51" t="str">
        <f>Migrationsartikel!N28</f>
        <v>Pere Boscop</v>
      </c>
      <c r="R29" s="51" t="str">
        <f>_xlfn.TEXTJOIN(" ",TRUE,Migrationsartikel!G28)</f>
        <v>Offen Kl. 1</v>
      </c>
      <c r="S29" s="51" t="str">
        <f>_xlfn.TEXTJOIN(" ",TRUE,Migrationsartikel!K28)</f>
        <v>En vrac, cl. 1</v>
      </c>
      <c r="T29" s="51" t="str">
        <f>_xlfn.TEXTJOIN(" ",TRUE,Migrationsartikel!O28)</f>
        <v>Cl. 1 vendita sfusa</v>
      </c>
      <c r="U29" s="51" t="str">
        <f>_xlfn.TEXTJOIN(" ",TRUE,Migrationsartikel!H28)</f>
        <v/>
      </c>
      <c r="V29" s="51" t="str">
        <f>_xlfn.TEXTJOIN(" ",TRUE,Migrationsartikel!L28)</f>
        <v/>
      </c>
      <c r="W29" s="51" t="str">
        <f>_xlfn.TEXTJOIN(" ",TRUE,Migrationsartikel!P28)</f>
        <v/>
      </c>
      <c r="X29" s="51" t="str">
        <f>Migrationsartikel!I28</f>
        <v>Birnen Boscop Offen Kl. 1</v>
      </c>
      <c r="Y29" s="51" t="str">
        <f>Migrationsartikel!M28</f>
        <v>Poires Boscop en vrac cl. 1</v>
      </c>
      <c r="Z29" s="51" t="str">
        <f>Migrationsartikel!Q28</f>
        <v>Pere Boscop cl.1 vend. sfusa</v>
      </c>
      <c r="AA29" s="60">
        <f>Migrationsartikel!R28</f>
        <v>1</v>
      </c>
      <c r="AB29" s="51" t="str">
        <f>Migrationsartikel!T28</f>
        <v>Kilogramm</v>
      </c>
      <c r="AC29" s="62">
        <f>Migrationsartikel!S28</f>
        <v>1</v>
      </c>
      <c r="AD29" s="51" t="str">
        <f>Migrationsartikel!U28</f>
        <v>(KGM) KG</v>
      </c>
      <c r="AE29" s="95" t="str">
        <f>Migrationsartikel!Y28</f>
        <v>3 - Reduzierter Satz</v>
      </c>
      <c r="AF29" s="64" t="str">
        <f>IF(Migrationsartikel!AA28="Kein Depotartikel","",Migrationsartikel!AA28)</f>
        <v/>
      </c>
      <c r="AG29" s="95" t="str">
        <f>Migrationsartikel!Z28</f>
        <v>Keine</v>
      </c>
      <c r="AH29" s="51" t="str">
        <f>IF(Migrationsartikel!AB28="ja","true",FALSE)</f>
        <v>true</v>
      </c>
      <c r="AI29" s="51" t="str">
        <f>IF(Migrationsartikel!AC28="ja","true",FALSE)</f>
        <v>true</v>
      </c>
      <c r="AJ29" s="51" t="str">
        <f>IF(Migrationsartikel!AD28="ja","true",FALSE)</f>
        <v>true</v>
      </c>
      <c r="AK29" s="51" t="str">
        <f>IF(Migrationsartikel!AE28="ja","true",FALSE)</f>
        <v>true</v>
      </c>
      <c r="AL29" s="51" t="str">
        <f>IF(Migrationsartikel!AF28="ja","Denner Partner","")</f>
        <v/>
      </c>
      <c r="AM29" s="51" t="str">
        <f>IF(Migrationsartikel!AG28="ja","true","false")</f>
        <v>false</v>
      </c>
      <c r="AN29" s="51" t="str">
        <f t="shared" si="1"/>
        <v>Kassentastenbelegung (ohne GTIN/PLU)</v>
      </c>
      <c r="AO29" s="63" t="s">
        <v>219</v>
      </c>
      <c r="AP29" s="62" t="s">
        <v>2456</v>
      </c>
      <c r="AQ29" s="63" t="s">
        <v>217</v>
      </c>
      <c r="AR29" s="30" t="s">
        <v>219</v>
      </c>
    </row>
    <row r="30" spans="2:44" ht="21.75" customHeight="1" x14ac:dyDescent="0.45">
      <c r="B30" s="51" t="s">
        <v>99</v>
      </c>
      <c r="E30" s="52" t="s">
        <v>87</v>
      </c>
      <c r="F30" s="51" t="str">
        <f>"Warengruppe&gt;&gt;"&amp;_xlfn.TEXTJOIN("&gt;&gt;",TRUE,Migrationsartikel!V29:X29)</f>
        <v>Warengruppe&gt;&gt;Früchte und Gemüse&gt;&gt;Früchte und Gemüse&gt;&gt;Früchte</v>
      </c>
      <c r="H30" s="52" t="s">
        <v>109</v>
      </c>
      <c r="J30" s="51" t="str">
        <f>_xlfn.TEXTJOIN(" ",TRUE,Migrationsartikel!B29,Migrationsartikel!E29)</f>
        <v>2260561000002</v>
      </c>
      <c r="L30" s="51" t="str">
        <f>_xlfn.TEXTJOIN(" ",TRUE,Migrationsartikel!F29:H29)</f>
        <v>Birnen Boscop Kl. 1 gepackt</v>
      </c>
      <c r="M30" s="51" t="str">
        <f>_xlfn.TEXTJOIN(" ",TRUE,Migrationsartikel!J29:L29)</f>
        <v>Poires Boscop Cl. 1 emballé</v>
      </c>
      <c r="N30" s="51" t="str">
        <f>_xlfn.TEXTJOIN(" ",TRUE,Migrationsartikel!N29:P29)</f>
        <v>Pere Boscop Cl. 1 confezionato</v>
      </c>
      <c r="O30" s="51" t="str">
        <f>Migrationsartikel!F29</f>
        <v>Birnen Boscop</v>
      </c>
      <c r="P30" s="51" t="str">
        <f>Migrationsartikel!J29</f>
        <v>Poires Boscop</v>
      </c>
      <c r="Q30" s="51" t="str">
        <f>Migrationsartikel!N29</f>
        <v>Pere Boscop</v>
      </c>
      <c r="R30" s="51" t="str">
        <f>_xlfn.TEXTJOIN(" ",TRUE,Migrationsartikel!G29)</f>
        <v>Kl. 1 gepackt</v>
      </c>
      <c r="S30" s="51" t="str">
        <f>_xlfn.TEXTJOIN(" ",TRUE,Migrationsartikel!K29)</f>
        <v>Cl. 1 emballé</v>
      </c>
      <c r="T30" s="51" t="str">
        <f>_xlfn.TEXTJOIN(" ",TRUE,Migrationsartikel!O29)</f>
        <v>Cl. 1 confezionato</v>
      </c>
      <c r="U30" s="51" t="str">
        <f>_xlfn.TEXTJOIN(" ",TRUE,Migrationsartikel!H29)</f>
        <v/>
      </c>
      <c r="V30" s="51" t="str">
        <f>_xlfn.TEXTJOIN(" ",TRUE,Migrationsartikel!L29)</f>
        <v/>
      </c>
      <c r="W30" s="51" t="str">
        <f>_xlfn.TEXTJOIN(" ",TRUE,Migrationsartikel!P29)</f>
        <v/>
      </c>
      <c r="X30" s="51" t="str">
        <f>Migrationsartikel!I29</f>
        <v>Birnen Boscop Kl. 1 gepackt</v>
      </c>
      <c r="Y30" s="51" t="str">
        <f>Migrationsartikel!M29</f>
        <v>Poires Boscop cl. 1 emballé</v>
      </c>
      <c r="Z30" s="51" t="str">
        <f>Migrationsartikel!Q29</f>
        <v>Pere Boscop cl. 1 confez.</v>
      </c>
      <c r="AA30" s="60">
        <f>Migrationsartikel!R29</f>
        <v>1</v>
      </c>
      <c r="AB30" s="51" t="str">
        <f>Migrationsartikel!T29</f>
        <v>Kilogramm</v>
      </c>
      <c r="AC30" s="62">
        <f>Migrationsartikel!S29</f>
        <v>1</v>
      </c>
      <c r="AD30" s="51" t="str">
        <f>Migrationsartikel!U29</f>
        <v>(PCE) Stück</v>
      </c>
      <c r="AE30" s="95" t="str">
        <f>Migrationsartikel!Y29</f>
        <v>3 - Reduzierter Satz</v>
      </c>
      <c r="AF30" s="64" t="str">
        <f>IF(Migrationsartikel!AA29="Kein Depotartikel","",Migrationsartikel!AA29)</f>
        <v/>
      </c>
      <c r="AG30" s="95" t="str">
        <f>Migrationsartikel!Z29</f>
        <v>Keine</v>
      </c>
      <c r="AH30" s="51" t="str">
        <f>IF(Migrationsartikel!AB29="ja","true",FALSE)</f>
        <v>true</v>
      </c>
      <c r="AI30" s="51" t="str">
        <f>IF(Migrationsartikel!AC29="ja","true",FALSE)</f>
        <v>true</v>
      </c>
      <c r="AJ30" s="51" t="str">
        <f>IF(Migrationsartikel!AD29="ja","true",FALSE)</f>
        <v>true</v>
      </c>
      <c r="AK30" s="51" t="str">
        <f>IF(Migrationsartikel!AE29="ja","true",FALSE)</f>
        <v>true</v>
      </c>
      <c r="AL30" s="51" t="str">
        <f>IF(Migrationsartikel!AF29="ja","Denner Partner","")</f>
        <v/>
      </c>
      <c r="AM30" s="51" t="str">
        <f>IF(Migrationsartikel!AG29="ja","true","false")</f>
        <v>false</v>
      </c>
      <c r="AN30" s="51" t="str">
        <f t="shared" si="1"/>
        <v>Kassentastenbelegung (ohne GTIN/PLU)</v>
      </c>
      <c r="AO30" s="63" t="s">
        <v>219</v>
      </c>
      <c r="AP30" s="62" t="s">
        <v>2457</v>
      </c>
      <c r="AQ30" s="63" t="s">
        <v>217</v>
      </c>
      <c r="AR30" s="30" t="s">
        <v>219</v>
      </c>
    </row>
    <row r="31" spans="2:44" ht="21.75" customHeight="1" x14ac:dyDescent="0.45">
      <c r="B31" s="51" t="s">
        <v>99</v>
      </c>
      <c r="E31" s="52" t="s">
        <v>87</v>
      </c>
      <c r="F31" s="51" t="str">
        <f>"Warengruppe&gt;&gt;"&amp;_xlfn.TEXTJOIN("&gt;&gt;",TRUE,Migrationsartikel!V30:X30)</f>
        <v>Warengruppe&gt;&gt;Früchte und Gemüse&gt;&gt;Früchte und Gemüse&gt;&gt;Früchte</v>
      </c>
      <c r="H31" s="52" t="s">
        <v>109</v>
      </c>
      <c r="J31" s="51" t="str">
        <f>_xlfn.TEXTJOIN(" ",TRUE,Migrationsartikel!B30,Migrationsartikel!E30)</f>
        <v>2287572000000</v>
      </c>
      <c r="L31" s="51" t="str">
        <f>_xlfn.TEXTJOIN(" ",TRUE,Migrationsartikel!F30:H30)</f>
        <v>Birnen Carmen Kl. 1 gepackt</v>
      </c>
      <c r="M31" s="51" t="str">
        <f>_xlfn.TEXTJOIN(" ",TRUE,Migrationsartikel!J30:L30)</f>
        <v>Poires Carmen Cl. 1 emballé</v>
      </c>
      <c r="N31" s="51" t="str">
        <f>_xlfn.TEXTJOIN(" ",TRUE,Migrationsartikel!N30:P30)</f>
        <v>Pere Carmen Cl. 1 confezionato</v>
      </c>
      <c r="O31" s="51" t="str">
        <f>Migrationsartikel!F30</f>
        <v>Birnen Carmen</v>
      </c>
      <c r="P31" s="51" t="str">
        <f>Migrationsartikel!J30</f>
        <v>Poires Carmen</v>
      </c>
      <c r="Q31" s="51" t="str">
        <f>Migrationsartikel!N30</f>
        <v>Pere Carmen</v>
      </c>
      <c r="R31" s="51" t="str">
        <f>_xlfn.TEXTJOIN(" ",TRUE,Migrationsartikel!G30)</f>
        <v>Kl. 1 gepackt</v>
      </c>
      <c r="S31" s="51" t="str">
        <f>_xlfn.TEXTJOIN(" ",TRUE,Migrationsartikel!K30)</f>
        <v>Cl. 1 emballé</v>
      </c>
      <c r="T31" s="51" t="str">
        <f>_xlfn.TEXTJOIN(" ",TRUE,Migrationsartikel!O30)</f>
        <v>Cl. 1 confezionato</v>
      </c>
      <c r="U31" s="51" t="str">
        <f>_xlfn.TEXTJOIN(" ",TRUE,Migrationsartikel!H30)</f>
        <v/>
      </c>
      <c r="V31" s="51" t="str">
        <f>_xlfn.TEXTJOIN(" ",TRUE,Migrationsartikel!L30)</f>
        <v/>
      </c>
      <c r="W31" s="51" t="str">
        <f>_xlfn.TEXTJOIN(" ",TRUE,Migrationsartikel!P30)</f>
        <v/>
      </c>
      <c r="X31" s="51" t="str">
        <f>Migrationsartikel!I30</f>
        <v>Birnen Carmen Kl. 1 gepackt</v>
      </c>
      <c r="Y31" s="51" t="str">
        <f>Migrationsartikel!M30</f>
        <v>Poires Carmen cl. 1 emballé</v>
      </c>
      <c r="Z31" s="51" t="str">
        <f>Migrationsartikel!Q30</f>
        <v>Pere Carmen cl. 1 confez.</v>
      </c>
      <c r="AA31" s="60">
        <f>Migrationsartikel!R30</f>
        <v>1</v>
      </c>
      <c r="AB31" s="51" t="str">
        <f>Migrationsartikel!T30</f>
        <v>Kilogramm</v>
      </c>
      <c r="AC31" s="62">
        <f>Migrationsartikel!S30</f>
        <v>1</v>
      </c>
      <c r="AD31" s="51" t="str">
        <f>Migrationsartikel!U30</f>
        <v>(PCE) Stück</v>
      </c>
      <c r="AE31" s="95" t="str">
        <f>Migrationsartikel!Y30</f>
        <v>3 - Reduzierter Satz</v>
      </c>
      <c r="AF31" s="64" t="str">
        <f>IF(Migrationsartikel!AA30="Kein Depotartikel","",Migrationsartikel!AA30)</f>
        <v/>
      </c>
      <c r="AG31" s="95" t="str">
        <f>Migrationsartikel!Z30</f>
        <v>Keine</v>
      </c>
      <c r="AH31" s="51" t="str">
        <f>IF(Migrationsartikel!AB30="ja","true",FALSE)</f>
        <v>true</v>
      </c>
      <c r="AI31" s="51" t="str">
        <f>IF(Migrationsartikel!AC30="ja","true",FALSE)</f>
        <v>true</v>
      </c>
      <c r="AJ31" s="51" t="str">
        <f>IF(Migrationsartikel!AD30="ja","true",FALSE)</f>
        <v>true</v>
      </c>
      <c r="AK31" s="51" t="str">
        <f>IF(Migrationsartikel!AE30="ja","true",FALSE)</f>
        <v>true</v>
      </c>
      <c r="AL31" s="51" t="str">
        <f>IF(Migrationsartikel!AF30="ja","Denner Partner","")</f>
        <v/>
      </c>
      <c r="AM31" s="51" t="str">
        <f>IF(Migrationsartikel!AG30="ja","true","false")</f>
        <v>false</v>
      </c>
      <c r="AN31" s="51" t="str">
        <f t="shared" si="1"/>
        <v>Kassentastenbelegung (ohne GTIN/PLU)</v>
      </c>
      <c r="AO31" s="63" t="s">
        <v>219</v>
      </c>
      <c r="AP31" s="62" t="s">
        <v>2458</v>
      </c>
      <c r="AQ31" s="63" t="s">
        <v>217</v>
      </c>
      <c r="AR31" s="30" t="s">
        <v>219</v>
      </c>
    </row>
    <row r="32" spans="2:44" ht="21.75" customHeight="1" x14ac:dyDescent="0.45">
      <c r="B32" s="51" t="s">
        <v>99</v>
      </c>
      <c r="E32" s="52" t="s">
        <v>87</v>
      </c>
      <c r="F32" s="51" t="str">
        <f>"Warengruppe&gt;&gt;"&amp;_xlfn.TEXTJOIN("&gt;&gt;",TRUE,Migrationsartikel!V31:X31)</f>
        <v>Warengruppe&gt;&gt;Früchte und Gemüse&gt;&gt;Früchte und Gemüse&gt;&gt;Früchte</v>
      </c>
      <c r="H32" s="52" t="s">
        <v>109</v>
      </c>
      <c r="J32" s="51" t="str">
        <f>_xlfn.TEXTJOIN(" ",TRUE,Migrationsartikel!B31,Migrationsartikel!E31)</f>
        <v>144</v>
      </c>
      <c r="L32" s="51" t="str">
        <f>_xlfn.TEXTJOIN(" ",TRUE,Migrationsartikel!F31:H31)</f>
        <v>Birnen Conférence Offen Kl. 1</v>
      </c>
      <c r="M32" s="51" t="str">
        <f>_xlfn.TEXTJOIN(" ",TRUE,Migrationsartikel!J31:L31)</f>
        <v>Poires Conférence En vrac, cl. 1</v>
      </c>
      <c r="N32" s="51" t="str">
        <f>_xlfn.TEXTJOIN(" ",TRUE,Migrationsartikel!N31:P31)</f>
        <v>Pere Conférence Cl. 1 vendita sfusa</v>
      </c>
      <c r="O32" s="51" t="str">
        <f>Migrationsartikel!F31</f>
        <v>Birnen Conférence</v>
      </c>
      <c r="P32" s="51" t="str">
        <f>Migrationsartikel!J31</f>
        <v>Poires Conférence</v>
      </c>
      <c r="Q32" s="51" t="str">
        <f>Migrationsartikel!N31</f>
        <v>Pere Conférence</v>
      </c>
      <c r="R32" s="51" t="str">
        <f>_xlfn.TEXTJOIN(" ",TRUE,Migrationsartikel!G31)</f>
        <v>Offen Kl. 1</v>
      </c>
      <c r="S32" s="51" t="str">
        <f>_xlfn.TEXTJOIN(" ",TRUE,Migrationsartikel!K31)</f>
        <v>En vrac, cl. 1</v>
      </c>
      <c r="T32" s="51" t="str">
        <f>_xlfn.TEXTJOIN(" ",TRUE,Migrationsartikel!O31)</f>
        <v>Cl. 1 vendita sfusa</v>
      </c>
      <c r="U32" s="51" t="str">
        <f>_xlfn.TEXTJOIN(" ",TRUE,Migrationsartikel!H31)</f>
        <v/>
      </c>
      <c r="V32" s="51" t="str">
        <f>_xlfn.TEXTJOIN(" ",TRUE,Migrationsartikel!L31)</f>
        <v/>
      </c>
      <c r="W32" s="51" t="str">
        <f>_xlfn.TEXTJOIN(" ",TRUE,Migrationsartikel!P31)</f>
        <v/>
      </c>
      <c r="X32" s="51" t="str">
        <f>Migrationsartikel!I31</f>
        <v>Birnen Conférence Offen Kl.1</v>
      </c>
      <c r="Y32" s="51" t="str">
        <f>Migrationsartikel!M31</f>
        <v>Poires Conférence cl.1 en vr</v>
      </c>
      <c r="Z32" s="51" t="str">
        <f>Migrationsartikel!Q31</f>
        <v>Pere Conférence cl. 1 ve. Sf</v>
      </c>
      <c r="AA32" s="60">
        <f>Migrationsartikel!R31</f>
        <v>1</v>
      </c>
      <c r="AB32" s="51" t="str">
        <f>Migrationsartikel!T31</f>
        <v>Kilogramm</v>
      </c>
      <c r="AC32" s="62">
        <f>Migrationsartikel!S31</f>
        <v>1</v>
      </c>
      <c r="AD32" s="51" t="str">
        <f>Migrationsartikel!U31</f>
        <v>(KGM) KG</v>
      </c>
      <c r="AE32" s="95" t="str">
        <f>Migrationsartikel!Y31</f>
        <v>3 - Reduzierter Satz</v>
      </c>
      <c r="AF32" s="64" t="str">
        <f>IF(Migrationsartikel!AA31="Kein Depotartikel","",Migrationsartikel!AA31)</f>
        <v/>
      </c>
      <c r="AG32" s="95" t="str">
        <f>Migrationsartikel!Z31</f>
        <v>Keine</v>
      </c>
      <c r="AH32" s="51" t="str">
        <f>IF(Migrationsartikel!AB31="ja","true",FALSE)</f>
        <v>true</v>
      </c>
      <c r="AI32" s="51" t="str">
        <f>IF(Migrationsartikel!AC31="ja","true",FALSE)</f>
        <v>true</v>
      </c>
      <c r="AJ32" s="51" t="str">
        <f>IF(Migrationsartikel!AD31="ja","true",FALSE)</f>
        <v>true</v>
      </c>
      <c r="AK32" s="51" t="str">
        <f>IF(Migrationsartikel!AE31="ja","true",FALSE)</f>
        <v>true</v>
      </c>
      <c r="AL32" s="51" t="str">
        <f>IF(Migrationsartikel!AF31="ja","Denner Partner","")</f>
        <v/>
      </c>
      <c r="AM32" s="51" t="str">
        <f>IF(Migrationsartikel!AG31="ja","true","false")</f>
        <v>false</v>
      </c>
      <c r="AN32" s="51" t="str">
        <f t="shared" si="1"/>
        <v>Kassentastenbelegung (ohne GTIN/PLU)</v>
      </c>
      <c r="AO32" s="63" t="s">
        <v>219</v>
      </c>
      <c r="AP32" s="62" t="s">
        <v>2459</v>
      </c>
      <c r="AQ32" s="63" t="s">
        <v>217</v>
      </c>
      <c r="AR32" s="30" t="s">
        <v>219</v>
      </c>
    </row>
    <row r="33" spans="2:44" ht="21.75" customHeight="1" x14ac:dyDescent="0.45">
      <c r="B33" s="51" t="s">
        <v>99</v>
      </c>
      <c r="E33" s="52" t="s">
        <v>87</v>
      </c>
      <c r="F33" s="51" t="str">
        <f>"Warengruppe&gt;&gt;"&amp;_xlfn.TEXTJOIN("&gt;&gt;",TRUE,Migrationsartikel!V32:X32)</f>
        <v>Warengruppe&gt;&gt;Früchte und Gemüse&gt;&gt;Früchte und Gemüse&gt;&gt;Früchte</v>
      </c>
      <c r="H33" s="52" t="s">
        <v>109</v>
      </c>
      <c r="J33" s="51" t="str">
        <f>_xlfn.TEXTJOIN(" ",TRUE,Migrationsartikel!B32,Migrationsartikel!E32)</f>
        <v>2216831000005</v>
      </c>
      <c r="L33" s="51" t="str">
        <f>_xlfn.TEXTJOIN(" ",TRUE,Migrationsartikel!F32:H32)</f>
        <v>Birnen Conférence Kl. 1 gepackt</v>
      </c>
      <c r="M33" s="51" t="str">
        <f>_xlfn.TEXTJOIN(" ",TRUE,Migrationsartikel!J32:L32)</f>
        <v>Poires Conférence Cl. 1 emballé</v>
      </c>
      <c r="N33" s="51" t="str">
        <f>_xlfn.TEXTJOIN(" ",TRUE,Migrationsartikel!N32:P32)</f>
        <v>Pere Conférence Cl. 1 confezionato</v>
      </c>
      <c r="O33" s="51" t="str">
        <f>Migrationsartikel!F32</f>
        <v>Birnen Conférence</v>
      </c>
      <c r="P33" s="51" t="str">
        <f>Migrationsartikel!J32</f>
        <v>Poires Conférence</v>
      </c>
      <c r="Q33" s="51" t="str">
        <f>Migrationsartikel!N32</f>
        <v>Pere Conférence</v>
      </c>
      <c r="R33" s="51" t="str">
        <f>_xlfn.TEXTJOIN(" ",TRUE,Migrationsartikel!G32)</f>
        <v>Kl. 1 gepackt</v>
      </c>
      <c r="S33" s="51" t="str">
        <f>_xlfn.TEXTJOIN(" ",TRUE,Migrationsartikel!K32)</f>
        <v>Cl. 1 emballé</v>
      </c>
      <c r="T33" s="51" t="str">
        <f>_xlfn.TEXTJOIN(" ",TRUE,Migrationsartikel!O32)</f>
        <v>Cl. 1 confezionato</v>
      </c>
      <c r="U33" s="51" t="str">
        <f>_xlfn.TEXTJOIN(" ",TRUE,Migrationsartikel!H32)</f>
        <v/>
      </c>
      <c r="V33" s="51" t="str">
        <f>_xlfn.TEXTJOIN(" ",TRUE,Migrationsartikel!L32)</f>
        <v/>
      </c>
      <c r="W33" s="51" t="str">
        <f>_xlfn.TEXTJOIN(" ",TRUE,Migrationsartikel!P32)</f>
        <v/>
      </c>
      <c r="X33" s="51" t="str">
        <f>Migrationsartikel!I32</f>
        <v>Birnen Conférence Kl. 1 gep.</v>
      </c>
      <c r="Y33" s="51" t="str">
        <f>Migrationsartikel!M32</f>
        <v>Poires Conférence cl. 1 emb.</v>
      </c>
      <c r="Z33" s="51" t="str">
        <f>Migrationsartikel!Q32</f>
        <v>Pere Conférence cl. 1 conf</v>
      </c>
      <c r="AA33" s="60">
        <f>Migrationsartikel!R32</f>
        <v>1</v>
      </c>
      <c r="AB33" s="51" t="str">
        <f>Migrationsartikel!T32</f>
        <v>Kilogramm</v>
      </c>
      <c r="AC33" s="62">
        <f>Migrationsartikel!S32</f>
        <v>1</v>
      </c>
      <c r="AD33" s="51" t="str">
        <f>Migrationsartikel!U32</f>
        <v>(PCE) Stück</v>
      </c>
      <c r="AE33" s="95" t="str">
        <f>Migrationsartikel!Y32</f>
        <v>3 - Reduzierter Satz</v>
      </c>
      <c r="AF33" s="64" t="str">
        <f>IF(Migrationsartikel!AA32="Kein Depotartikel","",Migrationsartikel!AA32)</f>
        <v/>
      </c>
      <c r="AG33" s="95" t="str">
        <f>Migrationsartikel!Z32</f>
        <v>Keine</v>
      </c>
      <c r="AH33" s="51" t="str">
        <f>IF(Migrationsartikel!AB32="ja","true",FALSE)</f>
        <v>true</v>
      </c>
      <c r="AI33" s="51" t="str">
        <f>IF(Migrationsartikel!AC32="ja","true",FALSE)</f>
        <v>true</v>
      </c>
      <c r="AJ33" s="51" t="str">
        <f>IF(Migrationsartikel!AD32="ja","true",FALSE)</f>
        <v>true</v>
      </c>
      <c r="AK33" s="51" t="str">
        <f>IF(Migrationsartikel!AE32="ja","true",FALSE)</f>
        <v>true</v>
      </c>
      <c r="AL33" s="51" t="str">
        <f>IF(Migrationsartikel!AF32="ja","Denner Partner","")</f>
        <v/>
      </c>
      <c r="AM33" s="51" t="str">
        <f>IF(Migrationsartikel!AG32="ja","true","false")</f>
        <v>false</v>
      </c>
      <c r="AN33" s="51" t="str">
        <f t="shared" si="1"/>
        <v>Kassentastenbelegung (ohne GTIN/PLU)</v>
      </c>
      <c r="AO33" s="63" t="s">
        <v>219</v>
      </c>
      <c r="AP33" s="62" t="s">
        <v>2460</v>
      </c>
      <c r="AQ33" s="63" t="s">
        <v>217</v>
      </c>
      <c r="AR33" s="30" t="s">
        <v>219</v>
      </c>
    </row>
    <row r="34" spans="2:44" ht="21.75" customHeight="1" x14ac:dyDescent="0.45">
      <c r="B34" s="51" t="s">
        <v>99</v>
      </c>
      <c r="E34" s="52" t="s">
        <v>87</v>
      </c>
      <c r="F34" s="51" t="str">
        <f>"Warengruppe&gt;&gt;"&amp;_xlfn.TEXTJOIN("&gt;&gt;",TRUE,Migrationsartikel!V33:X33)</f>
        <v>Warengruppe&gt;&gt;Früchte und Gemüse&gt;&gt;Früchte und Gemüse&gt;&gt;Früchte</v>
      </c>
      <c r="H34" s="52" t="s">
        <v>109</v>
      </c>
      <c r="J34" s="51" t="str">
        <f>_xlfn.TEXTJOIN(" ",TRUE,Migrationsartikel!B33,Migrationsartikel!E33)</f>
        <v>2216799000000</v>
      </c>
      <c r="L34" s="51" t="str">
        <f>_xlfn.TEXTJOIN(" ",TRUE,Migrationsartikel!F33:H33)</f>
        <v>Bio Birnen Conférence Kl. 1 gepackt</v>
      </c>
      <c r="M34" s="51" t="str">
        <f>_xlfn.TEXTJOIN(" ",TRUE,Migrationsartikel!J33:L33)</f>
        <v>Bio Poires Conférence Cl. 1 emballé</v>
      </c>
      <c r="N34" s="51" t="str">
        <f>_xlfn.TEXTJOIN(" ",TRUE,Migrationsartikel!N33:P33)</f>
        <v>Bio Pere Conférence Cl. 1 confezionato</v>
      </c>
      <c r="O34" s="51" t="str">
        <f>Migrationsartikel!F33</f>
        <v>Bio Birnen Conférence</v>
      </c>
      <c r="P34" s="51" t="str">
        <f>Migrationsartikel!J33</f>
        <v>Bio Poires Conférence</v>
      </c>
      <c r="Q34" s="51" t="str">
        <f>Migrationsartikel!N33</f>
        <v>Bio Pere Conférence</v>
      </c>
      <c r="R34" s="51" t="str">
        <f>_xlfn.TEXTJOIN(" ",TRUE,Migrationsartikel!G33)</f>
        <v>Kl. 1 gepackt</v>
      </c>
      <c r="S34" s="51" t="str">
        <f>_xlfn.TEXTJOIN(" ",TRUE,Migrationsartikel!K33)</f>
        <v>Cl. 1 emballé</v>
      </c>
      <c r="T34" s="51" t="str">
        <f>_xlfn.TEXTJOIN(" ",TRUE,Migrationsartikel!O33)</f>
        <v>Cl. 1 confezionato</v>
      </c>
      <c r="U34" s="51" t="str">
        <f>_xlfn.TEXTJOIN(" ",TRUE,Migrationsartikel!H33)</f>
        <v/>
      </c>
      <c r="V34" s="51" t="str">
        <f>_xlfn.TEXTJOIN(" ",TRUE,Migrationsartikel!L33)</f>
        <v/>
      </c>
      <c r="W34" s="51" t="str">
        <f>_xlfn.TEXTJOIN(" ",TRUE,Migrationsartikel!P33)</f>
        <v/>
      </c>
      <c r="X34" s="51" t="str">
        <f>Migrationsartikel!I33</f>
        <v>Bio Birnen Conf. Kl.1 gep.</v>
      </c>
      <c r="Y34" s="51" t="str">
        <f>Migrationsartikel!M33</f>
        <v>Bio Poires Confér. cl.1 emb.</v>
      </c>
      <c r="Z34" s="51" t="str">
        <f>Migrationsartikel!Q33</f>
        <v>Bio Pere Conf. cl. 1 conf.</v>
      </c>
      <c r="AA34" s="60">
        <f>Migrationsartikel!R33</f>
        <v>1</v>
      </c>
      <c r="AB34" s="51" t="str">
        <f>Migrationsartikel!T33</f>
        <v>Kilogramm</v>
      </c>
      <c r="AC34" s="62">
        <f>Migrationsartikel!S33</f>
        <v>1</v>
      </c>
      <c r="AD34" s="51" t="str">
        <f>Migrationsartikel!U33</f>
        <v>(PCE) Stück</v>
      </c>
      <c r="AE34" s="95" t="str">
        <f>Migrationsartikel!Y33</f>
        <v>3 - Reduzierter Satz</v>
      </c>
      <c r="AF34" s="64" t="str">
        <f>IF(Migrationsartikel!AA33="Kein Depotartikel","",Migrationsartikel!AA33)</f>
        <v/>
      </c>
      <c r="AG34" s="95" t="str">
        <f>Migrationsartikel!Z33</f>
        <v>Keine</v>
      </c>
      <c r="AH34" s="51" t="str">
        <f>IF(Migrationsartikel!AB33="ja","true",FALSE)</f>
        <v>true</v>
      </c>
      <c r="AI34" s="51" t="str">
        <f>IF(Migrationsartikel!AC33="ja","true",FALSE)</f>
        <v>true</v>
      </c>
      <c r="AJ34" s="51" t="str">
        <f>IF(Migrationsartikel!AD33="ja","true",FALSE)</f>
        <v>true</v>
      </c>
      <c r="AK34" s="51" t="str">
        <f>IF(Migrationsartikel!AE33="ja","true",FALSE)</f>
        <v>true</v>
      </c>
      <c r="AL34" s="51" t="str">
        <f>IF(Migrationsartikel!AF33="ja","Denner Partner","")</f>
        <v/>
      </c>
      <c r="AM34" s="51" t="str">
        <f>IF(Migrationsartikel!AG33="ja","true","false")</f>
        <v>false</v>
      </c>
      <c r="AN34" s="51" t="str">
        <f t="shared" si="1"/>
        <v>Kassentastenbelegung (ohne GTIN/PLU)</v>
      </c>
      <c r="AO34" s="63" t="s">
        <v>219</v>
      </c>
      <c r="AP34" s="62" t="s">
        <v>2461</v>
      </c>
      <c r="AQ34" s="63" t="s">
        <v>217</v>
      </c>
      <c r="AR34" s="30" t="s">
        <v>219</v>
      </c>
    </row>
    <row r="35" spans="2:44" ht="21.75" customHeight="1" x14ac:dyDescent="0.45">
      <c r="B35" s="51" t="s">
        <v>99</v>
      </c>
      <c r="E35" s="52" t="s">
        <v>87</v>
      </c>
      <c r="F35" s="51" t="str">
        <f>"Warengruppe&gt;&gt;"&amp;_xlfn.TEXTJOIN("&gt;&gt;",TRUE,Migrationsartikel!V34:X34)</f>
        <v>Warengruppe&gt;&gt;Früchte und Gemüse&gt;&gt;Früchte und Gemüse&gt;&gt;Früchte</v>
      </c>
      <c r="H35" s="52" t="s">
        <v>109</v>
      </c>
      <c r="J35" s="51" t="str">
        <f>_xlfn.TEXTJOIN(" ",TRUE,Migrationsartikel!B34,Migrationsartikel!E34)</f>
        <v>146</v>
      </c>
      <c r="L35" s="51" t="str">
        <f>_xlfn.TEXTJOIN(" ",TRUE,Migrationsartikel!F34:H34)</f>
        <v>Birnen Forellen Offen Kl. 1</v>
      </c>
      <c r="M35" s="51" t="str">
        <f>_xlfn.TEXTJOIN(" ",TRUE,Migrationsartikel!J34:L34)</f>
        <v>Poires Forelle En vrac, cl. 1</v>
      </c>
      <c r="N35" s="51" t="str">
        <f>_xlfn.TEXTJOIN(" ",TRUE,Migrationsartikel!N34:P34)</f>
        <v>Pere Forelle Cl. 1 vendita sfusa</v>
      </c>
      <c r="O35" s="51" t="str">
        <f>Migrationsartikel!F34</f>
        <v>Birnen Forellen</v>
      </c>
      <c r="P35" s="51" t="str">
        <f>Migrationsartikel!J34</f>
        <v>Poires Forelle</v>
      </c>
      <c r="Q35" s="51" t="str">
        <f>Migrationsartikel!N34</f>
        <v>Pere Forelle</v>
      </c>
      <c r="R35" s="51" t="str">
        <f>_xlfn.TEXTJOIN(" ",TRUE,Migrationsartikel!G34)</f>
        <v>Offen Kl. 1</v>
      </c>
      <c r="S35" s="51" t="str">
        <f>_xlfn.TEXTJOIN(" ",TRUE,Migrationsartikel!K34)</f>
        <v>En vrac, cl. 1</v>
      </c>
      <c r="T35" s="51" t="str">
        <f>_xlfn.TEXTJOIN(" ",TRUE,Migrationsartikel!O34)</f>
        <v>Cl. 1 vendita sfusa</v>
      </c>
      <c r="U35" s="51" t="str">
        <f>_xlfn.TEXTJOIN(" ",TRUE,Migrationsartikel!H34)</f>
        <v/>
      </c>
      <c r="V35" s="51" t="str">
        <f>_xlfn.TEXTJOIN(" ",TRUE,Migrationsartikel!L34)</f>
        <v/>
      </c>
      <c r="W35" s="51" t="str">
        <f>_xlfn.TEXTJOIN(" ",TRUE,Migrationsartikel!P34)</f>
        <v/>
      </c>
      <c r="X35" s="51" t="str">
        <f>Migrationsartikel!I34</f>
        <v>Birnen Forellen Offen Kl. 1</v>
      </c>
      <c r="Y35" s="51" t="str">
        <f>Migrationsartikel!M34</f>
        <v>Poires Forelle cl. 1 en vrac</v>
      </c>
      <c r="Z35" s="51" t="str">
        <f>Migrationsartikel!Q34</f>
        <v>Pere Forelle cl. 1 vend. Sf.</v>
      </c>
      <c r="AA35" s="60">
        <f>Migrationsartikel!R34</f>
        <v>1</v>
      </c>
      <c r="AB35" s="51" t="str">
        <f>Migrationsartikel!T34</f>
        <v>Kilogramm</v>
      </c>
      <c r="AC35" s="62">
        <f>Migrationsartikel!S34</f>
        <v>1</v>
      </c>
      <c r="AD35" s="51" t="str">
        <f>Migrationsartikel!U34</f>
        <v>(KGM) KG</v>
      </c>
      <c r="AE35" s="95" t="str">
        <f>Migrationsartikel!Y34</f>
        <v>3 - Reduzierter Satz</v>
      </c>
      <c r="AF35" s="64" t="str">
        <f>IF(Migrationsartikel!AA34="Kein Depotartikel","",Migrationsartikel!AA34)</f>
        <v/>
      </c>
      <c r="AG35" s="95" t="str">
        <f>Migrationsartikel!Z34</f>
        <v>Keine</v>
      </c>
      <c r="AH35" s="51" t="str">
        <f>IF(Migrationsartikel!AB34="ja","true",FALSE)</f>
        <v>true</v>
      </c>
      <c r="AI35" s="51" t="str">
        <f>IF(Migrationsartikel!AC34="ja","true",FALSE)</f>
        <v>true</v>
      </c>
      <c r="AJ35" s="51" t="str">
        <f>IF(Migrationsartikel!AD34="ja","true",FALSE)</f>
        <v>true</v>
      </c>
      <c r="AK35" s="51" t="str">
        <f>IF(Migrationsartikel!AE34="ja","true",FALSE)</f>
        <v>true</v>
      </c>
      <c r="AL35" s="51" t="str">
        <f>IF(Migrationsartikel!AF34="ja","Denner Partner","")</f>
        <v/>
      </c>
      <c r="AM35" s="51" t="str">
        <f>IF(Migrationsartikel!AG34="ja","true","false")</f>
        <v>false</v>
      </c>
      <c r="AN35" s="51" t="str">
        <f t="shared" si="1"/>
        <v>Kassentastenbelegung (ohne GTIN/PLU)</v>
      </c>
      <c r="AO35" s="63" t="s">
        <v>219</v>
      </c>
      <c r="AP35" s="62" t="s">
        <v>2462</v>
      </c>
      <c r="AQ35" s="63" t="s">
        <v>217</v>
      </c>
      <c r="AR35" s="30" t="s">
        <v>219</v>
      </c>
    </row>
    <row r="36" spans="2:44" ht="21.75" customHeight="1" x14ac:dyDescent="0.45">
      <c r="B36" s="51" t="s">
        <v>99</v>
      </c>
      <c r="E36" s="52" t="s">
        <v>87</v>
      </c>
      <c r="F36" s="51" t="str">
        <f>"Warengruppe&gt;&gt;"&amp;_xlfn.TEXTJOIN("&gt;&gt;",TRUE,Migrationsartikel!V35:X35)</f>
        <v>Warengruppe&gt;&gt;Früchte und Gemüse&gt;&gt;Früchte und Gemüse&gt;&gt;Früchte</v>
      </c>
      <c r="H36" s="52" t="s">
        <v>109</v>
      </c>
      <c r="J36" s="51" t="str">
        <f>_xlfn.TEXTJOIN(" ",TRUE,Migrationsartikel!B35,Migrationsartikel!E35)</f>
        <v>2201108000000</v>
      </c>
      <c r="L36" s="51" t="str">
        <f>_xlfn.TEXTJOIN(" ",TRUE,Migrationsartikel!F35:H35)</f>
        <v>Birnen Forellen Kl. 1 gepackt</v>
      </c>
      <c r="M36" s="51" t="str">
        <f>_xlfn.TEXTJOIN(" ",TRUE,Migrationsartikel!J35:L35)</f>
        <v>Poires Forelle Cl. 1 emballé</v>
      </c>
      <c r="N36" s="51" t="str">
        <f>_xlfn.TEXTJOIN(" ",TRUE,Migrationsartikel!N35:P35)</f>
        <v>Pere Forelle Cl. 1 confezionato</v>
      </c>
      <c r="O36" s="51" t="str">
        <f>Migrationsartikel!F35</f>
        <v>Birnen Forellen</v>
      </c>
      <c r="P36" s="51" t="str">
        <f>Migrationsartikel!J35</f>
        <v>Poires Forelle</v>
      </c>
      <c r="Q36" s="51" t="str">
        <f>Migrationsartikel!N35</f>
        <v>Pere Forelle</v>
      </c>
      <c r="R36" s="51" t="str">
        <f>_xlfn.TEXTJOIN(" ",TRUE,Migrationsartikel!G35)</f>
        <v>Kl. 1 gepackt</v>
      </c>
      <c r="S36" s="51" t="str">
        <f>_xlfn.TEXTJOIN(" ",TRUE,Migrationsartikel!K35)</f>
        <v>Cl. 1 emballé</v>
      </c>
      <c r="T36" s="51" t="str">
        <f>_xlfn.TEXTJOIN(" ",TRUE,Migrationsartikel!O35)</f>
        <v>Cl. 1 confezionato</v>
      </c>
      <c r="U36" s="51" t="str">
        <f>_xlfn.TEXTJOIN(" ",TRUE,Migrationsartikel!H35)</f>
        <v/>
      </c>
      <c r="V36" s="51" t="str">
        <f>_xlfn.TEXTJOIN(" ",TRUE,Migrationsartikel!L35)</f>
        <v/>
      </c>
      <c r="W36" s="51" t="str">
        <f>_xlfn.TEXTJOIN(" ",TRUE,Migrationsartikel!P35)</f>
        <v/>
      </c>
      <c r="X36" s="51" t="str">
        <f>Migrationsartikel!I35</f>
        <v>Birnen Forellen Kl.1 gepackt</v>
      </c>
      <c r="Y36" s="51" t="str">
        <f>Migrationsartikel!M35</f>
        <v>Poires Forelle cl. 1 emballé</v>
      </c>
      <c r="Z36" s="51" t="str">
        <f>Migrationsartikel!Q35</f>
        <v>Pere Forelle cl. 1 confez.</v>
      </c>
      <c r="AA36" s="60">
        <f>Migrationsartikel!R35</f>
        <v>1</v>
      </c>
      <c r="AB36" s="51" t="str">
        <f>Migrationsartikel!T35</f>
        <v>Kilogramm</v>
      </c>
      <c r="AC36" s="62">
        <f>Migrationsartikel!S35</f>
        <v>1</v>
      </c>
      <c r="AD36" s="51" t="str">
        <f>Migrationsartikel!U35</f>
        <v>(PCE) Stück</v>
      </c>
      <c r="AE36" s="95" t="str">
        <f>Migrationsartikel!Y35</f>
        <v>3 - Reduzierter Satz</v>
      </c>
      <c r="AF36" s="64" t="str">
        <f>IF(Migrationsartikel!AA35="Kein Depotartikel","",Migrationsartikel!AA35)</f>
        <v/>
      </c>
      <c r="AG36" s="95" t="str">
        <f>Migrationsartikel!Z35</f>
        <v>Keine</v>
      </c>
      <c r="AH36" s="51" t="str">
        <f>IF(Migrationsartikel!AB35="ja","true",FALSE)</f>
        <v>true</v>
      </c>
      <c r="AI36" s="51" t="str">
        <f>IF(Migrationsartikel!AC35="ja","true",FALSE)</f>
        <v>true</v>
      </c>
      <c r="AJ36" s="51" t="str">
        <f>IF(Migrationsartikel!AD35="ja","true",FALSE)</f>
        <v>true</v>
      </c>
      <c r="AK36" s="51" t="str">
        <f>IF(Migrationsartikel!AE35="ja","true",FALSE)</f>
        <v>true</v>
      </c>
      <c r="AL36" s="51" t="str">
        <f>IF(Migrationsartikel!AF35="ja","Denner Partner","")</f>
        <v/>
      </c>
      <c r="AM36" s="51" t="str">
        <f>IF(Migrationsartikel!AG35="ja","true","false")</f>
        <v>false</v>
      </c>
      <c r="AN36" s="51" t="str">
        <f t="shared" si="1"/>
        <v>Kassentastenbelegung (ohne GTIN/PLU)</v>
      </c>
      <c r="AO36" s="63" t="s">
        <v>219</v>
      </c>
      <c r="AP36" s="62" t="s">
        <v>2463</v>
      </c>
      <c r="AQ36" s="63" t="s">
        <v>217</v>
      </c>
      <c r="AR36" s="30" t="s">
        <v>219</v>
      </c>
    </row>
    <row r="37" spans="2:44" ht="21.75" customHeight="1" x14ac:dyDescent="0.45">
      <c r="B37" s="51" t="s">
        <v>99</v>
      </c>
      <c r="E37" s="52" t="s">
        <v>87</v>
      </c>
      <c r="F37" s="51" t="str">
        <f>"Warengruppe&gt;&gt;"&amp;_xlfn.TEXTJOIN("&gt;&gt;",TRUE,Migrationsartikel!V36:X36)</f>
        <v>Warengruppe&gt;&gt;Früchte und Gemüse&gt;&gt;Früchte und Gemüse&gt;&gt;Früchte</v>
      </c>
      <c r="H37" s="52" t="s">
        <v>109</v>
      </c>
      <c r="J37" s="51" t="str">
        <f>_xlfn.TEXTJOIN(" ",TRUE,Migrationsartikel!B36,Migrationsartikel!E36)</f>
        <v>147</v>
      </c>
      <c r="L37" s="51" t="str">
        <f>_xlfn.TEXTJOIN(" ",TRUE,Migrationsartikel!F36:H36)</f>
        <v>Birnen Fred Offen Kl. 1</v>
      </c>
      <c r="M37" s="51" t="str">
        <f>_xlfn.TEXTJOIN(" ",TRUE,Migrationsartikel!J36:L36)</f>
        <v>Poires Fred En vrac, cl. 1</v>
      </c>
      <c r="N37" s="51" t="str">
        <f>_xlfn.TEXTJOIN(" ",TRUE,Migrationsartikel!N36:P36)</f>
        <v>Pere Fred Cl. 1 vendita sfusa</v>
      </c>
      <c r="O37" s="51" t="str">
        <f>Migrationsartikel!F36</f>
        <v>Birnen Fred</v>
      </c>
      <c r="P37" s="51" t="str">
        <f>Migrationsartikel!J36</f>
        <v>Poires Fred</v>
      </c>
      <c r="Q37" s="51" t="str">
        <f>Migrationsartikel!N36</f>
        <v>Pere Fred</v>
      </c>
      <c r="R37" s="51" t="str">
        <f>_xlfn.TEXTJOIN(" ",TRUE,Migrationsartikel!G36)</f>
        <v>Offen Kl. 1</v>
      </c>
      <c r="S37" s="51" t="str">
        <f>_xlfn.TEXTJOIN(" ",TRUE,Migrationsartikel!K36)</f>
        <v>En vrac, cl. 1</v>
      </c>
      <c r="T37" s="51" t="str">
        <f>_xlfn.TEXTJOIN(" ",TRUE,Migrationsartikel!O36)</f>
        <v>Cl. 1 vendita sfusa</v>
      </c>
      <c r="U37" s="51" t="str">
        <f>_xlfn.TEXTJOIN(" ",TRUE,Migrationsartikel!H36)</f>
        <v/>
      </c>
      <c r="V37" s="51" t="str">
        <f>_xlfn.TEXTJOIN(" ",TRUE,Migrationsartikel!L36)</f>
        <v/>
      </c>
      <c r="W37" s="51" t="str">
        <f>_xlfn.TEXTJOIN(" ",TRUE,Migrationsartikel!P36)</f>
        <v/>
      </c>
      <c r="X37" s="51" t="str">
        <f>Migrationsartikel!I36</f>
        <v>Birnen Fred Offen Kl. 1</v>
      </c>
      <c r="Y37" s="51" t="str">
        <f>Migrationsartikel!M36</f>
        <v>Poires Fred cl. 1 en vrac</v>
      </c>
      <c r="Z37" s="51" t="str">
        <f>Migrationsartikel!Q36</f>
        <v>Pere Fred cl. 1 vend sfusa</v>
      </c>
      <c r="AA37" s="60">
        <f>Migrationsartikel!R36</f>
        <v>1</v>
      </c>
      <c r="AB37" s="51" t="str">
        <f>Migrationsartikel!T36</f>
        <v>Kilogramm</v>
      </c>
      <c r="AC37" s="62">
        <f>Migrationsartikel!S36</f>
        <v>1</v>
      </c>
      <c r="AD37" s="51" t="str">
        <f>Migrationsartikel!U36</f>
        <v>(KGM) KG</v>
      </c>
      <c r="AE37" s="95" t="str">
        <f>Migrationsartikel!Y36</f>
        <v>3 - Reduzierter Satz</v>
      </c>
      <c r="AF37" s="64" t="str">
        <f>IF(Migrationsartikel!AA36="Kein Depotartikel","",Migrationsartikel!AA36)</f>
        <v/>
      </c>
      <c r="AG37" s="95" t="str">
        <f>Migrationsartikel!Z36</f>
        <v>Keine</v>
      </c>
      <c r="AH37" s="51" t="str">
        <f>IF(Migrationsartikel!AB36="ja","true",FALSE)</f>
        <v>true</v>
      </c>
      <c r="AI37" s="51" t="str">
        <f>IF(Migrationsartikel!AC36="ja","true",FALSE)</f>
        <v>true</v>
      </c>
      <c r="AJ37" s="51" t="str">
        <f>IF(Migrationsartikel!AD36="ja","true",FALSE)</f>
        <v>true</v>
      </c>
      <c r="AK37" s="51" t="str">
        <f>IF(Migrationsartikel!AE36="ja","true",FALSE)</f>
        <v>true</v>
      </c>
      <c r="AL37" s="51" t="str">
        <f>IF(Migrationsartikel!AF36="ja","Denner Partner","")</f>
        <v/>
      </c>
      <c r="AM37" s="51" t="str">
        <f>IF(Migrationsartikel!AG36="ja","true","false")</f>
        <v>false</v>
      </c>
      <c r="AN37" s="51" t="str">
        <f t="shared" si="1"/>
        <v>Kassentastenbelegung (ohne GTIN/PLU)</v>
      </c>
      <c r="AO37" s="63" t="s">
        <v>219</v>
      </c>
      <c r="AP37" s="62" t="s">
        <v>2464</v>
      </c>
      <c r="AQ37" s="63" t="s">
        <v>217</v>
      </c>
      <c r="AR37" s="30" t="s">
        <v>219</v>
      </c>
    </row>
    <row r="38" spans="2:44" ht="21.75" customHeight="1" x14ac:dyDescent="0.45">
      <c r="B38" s="51" t="s">
        <v>99</v>
      </c>
      <c r="E38" s="52" t="s">
        <v>87</v>
      </c>
      <c r="F38" s="51" t="str">
        <f>"Warengruppe&gt;&gt;"&amp;_xlfn.TEXTJOIN("&gt;&gt;",TRUE,Migrationsartikel!V37:X37)</f>
        <v>Warengruppe&gt;&gt;Früchte und Gemüse&gt;&gt;Früchte und Gemüse&gt;&gt;Früchte</v>
      </c>
      <c r="H38" s="52" t="s">
        <v>109</v>
      </c>
      <c r="J38" s="51" t="str">
        <f>_xlfn.TEXTJOIN(" ",TRUE,Migrationsartikel!B37,Migrationsartikel!E37)</f>
        <v>2205556000000</v>
      </c>
      <c r="L38" s="51" t="str">
        <f>_xlfn.TEXTJOIN(" ",TRUE,Migrationsartikel!F37:H37)</f>
        <v>Birnen Fred Kl. 1 gepackt</v>
      </c>
      <c r="M38" s="51" t="str">
        <f>_xlfn.TEXTJOIN(" ",TRUE,Migrationsartikel!J37:L37)</f>
        <v>Poires Fred Cl. 1 emballé</v>
      </c>
      <c r="N38" s="51" t="str">
        <f>_xlfn.TEXTJOIN(" ",TRUE,Migrationsartikel!N37:P37)</f>
        <v>Pere Fred Cl. 1 confezionato</v>
      </c>
      <c r="O38" s="51" t="str">
        <f>Migrationsartikel!F37</f>
        <v>Birnen Fred</v>
      </c>
      <c r="P38" s="51" t="str">
        <f>Migrationsartikel!J37</f>
        <v>Poires Fred</v>
      </c>
      <c r="Q38" s="51" t="str">
        <f>Migrationsartikel!N37</f>
        <v>Pere Fred</v>
      </c>
      <c r="R38" s="51" t="str">
        <f>_xlfn.TEXTJOIN(" ",TRUE,Migrationsartikel!G37)</f>
        <v>Kl. 1 gepackt</v>
      </c>
      <c r="S38" s="51" t="str">
        <f>_xlfn.TEXTJOIN(" ",TRUE,Migrationsartikel!K37)</f>
        <v>Cl. 1 emballé</v>
      </c>
      <c r="T38" s="51" t="str">
        <f>_xlfn.TEXTJOIN(" ",TRUE,Migrationsartikel!O37)</f>
        <v>Cl. 1 confezionato</v>
      </c>
      <c r="U38" s="51" t="str">
        <f>_xlfn.TEXTJOIN(" ",TRUE,Migrationsartikel!H37)</f>
        <v/>
      </c>
      <c r="V38" s="51" t="str">
        <f>_xlfn.TEXTJOIN(" ",TRUE,Migrationsartikel!L37)</f>
        <v/>
      </c>
      <c r="W38" s="51" t="str">
        <f>_xlfn.TEXTJOIN(" ",TRUE,Migrationsartikel!P37)</f>
        <v/>
      </c>
      <c r="X38" s="51" t="str">
        <f>Migrationsartikel!I37</f>
        <v>Birnen Fred Kl. 1 gepackt</v>
      </c>
      <c r="Y38" s="51" t="str">
        <f>Migrationsartikel!M37</f>
        <v>Poires Fred cl. 1 emballé</v>
      </c>
      <c r="Z38" s="51" t="str">
        <f>Migrationsartikel!Q37</f>
        <v>Pere Fred cl. 1 confez.</v>
      </c>
      <c r="AA38" s="60">
        <f>Migrationsartikel!R37</f>
        <v>1</v>
      </c>
      <c r="AB38" s="51" t="str">
        <f>Migrationsartikel!T37</f>
        <v>Kilogramm</v>
      </c>
      <c r="AC38" s="62">
        <f>Migrationsartikel!S37</f>
        <v>1</v>
      </c>
      <c r="AD38" s="51" t="str">
        <f>Migrationsartikel!U37</f>
        <v>(PCE) Stück</v>
      </c>
      <c r="AE38" s="95" t="str">
        <f>Migrationsartikel!Y37</f>
        <v>3 - Reduzierter Satz</v>
      </c>
      <c r="AF38" s="64" t="str">
        <f>IF(Migrationsartikel!AA37="Kein Depotartikel","",Migrationsartikel!AA37)</f>
        <v/>
      </c>
      <c r="AG38" s="95" t="str">
        <f>Migrationsartikel!Z37</f>
        <v>Keine</v>
      </c>
      <c r="AH38" s="51" t="str">
        <f>IF(Migrationsartikel!AB37="ja","true",FALSE)</f>
        <v>true</v>
      </c>
      <c r="AI38" s="51" t="str">
        <f>IF(Migrationsartikel!AC37="ja","true",FALSE)</f>
        <v>true</v>
      </c>
      <c r="AJ38" s="51" t="str">
        <f>IF(Migrationsartikel!AD37="ja","true",FALSE)</f>
        <v>true</v>
      </c>
      <c r="AK38" s="51" t="str">
        <f>IF(Migrationsartikel!AE37="ja","true",FALSE)</f>
        <v>true</v>
      </c>
      <c r="AL38" s="51" t="str">
        <f>IF(Migrationsartikel!AF37="ja","Denner Partner","")</f>
        <v/>
      </c>
      <c r="AM38" s="51" t="str">
        <f>IF(Migrationsartikel!AG37="ja","true","false")</f>
        <v>false</v>
      </c>
      <c r="AN38" s="51" t="str">
        <f t="shared" si="1"/>
        <v>Kassentastenbelegung (ohne GTIN/PLU)</v>
      </c>
      <c r="AO38" s="63" t="s">
        <v>219</v>
      </c>
      <c r="AP38" s="62" t="s">
        <v>2465</v>
      </c>
      <c r="AQ38" s="63" t="s">
        <v>217</v>
      </c>
      <c r="AR38" s="30" t="s">
        <v>219</v>
      </c>
    </row>
    <row r="39" spans="2:44" ht="21.75" customHeight="1" x14ac:dyDescent="0.45">
      <c r="B39" s="51" t="s">
        <v>99</v>
      </c>
      <c r="E39" s="52" t="s">
        <v>87</v>
      </c>
      <c r="F39" s="51" t="str">
        <f>"Warengruppe&gt;&gt;"&amp;_xlfn.TEXTJOIN("&gt;&gt;",TRUE,Migrationsartikel!V38:X38)</f>
        <v>Warengruppe&gt;&gt;Früchte und Gemüse&gt;&gt;Früchte und Gemüse&gt;&gt;Früchte</v>
      </c>
      <c r="H39" s="52" t="s">
        <v>109</v>
      </c>
      <c r="J39" s="51" t="str">
        <f>_xlfn.TEXTJOIN(" ",TRUE,Migrationsartikel!B38,Migrationsartikel!E38)</f>
        <v>148</v>
      </c>
      <c r="L39" s="51" t="str">
        <f>_xlfn.TEXTJOIN(" ",TRUE,Migrationsartikel!F38:H38)</f>
        <v>Birnen Gute Louise Offen Kl. 1</v>
      </c>
      <c r="M39" s="51" t="str">
        <f>_xlfn.TEXTJOIN(" ",TRUE,Migrationsartikel!J38:L38)</f>
        <v>Poires Bonne Louise En vrac, cl. 1</v>
      </c>
      <c r="N39" s="51" t="str">
        <f>_xlfn.TEXTJOIN(" ",TRUE,Migrationsartikel!N38:P38)</f>
        <v>Pere Gute Luise Cl. 1 vendita sfusa</v>
      </c>
      <c r="O39" s="51" t="str">
        <f>Migrationsartikel!F38</f>
        <v>Birnen Gute Louise</v>
      </c>
      <c r="P39" s="51" t="str">
        <f>Migrationsartikel!J38</f>
        <v>Poires Bonne Louise</v>
      </c>
      <c r="Q39" s="51" t="str">
        <f>Migrationsartikel!N38</f>
        <v>Pere Gute Luise</v>
      </c>
      <c r="R39" s="51" t="str">
        <f>_xlfn.TEXTJOIN(" ",TRUE,Migrationsartikel!G38)</f>
        <v>Offen Kl. 1</v>
      </c>
      <c r="S39" s="51" t="str">
        <f>_xlfn.TEXTJOIN(" ",TRUE,Migrationsartikel!K38)</f>
        <v>En vrac, cl. 1</v>
      </c>
      <c r="T39" s="51" t="str">
        <f>_xlfn.TEXTJOIN(" ",TRUE,Migrationsartikel!O38)</f>
        <v>Cl. 1 vendita sfusa</v>
      </c>
      <c r="U39" s="51" t="str">
        <f>_xlfn.TEXTJOIN(" ",TRUE,Migrationsartikel!H38)</f>
        <v/>
      </c>
      <c r="V39" s="51" t="str">
        <f>_xlfn.TEXTJOIN(" ",TRUE,Migrationsartikel!L38)</f>
        <v/>
      </c>
      <c r="W39" s="51" t="str">
        <f>_xlfn.TEXTJOIN(" ",TRUE,Migrationsartikel!P38)</f>
        <v/>
      </c>
      <c r="X39" s="51" t="str">
        <f>Migrationsartikel!I38</f>
        <v>Birnen Gute Louise Off. Kl.1</v>
      </c>
      <c r="Y39" s="51" t="str">
        <f>Migrationsartikel!M38</f>
        <v>Poires Bonn. Lou. cl.1 en v.</v>
      </c>
      <c r="Z39" s="51" t="str">
        <f>Migrationsartikel!Q38</f>
        <v>Pere Gute Luise cl. 1 v. sf.</v>
      </c>
      <c r="AA39" s="60">
        <f>Migrationsartikel!R38</f>
        <v>1</v>
      </c>
      <c r="AB39" s="51" t="str">
        <f>Migrationsartikel!T38</f>
        <v>Kilogramm</v>
      </c>
      <c r="AC39" s="62">
        <f>Migrationsartikel!S38</f>
        <v>1</v>
      </c>
      <c r="AD39" s="51" t="str">
        <f>Migrationsartikel!U38</f>
        <v>(KGM) KG</v>
      </c>
      <c r="AE39" s="95" t="str">
        <f>Migrationsartikel!Y38</f>
        <v>3 - Reduzierter Satz</v>
      </c>
      <c r="AF39" s="64" t="str">
        <f>IF(Migrationsartikel!AA38="Kein Depotartikel","",Migrationsartikel!AA38)</f>
        <v/>
      </c>
      <c r="AG39" s="95" t="str">
        <f>Migrationsartikel!Z38</f>
        <v>Keine</v>
      </c>
      <c r="AH39" s="51" t="str">
        <f>IF(Migrationsartikel!AB38="ja","true",FALSE)</f>
        <v>true</v>
      </c>
      <c r="AI39" s="51" t="str">
        <f>IF(Migrationsartikel!AC38="ja","true",FALSE)</f>
        <v>true</v>
      </c>
      <c r="AJ39" s="51" t="str">
        <f>IF(Migrationsartikel!AD38="ja","true",FALSE)</f>
        <v>true</v>
      </c>
      <c r="AK39" s="51" t="str">
        <f>IF(Migrationsartikel!AE38="ja","true",FALSE)</f>
        <v>true</v>
      </c>
      <c r="AL39" s="51" t="str">
        <f>IF(Migrationsartikel!AF38="ja","Denner Partner","")</f>
        <v/>
      </c>
      <c r="AM39" s="51" t="str">
        <f>IF(Migrationsartikel!AG38="ja","true","false")</f>
        <v>false</v>
      </c>
      <c r="AN39" s="51" t="str">
        <f t="shared" si="1"/>
        <v>Kassentastenbelegung (ohne GTIN/PLU)</v>
      </c>
      <c r="AO39" s="63" t="s">
        <v>219</v>
      </c>
      <c r="AP39" s="62" t="s">
        <v>2466</v>
      </c>
      <c r="AQ39" s="63" t="s">
        <v>217</v>
      </c>
      <c r="AR39" s="30" t="s">
        <v>219</v>
      </c>
    </row>
    <row r="40" spans="2:44" ht="21.75" customHeight="1" x14ac:dyDescent="0.45">
      <c r="B40" s="51" t="s">
        <v>99</v>
      </c>
      <c r="E40" s="52" t="s">
        <v>87</v>
      </c>
      <c r="F40" s="51" t="str">
        <f>"Warengruppe&gt;&gt;"&amp;_xlfn.TEXTJOIN("&gt;&gt;",TRUE,Migrationsartikel!V39:X39)</f>
        <v>Warengruppe&gt;&gt;Früchte und Gemüse&gt;&gt;Früchte und Gemüse&gt;&gt;Früchte</v>
      </c>
      <c r="H40" s="52" t="s">
        <v>109</v>
      </c>
      <c r="J40" s="51" t="str">
        <f>_xlfn.TEXTJOIN(" ",TRUE,Migrationsartikel!B39,Migrationsartikel!E39)</f>
        <v>2216791000008</v>
      </c>
      <c r="L40" s="51" t="str">
        <f>_xlfn.TEXTJOIN(" ",TRUE,Migrationsartikel!F39:H39)</f>
        <v>Birnen Gute Louise Kl. 1 gepackt</v>
      </c>
      <c r="M40" s="51" t="str">
        <f>_xlfn.TEXTJOIN(" ",TRUE,Migrationsartikel!J39:L39)</f>
        <v>Poires Bonne Louise Cl. 1 emballé</v>
      </c>
      <c r="N40" s="51" t="str">
        <f>_xlfn.TEXTJOIN(" ",TRUE,Migrationsartikel!N39:P39)</f>
        <v>Pere Gute Luise Cl. 1 confezionato</v>
      </c>
      <c r="O40" s="51" t="str">
        <f>Migrationsartikel!F39</f>
        <v>Birnen Gute Louise</v>
      </c>
      <c r="P40" s="51" t="str">
        <f>Migrationsartikel!J39</f>
        <v>Poires Bonne Louise</v>
      </c>
      <c r="Q40" s="51" t="str">
        <f>Migrationsartikel!N39</f>
        <v>Pere Gute Luise</v>
      </c>
      <c r="R40" s="51" t="str">
        <f>_xlfn.TEXTJOIN(" ",TRUE,Migrationsartikel!G39)</f>
        <v>Kl. 1 gepackt</v>
      </c>
      <c r="S40" s="51" t="str">
        <f>_xlfn.TEXTJOIN(" ",TRUE,Migrationsartikel!K39)</f>
        <v>Cl. 1 emballé</v>
      </c>
      <c r="T40" s="51" t="str">
        <f>_xlfn.TEXTJOIN(" ",TRUE,Migrationsartikel!O39)</f>
        <v>Cl. 1 confezionato</v>
      </c>
      <c r="U40" s="51" t="str">
        <f>_xlfn.TEXTJOIN(" ",TRUE,Migrationsartikel!H39)</f>
        <v/>
      </c>
      <c r="V40" s="51" t="str">
        <f>_xlfn.TEXTJOIN(" ",TRUE,Migrationsartikel!L39)</f>
        <v/>
      </c>
      <c r="W40" s="51" t="str">
        <f>_xlfn.TEXTJOIN(" ",TRUE,Migrationsartikel!P39)</f>
        <v/>
      </c>
      <c r="X40" s="51" t="str">
        <f>Migrationsartikel!I39</f>
        <v>Birnen Gute Louise Kl.1 gep.</v>
      </c>
      <c r="Y40" s="51" t="str">
        <f>Migrationsartikel!M39</f>
        <v>Poires Bonn. Lou. cl.1 emb.</v>
      </c>
      <c r="Z40" s="51" t="str">
        <f>Migrationsartikel!Q39</f>
        <v>Pere Gute Luise cl. 1 confez</v>
      </c>
      <c r="AA40" s="60">
        <f>Migrationsartikel!R39</f>
        <v>1</v>
      </c>
      <c r="AB40" s="51" t="str">
        <f>Migrationsartikel!T39</f>
        <v>Kilogramm</v>
      </c>
      <c r="AC40" s="62">
        <f>Migrationsartikel!S39</f>
        <v>1</v>
      </c>
      <c r="AD40" s="51" t="str">
        <f>Migrationsartikel!U39</f>
        <v>(PCE) Stück</v>
      </c>
      <c r="AE40" s="95" t="str">
        <f>Migrationsartikel!Y39</f>
        <v>3 - Reduzierter Satz</v>
      </c>
      <c r="AF40" s="64" t="str">
        <f>IF(Migrationsartikel!AA39="Kein Depotartikel","",Migrationsartikel!AA39)</f>
        <v/>
      </c>
      <c r="AG40" s="95" t="str">
        <f>Migrationsartikel!Z39</f>
        <v>Keine</v>
      </c>
      <c r="AH40" s="51" t="str">
        <f>IF(Migrationsartikel!AB39="ja","true",FALSE)</f>
        <v>true</v>
      </c>
      <c r="AI40" s="51" t="str">
        <f>IF(Migrationsartikel!AC39="ja","true",FALSE)</f>
        <v>true</v>
      </c>
      <c r="AJ40" s="51" t="str">
        <f>IF(Migrationsartikel!AD39="ja","true",FALSE)</f>
        <v>true</v>
      </c>
      <c r="AK40" s="51" t="str">
        <f>IF(Migrationsartikel!AE39="ja","true",FALSE)</f>
        <v>true</v>
      </c>
      <c r="AL40" s="51" t="str">
        <f>IF(Migrationsartikel!AF39="ja","Denner Partner","")</f>
        <v/>
      </c>
      <c r="AM40" s="51" t="str">
        <f>IF(Migrationsartikel!AG39="ja","true","false")</f>
        <v>false</v>
      </c>
      <c r="AN40" s="51" t="str">
        <f t="shared" si="1"/>
        <v>Kassentastenbelegung (ohne GTIN/PLU)</v>
      </c>
      <c r="AO40" s="63" t="s">
        <v>219</v>
      </c>
      <c r="AP40" s="62" t="s">
        <v>2467</v>
      </c>
      <c r="AQ40" s="63" t="s">
        <v>217</v>
      </c>
      <c r="AR40" s="30" t="s">
        <v>219</v>
      </c>
    </row>
    <row r="41" spans="2:44" ht="21.75" customHeight="1" x14ac:dyDescent="0.45">
      <c r="B41" s="51" t="s">
        <v>99</v>
      </c>
      <c r="E41" s="52" t="s">
        <v>87</v>
      </c>
      <c r="F41" s="51" t="str">
        <f>"Warengruppe&gt;&gt;"&amp;_xlfn.TEXTJOIN("&gt;&gt;",TRUE,Migrationsartikel!V40:X40)</f>
        <v>Warengruppe&gt;&gt;Früchte und Gemüse&gt;&gt;Früchte und Gemüse&gt;&gt;Früchte</v>
      </c>
      <c r="H41" s="52" t="s">
        <v>109</v>
      </c>
      <c r="J41" s="51" t="str">
        <f>_xlfn.TEXTJOIN(" ",TRUE,Migrationsartikel!B40,Migrationsartikel!E40)</f>
        <v>150</v>
      </c>
      <c r="L41" s="51" t="str">
        <f>_xlfn.TEXTJOIN(" ",TRUE,Migrationsartikel!F40:H40)</f>
        <v>Birnen Guyot Offen Kl. 1</v>
      </c>
      <c r="M41" s="51" t="str">
        <f>_xlfn.TEXTJOIN(" ",TRUE,Migrationsartikel!J40:L40)</f>
        <v>Poires Guyot En vrac, cl. 1</v>
      </c>
      <c r="N41" s="51" t="str">
        <f>_xlfn.TEXTJOIN(" ",TRUE,Migrationsartikel!N40:P40)</f>
        <v>Pere Guyot Cl. 1 vendita sfusa</v>
      </c>
      <c r="O41" s="51" t="str">
        <f>Migrationsartikel!F40</f>
        <v>Birnen Guyot</v>
      </c>
      <c r="P41" s="51" t="str">
        <f>Migrationsartikel!J40</f>
        <v>Poires Guyot</v>
      </c>
      <c r="Q41" s="51" t="str">
        <f>Migrationsartikel!N40</f>
        <v>Pere Guyot</v>
      </c>
      <c r="R41" s="51" t="str">
        <f>_xlfn.TEXTJOIN(" ",TRUE,Migrationsartikel!G40)</f>
        <v>Offen Kl. 1</v>
      </c>
      <c r="S41" s="51" t="str">
        <f>_xlfn.TEXTJOIN(" ",TRUE,Migrationsartikel!K40)</f>
        <v>En vrac, cl. 1</v>
      </c>
      <c r="T41" s="51" t="str">
        <f>_xlfn.TEXTJOIN(" ",TRUE,Migrationsartikel!O40)</f>
        <v>Cl. 1 vendita sfusa</v>
      </c>
      <c r="U41" s="51" t="str">
        <f>_xlfn.TEXTJOIN(" ",TRUE,Migrationsartikel!H40)</f>
        <v/>
      </c>
      <c r="V41" s="51" t="str">
        <f>_xlfn.TEXTJOIN(" ",TRUE,Migrationsartikel!L40)</f>
        <v/>
      </c>
      <c r="W41" s="51" t="str">
        <f>_xlfn.TEXTJOIN(" ",TRUE,Migrationsartikel!P40)</f>
        <v/>
      </c>
      <c r="X41" s="51" t="str">
        <f>Migrationsartikel!I40</f>
        <v>Birnen Guyot Offen Kl. 1</v>
      </c>
      <c r="Y41" s="51" t="str">
        <f>Migrationsartikel!M40</f>
        <v>Poires Guyot cl. 1 en vrac</v>
      </c>
      <c r="Z41" s="51" t="str">
        <f>Migrationsartikel!Q40</f>
        <v>Pere Guyot cl. 1 vend. sfusa</v>
      </c>
      <c r="AA41" s="60">
        <f>Migrationsartikel!R40</f>
        <v>1</v>
      </c>
      <c r="AB41" s="51" t="str">
        <f>Migrationsartikel!T40</f>
        <v>Kilogramm</v>
      </c>
      <c r="AC41" s="62">
        <f>Migrationsartikel!S40</f>
        <v>1</v>
      </c>
      <c r="AD41" s="51" t="str">
        <f>Migrationsartikel!U40</f>
        <v>(KGM) KG</v>
      </c>
      <c r="AE41" s="95" t="str">
        <f>Migrationsartikel!Y40</f>
        <v>3 - Reduzierter Satz</v>
      </c>
      <c r="AF41" s="64" t="str">
        <f>IF(Migrationsartikel!AA40="Kein Depotartikel","",Migrationsartikel!AA40)</f>
        <v/>
      </c>
      <c r="AG41" s="95" t="str">
        <f>Migrationsartikel!Z40</f>
        <v>Keine</v>
      </c>
      <c r="AH41" s="51" t="str">
        <f>IF(Migrationsartikel!AB40="ja","true",FALSE)</f>
        <v>true</v>
      </c>
      <c r="AI41" s="51" t="str">
        <f>IF(Migrationsartikel!AC40="ja","true",FALSE)</f>
        <v>true</v>
      </c>
      <c r="AJ41" s="51" t="str">
        <f>IF(Migrationsartikel!AD40="ja","true",FALSE)</f>
        <v>true</v>
      </c>
      <c r="AK41" s="51" t="str">
        <f>IF(Migrationsartikel!AE40="ja","true",FALSE)</f>
        <v>true</v>
      </c>
      <c r="AL41" s="51" t="str">
        <f>IF(Migrationsartikel!AF40="ja","Denner Partner","")</f>
        <v/>
      </c>
      <c r="AM41" s="51" t="str">
        <f>IF(Migrationsartikel!AG40="ja","true","false")</f>
        <v>false</v>
      </c>
      <c r="AN41" s="51" t="str">
        <f t="shared" si="1"/>
        <v>Kassentastenbelegung (ohne GTIN/PLU)</v>
      </c>
      <c r="AO41" s="63" t="s">
        <v>219</v>
      </c>
      <c r="AP41" s="62" t="s">
        <v>2468</v>
      </c>
      <c r="AQ41" s="63" t="s">
        <v>217</v>
      </c>
      <c r="AR41" s="30" t="s">
        <v>219</v>
      </c>
    </row>
    <row r="42" spans="2:44" ht="21.75" customHeight="1" x14ac:dyDescent="0.45">
      <c r="B42" s="51" t="s">
        <v>99</v>
      </c>
      <c r="E42" s="52" t="s">
        <v>87</v>
      </c>
      <c r="F42" s="51" t="str">
        <f>"Warengruppe&gt;&gt;"&amp;_xlfn.TEXTJOIN("&gt;&gt;",TRUE,Migrationsartikel!V41:X41)</f>
        <v>Warengruppe&gt;&gt;Früchte und Gemüse&gt;&gt;Früchte und Gemüse&gt;&gt;Früchte</v>
      </c>
      <c r="H42" s="52" t="s">
        <v>109</v>
      </c>
      <c r="J42" s="51" t="str">
        <f>_xlfn.TEXTJOIN(" ",TRUE,Migrationsartikel!B41,Migrationsartikel!E41)</f>
        <v>2213811000000</v>
      </c>
      <c r="L42" s="51" t="str">
        <f>_xlfn.TEXTJOIN(" ",TRUE,Migrationsartikel!F41:H41)</f>
        <v>Birnen Guyot Kl. 1 gepackt</v>
      </c>
      <c r="M42" s="51" t="str">
        <f>_xlfn.TEXTJOIN(" ",TRUE,Migrationsartikel!J41:L41)</f>
        <v>Poires Guyot Cl. 1 emballé</v>
      </c>
      <c r="N42" s="51" t="str">
        <f>_xlfn.TEXTJOIN(" ",TRUE,Migrationsartikel!N41:P41)</f>
        <v>Pere Guyot Cl. 1 confezionato</v>
      </c>
      <c r="O42" s="51" t="str">
        <f>Migrationsartikel!F41</f>
        <v>Birnen Guyot</v>
      </c>
      <c r="P42" s="51" t="str">
        <f>Migrationsartikel!J41</f>
        <v>Poires Guyot</v>
      </c>
      <c r="Q42" s="51" t="str">
        <f>Migrationsartikel!N41</f>
        <v>Pere Guyot</v>
      </c>
      <c r="R42" s="51" t="str">
        <f>_xlfn.TEXTJOIN(" ",TRUE,Migrationsartikel!G41)</f>
        <v>Kl. 1 gepackt</v>
      </c>
      <c r="S42" s="51" t="str">
        <f>_xlfn.TEXTJOIN(" ",TRUE,Migrationsartikel!K41)</f>
        <v>Cl. 1 emballé</v>
      </c>
      <c r="T42" s="51" t="str">
        <f>_xlfn.TEXTJOIN(" ",TRUE,Migrationsartikel!O41)</f>
        <v>Cl. 1 confezionato</v>
      </c>
      <c r="U42" s="51" t="str">
        <f>_xlfn.TEXTJOIN(" ",TRUE,Migrationsartikel!H41)</f>
        <v/>
      </c>
      <c r="V42" s="51" t="str">
        <f>_xlfn.TEXTJOIN(" ",TRUE,Migrationsartikel!L41)</f>
        <v/>
      </c>
      <c r="W42" s="51" t="str">
        <f>_xlfn.TEXTJOIN(" ",TRUE,Migrationsartikel!P41)</f>
        <v/>
      </c>
      <c r="X42" s="51" t="str">
        <f>Migrationsartikel!I41</f>
        <v>Birnen Guyot Kl. 1 gepackt</v>
      </c>
      <c r="Y42" s="51" t="str">
        <f>Migrationsartikel!M41</f>
        <v>Poires Guyot cl. 1 emballé</v>
      </c>
      <c r="Z42" s="51" t="str">
        <f>Migrationsartikel!Q41</f>
        <v>Pere Guyot cl. 1 confez.</v>
      </c>
      <c r="AA42" s="60">
        <f>Migrationsartikel!R41</f>
        <v>1</v>
      </c>
      <c r="AB42" s="51" t="str">
        <f>Migrationsartikel!T41</f>
        <v>Kilogramm</v>
      </c>
      <c r="AC42" s="62">
        <f>Migrationsartikel!S41</f>
        <v>1</v>
      </c>
      <c r="AD42" s="51" t="str">
        <f>Migrationsartikel!U41</f>
        <v>(PCE) Stück</v>
      </c>
      <c r="AE42" s="95" t="str">
        <f>Migrationsartikel!Y41</f>
        <v>3 - Reduzierter Satz</v>
      </c>
      <c r="AF42" s="64" t="str">
        <f>IF(Migrationsartikel!AA41="Kein Depotartikel","",Migrationsartikel!AA41)</f>
        <v/>
      </c>
      <c r="AG42" s="95" t="str">
        <f>Migrationsartikel!Z41</f>
        <v>Keine</v>
      </c>
      <c r="AH42" s="51" t="str">
        <f>IF(Migrationsartikel!AB41="ja","true",FALSE)</f>
        <v>true</v>
      </c>
      <c r="AI42" s="51" t="str">
        <f>IF(Migrationsartikel!AC41="ja","true",FALSE)</f>
        <v>true</v>
      </c>
      <c r="AJ42" s="51" t="str">
        <f>IF(Migrationsartikel!AD41="ja","true",FALSE)</f>
        <v>true</v>
      </c>
      <c r="AK42" s="51" t="str">
        <f>IF(Migrationsartikel!AE41="ja","true",FALSE)</f>
        <v>true</v>
      </c>
      <c r="AL42" s="51" t="str">
        <f>IF(Migrationsartikel!AF41="ja","Denner Partner","")</f>
        <v/>
      </c>
      <c r="AM42" s="51" t="str">
        <f>IF(Migrationsartikel!AG41="ja","true","false")</f>
        <v>false</v>
      </c>
      <c r="AN42" s="51" t="str">
        <f t="shared" si="1"/>
        <v>Kassentastenbelegung (ohne GTIN/PLU)</v>
      </c>
      <c r="AO42" s="63" t="s">
        <v>219</v>
      </c>
      <c r="AP42" s="62" t="s">
        <v>2469</v>
      </c>
      <c r="AQ42" s="63" t="s">
        <v>217</v>
      </c>
      <c r="AR42" s="30" t="s">
        <v>219</v>
      </c>
    </row>
    <row r="43" spans="2:44" ht="21.75" customHeight="1" x14ac:dyDescent="0.45">
      <c r="B43" s="51" t="s">
        <v>99</v>
      </c>
      <c r="E43" s="52" t="s">
        <v>87</v>
      </c>
      <c r="F43" s="51" t="str">
        <f>"Warengruppe&gt;&gt;"&amp;_xlfn.TEXTJOIN("&gt;&gt;",TRUE,Migrationsartikel!V42:X42)</f>
        <v>Warengruppe&gt;&gt;Früchte und Gemüse&gt;&gt;Früchte und Gemüse&gt;&gt;Früchte</v>
      </c>
      <c r="H43" s="52" t="s">
        <v>109</v>
      </c>
      <c r="J43" s="51" t="str">
        <f>_xlfn.TEXTJOIN(" ",TRUE,Migrationsartikel!B42,Migrationsartikel!E42)</f>
        <v>160</v>
      </c>
      <c r="L43" s="51" t="str">
        <f>_xlfn.TEXTJOIN(" ",TRUE,Migrationsartikel!F42:H42)</f>
        <v>Birnen Packhams Offen Kl. 1</v>
      </c>
      <c r="M43" s="51" t="str">
        <f>_xlfn.TEXTJOIN(" ",TRUE,Migrationsartikel!J42:L42)</f>
        <v>Poires Packhams En vrac, cl. 1</v>
      </c>
      <c r="N43" s="51" t="str">
        <f>_xlfn.TEXTJOIN(" ",TRUE,Migrationsartikel!N42:P42)</f>
        <v>Pere Packhams Cl. 1 vendita sfusa</v>
      </c>
      <c r="O43" s="51" t="str">
        <f>Migrationsartikel!F42</f>
        <v>Birnen Packhams</v>
      </c>
      <c r="P43" s="51" t="str">
        <f>Migrationsartikel!J42</f>
        <v>Poires Packhams</v>
      </c>
      <c r="Q43" s="51" t="str">
        <f>Migrationsartikel!N42</f>
        <v>Pere Packhams</v>
      </c>
      <c r="R43" s="51" t="str">
        <f>_xlfn.TEXTJOIN(" ",TRUE,Migrationsartikel!G42)</f>
        <v>Offen Kl. 1</v>
      </c>
      <c r="S43" s="51" t="str">
        <f>_xlfn.TEXTJOIN(" ",TRUE,Migrationsartikel!K42)</f>
        <v>En vrac, cl. 1</v>
      </c>
      <c r="T43" s="51" t="str">
        <f>_xlfn.TEXTJOIN(" ",TRUE,Migrationsartikel!O42)</f>
        <v>Cl. 1 vendita sfusa</v>
      </c>
      <c r="U43" s="51" t="str">
        <f>_xlfn.TEXTJOIN(" ",TRUE,Migrationsartikel!H42)</f>
        <v/>
      </c>
      <c r="V43" s="51" t="str">
        <f>_xlfn.TEXTJOIN(" ",TRUE,Migrationsartikel!L42)</f>
        <v/>
      </c>
      <c r="W43" s="51" t="str">
        <f>_xlfn.TEXTJOIN(" ",TRUE,Migrationsartikel!P42)</f>
        <v/>
      </c>
      <c r="X43" s="51" t="str">
        <f>Migrationsartikel!I42</f>
        <v>Birnen Packhams Offen Kl. 1</v>
      </c>
      <c r="Y43" s="51" t="str">
        <f>Migrationsartikel!M42</f>
        <v>Poires Packhams cl.1 en vrac</v>
      </c>
      <c r="Z43" s="51" t="str">
        <f>Migrationsartikel!Q42</f>
        <v>Pere Packhams cl. 1 v.sfusa</v>
      </c>
      <c r="AA43" s="60">
        <f>Migrationsartikel!R42</f>
        <v>1</v>
      </c>
      <c r="AB43" s="51" t="str">
        <f>Migrationsartikel!T42</f>
        <v>Kilogramm</v>
      </c>
      <c r="AC43" s="62">
        <f>Migrationsartikel!S42</f>
        <v>1</v>
      </c>
      <c r="AD43" s="51" t="str">
        <f>Migrationsartikel!U42</f>
        <v>(KGM) KG</v>
      </c>
      <c r="AE43" s="95" t="str">
        <f>Migrationsartikel!Y42</f>
        <v>3 - Reduzierter Satz</v>
      </c>
      <c r="AF43" s="64" t="str">
        <f>IF(Migrationsartikel!AA42="Kein Depotartikel","",Migrationsartikel!AA42)</f>
        <v/>
      </c>
      <c r="AG43" s="95" t="str">
        <f>Migrationsartikel!Z42</f>
        <v>Keine</v>
      </c>
      <c r="AH43" s="51" t="str">
        <f>IF(Migrationsartikel!AB42="ja","true",FALSE)</f>
        <v>true</v>
      </c>
      <c r="AI43" s="51" t="str">
        <f>IF(Migrationsartikel!AC42="ja","true",FALSE)</f>
        <v>true</v>
      </c>
      <c r="AJ43" s="51" t="str">
        <f>IF(Migrationsartikel!AD42="ja","true",FALSE)</f>
        <v>true</v>
      </c>
      <c r="AK43" s="51" t="str">
        <f>IF(Migrationsartikel!AE42="ja","true",FALSE)</f>
        <v>true</v>
      </c>
      <c r="AL43" s="51" t="str">
        <f>IF(Migrationsartikel!AF42="ja","Denner Partner","")</f>
        <v/>
      </c>
      <c r="AM43" s="51" t="str">
        <f>IF(Migrationsartikel!AG42="ja","true","false")</f>
        <v>false</v>
      </c>
      <c r="AN43" s="51" t="str">
        <f t="shared" si="1"/>
        <v>Kassentastenbelegung (ohne GTIN/PLU)</v>
      </c>
      <c r="AO43" s="63" t="s">
        <v>219</v>
      </c>
      <c r="AP43" s="62" t="s">
        <v>2470</v>
      </c>
      <c r="AQ43" s="63" t="s">
        <v>217</v>
      </c>
      <c r="AR43" s="30" t="s">
        <v>219</v>
      </c>
    </row>
    <row r="44" spans="2:44" ht="21.75" customHeight="1" x14ac:dyDescent="0.45">
      <c r="B44" s="51" t="s">
        <v>99</v>
      </c>
      <c r="E44" s="52" t="s">
        <v>87</v>
      </c>
      <c r="F44" s="51" t="str">
        <f>"Warengruppe&gt;&gt;"&amp;_xlfn.TEXTJOIN("&gt;&gt;",TRUE,Migrationsartikel!V43:X43)</f>
        <v>Warengruppe&gt;&gt;Früchte und Gemüse&gt;&gt;Früchte und Gemüse&gt;&gt;Früchte</v>
      </c>
      <c r="H44" s="52" t="s">
        <v>109</v>
      </c>
      <c r="J44" s="51" t="str">
        <f>_xlfn.TEXTJOIN(" ",TRUE,Migrationsartikel!B43,Migrationsartikel!E43)</f>
        <v>2216921000007</v>
      </c>
      <c r="L44" s="51" t="str">
        <f>_xlfn.TEXTJOIN(" ",TRUE,Migrationsartikel!F43:H43)</f>
        <v>Birnen Packhams Kl. 1 gepackt</v>
      </c>
      <c r="M44" s="51" t="str">
        <f>_xlfn.TEXTJOIN(" ",TRUE,Migrationsartikel!J43:L43)</f>
        <v>Poires Packhams Cl. 1 emballé</v>
      </c>
      <c r="N44" s="51" t="str">
        <f>_xlfn.TEXTJOIN(" ",TRUE,Migrationsartikel!N43:P43)</f>
        <v>Pere Packhams Cl. 1 confezionato</v>
      </c>
      <c r="O44" s="51" t="str">
        <f>Migrationsartikel!F43</f>
        <v>Birnen Packhams</v>
      </c>
      <c r="P44" s="51" t="str">
        <f>Migrationsartikel!J43</f>
        <v>Poires Packhams</v>
      </c>
      <c r="Q44" s="51" t="str">
        <f>Migrationsartikel!N43</f>
        <v>Pere Packhams</v>
      </c>
      <c r="R44" s="51" t="str">
        <f>_xlfn.TEXTJOIN(" ",TRUE,Migrationsartikel!G43)</f>
        <v>Kl. 1 gepackt</v>
      </c>
      <c r="S44" s="51" t="str">
        <f>_xlfn.TEXTJOIN(" ",TRUE,Migrationsartikel!K43)</f>
        <v>Cl. 1 emballé</v>
      </c>
      <c r="T44" s="51" t="str">
        <f>_xlfn.TEXTJOIN(" ",TRUE,Migrationsartikel!O43)</f>
        <v>Cl. 1 confezionato</v>
      </c>
      <c r="U44" s="51" t="str">
        <f>_xlfn.TEXTJOIN(" ",TRUE,Migrationsartikel!H43)</f>
        <v/>
      </c>
      <c r="V44" s="51" t="str">
        <f>_xlfn.TEXTJOIN(" ",TRUE,Migrationsartikel!L43)</f>
        <v/>
      </c>
      <c r="W44" s="51" t="str">
        <f>_xlfn.TEXTJOIN(" ",TRUE,Migrationsartikel!P43)</f>
        <v/>
      </c>
      <c r="X44" s="51" t="str">
        <f>Migrationsartikel!I43</f>
        <v>Birnen Packhams Kl.1 gepackt</v>
      </c>
      <c r="Y44" s="51" t="str">
        <f>Migrationsartikel!M43</f>
        <v>Poires Packhams cl. 1 emb.</v>
      </c>
      <c r="Z44" s="51" t="str">
        <f>Migrationsartikel!Q43</f>
        <v>Pere Packhams cl. 1 convez.</v>
      </c>
      <c r="AA44" s="60">
        <f>Migrationsartikel!R43</f>
        <v>1</v>
      </c>
      <c r="AB44" s="51" t="str">
        <f>Migrationsartikel!T43</f>
        <v>Kilogramm</v>
      </c>
      <c r="AC44" s="62">
        <f>Migrationsartikel!S43</f>
        <v>1</v>
      </c>
      <c r="AD44" s="51" t="str">
        <f>Migrationsartikel!U43</f>
        <v>(PCE) Stück</v>
      </c>
      <c r="AE44" s="95" t="str">
        <f>Migrationsartikel!Y43</f>
        <v>3 - Reduzierter Satz</v>
      </c>
      <c r="AF44" s="64" t="str">
        <f>IF(Migrationsartikel!AA43="Kein Depotartikel","",Migrationsartikel!AA43)</f>
        <v/>
      </c>
      <c r="AG44" s="95" t="str">
        <f>Migrationsartikel!Z43</f>
        <v>Keine</v>
      </c>
      <c r="AH44" s="51" t="str">
        <f>IF(Migrationsartikel!AB43="ja","true",FALSE)</f>
        <v>true</v>
      </c>
      <c r="AI44" s="51" t="str">
        <f>IF(Migrationsartikel!AC43="ja","true",FALSE)</f>
        <v>true</v>
      </c>
      <c r="AJ44" s="51" t="str">
        <f>IF(Migrationsartikel!AD43="ja","true",FALSE)</f>
        <v>true</v>
      </c>
      <c r="AK44" s="51" t="str">
        <f>IF(Migrationsartikel!AE43="ja","true",FALSE)</f>
        <v>true</v>
      </c>
      <c r="AL44" s="51" t="str">
        <f>IF(Migrationsartikel!AF43="ja","Denner Partner","")</f>
        <v/>
      </c>
      <c r="AM44" s="51" t="str">
        <f>IF(Migrationsartikel!AG43="ja","true","false")</f>
        <v>false</v>
      </c>
      <c r="AN44" s="51" t="str">
        <f t="shared" si="1"/>
        <v>Kassentastenbelegung (ohne GTIN/PLU)</v>
      </c>
      <c r="AO44" s="63" t="s">
        <v>219</v>
      </c>
      <c r="AP44" s="62" t="s">
        <v>2471</v>
      </c>
      <c r="AQ44" s="63" t="s">
        <v>217</v>
      </c>
      <c r="AR44" s="30" t="s">
        <v>219</v>
      </c>
    </row>
    <row r="45" spans="2:44" ht="21.75" customHeight="1" x14ac:dyDescent="0.45">
      <c r="B45" s="51" t="s">
        <v>99</v>
      </c>
      <c r="E45" s="52" t="s">
        <v>87</v>
      </c>
      <c r="F45" s="51" t="str">
        <f>"Warengruppe&gt;&gt;"&amp;_xlfn.TEXTJOIN("&gt;&gt;",TRUE,Migrationsartikel!V44:X44)</f>
        <v>Warengruppe&gt;&gt;Früchte und Gemüse&gt;&gt;Früchte und Gemüse&gt;&gt;Früchte</v>
      </c>
      <c r="H45" s="52" t="s">
        <v>109</v>
      </c>
      <c r="J45" s="51" t="str">
        <f>_xlfn.TEXTJOIN(" ",TRUE,Migrationsartikel!B44,Migrationsartikel!E44)</f>
        <v>161</v>
      </c>
      <c r="L45" s="51" t="str">
        <f>_xlfn.TEXTJOIN(" ",TRUE,Migrationsartikel!F44:H44)</f>
        <v>Birnen Rocha Offen Kl. 1</v>
      </c>
      <c r="M45" s="51" t="str">
        <f>_xlfn.TEXTJOIN(" ",TRUE,Migrationsartikel!J44:L44)</f>
        <v>Poires Rocha En vrac, cl. 1</v>
      </c>
      <c r="N45" s="51" t="str">
        <f>_xlfn.TEXTJOIN(" ",TRUE,Migrationsartikel!N44:P44)</f>
        <v>Pere Rocha Cl. 1 vendita sfusa</v>
      </c>
      <c r="O45" s="51" t="str">
        <f>Migrationsartikel!F44</f>
        <v>Birnen Rocha</v>
      </c>
      <c r="P45" s="51" t="str">
        <f>Migrationsartikel!J44</f>
        <v>Poires Rocha</v>
      </c>
      <c r="Q45" s="51" t="str">
        <f>Migrationsartikel!N44</f>
        <v>Pere Rocha</v>
      </c>
      <c r="R45" s="51" t="str">
        <f>_xlfn.TEXTJOIN(" ",TRUE,Migrationsartikel!G44)</f>
        <v>Offen Kl. 1</v>
      </c>
      <c r="S45" s="51" t="str">
        <f>_xlfn.TEXTJOIN(" ",TRUE,Migrationsartikel!K44)</f>
        <v>En vrac, cl. 1</v>
      </c>
      <c r="T45" s="51" t="str">
        <f>_xlfn.TEXTJOIN(" ",TRUE,Migrationsartikel!O44)</f>
        <v>Cl. 1 vendita sfusa</v>
      </c>
      <c r="U45" s="51" t="str">
        <f>_xlfn.TEXTJOIN(" ",TRUE,Migrationsartikel!H44)</f>
        <v/>
      </c>
      <c r="V45" s="51" t="str">
        <f>_xlfn.TEXTJOIN(" ",TRUE,Migrationsartikel!L44)</f>
        <v/>
      </c>
      <c r="W45" s="51" t="str">
        <f>_xlfn.TEXTJOIN(" ",TRUE,Migrationsartikel!P44)</f>
        <v/>
      </c>
      <c r="X45" s="51" t="str">
        <f>Migrationsartikel!I44</f>
        <v>Birnen Rocha Offen Kl. 1</v>
      </c>
      <c r="Y45" s="51" t="str">
        <f>Migrationsartikel!M44</f>
        <v>Poires Rocha cl.1 en vrac</v>
      </c>
      <c r="Z45" s="51" t="str">
        <f>Migrationsartikel!Q44</f>
        <v>Pere Rocha cl. 1 v. sfusa</v>
      </c>
      <c r="AA45" s="60">
        <f>Migrationsartikel!R44</f>
        <v>1</v>
      </c>
      <c r="AB45" s="51" t="str">
        <f>Migrationsartikel!T44</f>
        <v>Kilogramm</v>
      </c>
      <c r="AC45" s="62">
        <f>Migrationsartikel!S44</f>
        <v>1</v>
      </c>
      <c r="AD45" s="51" t="str">
        <f>Migrationsartikel!U44</f>
        <v>(KGM) KG</v>
      </c>
      <c r="AE45" s="95" t="str">
        <f>Migrationsartikel!Y44</f>
        <v>3 - Reduzierter Satz</v>
      </c>
      <c r="AF45" s="64" t="str">
        <f>IF(Migrationsartikel!AA44="Kein Depotartikel","",Migrationsartikel!AA44)</f>
        <v/>
      </c>
      <c r="AG45" s="95" t="str">
        <f>Migrationsartikel!Z44</f>
        <v>Keine</v>
      </c>
      <c r="AH45" s="51" t="str">
        <f>IF(Migrationsartikel!AB44="ja","true",FALSE)</f>
        <v>true</v>
      </c>
      <c r="AI45" s="51" t="str">
        <f>IF(Migrationsartikel!AC44="ja","true",FALSE)</f>
        <v>true</v>
      </c>
      <c r="AJ45" s="51" t="str">
        <f>IF(Migrationsartikel!AD44="ja","true",FALSE)</f>
        <v>true</v>
      </c>
      <c r="AK45" s="51" t="str">
        <f>IF(Migrationsartikel!AE44="ja","true",FALSE)</f>
        <v>true</v>
      </c>
      <c r="AL45" s="51" t="str">
        <f>IF(Migrationsartikel!AF44="ja","Denner Partner","")</f>
        <v/>
      </c>
      <c r="AM45" s="51" t="str">
        <f>IF(Migrationsartikel!AG44="ja","true","false")</f>
        <v>false</v>
      </c>
      <c r="AN45" s="51" t="str">
        <f t="shared" si="1"/>
        <v>Kassentastenbelegung (ohne GTIN/PLU)</v>
      </c>
      <c r="AO45" s="63" t="s">
        <v>219</v>
      </c>
      <c r="AP45" s="62" t="s">
        <v>2472</v>
      </c>
      <c r="AQ45" s="63" t="s">
        <v>217</v>
      </c>
      <c r="AR45" s="30" t="s">
        <v>219</v>
      </c>
    </row>
    <row r="46" spans="2:44" ht="21.75" customHeight="1" x14ac:dyDescent="0.45">
      <c r="B46" s="51" t="s">
        <v>99</v>
      </c>
      <c r="E46" s="52" t="s">
        <v>87</v>
      </c>
      <c r="F46" s="51" t="str">
        <f>"Warengruppe&gt;&gt;"&amp;_xlfn.TEXTJOIN("&gt;&gt;",TRUE,Migrationsartikel!V45:X45)</f>
        <v>Warengruppe&gt;&gt;Früchte und Gemüse&gt;&gt;Früchte und Gemüse&gt;&gt;Früchte</v>
      </c>
      <c r="H46" s="52" t="s">
        <v>109</v>
      </c>
      <c r="J46" s="51" t="str">
        <f>_xlfn.TEXTJOIN(" ",TRUE,Migrationsartikel!B45,Migrationsartikel!E45)</f>
        <v>2205363000000</v>
      </c>
      <c r="L46" s="51" t="str">
        <f>_xlfn.TEXTJOIN(" ",TRUE,Migrationsartikel!F45:H45)</f>
        <v>Birnen Rosmarie Kl. 1 gepackt</v>
      </c>
      <c r="M46" s="51" t="str">
        <f>_xlfn.TEXTJOIN(" ",TRUE,Migrationsartikel!J45:L45)</f>
        <v>Poires Rosemarie Cl. 1 emballé</v>
      </c>
      <c r="N46" s="51" t="str">
        <f>_xlfn.TEXTJOIN(" ",TRUE,Migrationsartikel!N45:P45)</f>
        <v>Pere Rosmarie Cl. 1 confezionato</v>
      </c>
      <c r="O46" s="51" t="str">
        <f>Migrationsartikel!F45</f>
        <v>Birnen Rosmarie</v>
      </c>
      <c r="P46" s="51" t="str">
        <f>Migrationsartikel!J45</f>
        <v>Poires Rosemarie</v>
      </c>
      <c r="Q46" s="51" t="str">
        <f>Migrationsartikel!N45</f>
        <v>Pere Rosmarie</v>
      </c>
      <c r="R46" s="51" t="str">
        <f>_xlfn.TEXTJOIN(" ",TRUE,Migrationsartikel!G45)</f>
        <v>Kl. 1 gepackt</v>
      </c>
      <c r="S46" s="51" t="str">
        <f>_xlfn.TEXTJOIN(" ",TRUE,Migrationsartikel!K45)</f>
        <v>Cl. 1 emballé</v>
      </c>
      <c r="T46" s="51" t="str">
        <f>_xlfn.TEXTJOIN(" ",TRUE,Migrationsartikel!O45)</f>
        <v>Cl. 1 confezionato</v>
      </c>
      <c r="U46" s="51" t="str">
        <f>_xlfn.TEXTJOIN(" ",TRUE,Migrationsartikel!H45)</f>
        <v/>
      </c>
      <c r="V46" s="51" t="str">
        <f>_xlfn.TEXTJOIN(" ",TRUE,Migrationsartikel!L45)</f>
        <v/>
      </c>
      <c r="W46" s="51" t="str">
        <f>_xlfn.TEXTJOIN(" ",TRUE,Migrationsartikel!P45)</f>
        <v/>
      </c>
      <c r="X46" s="51" t="str">
        <f>Migrationsartikel!I45</f>
        <v>Birnen Rosmarei Kl.1 gepackt</v>
      </c>
      <c r="Y46" s="51" t="str">
        <f>Migrationsartikel!M45</f>
        <v>Poires Rosemarie cl. 1 emb.</v>
      </c>
      <c r="Z46" s="51" t="str">
        <f>Migrationsartikel!Q45</f>
        <v>Pere Rosmarie cl. 1 confez.</v>
      </c>
      <c r="AA46" s="60">
        <f>Migrationsartikel!R45</f>
        <v>1</v>
      </c>
      <c r="AB46" s="51" t="str">
        <f>Migrationsartikel!T45</f>
        <v>Kilogramm</v>
      </c>
      <c r="AC46" s="62">
        <f>Migrationsartikel!S45</f>
        <v>1</v>
      </c>
      <c r="AD46" s="51" t="str">
        <f>Migrationsartikel!U45</f>
        <v>(PCE) Stück</v>
      </c>
      <c r="AE46" s="95" t="str">
        <f>Migrationsartikel!Y45</f>
        <v>3 - Reduzierter Satz</v>
      </c>
      <c r="AF46" s="64" t="str">
        <f>IF(Migrationsartikel!AA45="Kein Depotartikel","",Migrationsartikel!AA45)</f>
        <v/>
      </c>
      <c r="AG46" s="95" t="str">
        <f>Migrationsartikel!Z45</f>
        <v>Keine</v>
      </c>
      <c r="AH46" s="51" t="str">
        <f>IF(Migrationsartikel!AB45="ja","true",FALSE)</f>
        <v>true</v>
      </c>
      <c r="AI46" s="51" t="str">
        <f>IF(Migrationsartikel!AC45="ja","true",FALSE)</f>
        <v>true</v>
      </c>
      <c r="AJ46" s="51" t="str">
        <f>IF(Migrationsartikel!AD45="ja","true",FALSE)</f>
        <v>true</v>
      </c>
      <c r="AK46" s="51" t="str">
        <f>IF(Migrationsartikel!AE45="ja","true",FALSE)</f>
        <v>true</v>
      </c>
      <c r="AL46" s="51" t="str">
        <f>IF(Migrationsartikel!AF45="ja","Denner Partner","")</f>
        <v/>
      </c>
      <c r="AM46" s="51" t="str">
        <f>IF(Migrationsartikel!AG45="ja","true","false")</f>
        <v>false</v>
      </c>
      <c r="AN46" s="51" t="str">
        <f t="shared" si="1"/>
        <v>Kassentastenbelegung (ohne GTIN/PLU)</v>
      </c>
      <c r="AO46" s="63" t="s">
        <v>219</v>
      </c>
      <c r="AP46" s="62" t="s">
        <v>2473</v>
      </c>
      <c r="AQ46" s="63" t="s">
        <v>217</v>
      </c>
      <c r="AR46" s="30" t="s">
        <v>219</v>
      </c>
    </row>
    <row r="47" spans="2:44" ht="21.75" customHeight="1" x14ac:dyDescent="0.45">
      <c r="B47" s="51" t="s">
        <v>99</v>
      </c>
      <c r="E47" s="52" t="s">
        <v>87</v>
      </c>
      <c r="F47" s="51" t="str">
        <f>"Warengruppe&gt;&gt;"&amp;_xlfn.TEXTJOIN("&gt;&gt;",TRUE,Migrationsartikel!V46:X46)</f>
        <v>Warengruppe&gt;&gt;Früchte und Gemüse&gt;&gt;Früchte und Gemüse&gt;&gt;Früchte</v>
      </c>
      <c r="H47" s="52" t="s">
        <v>109</v>
      </c>
      <c r="J47" s="51" t="str">
        <f>_xlfn.TEXTJOIN(" ",TRUE,Migrationsartikel!B46,Migrationsartikel!E46)</f>
        <v>2215881000000</v>
      </c>
      <c r="L47" s="51" t="str">
        <f>_xlfn.TEXTJOIN(" ",TRUE,Migrationsartikel!F46:H46)</f>
        <v>Birnen Trévoux Kl. 1 gepackt</v>
      </c>
      <c r="M47" s="51" t="str">
        <f>_xlfn.TEXTJOIN(" ",TRUE,Migrationsartikel!J46:L46)</f>
        <v>Poires Trévoux Cl. 1 emballé</v>
      </c>
      <c r="N47" s="51" t="str">
        <f>_xlfn.TEXTJOIN(" ",TRUE,Migrationsartikel!N46:P46)</f>
        <v>Pere Trévoux Cl. 1 confezionato</v>
      </c>
      <c r="O47" s="51" t="str">
        <f>Migrationsartikel!F46</f>
        <v>Birnen Trévoux</v>
      </c>
      <c r="P47" s="51" t="str">
        <f>Migrationsartikel!J46</f>
        <v>Poires Trévoux</v>
      </c>
      <c r="Q47" s="51" t="str">
        <f>Migrationsartikel!N46</f>
        <v>Pere Trévoux</v>
      </c>
      <c r="R47" s="51" t="str">
        <f>_xlfn.TEXTJOIN(" ",TRUE,Migrationsartikel!G46)</f>
        <v>Kl. 1 gepackt</v>
      </c>
      <c r="S47" s="51" t="str">
        <f>_xlfn.TEXTJOIN(" ",TRUE,Migrationsartikel!K46)</f>
        <v>Cl. 1 emballé</v>
      </c>
      <c r="T47" s="51" t="str">
        <f>_xlfn.TEXTJOIN(" ",TRUE,Migrationsartikel!O46)</f>
        <v>Cl. 1 confezionato</v>
      </c>
      <c r="U47" s="51" t="str">
        <f>_xlfn.TEXTJOIN(" ",TRUE,Migrationsartikel!H46)</f>
        <v/>
      </c>
      <c r="V47" s="51" t="str">
        <f>_xlfn.TEXTJOIN(" ",TRUE,Migrationsartikel!L46)</f>
        <v/>
      </c>
      <c r="W47" s="51" t="str">
        <f>_xlfn.TEXTJOIN(" ",TRUE,Migrationsartikel!P46)</f>
        <v/>
      </c>
      <c r="X47" s="51" t="str">
        <f>Migrationsartikel!I46</f>
        <v>Birnen Trévoux Kl. 1 gepackt</v>
      </c>
      <c r="Y47" s="51" t="str">
        <f>Migrationsartikel!M46</f>
        <v>Poires Trévoux cl. 1 emballé</v>
      </c>
      <c r="Z47" s="51" t="str">
        <f>Migrationsartikel!Q46</f>
        <v>Pere Trévoux cl. 1 confez.</v>
      </c>
      <c r="AA47" s="60">
        <f>Migrationsartikel!R46</f>
        <v>1</v>
      </c>
      <c r="AB47" s="51" t="str">
        <f>Migrationsartikel!T46</f>
        <v>Kilogramm</v>
      </c>
      <c r="AC47" s="62">
        <f>Migrationsartikel!S46</f>
        <v>1</v>
      </c>
      <c r="AD47" s="51" t="str">
        <f>Migrationsartikel!U46</f>
        <v>(PCE) Stück</v>
      </c>
      <c r="AE47" s="95" t="str">
        <f>Migrationsartikel!Y46</f>
        <v>3 - Reduzierter Satz</v>
      </c>
      <c r="AF47" s="64" t="str">
        <f>IF(Migrationsartikel!AA46="Kein Depotartikel","",Migrationsartikel!AA46)</f>
        <v/>
      </c>
      <c r="AG47" s="95" t="str">
        <f>Migrationsartikel!Z46</f>
        <v>Keine</v>
      </c>
      <c r="AH47" s="51" t="str">
        <f>IF(Migrationsartikel!AB46="ja","true",FALSE)</f>
        <v>true</v>
      </c>
      <c r="AI47" s="51" t="str">
        <f>IF(Migrationsartikel!AC46="ja","true",FALSE)</f>
        <v>true</v>
      </c>
      <c r="AJ47" s="51" t="str">
        <f>IF(Migrationsartikel!AD46="ja","true",FALSE)</f>
        <v>true</v>
      </c>
      <c r="AK47" s="51" t="str">
        <f>IF(Migrationsartikel!AE46="ja","true",FALSE)</f>
        <v>true</v>
      </c>
      <c r="AL47" s="51" t="str">
        <f>IF(Migrationsartikel!AF46="ja","Denner Partner","")</f>
        <v/>
      </c>
      <c r="AM47" s="51" t="str">
        <f>IF(Migrationsartikel!AG46="ja","true","false")</f>
        <v>false</v>
      </c>
      <c r="AN47" s="51" t="str">
        <f t="shared" si="1"/>
        <v>Kassentastenbelegung (ohne GTIN/PLU)</v>
      </c>
      <c r="AO47" s="63" t="s">
        <v>219</v>
      </c>
      <c r="AP47" s="62" t="s">
        <v>2474</v>
      </c>
      <c r="AQ47" s="63" t="s">
        <v>217</v>
      </c>
      <c r="AR47" s="30" t="s">
        <v>219</v>
      </c>
    </row>
    <row r="48" spans="2:44" ht="21.75" customHeight="1" x14ac:dyDescent="0.45">
      <c r="B48" s="51" t="s">
        <v>99</v>
      </c>
      <c r="E48" s="52" t="s">
        <v>87</v>
      </c>
      <c r="F48" s="51" t="str">
        <f>"Warengruppe&gt;&gt;"&amp;_xlfn.TEXTJOIN("&gt;&gt;",TRUE,Migrationsartikel!V47:X47)</f>
        <v>Warengruppe&gt;&gt;Früchte und Gemüse&gt;&gt;Früchte und Gemüse&gt;&gt;Früchte</v>
      </c>
      <c r="H48" s="52" t="s">
        <v>109</v>
      </c>
      <c r="J48" s="51" t="str">
        <f>_xlfn.TEXTJOIN(" ",TRUE,Migrationsartikel!B47,Migrationsartikel!E47)</f>
        <v>162</v>
      </c>
      <c r="L48" s="51" t="str">
        <f>_xlfn.TEXTJOIN(" ",TRUE,Migrationsartikel!F47:H47)</f>
        <v>Birnen Williams Offen Kl. 1</v>
      </c>
      <c r="M48" s="51" t="str">
        <f>_xlfn.TEXTJOIN(" ",TRUE,Migrationsartikel!J47:L47)</f>
        <v>Poires Williams En vrac, cl. 1</v>
      </c>
      <c r="N48" s="51" t="str">
        <f>_xlfn.TEXTJOIN(" ",TRUE,Migrationsartikel!N47:P47)</f>
        <v>Pere Williams Cl. 1 vendita sfusa</v>
      </c>
      <c r="O48" s="51" t="str">
        <f>Migrationsartikel!F47</f>
        <v>Birnen Williams</v>
      </c>
      <c r="P48" s="51" t="str">
        <f>Migrationsartikel!J47</f>
        <v>Poires Williams</v>
      </c>
      <c r="Q48" s="51" t="str">
        <f>Migrationsartikel!N47</f>
        <v>Pere Williams</v>
      </c>
      <c r="R48" s="51" t="str">
        <f>_xlfn.TEXTJOIN(" ",TRUE,Migrationsartikel!G47)</f>
        <v>Offen Kl. 1</v>
      </c>
      <c r="S48" s="51" t="str">
        <f>_xlfn.TEXTJOIN(" ",TRUE,Migrationsartikel!K47)</f>
        <v>En vrac, cl. 1</v>
      </c>
      <c r="T48" s="51" t="str">
        <f>_xlfn.TEXTJOIN(" ",TRUE,Migrationsartikel!O47)</f>
        <v>Cl. 1 vendita sfusa</v>
      </c>
      <c r="U48" s="51" t="str">
        <f>_xlfn.TEXTJOIN(" ",TRUE,Migrationsartikel!H47)</f>
        <v/>
      </c>
      <c r="V48" s="51" t="str">
        <f>_xlfn.TEXTJOIN(" ",TRUE,Migrationsartikel!L47)</f>
        <v/>
      </c>
      <c r="W48" s="51" t="str">
        <f>_xlfn.TEXTJOIN(" ",TRUE,Migrationsartikel!P47)</f>
        <v/>
      </c>
      <c r="X48" s="51" t="str">
        <f>Migrationsartikel!I47</f>
        <v>Birnen Williams Offen Kl. 1</v>
      </c>
      <c r="Y48" s="51" t="str">
        <f>Migrationsartikel!M47</f>
        <v>Poires Williams cl.1 en vrac</v>
      </c>
      <c r="Z48" s="51" t="str">
        <f>Migrationsartikel!Q47</f>
        <v>Pere Williams cl. 1 v. sfusa</v>
      </c>
      <c r="AA48" s="60">
        <f>Migrationsartikel!R47</f>
        <v>1</v>
      </c>
      <c r="AB48" s="51" t="str">
        <f>Migrationsartikel!T47</f>
        <v>Kilogramm</v>
      </c>
      <c r="AC48" s="62">
        <f>Migrationsartikel!S47</f>
        <v>1</v>
      </c>
      <c r="AD48" s="51" t="str">
        <f>Migrationsartikel!U47</f>
        <v>(KGM) KG</v>
      </c>
      <c r="AE48" s="95" t="str">
        <f>Migrationsartikel!Y47</f>
        <v>3 - Reduzierter Satz</v>
      </c>
      <c r="AF48" s="64" t="str">
        <f>IF(Migrationsartikel!AA47="Kein Depotartikel","",Migrationsartikel!AA47)</f>
        <v/>
      </c>
      <c r="AG48" s="95" t="str">
        <f>Migrationsartikel!Z47</f>
        <v>Keine</v>
      </c>
      <c r="AH48" s="51" t="str">
        <f>IF(Migrationsartikel!AB47="ja","true",FALSE)</f>
        <v>true</v>
      </c>
      <c r="AI48" s="51" t="str">
        <f>IF(Migrationsartikel!AC47="ja","true",FALSE)</f>
        <v>true</v>
      </c>
      <c r="AJ48" s="51" t="str">
        <f>IF(Migrationsartikel!AD47="ja","true",FALSE)</f>
        <v>true</v>
      </c>
      <c r="AK48" s="51" t="str">
        <f>IF(Migrationsartikel!AE47="ja","true",FALSE)</f>
        <v>true</v>
      </c>
      <c r="AL48" s="51" t="str">
        <f>IF(Migrationsartikel!AF47="ja","Denner Partner","")</f>
        <v/>
      </c>
      <c r="AM48" s="51" t="str">
        <f>IF(Migrationsartikel!AG47="ja","true","false")</f>
        <v>false</v>
      </c>
      <c r="AN48" s="51" t="str">
        <f t="shared" si="1"/>
        <v>Kassentastenbelegung (ohne GTIN/PLU)</v>
      </c>
      <c r="AO48" s="63" t="s">
        <v>219</v>
      </c>
      <c r="AP48" s="62" t="s">
        <v>2475</v>
      </c>
      <c r="AQ48" s="63" t="s">
        <v>217</v>
      </c>
      <c r="AR48" s="30" t="s">
        <v>219</v>
      </c>
    </row>
    <row r="49" spans="2:44" ht="21.75" customHeight="1" x14ac:dyDescent="0.45">
      <c r="B49" s="51" t="s">
        <v>99</v>
      </c>
      <c r="E49" s="52" t="s">
        <v>87</v>
      </c>
      <c r="F49" s="51" t="str">
        <f>"Warengruppe&gt;&gt;"&amp;_xlfn.TEXTJOIN("&gt;&gt;",TRUE,Migrationsartikel!V48:X48)</f>
        <v>Warengruppe&gt;&gt;Früchte und Gemüse&gt;&gt;Früchte und Gemüse&gt;&gt;Früchte</v>
      </c>
      <c r="H49" s="52" t="s">
        <v>109</v>
      </c>
      <c r="J49" s="51" t="str">
        <f>_xlfn.TEXTJOIN(" ",TRUE,Migrationsartikel!B48,Migrationsartikel!E48)</f>
        <v>2201661000000</v>
      </c>
      <c r="L49" s="51" t="str">
        <f>_xlfn.TEXTJOIN(" ",TRUE,Migrationsartikel!F48:H48)</f>
        <v>Birnen Williams Kl. 1 gepackt</v>
      </c>
      <c r="M49" s="51" t="str">
        <f>_xlfn.TEXTJOIN(" ",TRUE,Migrationsartikel!J48:L48)</f>
        <v>Poires Williams Cl. 1 emballé</v>
      </c>
      <c r="N49" s="51" t="str">
        <f>_xlfn.TEXTJOIN(" ",TRUE,Migrationsartikel!N48:P48)</f>
        <v>Pere Williams Cl. 1 confezionato</v>
      </c>
      <c r="O49" s="51" t="str">
        <f>Migrationsartikel!F48</f>
        <v>Birnen Williams</v>
      </c>
      <c r="P49" s="51" t="str">
        <f>Migrationsartikel!J48</f>
        <v>Poires Williams</v>
      </c>
      <c r="Q49" s="51" t="str">
        <f>Migrationsartikel!N48</f>
        <v>Pere Williams</v>
      </c>
      <c r="R49" s="51" t="str">
        <f>_xlfn.TEXTJOIN(" ",TRUE,Migrationsartikel!G48)</f>
        <v>Kl. 1 gepackt</v>
      </c>
      <c r="S49" s="51" t="str">
        <f>_xlfn.TEXTJOIN(" ",TRUE,Migrationsartikel!K48)</f>
        <v>Cl. 1 emballé</v>
      </c>
      <c r="T49" s="51" t="str">
        <f>_xlfn.TEXTJOIN(" ",TRUE,Migrationsartikel!O48)</f>
        <v>Cl. 1 confezionato</v>
      </c>
      <c r="U49" s="51" t="str">
        <f>_xlfn.TEXTJOIN(" ",TRUE,Migrationsartikel!H48)</f>
        <v/>
      </c>
      <c r="V49" s="51" t="str">
        <f>_xlfn.TEXTJOIN(" ",TRUE,Migrationsartikel!L48)</f>
        <v/>
      </c>
      <c r="W49" s="51" t="str">
        <f>_xlfn.TEXTJOIN(" ",TRUE,Migrationsartikel!P48)</f>
        <v/>
      </c>
      <c r="X49" s="51" t="str">
        <f>Migrationsartikel!I48</f>
        <v>Birnen Williams Kl.1 gepackt</v>
      </c>
      <c r="Y49" s="51" t="str">
        <f>Migrationsartikel!M48</f>
        <v>Poires Williams cl.1 emballé</v>
      </c>
      <c r="Z49" s="51" t="str">
        <f>Migrationsartikel!Q48</f>
        <v>Pere Williams cl. 1 confez.</v>
      </c>
      <c r="AA49" s="60">
        <f>Migrationsartikel!R48</f>
        <v>1</v>
      </c>
      <c r="AB49" s="51" t="str">
        <f>Migrationsartikel!T48</f>
        <v>Kilogramm</v>
      </c>
      <c r="AC49" s="62">
        <f>Migrationsartikel!S48</f>
        <v>1</v>
      </c>
      <c r="AD49" s="51" t="str">
        <f>Migrationsartikel!U48</f>
        <v>(PCE) Stück</v>
      </c>
      <c r="AE49" s="95" t="str">
        <f>Migrationsartikel!Y48</f>
        <v>3 - Reduzierter Satz</v>
      </c>
      <c r="AF49" s="64" t="str">
        <f>IF(Migrationsartikel!AA48="Kein Depotartikel","",Migrationsartikel!AA48)</f>
        <v/>
      </c>
      <c r="AG49" s="95" t="str">
        <f>Migrationsartikel!Z48</f>
        <v>Keine</v>
      </c>
      <c r="AH49" s="51" t="str">
        <f>IF(Migrationsartikel!AB48="ja","true",FALSE)</f>
        <v>true</v>
      </c>
      <c r="AI49" s="51" t="str">
        <f>IF(Migrationsartikel!AC48="ja","true",FALSE)</f>
        <v>true</v>
      </c>
      <c r="AJ49" s="51" t="str">
        <f>IF(Migrationsartikel!AD48="ja","true",FALSE)</f>
        <v>true</v>
      </c>
      <c r="AK49" s="51" t="str">
        <f>IF(Migrationsartikel!AE48="ja","true",FALSE)</f>
        <v>true</v>
      </c>
      <c r="AL49" s="51" t="str">
        <f>IF(Migrationsartikel!AF48="ja","Denner Partner","")</f>
        <v/>
      </c>
      <c r="AM49" s="51" t="str">
        <f>IF(Migrationsartikel!AG48="ja","true","false")</f>
        <v>false</v>
      </c>
      <c r="AN49" s="51" t="str">
        <f t="shared" si="1"/>
        <v>Kassentastenbelegung (ohne GTIN/PLU)</v>
      </c>
      <c r="AO49" s="63" t="s">
        <v>219</v>
      </c>
      <c r="AP49" s="62" t="s">
        <v>2476</v>
      </c>
      <c r="AQ49" s="63" t="s">
        <v>217</v>
      </c>
      <c r="AR49" s="30" t="s">
        <v>219</v>
      </c>
    </row>
    <row r="50" spans="2:44" ht="21.75" customHeight="1" x14ac:dyDescent="0.45">
      <c r="B50" s="51" t="s">
        <v>99</v>
      </c>
      <c r="E50" s="52" t="s">
        <v>87</v>
      </c>
      <c r="F50" s="51" t="str">
        <f>"Warengruppe&gt;&gt;"&amp;_xlfn.TEXTJOIN("&gt;&gt;",TRUE,Migrationsartikel!V49:X49)</f>
        <v>Warengruppe&gt;&gt;Früchte und Gemüse&gt;&gt;Früchte und Gemüse&gt;&gt;Früchte</v>
      </c>
      <c r="H50" s="52" t="s">
        <v>109</v>
      </c>
      <c r="J50" s="51" t="str">
        <f>_xlfn.TEXTJOIN(" ",TRUE,Migrationsartikel!B49,Migrationsartikel!E49)</f>
        <v>2205617000000</v>
      </c>
      <c r="L50" s="51" t="str">
        <f>_xlfn.TEXTJOIN(" ",TRUE,Migrationsartikel!F49:H49)</f>
        <v>Bio Birnen Williams Offen Kl. 1 500g</v>
      </c>
      <c r="M50" s="51" t="str">
        <f>_xlfn.TEXTJOIN(" ",TRUE,Migrationsartikel!J49:L49)</f>
        <v>Bio Poires Williams En vrac, cl. 1 500g</v>
      </c>
      <c r="N50" s="51" t="str">
        <f>_xlfn.TEXTJOIN(" ",TRUE,Migrationsartikel!N49:P49)</f>
        <v>Bio Pere Williams Cl. 1 vendita sfusa 500g</v>
      </c>
      <c r="O50" s="51" t="str">
        <f>Migrationsartikel!F49</f>
        <v>Bio Birnen Williams</v>
      </c>
      <c r="P50" s="51" t="str">
        <f>Migrationsartikel!J49</f>
        <v>Bio Poires Williams</v>
      </c>
      <c r="Q50" s="51" t="str">
        <f>Migrationsartikel!N49</f>
        <v>Bio Pere Williams</v>
      </c>
      <c r="R50" s="51" t="str">
        <f>_xlfn.TEXTJOIN(" ",TRUE,Migrationsartikel!G49)</f>
        <v>Offen Kl. 1</v>
      </c>
      <c r="S50" s="51" t="str">
        <f>_xlfn.TEXTJOIN(" ",TRUE,Migrationsartikel!K49)</f>
        <v>En vrac, cl. 1</v>
      </c>
      <c r="T50" s="51" t="str">
        <f>_xlfn.TEXTJOIN(" ",TRUE,Migrationsartikel!O49)</f>
        <v>Cl. 1 vendita sfusa</v>
      </c>
      <c r="U50" s="51" t="str">
        <f>_xlfn.TEXTJOIN(" ",TRUE,Migrationsartikel!H49)</f>
        <v>500g</v>
      </c>
      <c r="V50" s="51" t="str">
        <f>_xlfn.TEXTJOIN(" ",TRUE,Migrationsartikel!L49)</f>
        <v>500g</v>
      </c>
      <c r="W50" s="51" t="str">
        <f>_xlfn.TEXTJOIN(" ",TRUE,Migrationsartikel!P49)</f>
        <v>500g</v>
      </c>
      <c r="X50" s="51" t="str">
        <f>Migrationsartikel!I49</f>
        <v>Bio Birne Will. Off Kl1 500g</v>
      </c>
      <c r="Y50" s="51" t="str">
        <f>Migrationsartikel!M49</f>
        <v>Bio Poires Will. cl1 en vrac</v>
      </c>
      <c r="Z50" s="51" t="str">
        <f>Migrationsartikel!Q49</f>
        <v>Bio Pere Williams cl. 1 500g</v>
      </c>
      <c r="AA50" s="60">
        <f>Migrationsartikel!R49</f>
        <v>0.5</v>
      </c>
      <c r="AB50" s="51" t="str">
        <f>Migrationsartikel!T49</f>
        <v>Kilogramm</v>
      </c>
      <c r="AC50" s="62">
        <f>Migrationsartikel!S49</f>
        <v>1</v>
      </c>
      <c r="AD50" s="51" t="str">
        <f>Migrationsartikel!U49</f>
        <v>(PCE) Stück</v>
      </c>
      <c r="AE50" s="95" t="str">
        <f>Migrationsartikel!Y49</f>
        <v>3 - Reduzierter Satz</v>
      </c>
      <c r="AF50" s="64" t="str">
        <f>IF(Migrationsartikel!AA49="Kein Depotartikel","",Migrationsartikel!AA49)</f>
        <v/>
      </c>
      <c r="AG50" s="95" t="str">
        <f>Migrationsartikel!Z49</f>
        <v>Keine</v>
      </c>
      <c r="AH50" s="51" t="str">
        <f>IF(Migrationsartikel!AB49="ja","true",FALSE)</f>
        <v>true</v>
      </c>
      <c r="AI50" s="51" t="str">
        <f>IF(Migrationsartikel!AC49="ja","true",FALSE)</f>
        <v>true</v>
      </c>
      <c r="AJ50" s="51" t="str">
        <f>IF(Migrationsartikel!AD49="ja","true",FALSE)</f>
        <v>true</v>
      </c>
      <c r="AK50" s="51" t="str">
        <f>IF(Migrationsartikel!AE49="ja","true",FALSE)</f>
        <v>true</v>
      </c>
      <c r="AL50" s="51" t="str">
        <f>IF(Migrationsartikel!AF49="ja","Denner Partner","")</f>
        <v/>
      </c>
      <c r="AM50" s="51" t="str">
        <f>IF(Migrationsartikel!AG49="ja","true","false")</f>
        <v>false</v>
      </c>
      <c r="AN50" s="51" t="str">
        <f t="shared" si="1"/>
        <v>Kassentastenbelegung (ohne GTIN/PLU)</v>
      </c>
      <c r="AO50" s="63" t="s">
        <v>219</v>
      </c>
      <c r="AP50" s="62" t="s">
        <v>2477</v>
      </c>
      <c r="AQ50" s="63" t="s">
        <v>217</v>
      </c>
      <c r="AR50" s="30" t="s">
        <v>219</v>
      </c>
    </row>
    <row r="51" spans="2:44" ht="21.75" customHeight="1" x14ac:dyDescent="0.45">
      <c r="B51" s="51" t="s">
        <v>99</v>
      </c>
      <c r="E51" s="52" t="s">
        <v>87</v>
      </c>
      <c r="F51" s="51" t="str">
        <f>"Warengruppe&gt;&gt;"&amp;_xlfn.TEXTJOIN("&gt;&gt;",TRUE,Migrationsartikel!V50:X50)</f>
        <v>Warengruppe&gt;&gt;Früchte und Gemüse&gt;&gt;Früchte und Gemüse&gt;&gt;Früchte</v>
      </c>
      <c r="H51" s="52" t="s">
        <v>109</v>
      </c>
      <c r="J51" s="51" t="str">
        <f>_xlfn.TEXTJOIN(" ",TRUE,Migrationsartikel!B50,Migrationsartikel!E50)</f>
        <v>168</v>
      </c>
      <c r="L51" s="51" t="str">
        <f>_xlfn.TEXTJOIN(" ",TRUE,Migrationsartikel!F50:H50)</f>
        <v>Orangen Tarocco Offen</v>
      </c>
      <c r="M51" s="51" t="str">
        <f>_xlfn.TEXTJOIN(" ",TRUE,Migrationsartikel!J50:L50)</f>
        <v>Oranges Tarocco En vrac</v>
      </c>
      <c r="N51" s="51" t="str">
        <f>_xlfn.TEXTJOIN(" ",TRUE,Migrationsartikel!N50:P50)</f>
        <v>Arance Tarocco vendita sfusa</v>
      </c>
      <c r="O51" s="51" t="str">
        <f>Migrationsartikel!F50</f>
        <v>Orangen Tarocco</v>
      </c>
      <c r="P51" s="51" t="str">
        <f>Migrationsartikel!J50</f>
        <v>Oranges Tarocco</v>
      </c>
      <c r="Q51" s="51" t="str">
        <f>Migrationsartikel!N50</f>
        <v>Arance Tarocco</v>
      </c>
      <c r="R51" s="51" t="str">
        <f>_xlfn.TEXTJOIN(" ",TRUE,Migrationsartikel!G50)</f>
        <v>Offen</v>
      </c>
      <c r="S51" s="51" t="str">
        <f>_xlfn.TEXTJOIN(" ",TRUE,Migrationsartikel!K50)</f>
        <v>En vrac</v>
      </c>
      <c r="T51" s="51" t="str">
        <f>_xlfn.TEXTJOIN(" ",TRUE,Migrationsartikel!O50)</f>
        <v>vendita sfusa</v>
      </c>
      <c r="U51" s="51" t="str">
        <f>_xlfn.TEXTJOIN(" ",TRUE,Migrationsartikel!H50)</f>
        <v/>
      </c>
      <c r="V51" s="51" t="str">
        <f>_xlfn.TEXTJOIN(" ",TRUE,Migrationsartikel!L50)</f>
        <v/>
      </c>
      <c r="W51" s="51" t="str">
        <f>_xlfn.TEXTJOIN(" ",TRUE,Migrationsartikel!P50)</f>
        <v/>
      </c>
      <c r="X51" s="51" t="str">
        <f>Migrationsartikel!I50</f>
        <v>Orangen Tarocco Offen</v>
      </c>
      <c r="Y51" s="51" t="str">
        <f>Migrationsartikel!M50</f>
        <v>Oranges Tarocco en vrac</v>
      </c>
      <c r="Z51" s="51" t="str">
        <f>Migrationsartikel!Q50</f>
        <v>Arance Tarocco vendita sfusa</v>
      </c>
      <c r="AA51" s="60">
        <f>Migrationsartikel!R50</f>
        <v>1</v>
      </c>
      <c r="AB51" s="51" t="str">
        <f>Migrationsartikel!T50</f>
        <v>Kilogramm</v>
      </c>
      <c r="AC51" s="62">
        <f>Migrationsartikel!S50</f>
        <v>1</v>
      </c>
      <c r="AD51" s="51" t="str">
        <f>Migrationsartikel!U50</f>
        <v>(KGM) KG</v>
      </c>
      <c r="AE51" s="95" t="str">
        <f>Migrationsartikel!Y50</f>
        <v>3 - Reduzierter Satz</v>
      </c>
      <c r="AF51" s="64" t="str">
        <f>IF(Migrationsartikel!AA50="Kein Depotartikel","",Migrationsartikel!AA50)</f>
        <v/>
      </c>
      <c r="AG51" s="95" t="str">
        <f>Migrationsartikel!Z50</f>
        <v>Keine</v>
      </c>
      <c r="AH51" s="51" t="str">
        <f>IF(Migrationsartikel!AB50="ja","true",FALSE)</f>
        <v>true</v>
      </c>
      <c r="AI51" s="51" t="str">
        <f>IF(Migrationsartikel!AC50="ja","true",FALSE)</f>
        <v>true</v>
      </c>
      <c r="AJ51" s="51" t="str">
        <f>IF(Migrationsartikel!AD50="ja","true",FALSE)</f>
        <v>true</v>
      </c>
      <c r="AK51" s="51" t="str">
        <f>IF(Migrationsartikel!AE50="ja","true",FALSE)</f>
        <v>true</v>
      </c>
      <c r="AL51" s="51" t="str">
        <f>IF(Migrationsartikel!AF50="ja","Denner Partner","")</f>
        <v/>
      </c>
      <c r="AM51" s="51" t="str">
        <f>IF(Migrationsartikel!AG50="ja","true","false")</f>
        <v>false</v>
      </c>
      <c r="AN51" s="51" t="str">
        <f t="shared" si="1"/>
        <v>Kassentastenbelegung (ohne GTIN/PLU)</v>
      </c>
      <c r="AO51" s="63" t="s">
        <v>219</v>
      </c>
      <c r="AP51" s="62" t="s">
        <v>2478</v>
      </c>
      <c r="AQ51" s="63" t="s">
        <v>217</v>
      </c>
      <c r="AR51" s="30" t="s">
        <v>219</v>
      </c>
    </row>
    <row r="52" spans="2:44" ht="21.75" customHeight="1" x14ac:dyDescent="0.45">
      <c r="B52" s="51" t="s">
        <v>99</v>
      </c>
      <c r="E52" s="52" t="s">
        <v>87</v>
      </c>
      <c r="F52" s="51" t="str">
        <f>"Warengruppe&gt;&gt;"&amp;_xlfn.TEXTJOIN("&gt;&gt;",TRUE,Migrationsartikel!V51:X51)</f>
        <v>Warengruppe&gt;&gt;Früchte und Gemüse&gt;&gt;Früchte und Gemüse&gt;&gt;Früchte</v>
      </c>
      <c r="H52" s="52" t="s">
        <v>109</v>
      </c>
      <c r="J52" s="51" t="str">
        <f>_xlfn.TEXTJOIN(" ",TRUE,Migrationsartikel!B51,Migrationsartikel!E51)</f>
        <v>100</v>
      </c>
      <c r="L52" s="51" t="str">
        <f>_xlfn.TEXTJOIN(" ",TRUE,Migrationsartikel!F51:H51)</f>
        <v>Äpfel Boskoop Offen Kl. 1</v>
      </c>
      <c r="M52" s="51" t="str">
        <f>_xlfn.TEXTJOIN(" ",TRUE,Migrationsartikel!J51:L51)</f>
        <v>Pommes Boskoop En vrac, cl. 1</v>
      </c>
      <c r="N52" s="51" t="str">
        <f>_xlfn.TEXTJOIN(" ",TRUE,Migrationsartikel!N51:P51)</f>
        <v>Mele Boskoop Cl. 1 vendita sfusa</v>
      </c>
      <c r="O52" s="51" t="str">
        <f>Migrationsartikel!F51</f>
        <v>Äpfel Boskoop</v>
      </c>
      <c r="P52" s="51" t="str">
        <f>Migrationsartikel!J51</f>
        <v>Pommes Boskoop</v>
      </c>
      <c r="Q52" s="51" t="str">
        <f>Migrationsartikel!N51</f>
        <v>Mele Boskoop</v>
      </c>
      <c r="R52" s="51" t="str">
        <f>_xlfn.TEXTJOIN(" ",TRUE,Migrationsartikel!G51)</f>
        <v>Offen Kl. 1</v>
      </c>
      <c r="S52" s="51" t="str">
        <f>_xlfn.TEXTJOIN(" ",TRUE,Migrationsartikel!K51)</f>
        <v>En vrac, cl. 1</v>
      </c>
      <c r="T52" s="51" t="str">
        <f>_xlfn.TEXTJOIN(" ",TRUE,Migrationsartikel!O51)</f>
        <v>Cl. 1 vendita sfusa</v>
      </c>
      <c r="U52" s="51" t="str">
        <f>_xlfn.TEXTJOIN(" ",TRUE,Migrationsartikel!H51)</f>
        <v/>
      </c>
      <c r="V52" s="51" t="str">
        <f>_xlfn.TEXTJOIN(" ",TRUE,Migrationsartikel!L51)</f>
        <v/>
      </c>
      <c r="W52" s="51" t="str">
        <f>_xlfn.TEXTJOIN(" ",TRUE,Migrationsartikel!P51)</f>
        <v/>
      </c>
      <c r="X52" s="51" t="str">
        <f>Migrationsartikel!I51</f>
        <v>Äpel Boskoop Offen Kl. 1</v>
      </c>
      <c r="Y52" s="51" t="str">
        <f>Migrationsartikel!M51</f>
        <v>Pommes Boskoop cl.1 en vrac</v>
      </c>
      <c r="Z52" s="51" t="str">
        <f>Migrationsartikel!Q51</f>
        <v>Mele Boskoop cl. 1 v. sfusa</v>
      </c>
      <c r="AA52" s="60">
        <f>Migrationsartikel!R51</f>
        <v>1</v>
      </c>
      <c r="AB52" s="51" t="str">
        <f>Migrationsartikel!T51</f>
        <v>Kilogramm</v>
      </c>
      <c r="AC52" s="62">
        <f>Migrationsartikel!S51</f>
        <v>1</v>
      </c>
      <c r="AD52" s="51" t="str">
        <f>Migrationsartikel!U51</f>
        <v>(KGM) KG</v>
      </c>
      <c r="AE52" s="95" t="str">
        <f>Migrationsartikel!Y51</f>
        <v>3 - Reduzierter Satz</v>
      </c>
      <c r="AF52" s="64" t="str">
        <f>IF(Migrationsartikel!AA51="Kein Depotartikel","",Migrationsartikel!AA51)</f>
        <v/>
      </c>
      <c r="AG52" s="95" t="str">
        <f>Migrationsartikel!Z51</f>
        <v>Keine</v>
      </c>
      <c r="AH52" s="51" t="str">
        <f>IF(Migrationsartikel!AB51="ja","true",FALSE)</f>
        <v>true</v>
      </c>
      <c r="AI52" s="51" t="str">
        <f>IF(Migrationsartikel!AC51="ja","true",FALSE)</f>
        <v>true</v>
      </c>
      <c r="AJ52" s="51" t="str">
        <f>IF(Migrationsartikel!AD51="ja","true",FALSE)</f>
        <v>true</v>
      </c>
      <c r="AK52" s="51" t="str">
        <f>IF(Migrationsartikel!AE51="ja","true",FALSE)</f>
        <v>true</v>
      </c>
      <c r="AL52" s="51" t="str">
        <f>IF(Migrationsartikel!AF51="ja","Denner Partner","")</f>
        <v/>
      </c>
      <c r="AM52" s="51" t="str">
        <f>IF(Migrationsartikel!AG51="ja","true","false")</f>
        <v>false</v>
      </c>
      <c r="AN52" s="51" t="str">
        <f t="shared" si="1"/>
        <v>Kassentastenbelegung (ohne GTIN/PLU)</v>
      </c>
      <c r="AO52" s="63" t="s">
        <v>219</v>
      </c>
      <c r="AP52" s="62" t="s">
        <v>2479</v>
      </c>
      <c r="AQ52" s="63" t="s">
        <v>217</v>
      </c>
      <c r="AR52" s="30" t="s">
        <v>219</v>
      </c>
    </row>
    <row r="53" spans="2:44" ht="21.75" customHeight="1" x14ac:dyDescent="0.45">
      <c r="B53" s="51" t="s">
        <v>99</v>
      </c>
      <c r="E53" s="52" t="s">
        <v>87</v>
      </c>
      <c r="F53" s="51" t="str">
        <f>"Warengruppe&gt;&gt;"&amp;_xlfn.TEXTJOIN("&gt;&gt;",TRUE,Migrationsartikel!V52:X52)</f>
        <v>Warengruppe&gt;&gt;Früchte und Gemüse&gt;&gt;Früchte und Gemüse&gt;&gt;Früchte</v>
      </c>
      <c r="H53" s="52" t="s">
        <v>109</v>
      </c>
      <c r="J53" s="51" t="str">
        <f>_xlfn.TEXTJOIN(" ",TRUE,Migrationsartikel!B52,Migrationsartikel!E52)</f>
        <v>2216961000005</v>
      </c>
      <c r="L53" s="51" t="str">
        <f>_xlfn.TEXTJOIN(" ",TRUE,Migrationsartikel!F52:H52)</f>
        <v>Äpfel Boskoop Kl. 1 gepackt</v>
      </c>
      <c r="M53" s="51" t="str">
        <f>_xlfn.TEXTJOIN(" ",TRUE,Migrationsartikel!J52:L52)</f>
        <v>Pommes Boskoop Cl. 1 emballé</v>
      </c>
      <c r="N53" s="51" t="str">
        <f>_xlfn.TEXTJOIN(" ",TRUE,Migrationsartikel!N52:P52)</f>
        <v>Mele Boskoop Cl. 1 confezionato</v>
      </c>
      <c r="O53" s="51" t="str">
        <f>Migrationsartikel!F52</f>
        <v>Äpfel Boskoop</v>
      </c>
      <c r="P53" s="51" t="str">
        <f>Migrationsartikel!J52</f>
        <v>Pommes Boskoop</v>
      </c>
      <c r="Q53" s="51" t="str">
        <f>Migrationsartikel!N52</f>
        <v>Mele Boskoop</v>
      </c>
      <c r="R53" s="51" t="str">
        <f>_xlfn.TEXTJOIN(" ",TRUE,Migrationsartikel!G52)</f>
        <v>Kl. 1 gepackt</v>
      </c>
      <c r="S53" s="51" t="str">
        <f>_xlfn.TEXTJOIN(" ",TRUE,Migrationsartikel!K52)</f>
        <v>Cl. 1 emballé</v>
      </c>
      <c r="T53" s="51" t="str">
        <f>_xlfn.TEXTJOIN(" ",TRUE,Migrationsartikel!O52)</f>
        <v>Cl. 1 confezionato</v>
      </c>
      <c r="U53" s="51" t="str">
        <f>_xlfn.TEXTJOIN(" ",TRUE,Migrationsartikel!H52)</f>
        <v/>
      </c>
      <c r="V53" s="51" t="str">
        <f>_xlfn.TEXTJOIN(" ",TRUE,Migrationsartikel!L52)</f>
        <v/>
      </c>
      <c r="W53" s="51" t="str">
        <f>_xlfn.TEXTJOIN(" ",TRUE,Migrationsartikel!P52)</f>
        <v/>
      </c>
      <c r="X53" s="51" t="str">
        <f>Migrationsartikel!I52</f>
        <v>Äpfel Boskoop Kl. 1 gepackt</v>
      </c>
      <c r="Y53" s="51" t="str">
        <f>Migrationsartikel!M52</f>
        <v>Pommes Boskoop cl.1 emball.</v>
      </c>
      <c r="Z53" s="51" t="str">
        <f>Migrationsartikel!Q52</f>
        <v>Mele Boskoop cl. 1 confez.</v>
      </c>
      <c r="AA53" s="60">
        <f>Migrationsartikel!R52</f>
        <v>1</v>
      </c>
      <c r="AB53" s="51" t="str">
        <f>Migrationsartikel!T52</f>
        <v>Kilogramm</v>
      </c>
      <c r="AC53" s="62">
        <f>Migrationsartikel!S52</f>
        <v>1</v>
      </c>
      <c r="AD53" s="51" t="str">
        <f>Migrationsartikel!U52</f>
        <v>(PCE) Stück</v>
      </c>
      <c r="AE53" s="95" t="str">
        <f>Migrationsartikel!Y52</f>
        <v>3 - Reduzierter Satz</v>
      </c>
      <c r="AF53" s="64" t="str">
        <f>IF(Migrationsartikel!AA52="Kein Depotartikel","",Migrationsartikel!AA52)</f>
        <v/>
      </c>
      <c r="AG53" s="95" t="str">
        <f>Migrationsartikel!Z52</f>
        <v>Keine</v>
      </c>
      <c r="AH53" s="51" t="str">
        <f>IF(Migrationsartikel!AB52="ja","true",FALSE)</f>
        <v>true</v>
      </c>
      <c r="AI53" s="51" t="str">
        <f>IF(Migrationsartikel!AC52="ja","true",FALSE)</f>
        <v>true</v>
      </c>
      <c r="AJ53" s="51" t="str">
        <f>IF(Migrationsartikel!AD52="ja","true",FALSE)</f>
        <v>true</v>
      </c>
      <c r="AK53" s="51" t="str">
        <f>IF(Migrationsartikel!AE52="ja","true",FALSE)</f>
        <v>true</v>
      </c>
      <c r="AL53" s="51" t="str">
        <f>IF(Migrationsartikel!AF52="ja","Denner Partner","")</f>
        <v/>
      </c>
      <c r="AM53" s="51" t="str">
        <f>IF(Migrationsartikel!AG52="ja","true","false")</f>
        <v>false</v>
      </c>
      <c r="AN53" s="51" t="str">
        <f t="shared" si="1"/>
        <v>Kassentastenbelegung (ohne GTIN/PLU)</v>
      </c>
      <c r="AO53" s="63" t="s">
        <v>219</v>
      </c>
      <c r="AP53" s="62" t="s">
        <v>2480</v>
      </c>
      <c r="AQ53" s="63" t="s">
        <v>217</v>
      </c>
      <c r="AR53" s="30" t="s">
        <v>219</v>
      </c>
    </row>
    <row r="54" spans="2:44" ht="21.75" customHeight="1" x14ac:dyDescent="0.45">
      <c r="B54" s="51" t="s">
        <v>99</v>
      </c>
      <c r="E54" s="52" t="s">
        <v>87</v>
      </c>
      <c r="F54" s="51" t="str">
        <f>"Warengruppe&gt;&gt;"&amp;_xlfn.TEXTJOIN("&gt;&gt;",TRUE,Migrationsartikel!V53:X53)</f>
        <v>Warengruppe&gt;&gt;Früchte und Gemüse&gt;&gt;Früchte und Gemüse&gt;&gt;Früchte</v>
      </c>
      <c r="H54" s="52" t="s">
        <v>109</v>
      </c>
      <c r="J54" s="51" t="str">
        <f>_xlfn.TEXTJOIN(" ",TRUE,Migrationsartikel!B53,Migrationsartikel!E53)</f>
        <v>101</v>
      </c>
      <c r="L54" s="51" t="str">
        <f>_xlfn.TEXTJOIN(" ",TRUE,Migrationsartikel!F53:H53)</f>
        <v>Äpfel Braeburn Offen Kl. 1</v>
      </c>
      <c r="M54" s="51" t="str">
        <f>_xlfn.TEXTJOIN(" ",TRUE,Migrationsartikel!J53:L53)</f>
        <v>Pommes Braeburn En vrac, cl. 1</v>
      </c>
      <c r="N54" s="51" t="str">
        <f>_xlfn.TEXTJOIN(" ",TRUE,Migrationsartikel!N53:P53)</f>
        <v>Mele Braeburn Cl. 1 vendita sfusa</v>
      </c>
      <c r="O54" s="51" t="str">
        <f>Migrationsartikel!F53</f>
        <v>Äpfel Braeburn</v>
      </c>
      <c r="P54" s="51" t="str">
        <f>Migrationsartikel!J53</f>
        <v>Pommes Braeburn</v>
      </c>
      <c r="Q54" s="51" t="str">
        <f>Migrationsartikel!N53</f>
        <v>Mele Braeburn</v>
      </c>
      <c r="R54" s="51" t="str">
        <f>_xlfn.TEXTJOIN(" ",TRUE,Migrationsartikel!G53)</f>
        <v>Offen Kl. 1</v>
      </c>
      <c r="S54" s="51" t="str">
        <f>_xlfn.TEXTJOIN(" ",TRUE,Migrationsartikel!K53)</f>
        <v>En vrac, cl. 1</v>
      </c>
      <c r="T54" s="51" t="str">
        <f>_xlfn.TEXTJOIN(" ",TRUE,Migrationsartikel!O53)</f>
        <v>Cl. 1 vendita sfusa</v>
      </c>
      <c r="U54" s="51" t="str">
        <f>_xlfn.TEXTJOIN(" ",TRUE,Migrationsartikel!H53)</f>
        <v/>
      </c>
      <c r="V54" s="51" t="str">
        <f>_xlfn.TEXTJOIN(" ",TRUE,Migrationsartikel!L53)</f>
        <v/>
      </c>
      <c r="W54" s="51" t="str">
        <f>_xlfn.TEXTJOIN(" ",TRUE,Migrationsartikel!P53)</f>
        <v/>
      </c>
      <c r="X54" s="51" t="str">
        <f>Migrationsartikel!I53</f>
        <v>Äpfel Braeburn Offen Kl. 1</v>
      </c>
      <c r="Y54" s="51" t="str">
        <f>Migrationsartikel!M53</f>
        <v>Pommes Braeburn cl.1 en vrac</v>
      </c>
      <c r="Z54" s="51" t="str">
        <f>Migrationsartikel!Q53</f>
        <v>Mele Braeburn cl. 1 v. sfusa</v>
      </c>
      <c r="AA54" s="60">
        <f>Migrationsartikel!R53</f>
        <v>1</v>
      </c>
      <c r="AB54" s="51" t="str">
        <f>Migrationsartikel!T53</f>
        <v>Kilogramm</v>
      </c>
      <c r="AC54" s="62">
        <f>Migrationsartikel!S53</f>
        <v>1</v>
      </c>
      <c r="AD54" s="51" t="str">
        <f>Migrationsartikel!U53</f>
        <v>(KGM) KG</v>
      </c>
      <c r="AE54" s="95" t="str">
        <f>Migrationsartikel!Y53</f>
        <v>3 - Reduzierter Satz</v>
      </c>
      <c r="AF54" s="64" t="str">
        <f>IF(Migrationsartikel!AA53="Kein Depotartikel","",Migrationsartikel!AA53)</f>
        <v/>
      </c>
      <c r="AG54" s="95" t="str">
        <f>Migrationsartikel!Z53</f>
        <v>Keine</v>
      </c>
      <c r="AH54" s="51" t="str">
        <f>IF(Migrationsartikel!AB53="ja","true",FALSE)</f>
        <v>true</v>
      </c>
      <c r="AI54" s="51" t="str">
        <f>IF(Migrationsartikel!AC53="ja","true",FALSE)</f>
        <v>true</v>
      </c>
      <c r="AJ54" s="51" t="str">
        <f>IF(Migrationsartikel!AD53="ja","true",FALSE)</f>
        <v>true</v>
      </c>
      <c r="AK54" s="51" t="str">
        <f>IF(Migrationsartikel!AE53="ja","true",FALSE)</f>
        <v>true</v>
      </c>
      <c r="AL54" s="51" t="str">
        <f>IF(Migrationsartikel!AF53="ja","Denner Partner","")</f>
        <v/>
      </c>
      <c r="AM54" s="51" t="str">
        <f>IF(Migrationsartikel!AG53="ja","true","false")</f>
        <v>false</v>
      </c>
      <c r="AN54" s="51" t="str">
        <f t="shared" si="1"/>
        <v>Kassentastenbelegung (ohne GTIN/PLU)</v>
      </c>
      <c r="AO54" s="63" t="s">
        <v>219</v>
      </c>
      <c r="AP54" s="62" t="s">
        <v>2481</v>
      </c>
      <c r="AQ54" s="63" t="s">
        <v>217</v>
      </c>
      <c r="AR54" s="30" t="s">
        <v>219</v>
      </c>
    </row>
    <row r="55" spans="2:44" ht="21.75" customHeight="1" x14ac:dyDescent="0.45">
      <c r="B55" s="51" t="s">
        <v>99</v>
      </c>
      <c r="E55" s="52" t="s">
        <v>87</v>
      </c>
      <c r="F55" s="51" t="str">
        <f>"Warengruppe&gt;&gt;"&amp;_xlfn.TEXTJOIN("&gt;&gt;",TRUE,Migrationsartikel!V54:X54)</f>
        <v>Warengruppe&gt;&gt;Früchte und Gemüse&gt;&gt;Früchte und Gemüse&gt;&gt;Früchte</v>
      </c>
      <c r="H55" s="52" t="s">
        <v>109</v>
      </c>
      <c r="J55" s="51" t="str">
        <f>_xlfn.TEXTJOIN(" ",TRUE,Migrationsartikel!B54,Migrationsartikel!E54)</f>
        <v>2274484000001</v>
      </c>
      <c r="L55" s="51" t="str">
        <f>_xlfn.TEXTJOIN(" ",TRUE,Migrationsartikel!F54:H54)</f>
        <v>Äpfel Braeburn Kl. 1 gepackt</v>
      </c>
      <c r="M55" s="51" t="str">
        <f>_xlfn.TEXTJOIN(" ",TRUE,Migrationsartikel!J54:L54)</f>
        <v>Pommes Braeburn Cl. 1 emballé</v>
      </c>
      <c r="N55" s="51" t="str">
        <f>_xlfn.TEXTJOIN(" ",TRUE,Migrationsartikel!N54:P54)</f>
        <v>Mele Braeburn Cl. 1 confezionato</v>
      </c>
      <c r="O55" s="51" t="str">
        <f>Migrationsartikel!F54</f>
        <v>Äpfel Braeburn</v>
      </c>
      <c r="P55" s="51" t="str">
        <f>Migrationsartikel!J54</f>
        <v>Pommes Braeburn</v>
      </c>
      <c r="Q55" s="51" t="str">
        <f>Migrationsartikel!N54</f>
        <v>Mele Braeburn</v>
      </c>
      <c r="R55" s="51" t="str">
        <f>_xlfn.TEXTJOIN(" ",TRUE,Migrationsartikel!G54)</f>
        <v>Kl. 1 gepackt</v>
      </c>
      <c r="S55" s="51" t="str">
        <f>_xlfn.TEXTJOIN(" ",TRUE,Migrationsartikel!K54)</f>
        <v>Cl. 1 emballé</v>
      </c>
      <c r="T55" s="51" t="str">
        <f>_xlfn.TEXTJOIN(" ",TRUE,Migrationsartikel!O54)</f>
        <v>Cl. 1 confezionato</v>
      </c>
      <c r="U55" s="51" t="str">
        <f>_xlfn.TEXTJOIN(" ",TRUE,Migrationsartikel!H54)</f>
        <v/>
      </c>
      <c r="V55" s="51" t="str">
        <f>_xlfn.TEXTJOIN(" ",TRUE,Migrationsartikel!L54)</f>
        <v/>
      </c>
      <c r="W55" s="51" t="str">
        <f>_xlfn.TEXTJOIN(" ",TRUE,Migrationsartikel!P54)</f>
        <v/>
      </c>
      <c r="X55" s="51" t="str">
        <f>Migrationsartikel!I54</f>
        <v>Äpfel Braeburn Kl. 1 gepackt</v>
      </c>
      <c r="Y55" s="51" t="str">
        <f>Migrationsartikel!M54</f>
        <v>Pommes Braeburn cl.1 emball.</v>
      </c>
      <c r="Z55" s="51" t="str">
        <f>Migrationsartikel!Q54</f>
        <v>Mele Braeburn cl. 1 confez.</v>
      </c>
      <c r="AA55" s="60">
        <f>Migrationsartikel!R54</f>
        <v>1</v>
      </c>
      <c r="AB55" s="51" t="str">
        <f>Migrationsartikel!T54</f>
        <v>Kilogramm</v>
      </c>
      <c r="AC55" s="62">
        <f>Migrationsartikel!S54</f>
        <v>1</v>
      </c>
      <c r="AD55" s="51" t="str">
        <f>Migrationsartikel!U54</f>
        <v>(PCE) Stück</v>
      </c>
      <c r="AE55" s="95" t="str">
        <f>Migrationsartikel!Y54</f>
        <v>3 - Reduzierter Satz</v>
      </c>
      <c r="AF55" s="64" t="str">
        <f>IF(Migrationsartikel!AA54="Kein Depotartikel","",Migrationsartikel!AA54)</f>
        <v/>
      </c>
      <c r="AG55" s="95" t="str">
        <f>Migrationsartikel!Z54</f>
        <v>Keine</v>
      </c>
      <c r="AH55" s="51" t="str">
        <f>IF(Migrationsartikel!AB54="ja","true",FALSE)</f>
        <v>true</v>
      </c>
      <c r="AI55" s="51" t="str">
        <f>IF(Migrationsartikel!AC54="ja","true",FALSE)</f>
        <v>true</v>
      </c>
      <c r="AJ55" s="51" t="str">
        <f>IF(Migrationsartikel!AD54="ja","true",FALSE)</f>
        <v>true</v>
      </c>
      <c r="AK55" s="51" t="str">
        <f>IF(Migrationsartikel!AE54="ja","true",FALSE)</f>
        <v>true</v>
      </c>
      <c r="AL55" s="51" t="str">
        <f>IF(Migrationsartikel!AF54="ja","Denner Partner","")</f>
        <v/>
      </c>
      <c r="AM55" s="51" t="str">
        <f>IF(Migrationsartikel!AG54="ja","true","false")</f>
        <v>false</v>
      </c>
      <c r="AN55" s="51" t="str">
        <f t="shared" si="1"/>
        <v>Kassentastenbelegung (ohne GTIN/PLU)</v>
      </c>
      <c r="AO55" s="63" t="s">
        <v>219</v>
      </c>
      <c r="AP55" s="62" t="s">
        <v>2482</v>
      </c>
      <c r="AQ55" s="63" t="s">
        <v>217</v>
      </c>
      <c r="AR55" s="30" t="s">
        <v>219</v>
      </c>
    </row>
    <row r="56" spans="2:44" ht="21.75" customHeight="1" x14ac:dyDescent="0.45">
      <c r="B56" s="51" t="s">
        <v>99</v>
      </c>
      <c r="E56" s="52" t="s">
        <v>87</v>
      </c>
      <c r="F56" s="51" t="str">
        <f>"Warengruppe&gt;&gt;"&amp;_xlfn.TEXTJOIN("&gt;&gt;",TRUE,Migrationsartikel!V55:X55)</f>
        <v>Warengruppe&gt;&gt;Früchte und Gemüse&gt;&gt;Früchte und Gemüse&gt;&gt;Früchte</v>
      </c>
      <c r="H56" s="52" t="s">
        <v>109</v>
      </c>
      <c r="J56" s="51" t="str">
        <f>_xlfn.TEXTJOIN(" ",TRUE,Migrationsartikel!B55,Migrationsartikel!E55)</f>
        <v>102</v>
      </c>
      <c r="L56" s="51" t="str">
        <f>_xlfn.TEXTJOIN(" ",TRUE,Migrationsartikel!F55:H55)</f>
        <v>Äpfel Braeburn Offen Kl. 2</v>
      </c>
      <c r="M56" s="51" t="str">
        <f>_xlfn.TEXTJOIN(" ",TRUE,Migrationsartikel!J55:L55)</f>
        <v>Pommes Braeburn En vrac, cl. 2</v>
      </c>
      <c r="N56" s="51" t="str">
        <f>_xlfn.TEXTJOIN(" ",TRUE,Migrationsartikel!N55:P55)</f>
        <v>Mele Braeburn Cl. 2 vendita sfusa</v>
      </c>
      <c r="O56" s="51" t="str">
        <f>Migrationsartikel!F55</f>
        <v>Äpfel Braeburn</v>
      </c>
      <c r="P56" s="51" t="str">
        <f>Migrationsartikel!J55</f>
        <v>Pommes Braeburn</v>
      </c>
      <c r="Q56" s="51" t="str">
        <f>Migrationsartikel!N55</f>
        <v>Mele Braeburn</v>
      </c>
      <c r="R56" s="51" t="str">
        <f>_xlfn.TEXTJOIN(" ",TRUE,Migrationsartikel!G55)</f>
        <v>Offen Kl. 2</v>
      </c>
      <c r="S56" s="51" t="str">
        <f>_xlfn.TEXTJOIN(" ",TRUE,Migrationsartikel!K55)</f>
        <v>En vrac, cl. 2</v>
      </c>
      <c r="T56" s="51" t="str">
        <f>_xlfn.TEXTJOIN(" ",TRUE,Migrationsartikel!O55)</f>
        <v>Cl. 2 vendita sfusa</v>
      </c>
      <c r="U56" s="51" t="str">
        <f>_xlfn.TEXTJOIN(" ",TRUE,Migrationsartikel!H55)</f>
        <v/>
      </c>
      <c r="V56" s="51" t="str">
        <f>_xlfn.TEXTJOIN(" ",TRUE,Migrationsartikel!L55)</f>
        <v/>
      </c>
      <c r="W56" s="51" t="str">
        <f>_xlfn.TEXTJOIN(" ",TRUE,Migrationsartikel!P55)</f>
        <v/>
      </c>
      <c r="X56" s="51" t="str">
        <f>Migrationsartikel!I55</f>
        <v>Äpfel Braeburn Offen Kl. 2</v>
      </c>
      <c r="Y56" s="51" t="str">
        <f>Migrationsartikel!M55</f>
        <v>Pommes Braeburn cl.2 en vrac</v>
      </c>
      <c r="Z56" s="51" t="str">
        <f>Migrationsartikel!Q55</f>
        <v>Mele Braeburn cl. 2 v. sfusa</v>
      </c>
      <c r="AA56" s="60">
        <f>Migrationsartikel!R55</f>
        <v>1</v>
      </c>
      <c r="AB56" s="51" t="str">
        <f>Migrationsartikel!T55</f>
        <v>Kilogramm</v>
      </c>
      <c r="AC56" s="62">
        <f>Migrationsartikel!S55</f>
        <v>1</v>
      </c>
      <c r="AD56" s="51" t="str">
        <f>Migrationsartikel!U55</f>
        <v>(KGM) KG</v>
      </c>
      <c r="AE56" s="95" t="str">
        <f>Migrationsartikel!Y55</f>
        <v>3 - Reduzierter Satz</v>
      </c>
      <c r="AF56" s="64" t="str">
        <f>IF(Migrationsartikel!AA55="Kein Depotartikel","",Migrationsartikel!AA55)</f>
        <v/>
      </c>
      <c r="AG56" s="95" t="str">
        <f>Migrationsartikel!Z55</f>
        <v>Keine</v>
      </c>
      <c r="AH56" s="51" t="str">
        <f>IF(Migrationsartikel!AB55="ja","true",FALSE)</f>
        <v>true</v>
      </c>
      <c r="AI56" s="51" t="str">
        <f>IF(Migrationsartikel!AC55="ja","true",FALSE)</f>
        <v>true</v>
      </c>
      <c r="AJ56" s="51" t="str">
        <f>IF(Migrationsartikel!AD55="ja","true",FALSE)</f>
        <v>true</v>
      </c>
      <c r="AK56" s="51" t="str">
        <f>IF(Migrationsartikel!AE55="ja","true",FALSE)</f>
        <v>true</v>
      </c>
      <c r="AL56" s="51" t="str">
        <f>IF(Migrationsartikel!AF55="ja","Denner Partner","")</f>
        <v/>
      </c>
      <c r="AM56" s="51" t="str">
        <f>IF(Migrationsartikel!AG55="ja","true","false")</f>
        <v>false</v>
      </c>
      <c r="AN56" s="51" t="str">
        <f t="shared" si="1"/>
        <v>Kassentastenbelegung (ohne GTIN/PLU)</v>
      </c>
      <c r="AO56" s="63" t="s">
        <v>219</v>
      </c>
      <c r="AP56" s="62" t="s">
        <v>2483</v>
      </c>
      <c r="AQ56" s="63" t="s">
        <v>217</v>
      </c>
      <c r="AR56" s="30" t="s">
        <v>219</v>
      </c>
    </row>
    <row r="57" spans="2:44" ht="21.75" customHeight="1" x14ac:dyDescent="0.45">
      <c r="B57" s="51" t="s">
        <v>99</v>
      </c>
      <c r="E57" s="52" t="s">
        <v>87</v>
      </c>
      <c r="F57" s="51" t="str">
        <f>"Warengruppe&gt;&gt;"&amp;_xlfn.TEXTJOIN("&gt;&gt;",TRUE,Migrationsartikel!V56:X56)</f>
        <v>Warengruppe&gt;&gt;Früchte und Gemüse&gt;&gt;Früchte und Gemüse&gt;&gt;Früchte</v>
      </c>
      <c r="H57" s="52" t="s">
        <v>109</v>
      </c>
      <c r="J57" s="51" t="str">
        <f>_xlfn.TEXTJOIN(" ",TRUE,Migrationsartikel!B56,Migrationsartikel!E56)</f>
        <v>7610632010280</v>
      </c>
      <c r="L57" s="51" t="str">
        <f>_xlfn.TEXTJOIN(" ",TRUE,Migrationsartikel!F56:H56)</f>
        <v>Brombeeren Schale 125g</v>
      </c>
      <c r="M57" s="51" t="str">
        <f>_xlfn.TEXTJOIN(" ",TRUE,Migrationsartikel!J56:L56)</f>
        <v>Mûres Barquette 125g</v>
      </c>
      <c r="N57" s="51" t="str">
        <f>_xlfn.TEXTJOIN(" ",TRUE,Migrationsartikel!N56:P56)</f>
        <v>More vaschetta 125g</v>
      </c>
      <c r="O57" s="51" t="str">
        <f>Migrationsartikel!F56</f>
        <v>Brombeeren</v>
      </c>
      <c r="P57" s="51" t="str">
        <f>Migrationsartikel!J56</f>
        <v>Mûres</v>
      </c>
      <c r="Q57" s="51" t="str">
        <f>Migrationsartikel!N56</f>
        <v>More</v>
      </c>
      <c r="R57" s="51" t="str">
        <f>_xlfn.TEXTJOIN(" ",TRUE,Migrationsartikel!G56)</f>
        <v>Schale</v>
      </c>
      <c r="S57" s="51" t="str">
        <f>_xlfn.TEXTJOIN(" ",TRUE,Migrationsartikel!K56)</f>
        <v>Barquette</v>
      </c>
      <c r="T57" s="51" t="str">
        <f>_xlfn.TEXTJOIN(" ",TRUE,Migrationsartikel!O56)</f>
        <v>vaschetta</v>
      </c>
      <c r="U57" s="51" t="str">
        <f>_xlfn.TEXTJOIN(" ",TRUE,Migrationsartikel!H56)</f>
        <v>125g</v>
      </c>
      <c r="V57" s="51" t="str">
        <f>_xlfn.TEXTJOIN(" ",TRUE,Migrationsartikel!L56)</f>
        <v>125g</v>
      </c>
      <c r="W57" s="51" t="str">
        <f>_xlfn.TEXTJOIN(" ",TRUE,Migrationsartikel!P56)</f>
        <v>125g</v>
      </c>
      <c r="X57" s="51" t="str">
        <f>Migrationsartikel!I56</f>
        <v>Brombeeren Schale 125g</v>
      </c>
      <c r="Y57" s="51" t="str">
        <f>Migrationsartikel!M56</f>
        <v>Mûres barquette 125g</v>
      </c>
      <c r="Z57" s="51" t="str">
        <f>Migrationsartikel!Q56</f>
        <v>More vaschetta 125g</v>
      </c>
      <c r="AA57" s="60">
        <f>Migrationsartikel!R56</f>
        <v>0.125</v>
      </c>
      <c r="AB57" s="51" t="str">
        <f>Migrationsartikel!T56</f>
        <v>Gramm</v>
      </c>
      <c r="AC57" s="62">
        <f>Migrationsartikel!S56</f>
        <v>100</v>
      </c>
      <c r="AD57" s="51" t="str">
        <f>Migrationsartikel!U56</f>
        <v>(PCE) Stück</v>
      </c>
      <c r="AE57" s="95" t="str">
        <f>Migrationsartikel!Y56</f>
        <v>3 - Reduzierter Satz</v>
      </c>
      <c r="AF57" s="64" t="str">
        <f>IF(Migrationsartikel!AA56="Kein Depotartikel","",Migrationsartikel!AA56)</f>
        <v/>
      </c>
      <c r="AG57" s="95" t="str">
        <f>Migrationsartikel!Z56</f>
        <v>Keine</v>
      </c>
      <c r="AH57" s="51" t="str">
        <f>IF(Migrationsartikel!AB56="ja","true",FALSE)</f>
        <v>true</v>
      </c>
      <c r="AI57" s="51" t="str">
        <f>IF(Migrationsartikel!AC56="ja","true",FALSE)</f>
        <v>true</v>
      </c>
      <c r="AJ57" s="51" t="str">
        <f>IF(Migrationsartikel!AD56="ja","true",FALSE)</f>
        <v>true</v>
      </c>
      <c r="AK57" s="51" t="str">
        <f>IF(Migrationsartikel!AE56="ja","true",FALSE)</f>
        <v>true</v>
      </c>
      <c r="AL57" s="51" t="str">
        <f>IF(Migrationsartikel!AF56="ja","Denner Partner","")</f>
        <v/>
      </c>
      <c r="AM57" s="51" t="str">
        <f>IF(Migrationsartikel!AG56="ja","true","false")</f>
        <v>false</v>
      </c>
      <c r="AN57" s="51" t="str">
        <f t="shared" si="1"/>
        <v>Kassentastenbelegung (ohne GTIN/PLU)</v>
      </c>
      <c r="AO57" s="63" t="s">
        <v>219</v>
      </c>
      <c r="AP57" s="62" t="s">
        <v>2484</v>
      </c>
      <c r="AQ57" s="63" t="s">
        <v>217</v>
      </c>
      <c r="AR57" s="30" t="s">
        <v>219</v>
      </c>
    </row>
    <row r="58" spans="2:44" ht="21.75" customHeight="1" x14ac:dyDescent="0.45">
      <c r="B58" s="51" t="s">
        <v>99</v>
      </c>
      <c r="E58" s="52" t="s">
        <v>87</v>
      </c>
      <c r="F58" s="51" t="str">
        <f>"Warengruppe&gt;&gt;"&amp;_xlfn.TEXTJOIN("&gt;&gt;",TRUE,Migrationsartikel!V57:X57)</f>
        <v>Warengruppe&gt;&gt;Früchte und Gemüse&gt;&gt;Früchte und Gemüse&gt;&gt;Früchte</v>
      </c>
      <c r="H58" s="52" t="s">
        <v>109</v>
      </c>
      <c r="J58" s="51" t="str">
        <f>_xlfn.TEXTJOIN(" ",TRUE,Migrationsartikel!B57,Migrationsartikel!E57)</f>
        <v>7610632050064</v>
      </c>
      <c r="L58" s="51" t="str">
        <f>_xlfn.TEXTJOIN(" ",TRUE,Migrationsartikel!F57:H57)</f>
        <v>Brombeeren Schale 250g</v>
      </c>
      <c r="M58" s="51" t="str">
        <f>_xlfn.TEXTJOIN(" ",TRUE,Migrationsartikel!J57:L57)</f>
        <v>Mûres Barquette 250g</v>
      </c>
      <c r="N58" s="51" t="str">
        <f>_xlfn.TEXTJOIN(" ",TRUE,Migrationsartikel!N57:P57)</f>
        <v>More vaschetta 250g</v>
      </c>
      <c r="O58" s="51" t="str">
        <f>Migrationsartikel!F57</f>
        <v>Brombeeren</v>
      </c>
      <c r="P58" s="51" t="str">
        <f>Migrationsartikel!J57</f>
        <v>Mûres</v>
      </c>
      <c r="Q58" s="51" t="str">
        <f>Migrationsartikel!N57</f>
        <v>More</v>
      </c>
      <c r="R58" s="51" t="str">
        <f>_xlfn.TEXTJOIN(" ",TRUE,Migrationsartikel!G57)</f>
        <v>Schale</v>
      </c>
      <c r="S58" s="51" t="str">
        <f>_xlfn.TEXTJOIN(" ",TRUE,Migrationsartikel!K57)</f>
        <v>Barquette</v>
      </c>
      <c r="T58" s="51" t="str">
        <f>_xlfn.TEXTJOIN(" ",TRUE,Migrationsartikel!O57)</f>
        <v>vaschetta</v>
      </c>
      <c r="U58" s="51" t="str">
        <f>_xlfn.TEXTJOIN(" ",TRUE,Migrationsartikel!H57)</f>
        <v>250g</v>
      </c>
      <c r="V58" s="51" t="str">
        <f>_xlfn.TEXTJOIN(" ",TRUE,Migrationsartikel!L57)</f>
        <v>250g</v>
      </c>
      <c r="W58" s="51" t="str">
        <f>_xlfn.TEXTJOIN(" ",TRUE,Migrationsartikel!P57)</f>
        <v>250g</v>
      </c>
      <c r="X58" s="51" t="str">
        <f>Migrationsartikel!I57</f>
        <v>Brombeeren Schale 250g</v>
      </c>
      <c r="Y58" s="51" t="str">
        <f>Migrationsartikel!M57</f>
        <v>Mûres barquette 250g</v>
      </c>
      <c r="Z58" s="51" t="str">
        <f>Migrationsartikel!Q57</f>
        <v>More vaschetta 250g</v>
      </c>
      <c r="AA58" s="60">
        <f>Migrationsartikel!R57</f>
        <v>0.25</v>
      </c>
      <c r="AB58" s="51" t="str">
        <f>Migrationsartikel!T57</f>
        <v>Gramm</v>
      </c>
      <c r="AC58" s="62">
        <f>Migrationsartikel!S57</f>
        <v>100</v>
      </c>
      <c r="AD58" s="51" t="str">
        <f>Migrationsartikel!U57</f>
        <v>(PCE) Stück</v>
      </c>
      <c r="AE58" s="95" t="str">
        <f>Migrationsartikel!Y57</f>
        <v>3 - Reduzierter Satz</v>
      </c>
      <c r="AF58" s="64" t="str">
        <f>IF(Migrationsartikel!AA57="Kein Depotartikel","",Migrationsartikel!AA57)</f>
        <v/>
      </c>
      <c r="AG58" s="95" t="str">
        <f>Migrationsartikel!Z57</f>
        <v>Keine</v>
      </c>
      <c r="AH58" s="51" t="str">
        <f>IF(Migrationsartikel!AB57="ja","true",FALSE)</f>
        <v>true</v>
      </c>
      <c r="AI58" s="51" t="str">
        <f>IF(Migrationsartikel!AC57="ja","true",FALSE)</f>
        <v>true</v>
      </c>
      <c r="AJ58" s="51" t="str">
        <f>IF(Migrationsartikel!AD57="ja","true",FALSE)</f>
        <v>true</v>
      </c>
      <c r="AK58" s="51" t="str">
        <f>IF(Migrationsartikel!AE57="ja","true",FALSE)</f>
        <v>true</v>
      </c>
      <c r="AL58" s="51" t="str">
        <f>IF(Migrationsartikel!AF57="ja","Denner Partner","")</f>
        <v/>
      </c>
      <c r="AM58" s="51" t="str">
        <f>IF(Migrationsartikel!AG57="ja","true","false")</f>
        <v>false</v>
      </c>
      <c r="AN58" s="51" t="str">
        <f t="shared" si="1"/>
        <v>Kassentastenbelegung (ohne GTIN/PLU)</v>
      </c>
      <c r="AO58" s="63" t="s">
        <v>219</v>
      </c>
      <c r="AP58" s="62" t="s">
        <v>2485</v>
      </c>
      <c r="AQ58" s="63" t="s">
        <v>217</v>
      </c>
      <c r="AR58" s="30" t="s">
        <v>219</v>
      </c>
    </row>
    <row r="59" spans="2:44" ht="21.75" customHeight="1" x14ac:dyDescent="0.45">
      <c r="B59" s="51" t="s">
        <v>99</v>
      </c>
      <c r="E59" s="52" t="s">
        <v>87</v>
      </c>
      <c r="F59" s="51" t="str">
        <f>"Warengruppe&gt;&gt;"&amp;_xlfn.TEXTJOIN("&gt;&gt;",TRUE,Migrationsartikel!V58:X58)</f>
        <v>Warengruppe&gt;&gt;Früchte und Gemüse&gt;&gt;Früchte und Gemüse&gt;&gt;Früchte</v>
      </c>
      <c r="H59" s="52" t="s">
        <v>109</v>
      </c>
      <c r="J59" s="51" t="str">
        <f>_xlfn.TEXTJOIN(" ",TRUE,Migrationsartikel!B58,Migrationsartikel!E58)</f>
        <v>139</v>
      </c>
      <c r="L59" s="51" t="str">
        <f>_xlfn.TEXTJOIN(" ",TRUE,Migrationsartikel!F58:H58)</f>
        <v>Bio Clementinen Offen</v>
      </c>
      <c r="M59" s="51" t="str">
        <f>_xlfn.TEXTJOIN(" ",TRUE,Migrationsartikel!J58:L58)</f>
        <v>Bio Clémentines En vrac</v>
      </c>
      <c r="N59" s="51" t="str">
        <f>_xlfn.TEXTJOIN(" ",TRUE,Migrationsartikel!N58:P58)</f>
        <v>Bio Clementine vendita sfusa</v>
      </c>
      <c r="O59" s="51" t="str">
        <f>Migrationsartikel!F58</f>
        <v>Bio Clementinen</v>
      </c>
      <c r="P59" s="51" t="str">
        <f>Migrationsartikel!J58</f>
        <v>Bio Clémentines</v>
      </c>
      <c r="Q59" s="51" t="str">
        <f>Migrationsartikel!N58</f>
        <v>Bio Clementine</v>
      </c>
      <c r="R59" s="51" t="str">
        <f>_xlfn.TEXTJOIN(" ",TRUE,Migrationsartikel!G58)</f>
        <v>Offen</v>
      </c>
      <c r="S59" s="51" t="str">
        <f>_xlfn.TEXTJOIN(" ",TRUE,Migrationsartikel!K58)</f>
        <v>En vrac</v>
      </c>
      <c r="T59" s="51" t="str">
        <f>_xlfn.TEXTJOIN(" ",TRUE,Migrationsartikel!O58)</f>
        <v>vendita sfusa</v>
      </c>
      <c r="U59" s="51" t="str">
        <f>_xlfn.TEXTJOIN(" ",TRUE,Migrationsartikel!H58)</f>
        <v/>
      </c>
      <c r="V59" s="51" t="str">
        <f>_xlfn.TEXTJOIN(" ",TRUE,Migrationsartikel!L58)</f>
        <v/>
      </c>
      <c r="W59" s="51" t="str">
        <f>_xlfn.TEXTJOIN(" ",TRUE,Migrationsartikel!P58)</f>
        <v/>
      </c>
      <c r="X59" s="51" t="str">
        <f>Migrationsartikel!I58</f>
        <v>Bio Clementinen Offen</v>
      </c>
      <c r="Y59" s="51" t="str">
        <f>Migrationsartikel!M58</f>
        <v>Bio Clémentines en vrac</v>
      </c>
      <c r="Z59" s="51" t="str">
        <f>Migrationsartikel!Q58</f>
        <v>Bio Clementine vendita sfusa</v>
      </c>
      <c r="AA59" s="60">
        <f>Migrationsartikel!R58</f>
        <v>1</v>
      </c>
      <c r="AB59" s="51" t="str">
        <f>Migrationsartikel!T58</f>
        <v>Kilogramm</v>
      </c>
      <c r="AC59" s="62">
        <f>Migrationsartikel!S58</f>
        <v>1</v>
      </c>
      <c r="AD59" s="51" t="str">
        <f>Migrationsartikel!U58</f>
        <v>(KGM) KG</v>
      </c>
      <c r="AE59" s="95" t="str">
        <f>Migrationsartikel!Y58</f>
        <v>3 - Reduzierter Satz</v>
      </c>
      <c r="AF59" s="64" t="str">
        <f>IF(Migrationsartikel!AA58="Kein Depotartikel","",Migrationsartikel!AA58)</f>
        <v/>
      </c>
      <c r="AG59" s="95" t="str">
        <f>Migrationsartikel!Z58</f>
        <v>Keine</v>
      </c>
      <c r="AH59" s="51" t="str">
        <f>IF(Migrationsartikel!AB58="ja","true",FALSE)</f>
        <v>true</v>
      </c>
      <c r="AI59" s="51" t="str">
        <f>IF(Migrationsartikel!AC58="ja","true",FALSE)</f>
        <v>true</v>
      </c>
      <c r="AJ59" s="51" t="str">
        <f>IF(Migrationsartikel!AD58="ja","true",FALSE)</f>
        <v>true</v>
      </c>
      <c r="AK59" s="51" t="str">
        <f>IF(Migrationsartikel!AE58="ja","true",FALSE)</f>
        <v>true</v>
      </c>
      <c r="AL59" s="51" t="str">
        <f>IF(Migrationsartikel!AF58="ja","Denner Partner","")</f>
        <v/>
      </c>
      <c r="AM59" s="51" t="str">
        <f>IF(Migrationsartikel!AG58="ja","true","false")</f>
        <v>false</v>
      </c>
      <c r="AN59" s="51" t="str">
        <f t="shared" si="1"/>
        <v>Kassentastenbelegung (ohne GTIN/PLU)</v>
      </c>
      <c r="AO59" s="63" t="s">
        <v>219</v>
      </c>
      <c r="AP59" s="62" t="s">
        <v>2486</v>
      </c>
      <c r="AQ59" s="63" t="s">
        <v>217</v>
      </c>
      <c r="AR59" s="30" t="s">
        <v>219</v>
      </c>
    </row>
    <row r="60" spans="2:44" ht="21.75" customHeight="1" x14ac:dyDescent="0.45">
      <c r="B60" s="51" t="s">
        <v>99</v>
      </c>
      <c r="E60" s="52" t="s">
        <v>87</v>
      </c>
      <c r="F60" s="51" t="str">
        <f>"Warengruppe&gt;&gt;"&amp;_xlfn.TEXTJOIN("&gt;&gt;",TRUE,Migrationsartikel!V59:X59)</f>
        <v>Warengruppe&gt;&gt;Früchte und Gemüse&gt;&gt;Früchte und Gemüse&gt;&gt;Früchte</v>
      </c>
      <c r="H60" s="52" t="s">
        <v>109</v>
      </c>
      <c r="J60" s="51" t="str">
        <f>_xlfn.TEXTJOIN(" ",TRUE,Migrationsartikel!B59,Migrationsartikel!E59)</f>
        <v>140</v>
      </c>
      <c r="L60" s="51" t="str">
        <f>_xlfn.TEXTJOIN(" ",TRUE,Migrationsartikel!F59:H59)</f>
        <v>Clementinen mit Blatt Offen</v>
      </c>
      <c r="M60" s="51" t="str">
        <f>_xlfn.TEXTJOIN(" ",TRUE,Migrationsartikel!J59:L59)</f>
        <v>Clémentines + feuilles En vrac</v>
      </c>
      <c r="N60" s="51" t="str">
        <f>_xlfn.TEXTJOIN(" ",TRUE,Migrationsartikel!N59:P59)</f>
        <v>Clementine con foglia vendita sfusa</v>
      </c>
      <c r="O60" s="51" t="str">
        <f>Migrationsartikel!F59</f>
        <v>Clementinen mit Blatt</v>
      </c>
      <c r="P60" s="51" t="str">
        <f>Migrationsartikel!J59</f>
        <v>Clémentines + feuilles</v>
      </c>
      <c r="Q60" s="51" t="str">
        <f>Migrationsartikel!N59</f>
        <v>Clementine con foglia</v>
      </c>
      <c r="R60" s="51" t="str">
        <f>_xlfn.TEXTJOIN(" ",TRUE,Migrationsartikel!G59)</f>
        <v>Offen</v>
      </c>
      <c r="S60" s="51" t="str">
        <f>_xlfn.TEXTJOIN(" ",TRUE,Migrationsartikel!K59)</f>
        <v>En vrac</v>
      </c>
      <c r="T60" s="51" t="str">
        <f>_xlfn.TEXTJOIN(" ",TRUE,Migrationsartikel!O59)</f>
        <v>vendita sfusa</v>
      </c>
      <c r="U60" s="51" t="str">
        <f>_xlfn.TEXTJOIN(" ",TRUE,Migrationsartikel!H59)</f>
        <v/>
      </c>
      <c r="V60" s="51" t="str">
        <f>_xlfn.TEXTJOIN(" ",TRUE,Migrationsartikel!L59)</f>
        <v/>
      </c>
      <c r="W60" s="51" t="str">
        <f>_xlfn.TEXTJOIN(" ",TRUE,Migrationsartikel!P59)</f>
        <v/>
      </c>
      <c r="X60" s="51" t="str">
        <f>Migrationsartikel!I59</f>
        <v>Clementinen mit Blatt Offen</v>
      </c>
      <c r="Y60" s="51" t="str">
        <f>Migrationsartikel!M59</f>
        <v>Clémentines feuilles en vrac</v>
      </c>
      <c r="Z60" s="51" t="str">
        <f>Migrationsartikel!Q59</f>
        <v>Clementine con foglia v.s.</v>
      </c>
      <c r="AA60" s="60">
        <f>Migrationsartikel!R59</f>
        <v>1</v>
      </c>
      <c r="AB60" s="51" t="str">
        <f>Migrationsartikel!T59</f>
        <v>Kilogramm</v>
      </c>
      <c r="AC60" s="62">
        <f>Migrationsartikel!S59</f>
        <v>1</v>
      </c>
      <c r="AD60" s="51" t="str">
        <f>Migrationsartikel!U59</f>
        <v>(KGM) KG</v>
      </c>
      <c r="AE60" s="95" t="str">
        <f>Migrationsartikel!Y59</f>
        <v>3 - Reduzierter Satz</v>
      </c>
      <c r="AF60" s="64" t="str">
        <f>IF(Migrationsartikel!AA59="Kein Depotartikel","",Migrationsartikel!AA59)</f>
        <v/>
      </c>
      <c r="AG60" s="95" t="str">
        <f>Migrationsartikel!Z59</f>
        <v>Keine</v>
      </c>
      <c r="AH60" s="51" t="str">
        <f>IF(Migrationsartikel!AB59="ja","true",FALSE)</f>
        <v>true</v>
      </c>
      <c r="AI60" s="51" t="str">
        <f>IF(Migrationsartikel!AC59="ja","true",FALSE)</f>
        <v>true</v>
      </c>
      <c r="AJ60" s="51" t="str">
        <f>IF(Migrationsartikel!AD59="ja","true",FALSE)</f>
        <v>true</v>
      </c>
      <c r="AK60" s="51" t="str">
        <f>IF(Migrationsartikel!AE59="ja","true",FALSE)</f>
        <v>true</v>
      </c>
      <c r="AL60" s="51" t="str">
        <f>IF(Migrationsartikel!AF59="ja","Denner Partner","")</f>
        <v/>
      </c>
      <c r="AM60" s="51" t="str">
        <f>IF(Migrationsartikel!AG59="ja","true","false")</f>
        <v>false</v>
      </c>
      <c r="AN60" s="51" t="str">
        <f t="shared" si="1"/>
        <v>Kassentastenbelegung (ohne GTIN/PLU)</v>
      </c>
      <c r="AO60" s="63" t="s">
        <v>219</v>
      </c>
      <c r="AP60" s="62" t="s">
        <v>2487</v>
      </c>
      <c r="AQ60" s="63" t="s">
        <v>217</v>
      </c>
      <c r="AR60" s="30" t="s">
        <v>219</v>
      </c>
    </row>
    <row r="61" spans="2:44" ht="21.75" customHeight="1" x14ac:dyDescent="0.45">
      <c r="B61" s="51" t="s">
        <v>99</v>
      </c>
      <c r="E61" s="52" t="s">
        <v>87</v>
      </c>
      <c r="F61" s="51" t="str">
        <f>"Warengruppe&gt;&gt;"&amp;_xlfn.TEXTJOIN("&gt;&gt;",TRUE,Migrationsartikel!V60:X60)</f>
        <v>Warengruppe&gt;&gt;Früchte und Gemüse&gt;&gt;Früchte und Gemüse&gt;&gt;Früchte</v>
      </c>
      <c r="H61" s="52" t="s">
        <v>109</v>
      </c>
      <c r="J61" s="51" t="str">
        <f>_xlfn.TEXTJOIN(" ",TRUE,Migrationsartikel!B60,Migrationsartikel!E60)</f>
        <v>141</v>
      </c>
      <c r="L61" s="51" t="str">
        <f>_xlfn.TEXTJOIN(" ",TRUE,Migrationsartikel!F60:H60)</f>
        <v>Clementinen Rotkehlchen Offen</v>
      </c>
      <c r="M61" s="51" t="str">
        <f>_xlfn.TEXTJOIN(" ",TRUE,Migrationsartikel!J60:L60)</f>
        <v>Clément. Rotkehlchen En vrac</v>
      </c>
      <c r="N61" s="51" t="str">
        <f>_xlfn.TEXTJOIN(" ",TRUE,Migrationsartikel!N60:P60)</f>
        <v>Clementine Rotkehlchen vendita sfusa</v>
      </c>
      <c r="O61" s="51" t="str">
        <f>Migrationsartikel!F60</f>
        <v>Clementinen</v>
      </c>
      <c r="P61" s="51" t="str">
        <f>Migrationsartikel!J60</f>
        <v>Clément. Rotkehlchen</v>
      </c>
      <c r="Q61" s="51" t="str">
        <f>Migrationsartikel!N60</f>
        <v>Clementine Rotkehlchen</v>
      </c>
      <c r="R61" s="51" t="str">
        <f>_xlfn.TEXTJOIN(" ",TRUE,Migrationsartikel!G60)</f>
        <v>Rotkehlchen Offen</v>
      </c>
      <c r="S61" s="51" t="str">
        <f>_xlfn.TEXTJOIN(" ",TRUE,Migrationsartikel!K60)</f>
        <v>En vrac</v>
      </c>
      <c r="T61" s="51" t="str">
        <f>_xlfn.TEXTJOIN(" ",TRUE,Migrationsartikel!O60)</f>
        <v>vendita sfusa</v>
      </c>
      <c r="U61" s="51" t="str">
        <f>_xlfn.TEXTJOIN(" ",TRUE,Migrationsartikel!H60)</f>
        <v/>
      </c>
      <c r="V61" s="51" t="str">
        <f>_xlfn.TEXTJOIN(" ",TRUE,Migrationsartikel!L60)</f>
        <v/>
      </c>
      <c r="W61" s="51" t="str">
        <f>_xlfn.TEXTJOIN(" ",TRUE,Migrationsartikel!P60)</f>
        <v/>
      </c>
      <c r="X61" s="51" t="str">
        <f>Migrationsartikel!I60</f>
        <v>Clement. Rothehlchen Off.</v>
      </c>
      <c r="Y61" s="51" t="str">
        <f>Migrationsartikel!M60</f>
        <v>Clémentines Rotkehl en vrac</v>
      </c>
      <c r="Z61" s="51" t="str">
        <f>Migrationsartikel!Q60</f>
        <v>Clementine Rotk. v. sfusa</v>
      </c>
      <c r="AA61" s="60">
        <f>Migrationsartikel!R60</f>
        <v>1</v>
      </c>
      <c r="AB61" s="51" t="str">
        <f>Migrationsartikel!T60</f>
        <v>Kilogramm</v>
      </c>
      <c r="AC61" s="62">
        <f>Migrationsartikel!S60</f>
        <v>1</v>
      </c>
      <c r="AD61" s="51" t="str">
        <f>Migrationsartikel!U60</f>
        <v>(KGM) KG</v>
      </c>
      <c r="AE61" s="95" t="str">
        <f>Migrationsartikel!Y60</f>
        <v>3 - Reduzierter Satz</v>
      </c>
      <c r="AF61" s="64" t="str">
        <f>IF(Migrationsartikel!AA60="Kein Depotartikel","",Migrationsartikel!AA60)</f>
        <v/>
      </c>
      <c r="AG61" s="95" t="str">
        <f>Migrationsartikel!Z60</f>
        <v>Keine</v>
      </c>
      <c r="AH61" s="51" t="str">
        <f>IF(Migrationsartikel!AB60="ja","true",FALSE)</f>
        <v>true</v>
      </c>
      <c r="AI61" s="51" t="str">
        <f>IF(Migrationsartikel!AC60="ja","true",FALSE)</f>
        <v>true</v>
      </c>
      <c r="AJ61" s="51" t="str">
        <f>IF(Migrationsartikel!AD60="ja","true",FALSE)</f>
        <v>true</v>
      </c>
      <c r="AK61" s="51" t="str">
        <f>IF(Migrationsartikel!AE60="ja","true",FALSE)</f>
        <v>true</v>
      </c>
      <c r="AL61" s="51" t="str">
        <f>IF(Migrationsartikel!AF60="ja","Denner Partner","")</f>
        <v/>
      </c>
      <c r="AM61" s="51" t="str">
        <f>IF(Migrationsartikel!AG60="ja","true","false")</f>
        <v>false</v>
      </c>
      <c r="AN61" s="51" t="str">
        <f t="shared" si="1"/>
        <v>Kassentastenbelegung (ohne GTIN/PLU)</v>
      </c>
      <c r="AO61" s="63" t="s">
        <v>219</v>
      </c>
      <c r="AP61" s="62" t="s">
        <v>2488</v>
      </c>
      <c r="AQ61" s="63" t="s">
        <v>217</v>
      </c>
      <c r="AR61" s="30" t="s">
        <v>219</v>
      </c>
    </row>
    <row r="62" spans="2:44" ht="21.75" customHeight="1" x14ac:dyDescent="0.45">
      <c r="B62" s="51" t="s">
        <v>99</v>
      </c>
      <c r="E62" s="52" t="s">
        <v>87</v>
      </c>
      <c r="F62" s="51" t="str">
        <f>"Warengruppe&gt;&gt;"&amp;_xlfn.TEXTJOIN("&gt;&gt;",TRUE,Migrationsartikel!V61:X61)</f>
        <v>Warengruppe&gt;&gt;Früchte und Gemüse&gt;&gt;Früchte und Gemüse&gt;&gt;Früchte</v>
      </c>
      <c r="H62" s="52" t="s">
        <v>109</v>
      </c>
      <c r="J62" s="51" t="str">
        <f>_xlfn.TEXTJOIN(" ",TRUE,Migrationsartikel!B61,Migrationsartikel!E61)</f>
        <v>103</v>
      </c>
      <c r="L62" s="51" t="str">
        <f>_xlfn.TEXTJOIN(" ",TRUE,Migrationsartikel!F61:H61)</f>
        <v>Äpfel Cox Orange Offen Kl. 1</v>
      </c>
      <c r="M62" s="51" t="str">
        <f>_xlfn.TEXTJOIN(" ",TRUE,Migrationsartikel!J61:L61)</f>
        <v>Pommes Cox Orange En vrac, cl. 1</v>
      </c>
      <c r="N62" s="51" t="str">
        <f>_xlfn.TEXTJOIN(" ",TRUE,Migrationsartikel!N61:P61)</f>
        <v>Mele Cox Orange Cl. 1 vendita sfusa</v>
      </c>
      <c r="O62" s="51" t="str">
        <f>Migrationsartikel!F61</f>
        <v>Äpfel Cox Orange</v>
      </c>
      <c r="P62" s="51" t="str">
        <f>Migrationsartikel!J61</f>
        <v>Pommes Cox Orange</v>
      </c>
      <c r="Q62" s="51" t="str">
        <f>Migrationsartikel!N61</f>
        <v>Mele Cox Orange</v>
      </c>
      <c r="R62" s="51" t="str">
        <f>_xlfn.TEXTJOIN(" ",TRUE,Migrationsartikel!G61)</f>
        <v>Offen Kl. 1</v>
      </c>
      <c r="S62" s="51" t="str">
        <f>_xlfn.TEXTJOIN(" ",TRUE,Migrationsartikel!K61)</f>
        <v>En vrac, cl. 1</v>
      </c>
      <c r="T62" s="51" t="str">
        <f>_xlfn.TEXTJOIN(" ",TRUE,Migrationsartikel!O61)</f>
        <v>Cl. 1 vendita sfusa</v>
      </c>
      <c r="U62" s="51" t="str">
        <f>_xlfn.TEXTJOIN(" ",TRUE,Migrationsartikel!H61)</f>
        <v/>
      </c>
      <c r="V62" s="51" t="str">
        <f>_xlfn.TEXTJOIN(" ",TRUE,Migrationsartikel!L61)</f>
        <v/>
      </c>
      <c r="W62" s="51" t="str">
        <f>_xlfn.TEXTJOIN(" ",TRUE,Migrationsartikel!P61)</f>
        <v/>
      </c>
      <c r="X62" s="51" t="str">
        <f>Migrationsartikel!I61</f>
        <v>Äpfel Cox Orange Offen Kl. 1</v>
      </c>
      <c r="Y62" s="51" t="str">
        <f>Migrationsartikel!M61</f>
        <v>Pommes Cox Orange cl.1 en v.</v>
      </c>
      <c r="Z62" s="51" t="str">
        <f>Migrationsartikel!Q61</f>
        <v>Mele Cox Orange cl. 1 v.s.</v>
      </c>
      <c r="AA62" s="60">
        <f>Migrationsartikel!R61</f>
        <v>1</v>
      </c>
      <c r="AB62" s="51" t="str">
        <f>Migrationsartikel!T61</f>
        <v>Kilogramm</v>
      </c>
      <c r="AC62" s="62">
        <f>Migrationsartikel!S61</f>
        <v>1</v>
      </c>
      <c r="AD62" s="51" t="str">
        <f>Migrationsartikel!U61</f>
        <v>(KGM) KG</v>
      </c>
      <c r="AE62" s="95" t="str">
        <f>Migrationsartikel!Y61</f>
        <v>3 - Reduzierter Satz</v>
      </c>
      <c r="AF62" s="64" t="str">
        <f>IF(Migrationsartikel!AA61="Kein Depotartikel","",Migrationsartikel!AA61)</f>
        <v/>
      </c>
      <c r="AG62" s="95" t="str">
        <f>Migrationsartikel!Z61</f>
        <v>Keine</v>
      </c>
      <c r="AH62" s="51" t="str">
        <f>IF(Migrationsartikel!AB61="ja","true",FALSE)</f>
        <v>true</v>
      </c>
      <c r="AI62" s="51" t="str">
        <f>IF(Migrationsartikel!AC61="ja","true",FALSE)</f>
        <v>true</v>
      </c>
      <c r="AJ62" s="51" t="str">
        <f>IF(Migrationsartikel!AD61="ja","true",FALSE)</f>
        <v>true</v>
      </c>
      <c r="AK62" s="51" t="str">
        <f>IF(Migrationsartikel!AE61="ja","true",FALSE)</f>
        <v>true</v>
      </c>
      <c r="AL62" s="51" t="str">
        <f>IF(Migrationsartikel!AF61="ja","Denner Partner","")</f>
        <v/>
      </c>
      <c r="AM62" s="51" t="str">
        <f>IF(Migrationsartikel!AG61="ja","true","false")</f>
        <v>false</v>
      </c>
      <c r="AN62" s="51" t="str">
        <f t="shared" si="1"/>
        <v>Kassentastenbelegung (ohne GTIN/PLU)</v>
      </c>
      <c r="AO62" s="63" t="s">
        <v>219</v>
      </c>
      <c r="AP62" s="62" t="s">
        <v>2489</v>
      </c>
      <c r="AQ62" s="63" t="s">
        <v>217</v>
      </c>
      <c r="AR62" s="30" t="s">
        <v>219</v>
      </c>
    </row>
    <row r="63" spans="2:44" ht="21.75" customHeight="1" x14ac:dyDescent="0.45">
      <c r="B63" s="51" t="s">
        <v>99</v>
      </c>
      <c r="E63" s="52" t="s">
        <v>87</v>
      </c>
      <c r="F63" s="51" t="str">
        <f>"Warengruppe&gt;&gt;"&amp;_xlfn.TEXTJOIN("&gt;&gt;",TRUE,Migrationsartikel!V62:X62)</f>
        <v>Warengruppe&gt;&gt;Früchte und Gemüse&gt;&gt;Früchte und Gemüse&gt;&gt;Früchte</v>
      </c>
      <c r="H63" s="52" t="s">
        <v>109</v>
      </c>
      <c r="J63" s="51" t="str">
        <f>_xlfn.TEXTJOIN(" ",TRUE,Migrationsartikel!B62,Migrationsartikel!E62)</f>
        <v>2202261000005</v>
      </c>
      <c r="L63" s="51" t="str">
        <f>_xlfn.TEXTJOIN(" ",TRUE,Migrationsartikel!F62:H62)</f>
        <v>Äpfel Cox Orange Kl. 1 gepackt</v>
      </c>
      <c r="M63" s="51" t="str">
        <f>_xlfn.TEXTJOIN(" ",TRUE,Migrationsartikel!J62:L62)</f>
        <v>Pommes Cox Orange Cl. 1 emballé</v>
      </c>
      <c r="N63" s="51" t="str">
        <f>_xlfn.TEXTJOIN(" ",TRUE,Migrationsartikel!N62:P62)</f>
        <v>Mele Cox Orange Cl. 1 confezionato</v>
      </c>
      <c r="O63" s="51" t="str">
        <f>Migrationsartikel!F62</f>
        <v>Äpfel Cox Orange</v>
      </c>
      <c r="P63" s="51" t="str">
        <f>Migrationsartikel!J62</f>
        <v>Pommes Cox Orange</v>
      </c>
      <c r="Q63" s="51" t="str">
        <f>Migrationsartikel!N62</f>
        <v>Mele Cox Orange</v>
      </c>
      <c r="R63" s="51" t="str">
        <f>_xlfn.TEXTJOIN(" ",TRUE,Migrationsartikel!G62)</f>
        <v>Kl. 1 gepackt</v>
      </c>
      <c r="S63" s="51" t="str">
        <f>_xlfn.TEXTJOIN(" ",TRUE,Migrationsartikel!K62)</f>
        <v>Cl. 1 emballé</v>
      </c>
      <c r="T63" s="51" t="str">
        <f>_xlfn.TEXTJOIN(" ",TRUE,Migrationsartikel!O62)</f>
        <v>Cl. 1 confezionato</v>
      </c>
      <c r="U63" s="51" t="str">
        <f>_xlfn.TEXTJOIN(" ",TRUE,Migrationsartikel!H62)</f>
        <v/>
      </c>
      <c r="V63" s="51" t="str">
        <f>_xlfn.TEXTJOIN(" ",TRUE,Migrationsartikel!L62)</f>
        <v/>
      </c>
      <c r="W63" s="51" t="str">
        <f>_xlfn.TEXTJOIN(" ",TRUE,Migrationsartikel!P62)</f>
        <v/>
      </c>
      <c r="X63" s="51" t="str">
        <f>Migrationsartikel!I62</f>
        <v>Äpfel Cox Orange Kl. 1 gep.</v>
      </c>
      <c r="Y63" s="51" t="str">
        <f>Migrationsartikel!M62</f>
        <v>Pommes Cox Orange cl.1 emb.</v>
      </c>
      <c r="Z63" s="51" t="str">
        <f>Migrationsartikel!Q62</f>
        <v>Mele Cox Orange cl. 1 confez</v>
      </c>
      <c r="AA63" s="60">
        <f>Migrationsartikel!R62</f>
        <v>1</v>
      </c>
      <c r="AB63" s="51" t="str">
        <f>Migrationsartikel!T62</f>
        <v>Kilogramm</v>
      </c>
      <c r="AC63" s="62">
        <f>Migrationsartikel!S62</f>
        <v>1</v>
      </c>
      <c r="AD63" s="51" t="str">
        <f>Migrationsartikel!U62</f>
        <v>(PCE) Stück</v>
      </c>
      <c r="AE63" s="95" t="str">
        <f>Migrationsartikel!Y62</f>
        <v>3 - Reduzierter Satz</v>
      </c>
      <c r="AF63" s="64" t="str">
        <f>IF(Migrationsartikel!AA62="Kein Depotartikel","",Migrationsartikel!AA62)</f>
        <v/>
      </c>
      <c r="AG63" s="95" t="str">
        <f>Migrationsartikel!Z62</f>
        <v>Keine</v>
      </c>
      <c r="AH63" s="51" t="str">
        <f>IF(Migrationsartikel!AB62="ja","true",FALSE)</f>
        <v>true</v>
      </c>
      <c r="AI63" s="51" t="str">
        <f>IF(Migrationsartikel!AC62="ja","true",FALSE)</f>
        <v>true</v>
      </c>
      <c r="AJ63" s="51" t="str">
        <f>IF(Migrationsartikel!AD62="ja","true",FALSE)</f>
        <v>true</v>
      </c>
      <c r="AK63" s="51" t="str">
        <f>IF(Migrationsartikel!AE62="ja","true",FALSE)</f>
        <v>true</v>
      </c>
      <c r="AL63" s="51" t="str">
        <f>IF(Migrationsartikel!AF62="ja","Denner Partner","")</f>
        <v/>
      </c>
      <c r="AM63" s="51" t="str">
        <f>IF(Migrationsartikel!AG62="ja","true","false")</f>
        <v>false</v>
      </c>
      <c r="AN63" s="51" t="str">
        <f t="shared" si="1"/>
        <v>Kassentastenbelegung (ohne GTIN/PLU)</v>
      </c>
      <c r="AO63" s="63" t="s">
        <v>219</v>
      </c>
      <c r="AP63" s="62" t="s">
        <v>2490</v>
      </c>
      <c r="AQ63" s="63" t="s">
        <v>217</v>
      </c>
      <c r="AR63" s="30" t="s">
        <v>219</v>
      </c>
    </row>
    <row r="64" spans="2:44" ht="21.75" customHeight="1" x14ac:dyDescent="0.45">
      <c r="B64" s="51" t="s">
        <v>99</v>
      </c>
      <c r="E64" s="52" t="s">
        <v>87</v>
      </c>
      <c r="F64" s="51" t="str">
        <f>"Warengruppe&gt;&gt;"&amp;_xlfn.TEXTJOIN("&gt;&gt;",TRUE,Migrationsartikel!V63:X63)</f>
        <v>Warengruppe&gt;&gt;Früchte und Gemüse&gt;&gt;Früchte und Gemüse&gt;&gt;Früchte</v>
      </c>
      <c r="H64" s="52" t="s">
        <v>109</v>
      </c>
      <c r="J64" s="51" t="str">
        <f>_xlfn.TEXTJOIN(" ",TRUE,Migrationsartikel!B63,Migrationsartikel!E63)</f>
        <v>7613399008774</v>
      </c>
      <c r="L64" s="51" t="str">
        <f>_xlfn.TEXTJOIN(" ",TRUE,Migrationsartikel!F63:H63)</f>
        <v>Cranberries Beutel 340g</v>
      </c>
      <c r="M64" s="51" t="str">
        <f>_xlfn.TEXTJOIN(" ",TRUE,Migrationsartikel!J63:L63)</f>
        <v>Cranberries Sac 340g</v>
      </c>
      <c r="N64" s="51" t="str">
        <f>_xlfn.TEXTJOIN(" ",TRUE,Migrationsartikel!N63:P63)</f>
        <v>Cranberries sacchetto 340g</v>
      </c>
      <c r="O64" s="51" t="str">
        <f>Migrationsartikel!F63</f>
        <v>Cranberries</v>
      </c>
      <c r="P64" s="51" t="str">
        <f>Migrationsartikel!J63</f>
        <v>Cranberries</v>
      </c>
      <c r="Q64" s="51" t="str">
        <f>Migrationsartikel!N63</f>
        <v>Cranberries</v>
      </c>
      <c r="R64" s="51" t="str">
        <f>_xlfn.TEXTJOIN(" ",TRUE,Migrationsartikel!G63)</f>
        <v>Beutel</v>
      </c>
      <c r="S64" s="51" t="str">
        <f>_xlfn.TEXTJOIN(" ",TRUE,Migrationsartikel!K63)</f>
        <v>Sac</v>
      </c>
      <c r="T64" s="51" t="str">
        <f>_xlfn.TEXTJOIN(" ",TRUE,Migrationsartikel!O63)</f>
        <v>sacchetto</v>
      </c>
      <c r="U64" s="51" t="str">
        <f>_xlfn.TEXTJOIN(" ",TRUE,Migrationsartikel!H63)</f>
        <v>340g</v>
      </c>
      <c r="V64" s="51" t="str">
        <f>_xlfn.TEXTJOIN(" ",TRUE,Migrationsartikel!L63)</f>
        <v>340g</v>
      </c>
      <c r="W64" s="51" t="str">
        <f>_xlfn.TEXTJOIN(" ",TRUE,Migrationsartikel!P63)</f>
        <v>340g</v>
      </c>
      <c r="X64" s="51" t="str">
        <f>Migrationsartikel!I63</f>
        <v>Cranberries Beutel 340g</v>
      </c>
      <c r="Y64" s="51" t="str">
        <f>Migrationsartikel!M63</f>
        <v>Cranberries sac 340g</v>
      </c>
      <c r="Z64" s="51" t="str">
        <f>Migrationsartikel!Q63</f>
        <v>Cranberries sacchetto 340g</v>
      </c>
      <c r="AA64" s="60">
        <f>Migrationsartikel!R63</f>
        <v>0.34</v>
      </c>
      <c r="AB64" s="51" t="str">
        <f>Migrationsartikel!T63</f>
        <v>Gramm</v>
      </c>
      <c r="AC64" s="62">
        <f>Migrationsartikel!S63</f>
        <v>100</v>
      </c>
      <c r="AD64" s="51" t="str">
        <f>Migrationsartikel!U63</f>
        <v>(PCE) Stück</v>
      </c>
      <c r="AE64" s="95" t="str">
        <f>Migrationsartikel!Y63</f>
        <v>3 - Reduzierter Satz</v>
      </c>
      <c r="AF64" s="64" t="str">
        <f>IF(Migrationsartikel!AA63="Kein Depotartikel","",Migrationsartikel!AA63)</f>
        <v/>
      </c>
      <c r="AG64" s="95" t="str">
        <f>Migrationsartikel!Z63</f>
        <v>Keine</v>
      </c>
      <c r="AH64" s="51" t="str">
        <f>IF(Migrationsartikel!AB63="ja","true",FALSE)</f>
        <v>true</v>
      </c>
      <c r="AI64" s="51" t="str">
        <f>IF(Migrationsartikel!AC63="ja","true",FALSE)</f>
        <v>true</v>
      </c>
      <c r="AJ64" s="51" t="str">
        <f>IF(Migrationsartikel!AD63="ja","true",FALSE)</f>
        <v>true</v>
      </c>
      <c r="AK64" s="51" t="str">
        <f>IF(Migrationsartikel!AE63="ja","true",FALSE)</f>
        <v>true</v>
      </c>
      <c r="AL64" s="51" t="str">
        <f>IF(Migrationsartikel!AF63="ja","Denner Partner","")</f>
        <v/>
      </c>
      <c r="AM64" s="51" t="str">
        <f>IF(Migrationsartikel!AG63="ja","true","false")</f>
        <v>false</v>
      </c>
      <c r="AN64" s="51" t="str">
        <f t="shared" si="1"/>
        <v>Kassentastenbelegung (ohne GTIN/PLU)</v>
      </c>
      <c r="AO64" s="63" t="s">
        <v>219</v>
      </c>
      <c r="AP64" s="62" t="s">
        <v>2491</v>
      </c>
      <c r="AQ64" s="63" t="s">
        <v>217</v>
      </c>
      <c r="AR64" s="30" t="s">
        <v>219</v>
      </c>
    </row>
    <row r="65" spans="2:44" ht="21.75" customHeight="1" x14ac:dyDescent="0.45">
      <c r="B65" s="51" t="s">
        <v>99</v>
      </c>
      <c r="E65" s="52" t="s">
        <v>87</v>
      </c>
      <c r="F65" s="51" t="str">
        <f>"Warengruppe&gt;&gt;"&amp;_xlfn.TEXTJOIN("&gt;&gt;",TRUE,Migrationsartikel!V64:X64)</f>
        <v>Warengruppe&gt;&gt;Früchte und Gemüse&gt;&gt;Früchte und Gemüse&gt;&gt;Früchte</v>
      </c>
      <c r="H65" s="52" t="s">
        <v>109</v>
      </c>
      <c r="J65" s="51" t="str">
        <f>_xlfn.TEXTJOIN(" ",TRUE,Migrationsartikel!B64,Migrationsartikel!E64)</f>
        <v>110</v>
      </c>
      <c r="L65" s="51" t="str">
        <f>_xlfn.TEXTJOIN(" ",TRUE,Migrationsartikel!F64:H64)</f>
        <v>Äpfel Elstar Offen Kl. 1</v>
      </c>
      <c r="M65" s="51" t="str">
        <f>_xlfn.TEXTJOIN(" ",TRUE,Migrationsartikel!J64:L64)</f>
        <v>Pommes Elstar En vrac, cl. 1</v>
      </c>
      <c r="N65" s="51" t="str">
        <f>_xlfn.TEXTJOIN(" ",TRUE,Migrationsartikel!N64:P64)</f>
        <v>Mele Elstar Cl. 1 vendita sfusa</v>
      </c>
      <c r="O65" s="51" t="str">
        <f>Migrationsartikel!F64</f>
        <v>Äpfel Elstar</v>
      </c>
      <c r="P65" s="51" t="str">
        <f>Migrationsartikel!J64</f>
        <v>Pommes Elstar</v>
      </c>
      <c r="Q65" s="51" t="str">
        <f>Migrationsartikel!N64</f>
        <v>Mele Elstar</v>
      </c>
      <c r="R65" s="51" t="str">
        <f>_xlfn.TEXTJOIN(" ",TRUE,Migrationsartikel!G64)</f>
        <v>Offen Kl. 1</v>
      </c>
      <c r="S65" s="51" t="str">
        <f>_xlfn.TEXTJOIN(" ",TRUE,Migrationsartikel!K64)</f>
        <v>En vrac, cl. 1</v>
      </c>
      <c r="T65" s="51" t="str">
        <f>_xlfn.TEXTJOIN(" ",TRUE,Migrationsartikel!O64)</f>
        <v>Cl. 1 vendita sfusa</v>
      </c>
      <c r="U65" s="51" t="str">
        <f>_xlfn.TEXTJOIN(" ",TRUE,Migrationsartikel!H64)</f>
        <v/>
      </c>
      <c r="V65" s="51" t="str">
        <f>_xlfn.TEXTJOIN(" ",TRUE,Migrationsartikel!L64)</f>
        <v/>
      </c>
      <c r="W65" s="51" t="str">
        <f>_xlfn.TEXTJOIN(" ",TRUE,Migrationsartikel!P64)</f>
        <v/>
      </c>
      <c r="X65" s="51" t="str">
        <f>Migrationsartikel!I64</f>
        <v>Äpfel Elstar Offen Kl. 1</v>
      </c>
      <c r="Y65" s="51" t="str">
        <f>Migrationsartikel!M64</f>
        <v>Pommes Elstar cl. 1 en vrac</v>
      </c>
      <c r="Z65" s="51" t="str">
        <f>Migrationsartikel!Q64</f>
        <v>Mele Elstar cl. 1 ven. sfusa</v>
      </c>
      <c r="AA65" s="60">
        <f>Migrationsartikel!R64</f>
        <v>1</v>
      </c>
      <c r="AB65" s="51" t="str">
        <f>Migrationsartikel!T64</f>
        <v>Kilogramm</v>
      </c>
      <c r="AC65" s="62">
        <f>Migrationsartikel!S64</f>
        <v>1</v>
      </c>
      <c r="AD65" s="51" t="str">
        <f>Migrationsartikel!U64</f>
        <v>(KGM) KG</v>
      </c>
      <c r="AE65" s="95" t="str">
        <f>Migrationsartikel!Y64</f>
        <v>3 - Reduzierter Satz</v>
      </c>
      <c r="AF65" s="64" t="str">
        <f>IF(Migrationsartikel!AA64="Kein Depotartikel","",Migrationsartikel!AA64)</f>
        <v/>
      </c>
      <c r="AG65" s="95" t="str">
        <f>Migrationsartikel!Z64</f>
        <v>Keine</v>
      </c>
      <c r="AH65" s="51" t="str">
        <f>IF(Migrationsartikel!AB64="ja","true",FALSE)</f>
        <v>true</v>
      </c>
      <c r="AI65" s="51" t="str">
        <f>IF(Migrationsartikel!AC64="ja","true",FALSE)</f>
        <v>true</v>
      </c>
      <c r="AJ65" s="51" t="str">
        <f>IF(Migrationsartikel!AD64="ja","true",FALSE)</f>
        <v>true</v>
      </c>
      <c r="AK65" s="51" t="str">
        <f>IF(Migrationsartikel!AE64="ja","true",FALSE)</f>
        <v>true</v>
      </c>
      <c r="AL65" s="51" t="str">
        <f>IF(Migrationsartikel!AF64="ja","Denner Partner","")</f>
        <v/>
      </c>
      <c r="AM65" s="51" t="str">
        <f>IF(Migrationsartikel!AG64="ja","true","false")</f>
        <v>false</v>
      </c>
      <c r="AN65" s="51" t="str">
        <f t="shared" si="1"/>
        <v>Kassentastenbelegung (ohne GTIN/PLU)</v>
      </c>
      <c r="AO65" s="63" t="s">
        <v>219</v>
      </c>
      <c r="AP65" s="62" t="s">
        <v>2492</v>
      </c>
      <c r="AQ65" s="63" t="s">
        <v>217</v>
      </c>
      <c r="AR65" s="30" t="s">
        <v>219</v>
      </c>
    </row>
    <row r="66" spans="2:44" ht="21.75" customHeight="1" x14ac:dyDescent="0.45">
      <c r="B66" s="51" t="s">
        <v>99</v>
      </c>
      <c r="E66" s="52" t="s">
        <v>87</v>
      </c>
      <c r="F66" s="51" t="str">
        <f>"Warengruppe&gt;&gt;"&amp;_xlfn.TEXTJOIN("&gt;&gt;",TRUE,Migrationsartikel!V65:X65)</f>
        <v>Warengruppe&gt;&gt;Früchte und Gemüse&gt;&gt;Früchte und Gemüse&gt;&gt;Früchte</v>
      </c>
      <c r="H66" s="52" t="s">
        <v>109</v>
      </c>
      <c r="J66" s="51" t="str">
        <f>_xlfn.TEXTJOIN(" ",TRUE,Migrationsartikel!B65,Migrationsartikel!E65)</f>
        <v>2202291000006</v>
      </c>
      <c r="L66" s="51" t="str">
        <f>_xlfn.TEXTJOIN(" ",TRUE,Migrationsartikel!F65:H65)</f>
        <v>Äpfel Elstar Kl. 1 gepackt</v>
      </c>
      <c r="M66" s="51" t="str">
        <f>_xlfn.TEXTJOIN(" ",TRUE,Migrationsartikel!J65:L65)</f>
        <v>Pommes Elstar Cl. 1 emballé</v>
      </c>
      <c r="N66" s="51" t="str">
        <f>_xlfn.TEXTJOIN(" ",TRUE,Migrationsartikel!N65:P65)</f>
        <v>Mele Elstar Cl. 1 confezionato</v>
      </c>
      <c r="O66" s="51" t="str">
        <f>Migrationsartikel!F65</f>
        <v>Äpfel Elstar</v>
      </c>
      <c r="P66" s="51" t="str">
        <f>Migrationsartikel!J65</f>
        <v>Pommes Elstar</v>
      </c>
      <c r="Q66" s="51" t="str">
        <f>Migrationsartikel!N65</f>
        <v>Mele Elstar</v>
      </c>
      <c r="R66" s="51" t="str">
        <f>_xlfn.TEXTJOIN(" ",TRUE,Migrationsartikel!G65)</f>
        <v>Kl. 1 gepackt</v>
      </c>
      <c r="S66" s="51" t="str">
        <f>_xlfn.TEXTJOIN(" ",TRUE,Migrationsartikel!K65)</f>
        <v>Cl. 1 emballé</v>
      </c>
      <c r="T66" s="51" t="str">
        <f>_xlfn.TEXTJOIN(" ",TRUE,Migrationsartikel!O65)</f>
        <v>Cl. 1 confezionato</v>
      </c>
      <c r="U66" s="51" t="str">
        <f>_xlfn.TEXTJOIN(" ",TRUE,Migrationsartikel!H65)</f>
        <v/>
      </c>
      <c r="V66" s="51" t="str">
        <f>_xlfn.TEXTJOIN(" ",TRUE,Migrationsartikel!L65)</f>
        <v/>
      </c>
      <c r="W66" s="51" t="str">
        <f>_xlfn.TEXTJOIN(" ",TRUE,Migrationsartikel!P65)</f>
        <v/>
      </c>
      <c r="X66" s="51" t="str">
        <f>Migrationsartikel!I65</f>
        <v>Äpfel Elstar Kl. 1 gepackt</v>
      </c>
      <c r="Y66" s="51" t="str">
        <f>Migrationsartikel!M65</f>
        <v>Pommes Elstar cl. 1 emballé</v>
      </c>
      <c r="Z66" s="51" t="str">
        <f>Migrationsartikel!Q65</f>
        <v>Mele Elstar cl. 1 confez.</v>
      </c>
      <c r="AA66" s="60">
        <f>Migrationsartikel!R65</f>
        <v>1</v>
      </c>
      <c r="AB66" s="51" t="str">
        <f>Migrationsartikel!T65</f>
        <v>Kilogramm</v>
      </c>
      <c r="AC66" s="62">
        <f>Migrationsartikel!S65</f>
        <v>1</v>
      </c>
      <c r="AD66" s="51" t="str">
        <f>Migrationsartikel!U65</f>
        <v>(PCE) Stück</v>
      </c>
      <c r="AE66" s="95" t="str">
        <f>Migrationsartikel!Y65</f>
        <v>3 - Reduzierter Satz</v>
      </c>
      <c r="AF66" s="64" t="str">
        <f>IF(Migrationsartikel!AA65="Kein Depotartikel","",Migrationsartikel!AA65)</f>
        <v/>
      </c>
      <c r="AG66" s="95" t="str">
        <f>Migrationsartikel!Z65</f>
        <v>Keine</v>
      </c>
      <c r="AH66" s="51" t="str">
        <f>IF(Migrationsartikel!AB65="ja","true",FALSE)</f>
        <v>true</v>
      </c>
      <c r="AI66" s="51" t="str">
        <f>IF(Migrationsartikel!AC65="ja","true",FALSE)</f>
        <v>true</v>
      </c>
      <c r="AJ66" s="51" t="str">
        <f>IF(Migrationsartikel!AD65="ja","true",FALSE)</f>
        <v>true</v>
      </c>
      <c r="AK66" s="51" t="str">
        <f>IF(Migrationsartikel!AE65="ja","true",FALSE)</f>
        <v>true</v>
      </c>
      <c r="AL66" s="51" t="str">
        <f>IF(Migrationsartikel!AF65="ja","Denner Partner","")</f>
        <v/>
      </c>
      <c r="AM66" s="51" t="str">
        <f>IF(Migrationsartikel!AG65="ja","true","false")</f>
        <v>false</v>
      </c>
      <c r="AN66" s="51" t="str">
        <f t="shared" si="1"/>
        <v>Kassentastenbelegung (ohne GTIN/PLU)</v>
      </c>
      <c r="AO66" s="63" t="s">
        <v>219</v>
      </c>
      <c r="AP66" s="62" t="s">
        <v>2493</v>
      </c>
      <c r="AQ66" s="63" t="s">
        <v>217</v>
      </c>
      <c r="AR66" s="30" t="s">
        <v>219</v>
      </c>
    </row>
    <row r="67" spans="2:44" ht="21.75" customHeight="1" x14ac:dyDescent="0.45">
      <c r="B67" s="51" t="s">
        <v>99</v>
      </c>
      <c r="E67" s="52" t="s">
        <v>87</v>
      </c>
      <c r="F67" s="51" t="str">
        <f>"Warengruppe&gt;&gt;"&amp;_xlfn.TEXTJOIN("&gt;&gt;",TRUE,Migrationsartikel!V66:X66)</f>
        <v>Warengruppe&gt;&gt;Früchte und Gemüse&gt;&gt;Früchte und Gemüse&gt;&gt;Früchte</v>
      </c>
      <c r="H67" s="52" t="s">
        <v>109</v>
      </c>
      <c r="J67" s="51" t="str">
        <f>_xlfn.TEXTJOIN(" ",TRUE,Migrationsartikel!B66,Migrationsartikel!E66)</f>
        <v>123</v>
      </c>
      <c r="L67" s="51" t="str">
        <f>_xlfn.TEXTJOIN(" ",TRUE,Migrationsartikel!F66:H66)</f>
        <v>Flachpfirsiche Offen</v>
      </c>
      <c r="M67" s="51" t="str">
        <f>_xlfn.TEXTJOIN(" ",TRUE,Migrationsartikel!J66:L66)</f>
        <v>Pêches plates En vrac</v>
      </c>
      <c r="N67" s="51" t="str">
        <f>_xlfn.TEXTJOIN(" ",TRUE,Migrationsartikel!N66:P66)</f>
        <v>Pesche tabacchiera vendita sfusa</v>
      </c>
      <c r="O67" s="51" t="str">
        <f>Migrationsartikel!F66</f>
        <v>Flachpfirsiche</v>
      </c>
      <c r="P67" s="51" t="str">
        <f>Migrationsartikel!J66</f>
        <v>Pêches plates</v>
      </c>
      <c r="Q67" s="51" t="str">
        <f>Migrationsartikel!N66</f>
        <v>Pesche tabacchiera</v>
      </c>
      <c r="R67" s="51" t="str">
        <f>_xlfn.TEXTJOIN(" ",TRUE,Migrationsartikel!G66)</f>
        <v>Offen</v>
      </c>
      <c r="S67" s="51" t="str">
        <f>_xlfn.TEXTJOIN(" ",TRUE,Migrationsartikel!K66)</f>
        <v>En vrac</v>
      </c>
      <c r="T67" s="51" t="str">
        <f>_xlfn.TEXTJOIN(" ",TRUE,Migrationsartikel!O66)</f>
        <v>vendita sfusa</v>
      </c>
      <c r="U67" s="51" t="str">
        <f>_xlfn.TEXTJOIN(" ",TRUE,Migrationsartikel!H66)</f>
        <v/>
      </c>
      <c r="V67" s="51" t="str">
        <f>_xlfn.TEXTJOIN(" ",TRUE,Migrationsartikel!L66)</f>
        <v/>
      </c>
      <c r="W67" s="51" t="str">
        <f>_xlfn.TEXTJOIN(" ",TRUE,Migrationsartikel!P66)</f>
        <v/>
      </c>
      <c r="X67" s="51" t="str">
        <f>Migrationsartikel!I66</f>
        <v>Flachpfirsiche Offen</v>
      </c>
      <c r="Y67" s="51" t="str">
        <f>Migrationsartikel!M66</f>
        <v>Pêches plartes en vrac</v>
      </c>
      <c r="Z67" s="51" t="str">
        <f>Migrationsartikel!Q66</f>
        <v>Pesche tabacchiera v. sfusa</v>
      </c>
      <c r="AA67" s="60">
        <f>Migrationsartikel!R66</f>
        <v>1</v>
      </c>
      <c r="AB67" s="51" t="str">
        <f>Migrationsartikel!T66</f>
        <v>Kilogramm</v>
      </c>
      <c r="AC67" s="62">
        <f>Migrationsartikel!S66</f>
        <v>1</v>
      </c>
      <c r="AD67" s="51" t="str">
        <f>Migrationsartikel!U66</f>
        <v>(KGM) KG</v>
      </c>
      <c r="AE67" s="95" t="str">
        <f>Migrationsartikel!Y66</f>
        <v>3 - Reduzierter Satz</v>
      </c>
      <c r="AF67" s="64" t="str">
        <f>IF(Migrationsartikel!AA66="Kein Depotartikel","",Migrationsartikel!AA66)</f>
        <v/>
      </c>
      <c r="AG67" s="95" t="str">
        <f>Migrationsartikel!Z66</f>
        <v>Keine</v>
      </c>
      <c r="AH67" s="51" t="str">
        <f>IF(Migrationsartikel!AB66="ja","true",FALSE)</f>
        <v>true</v>
      </c>
      <c r="AI67" s="51" t="str">
        <f>IF(Migrationsartikel!AC66="ja","true",FALSE)</f>
        <v>true</v>
      </c>
      <c r="AJ67" s="51" t="str">
        <f>IF(Migrationsartikel!AD66="ja","true",FALSE)</f>
        <v>true</v>
      </c>
      <c r="AK67" s="51" t="str">
        <f>IF(Migrationsartikel!AE66="ja","true",FALSE)</f>
        <v>true</v>
      </c>
      <c r="AL67" s="51" t="str">
        <f>IF(Migrationsartikel!AF66="ja","Denner Partner","")</f>
        <v/>
      </c>
      <c r="AM67" s="51" t="str">
        <f>IF(Migrationsartikel!AG66="ja","true","false")</f>
        <v>false</v>
      </c>
      <c r="AN67" s="51" t="str">
        <f t="shared" si="1"/>
        <v>Kassentastenbelegung (ohne GTIN/PLU)</v>
      </c>
      <c r="AO67" s="63" t="s">
        <v>219</v>
      </c>
      <c r="AP67" s="62" t="s">
        <v>2494</v>
      </c>
      <c r="AQ67" s="63" t="s">
        <v>217</v>
      </c>
      <c r="AR67" s="30" t="s">
        <v>219</v>
      </c>
    </row>
    <row r="68" spans="2:44" ht="21.75" customHeight="1" x14ac:dyDescent="0.45">
      <c r="B68" s="51" t="s">
        <v>99</v>
      </c>
      <c r="E68" s="52" t="s">
        <v>87</v>
      </c>
      <c r="F68" s="51" t="str">
        <f>"Warengruppe&gt;&gt;"&amp;_xlfn.TEXTJOIN("&gt;&gt;",TRUE,Migrationsartikel!V67:X67)</f>
        <v>Warengruppe&gt;&gt;Früchte und Gemüse&gt;&gt;Früchte und Gemüse&gt;&gt;Früchte</v>
      </c>
      <c r="H68" s="52" t="s">
        <v>109</v>
      </c>
      <c r="J68" s="51" t="str">
        <f>_xlfn.TEXTJOIN(" ",TRUE,Migrationsartikel!B67,Migrationsartikel!E67)</f>
        <v>7613399001287</v>
      </c>
      <c r="L68" s="51" t="str">
        <f>_xlfn.TEXTJOIN(" ",TRUE,Migrationsartikel!F67:H67)</f>
        <v>Fruchtbecher 200g</v>
      </c>
      <c r="M68" s="51" t="str">
        <f>_xlfn.TEXTJOIN(" ",TRUE,Migrationsartikel!J67:L67)</f>
        <v>Gobelet de fruits 200g</v>
      </c>
      <c r="N68" s="51" t="str">
        <f>_xlfn.TEXTJOIN(" ",TRUE,Migrationsartikel!N67:P67)</f>
        <v>Bicchiere di frutta 200g</v>
      </c>
      <c r="O68" s="51" t="str">
        <f>Migrationsartikel!F67</f>
        <v>Fruchtbecher</v>
      </c>
      <c r="P68" s="51" t="str">
        <f>Migrationsartikel!J67</f>
        <v>Gobelet de fruits</v>
      </c>
      <c r="Q68" s="51" t="str">
        <f>Migrationsartikel!N67</f>
        <v>Bicchiere di frutta</v>
      </c>
      <c r="R68" s="51" t="str">
        <f>_xlfn.TEXTJOIN(" ",TRUE,Migrationsartikel!G67)</f>
        <v/>
      </c>
      <c r="S68" s="51" t="str">
        <f>_xlfn.TEXTJOIN(" ",TRUE,Migrationsartikel!K67)</f>
        <v/>
      </c>
      <c r="T68" s="51" t="str">
        <f>_xlfn.TEXTJOIN(" ",TRUE,Migrationsartikel!O67)</f>
        <v/>
      </c>
      <c r="U68" s="51" t="str">
        <f>_xlfn.TEXTJOIN(" ",TRUE,Migrationsartikel!H67)</f>
        <v>200g</v>
      </c>
      <c r="V68" s="51" t="str">
        <f>_xlfn.TEXTJOIN(" ",TRUE,Migrationsartikel!L67)</f>
        <v>200g</v>
      </c>
      <c r="W68" s="51" t="str">
        <f>_xlfn.TEXTJOIN(" ",TRUE,Migrationsartikel!P67)</f>
        <v>200g</v>
      </c>
      <c r="X68" s="51" t="str">
        <f>Migrationsartikel!I67</f>
        <v>Fruchtbecher 200g</v>
      </c>
      <c r="Y68" s="51" t="str">
        <f>Migrationsartikel!M67</f>
        <v>Gobelet de fruits 200g</v>
      </c>
      <c r="Z68" s="51" t="str">
        <f>Migrationsartikel!Q67</f>
        <v>Bicchiere di frutta 200g</v>
      </c>
      <c r="AA68" s="60">
        <f>Migrationsartikel!R67</f>
        <v>0.2</v>
      </c>
      <c r="AB68" s="51" t="str">
        <f>Migrationsartikel!T67</f>
        <v>Gramm</v>
      </c>
      <c r="AC68" s="62">
        <f>Migrationsartikel!S67</f>
        <v>100</v>
      </c>
      <c r="AD68" s="51" t="str">
        <f>Migrationsartikel!U67</f>
        <v>(PCE) Stück</v>
      </c>
      <c r="AE68" s="95" t="str">
        <f>Migrationsartikel!Y67</f>
        <v>3 - Reduzierter Satz</v>
      </c>
      <c r="AF68" s="64" t="str">
        <f>IF(Migrationsartikel!AA67="Kein Depotartikel","",Migrationsartikel!AA67)</f>
        <v/>
      </c>
      <c r="AG68" s="95" t="str">
        <f>Migrationsartikel!Z67</f>
        <v>Keine</v>
      </c>
      <c r="AH68" s="51" t="str">
        <f>IF(Migrationsartikel!AB67="ja","true",FALSE)</f>
        <v>true</v>
      </c>
      <c r="AI68" s="51" t="str">
        <f>IF(Migrationsartikel!AC67="ja","true",FALSE)</f>
        <v>true</v>
      </c>
      <c r="AJ68" s="51" t="str">
        <f>IF(Migrationsartikel!AD67="ja","true",FALSE)</f>
        <v>true</v>
      </c>
      <c r="AK68" s="51" t="str">
        <f>IF(Migrationsartikel!AE67="ja","true",FALSE)</f>
        <v>true</v>
      </c>
      <c r="AL68" s="51" t="str">
        <f>IF(Migrationsartikel!AF67="ja","Denner Partner","")</f>
        <v/>
      </c>
      <c r="AM68" s="51" t="str">
        <f>IF(Migrationsartikel!AG67="ja","true","false")</f>
        <v>false</v>
      </c>
      <c r="AN68" s="51" t="str">
        <f t="shared" ref="AN68:AN131" si="2">IF(AND(ISNUMBER(J68),J68&gt;=100,J68&lt;=999),"PLU",IF(AND(ISNUMBER(J68),J68&gt;999),"GTIN","Kassentastenbelegung (ohne GTIN/PLU)"))</f>
        <v>Kassentastenbelegung (ohne GTIN/PLU)</v>
      </c>
      <c r="AO68" s="63" t="s">
        <v>219</v>
      </c>
      <c r="AP68" s="62" t="s">
        <v>2495</v>
      </c>
      <c r="AQ68" s="63" t="s">
        <v>217</v>
      </c>
      <c r="AR68" s="30" t="s">
        <v>219</v>
      </c>
    </row>
    <row r="69" spans="2:44" ht="21.75" customHeight="1" x14ac:dyDescent="0.45">
      <c r="B69" s="51" t="s">
        <v>99</v>
      </c>
      <c r="E69" s="52" t="s">
        <v>87</v>
      </c>
      <c r="F69" s="51" t="str">
        <f>"Warengruppe&gt;&gt;"&amp;_xlfn.TEXTJOIN("&gt;&gt;",TRUE,Migrationsartikel!V68:X68)</f>
        <v>Warengruppe&gt;&gt;Früchte und Gemüse&gt;&gt;Früchte und Gemüse&gt;&gt;Früchte</v>
      </c>
      <c r="H69" s="52" t="s">
        <v>109</v>
      </c>
      <c r="J69" s="51" t="str">
        <f>_xlfn.TEXTJOIN(" ",TRUE,Migrationsartikel!B68,Migrationsartikel!E68)</f>
        <v>2296291000005</v>
      </c>
      <c r="L69" s="51" t="str">
        <f>_xlfn.TEXTJOIN(" ",TRUE,Migrationsartikel!F68:H68)</f>
        <v>Früchtemix Äpfel/Orangen/Bananen</v>
      </c>
      <c r="M69" s="51" t="str">
        <f>_xlfn.TEXTJOIN(" ",TRUE,Migrationsartikel!J68:L68)</f>
        <v>Mélange de fruits Pommes/oranges/bananes</v>
      </c>
      <c r="N69" s="51" t="str">
        <f>_xlfn.TEXTJOIN(" ",TRUE,Migrationsartikel!N68:P68)</f>
        <v>Mix di frutta Mele/arance/banane</v>
      </c>
      <c r="O69" s="51" t="str">
        <f>Migrationsartikel!F68</f>
        <v>Früchtemix</v>
      </c>
      <c r="P69" s="51" t="str">
        <f>Migrationsartikel!J68</f>
        <v>Mélange de fruits</v>
      </c>
      <c r="Q69" s="51" t="str">
        <f>Migrationsartikel!N68</f>
        <v>Mix di frutta</v>
      </c>
      <c r="R69" s="51" t="str">
        <f>_xlfn.TEXTJOIN(" ",TRUE,Migrationsartikel!G68)</f>
        <v>Äpfel/Orangen/Bananen</v>
      </c>
      <c r="S69" s="51" t="str">
        <f>_xlfn.TEXTJOIN(" ",TRUE,Migrationsartikel!K68)</f>
        <v>Pommes/oranges/bananes</v>
      </c>
      <c r="T69" s="51" t="str">
        <f>_xlfn.TEXTJOIN(" ",TRUE,Migrationsartikel!O68)</f>
        <v>Mele/arance/banane</v>
      </c>
      <c r="U69" s="51" t="str">
        <f>_xlfn.TEXTJOIN(" ",TRUE,Migrationsartikel!H68)</f>
        <v/>
      </c>
      <c r="V69" s="51" t="str">
        <f>_xlfn.TEXTJOIN(" ",TRUE,Migrationsartikel!L68)</f>
        <v/>
      </c>
      <c r="W69" s="51" t="str">
        <f>_xlfn.TEXTJOIN(" ",TRUE,Migrationsartikel!P68)</f>
        <v/>
      </c>
      <c r="X69" s="51" t="str">
        <f>Migrationsartikel!I68</f>
        <v>Früchtemix Äpfel/Orange/Ban.</v>
      </c>
      <c r="Y69" s="51" t="str">
        <f>Migrationsartikel!M68</f>
        <v>Mélange fruits pom/oran/ban</v>
      </c>
      <c r="Z69" s="51" t="str">
        <f>Migrationsartikel!Q68</f>
        <v>Mix di frutta mele/aran./ban</v>
      </c>
      <c r="AA69" s="60">
        <f>Migrationsartikel!R68</f>
        <v>1</v>
      </c>
      <c r="AB69" s="51" t="str">
        <f>Migrationsartikel!T68</f>
        <v>Kilogramm</v>
      </c>
      <c r="AC69" s="62">
        <f>Migrationsartikel!S68</f>
        <v>1</v>
      </c>
      <c r="AD69" s="51" t="str">
        <f>Migrationsartikel!U68</f>
        <v>(PCE) Stück</v>
      </c>
      <c r="AE69" s="95" t="str">
        <f>Migrationsartikel!Y68</f>
        <v>3 - Reduzierter Satz</v>
      </c>
      <c r="AF69" s="64" t="str">
        <f>IF(Migrationsartikel!AA68="Kein Depotartikel","",Migrationsartikel!AA68)</f>
        <v/>
      </c>
      <c r="AG69" s="95" t="str">
        <f>Migrationsartikel!Z68</f>
        <v>Keine</v>
      </c>
      <c r="AH69" s="51" t="str">
        <f>IF(Migrationsartikel!AB68="ja","true",FALSE)</f>
        <v>true</v>
      </c>
      <c r="AI69" s="51" t="str">
        <f>IF(Migrationsartikel!AC68="ja","true",FALSE)</f>
        <v>true</v>
      </c>
      <c r="AJ69" s="51" t="str">
        <f>IF(Migrationsartikel!AD68="ja","true",FALSE)</f>
        <v>true</v>
      </c>
      <c r="AK69" s="51" t="str">
        <f>IF(Migrationsartikel!AE68="ja","true",FALSE)</f>
        <v>true</v>
      </c>
      <c r="AL69" s="51" t="str">
        <f>IF(Migrationsartikel!AF68="ja","Denner Partner","")</f>
        <v/>
      </c>
      <c r="AM69" s="51" t="str">
        <f>IF(Migrationsartikel!AG68="ja","true","false")</f>
        <v>false</v>
      </c>
      <c r="AN69" s="51" t="str">
        <f t="shared" si="2"/>
        <v>Kassentastenbelegung (ohne GTIN/PLU)</v>
      </c>
      <c r="AO69" s="63" t="s">
        <v>219</v>
      </c>
      <c r="AP69" s="62" t="s">
        <v>2496</v>
      </c>
      <c r="AQ69" s="63" t="s">
        <v>217</v>
      </c>
      <c r="AR69" s="30" t="s">
        <v>219</v>
      </c>
    </row>
    <row r="70" spans="2:44" ht="21.75" customHeight="1" x14ac:dyDescent="0.45">
      <c r="B70" s="51" t="s">
        <v>99</v>
      </c>
      <c r="E70" s="52" t="s">
        <v>87</v>
      </c>
      <c r="F70" s="51" t="str">
        <f>"Warengruppe&gt;&gt;"&amp;_xlfn.TEXTJOIN("&gt;&gt;",TRUE,Migrationsartikel!V69:X69)</f>
        <v>Warengruppe&gt;&gt;Früchte und Gemüse&gt;&gt;Früchte und Gemüse&gt;&gt;Früchte</v>
      </c>
      <c r="H70" s="52" t="s">
        <v>109</v>
      </c>
      <c r="J70" s="51" t="str">
        <f>_xlfn.TEXTJOIN(" ",TRUE,Migrationsartikel!B69,Migrationsartikel!E69)</f>
        <v>113</v>
      </c>
      <c r="L70" s="51" t="str">
        <f>_xlfn.TEXTJOIN(" ",TRUE,Migrationsartikel!F69:H69)</f>
        <v>Äpfel Gala Offen Kl. 1</v>
      </c>
      <c r="M70" s="51" t="str">
        <f>_xlfn.TEXTJOIN(" ",TRUE,Migrationsartikel!J69:L69)</f>
        <v>Pommes Gala En vrac, cl. 1</v>
      </c>
      <c r="N70" s="51" t="str">
        <f>_xlfn.TEXTJOIN(" ",TRUE,Migrationsartikel!N69:P69)</f>
        <v>Mele Gala Cl. 1 vendita sfusa</v>
      </c>
      <c r="O70" s="51" t="str">
        <f>Migrationsartikel!F69</f>
        <v>Äpfel Gala</v>
      </c>
      <c r="P70" s="51" t="str">
        <f>Migrationsartikel!J69</f>
        <v>Pommes Gala</v>
      </c>
      <c r="Q70" s="51" t="str">
        <f>Migrationsartikel!N69</f>
        <v>Mele Gala</v>
      </c>
      <c r="R70" s="51" t="str">
        <f>_xlfn.TEXTJOIN(" ",TRUE,Migrationsartikel!G69)</f>
        <v>Offen Kl. 1</v>
      </c>
      <c r="S70" s="51" t="str">
        <f>_xlfn.TEXTJOIN(" ",TRUE,Migrationsartikel!K69)</f>
        <v>En vrac, cl. 1</v>
      </c>
      <c r="T70" s="51" t="str">
        <f>_xlfn.TEXTJOIN(" ",TRUE,Migrationsartikel!O69)</f>
        <v>Cl. 1 vendita sfusa</v>
      </c>
      <c r="U70" s="51" t="str">
        <f>_xlfn.TEXTJOIN(" ",TRUE,Migrationsartikel!H69)</f>
        <v/>
      </c>
      <c r="V70" s="51" t="str">
        <f>_xlfn.TEXTJOIN(" ",TRUE,Migrationsartikel!L69)</f>
        <v/>
      </c>
      <c r="W70" s="51" t="str">
        <f>_xlfn.TEXTJOIN(" ",TRUE,Migrationsartikel!P69)</f>
        <v/>
      </c>
      <c r="X70" s="51" t="str">
        <f>Migrationsartikel!I69</f>
        <v>Äpfel Gala Offen Kl. 1</v>
      </c>
      <c r="Y70" s="51" t="str">
        <f>Migrationsartikel!M69</f>
        <v>Pommes Gala cl. 1 en vrac</v>
      </c>
      <c r="Z70" s="51" t="str">
        <f>Migrationsartikel!Q69</f>
        <v>Mele Gala cl.1 vendita sfusa</v>
      </c>
      <c r="AA70" s="60">
        <f>Migrationsartikel!R69</f>
        <v>1</v>
      </c>
      <c r="AB70" s="51" t="str">
        <f>Migrationsartikel!T69</f>
        <v>Kilogramm</v>
      </c>
      <c r="AC70" s="62">
        <f>Migrationsartikel!S69</f>
        <v>1</v>
      </c>
      <c r="AD70" s="51" t="str">
        <f>Migrationsartikel!U69</f>
        <v>(KGM) KG</v>
      </c>
      <c r="AE70" s="95" t="str">
        <f>Migrationsartikel!Y69</f>
        <v>3 - Reduzierter Satz</v>
      </c>
      <c r="AF70" s="64" t="str">
        <f>IF(Migrationsartikel!AA69="Kein Depotartikel","",Migrationsartikel!AA69)</f>
        <v/>
      </c>
      <c r="AG70" s="95" t="str">
        <f>Migrationsartikel!Z69</f>
        <v>Keine</v>
      </c>
      <c r="AH70" s="51" t="str">
        <f>IF(Migrationsartikel!AB69="ja","true",FALSE)</f>
        <v>true</v>
      </c>
      <c r="AI70" s="51" t="str">
        <f>IF(Migrationsartikel!AC69="ja","true",FALSE)</f>
        <v>true</v>
      </c>
      <c r="AJ70" s="51" t="str">
        <f>IF(Migrationsartikel!AD69="ja","true",FALSE)</f>
        <v>true</v>
      </c>
      <c r="AK70" s="51" t="str">
        <f>IF(Migrationsartikel!AE69="ja","true",FALSE)</f>
        <v>true</v>
      </c>
      <c r="AL70" s="51" t="str">
        <f>IF(Migrationsartikel!AF69="ja","Denner Partner","")</f>
        <v/>
      </c>
      <c r="AM70" s="51" t="str">
        <f>IF(Migrationsartikel!AG69="ja","true","false")</f>
        <v>false</v>
      </c>
      <c r="AN70" s="51" t="str">
        <f t="shared" si="2"/>
        <v>Kassentastenbelegung (ohne GTIN/PLU)</v>
      </c>
      <c r="AO70" s="63" t="s">
        <v>219</v>
      </c>
      <c r="AP70" s="62" t="s">
        <v>2497</v>
      </c>
      <c r="AQ70" s="63" t="s">
        <v>217</v>
      </c>
      <c r="AR70" s="30" t="s">
        <v>219</v>
      </c>
    </row>
    <row r="71" spans="2:44" ht="21.75" customHeight="1" x14ac:dyDescent="0.45">
      <c r="B71" s="51" t="s">
        <v>99</v>
      </c>
      <c r="E71" s="52" t="s">
        <v>87</v>
      </c>
      <c r="F71" s="51" t="str">
        <f>"Warengruppe&gt;&gt;"&amp;_xlfn.TEXTJOIN("&gt;&gt;",TRUE,Migrationsartikel!V70:X70)</f>
        <v>Warengruppe&gt;&gt;Früchte und Gemüse&gt;&gt;Früchte und Gemüse&gt;&gt;Früchte</v>
      </c>
      <c r="H71" s="52" t="s">
        <v>109</v>
      </c>
      <c r="J71" s="51" t="str">
        <f>_xlfn.TEXTJOIN(" ",TRUE,Migrationsartikel!B70,Migrationsartikel!E70)</f>
        <v>2202611000000</v>
      </c>
      <c r="L71" s="51" t="str">
        <f>_xlfn.TEXTJOIN(" ",TRUE,Migrationsartikel!F70:H70)</f>
        <v>Äpfel Gala Kl. 1 gepackt</v>
      </c>
      <c r="M71" s="51" t="str">
        <f>_xlfn.TEXTJOIN(" ",TRUE,Migrationsartikel!J70:L70)</f>
        <v>Pommes Gala Cl. 1 emballé</v>
      </c>
      <c r="N71" s="51" t="str">
        <f>_xlfn.TEXTJOIN(" ",TRUE,Migrationsartikel!N70:P70)</f>
        <v>Mele Gala Cl. 1 confezionato</v>
      </c>
      <c r="O71" s="51" t="str">
        <f>Migrationsartikel!F70</f>
        <v>Äpfel Gala</v>
      </c>
      <c r="P71" s="51" t="str">
        <f>Migrationsartikel!J70</f>
        <v>Pommes Gala</v>
      </c>
      <c r="Q71" s="51" t="str">
        <f>Migrationsartikel!N70</f>
        <v>Mele Gala</v>
      </c>
      <c r="R71" s="51" t="str">
        <f>_xlfn.TEXTJOIN(" ",TRUE,Migrationsartikel!G70)</f>
        <v>Kl. 1 gepackt</v>
      </c>
      <c r="S71" s="51" t="str">
        <f>_xlfn.TEXTJOIN(" ",TRUE,Migrationsartikel!K70)</f>
        <v>Cl. 1 emballé</v>
      </c>
      <c r="T71" s="51" t="str">
        <f>_xlfn.TEXTJOIN(" ",TRUE,Migrationsartikel!O70)</f>
        <v>Cl. 1 confezionato</v>
      </c>
      <c r="U71" s="51" t="str">
        <f>_xlfn.TEXTJOIN(" ",TRUE,Migrationsartikel!H70)</f>
        <v/>
      </c>
      <c r="V71" s="51" t="str">
        <f>_xlfn.TEXTJOIN(" ",TRUE,Migrationsartikel!L70)</f>
        <v/>
      </c>
      <c r="W71" s="51" t="str">
        <f>_xlfn.TEXTJOIN(" ",TRUE,Migrationsartikel!P70)</f>
        <v/>
      </c>
      <c r="X71" s="51" t="str">
        <f>Migrationsartikel!I70</f>
        <v>Äpfel Gala Kl. 1 gepackt</v>
      </c>
      <c r="Y71" s="51" t="str">
        <f>Migrationsartikel!M70</f>
        <v>Pommes Gala cl. 1 emballé</v>
      </c>
      <c r="Z71" s="51" t="str">
        <f>Migrationsartikel!Q70</f>
        <v>Mele Gala cl. 1 confezionato</v>
      </c>
      <c r="AA71" s="60">
        <f>Migrationsartikel!R70</f>
        <v>1</v>
      </c>
      <c r="AB71" s="51" t="str">
        <f>Migrationsartikel!T70</f>
        <v>Kilogramm</v>
      </c>
      <c r="AC71" s="62">
        <f>Migrationsartikel!S70</f>
        <v>1</v>
      </c>
      <c r="AD71" s="51" t="str">
        <f>Migrationsartikel!U70</f>
        <v>(PCE) Stück</v>
      </c>
      <c r="AE71" s="95" t="str">
        <f>Migrationsartikel!Y70</f>
        <v>3 - Reduzierter Satz</v>
      </c>
      <c r="AF71" s="64" t="str">
        <f>IF(Migrationsartikel!AA70="Kein Depotartikel","",Migrationsartikel!AA70)</f>
        <v/>
      </c>
      <c r="AG71" s="95" t="str">
        <f>Migrationsartikel!Z70</f>
        <v>Keine</v>
      </c>
      <c r="AH71" s="51" t="str">
        <f>IF(Migrationsartikel!AB70="ja","true",FALSE)</f>
        <v>true</v>
      </c>
      <c r="AI71" s="51" t="str">
        <f>IF(Migrationsartikel!AC70="ja","true",FALSE)</f>
        <v>true</v>
      </c>
      <c r="AJ71" s="51" t="str">
        <f>IF(Migrationsartikel!AD70="ja","true",FALSE)</f>
        <v>true</v>
      </c>
      <c r="AK71" s="51" t="str">
        <f>IF(Migrationsartikel!AE70="ja","true",FALSE)</f>
        <v>true</v>
      </c>
      <c r="AL71" s="51" t="str">
        <f>IF(Migrationsartikel!AF70="ja","Denner Partner","")</f>
        <v/>
      </c>
      <c r="AM71" s="51" t="str">
        <f>IF(Migrationsartikel!AG70="ja","true","false")</f>
        <v>false</v>
      </c>
      <c r="AN71" s="51" t="str">
        <f t="shared" si="2"/>
        <v>Kassentastenbelegung (ohne GTIN/PLU)</v>
      </c>
      <c r="AO71" s="63" t="s">
        <v>219</v>
      </c>
      <c r="AP71" s="62" t="s">
        <v>2498</v>
      </c>
      <c r="AQ71" s="63" t="s">
        <v>217</v>
      </c>
      <c r="AR71" s="30" t="s">
        <v>219</v>
      </c>
    </row>
    <row r="72" spans="2:44" ht="21.75" customHeight="1" x14ac:dyDescent="0.45">
      <c r="B72" s="51" t="s">
        <v>99</v>
      </c>
      <c r="E72" s="52" t="s">
        <v>87</v>
      </c>
      <c r="F72" s="51" t="str">
        <f>"Warengruppe&gt;&gt;"&amp;_xlfn.TEXTJOIN("&gt;&gt;",TRUE,Migrationsartikel!V71:X71)</f>
        <v>Warengruppe&gt;&gt;Früchte und Gemüse&gt;&gt;Früchte und Gemüse&gt;&gt;Früchte</v>
      </c>
      <c r="H72" s="52" t="s">
        <v>109</v>
      </c>
      <c r="J72" s="51" t="str">
        <f>_xlfn.TEXTJOIN(" ",TRUE,Migrationsartikel!B71,Migrationsartikel!E71)</f>
        <v>2202391000005</v>
      </c>
      <c r="L72" s="51" t="str">
        <f>_xlfn.TEXTJOIN(" ",TRUE,Migrationsartikel!F71:H71)</f>
        <v>Äpfel Gala TT Kl. 1 1.5kg</v>
      </c>
      <c r="M72" s="51" t="str">
        <f>_xlfn.TEXTJOIN(" ",TRUE,Migrationsartikel!J71:L71)</f>
        <v>Pommes Gala Cl. 1 1.5kg</v>
      </c>
      <c r="N72" s="51" t="str">
        <f>_xlfn.TEXTJOIN(" ",TRUE,Migrationsartikel!N71:P71)</f>
        <v>Mele Gala TT Cl. 1 1.5kg</v>
      </c>
      <c r="O72" s="51" t="str">
        <f>Migrationsartikel!F71</f>
        <v>Äpfel Gala TT</v>
      </c>
      <c r="P72" s="51" t="str">
        <f>Migrationsartikel!J71</f>
        <v>Pommes Gala</v>
      </c>
      <c r="Q72" s="51" t="str">
        <f>Migrationsartikel!N71</f>
        <v>Mele Gala TT</v>
      </c>
      <c r="R72" s="51" t="str">
        <f>_xlfn.TEXTJOIN(" ",TRUE,Migrationsartikel!G71)</f>
        <v>Kl. 1</v>
      </c>
      <c r="S72" s="51" t="str">
        <f>_xlfn.TEXTJOIN(" ",TRUE,Migrationsartikel!K71)</f>
        <v>Cl. 1</v>
      </c>
      <c r="T72" s="51" t="str">
        <f>_xlfn.TEXTJOIN(" ",TRUE,Migrationsartikel!O71)</f>
        <v>Cl. 1</v>
      </c>
      <c r="U72" s="51" t="str">
        <f>_xlfn.TEXTJOIN(" ",TRUE,Migrationsartikel!H71)</f>
        <v>1.5kg</v>
      </c>
      <c r="V72" s="51" t="str">
        <f>_xlfn.TEXTJOIN(" ",TRUE,Migrationsartikel!L71)</f>
        <v>1.5kg</v>
      </c>
      <c r="W72" s="51" t="str">
        <f>_xlfn.TEXTJOIN(" ",TRUE,Migrationsartikel!P71)</f>
        <v>1.5kg</v>
      </c>
      <c r="X72" s="51" t="str">
        <f>Migrationsartikel!I71</f>
        <v>Äpfel Gala TT Kl. 1, 1.5 kg</v>
      </c>
      <c r="Y72" s="51" t="str">
        <f>Migrationsartikel!M71</f>
        <v>Pommes Gala cl. 1 1.5kg</v>
      </c>
      <c r="Z72" s="51" t="str">
        <f>Migrationsartikel!Q71</f>
        <v>Mele Gala TT cl. 1 1.5kg</v>
      </c>
      <c r="AA72" s="60">
        <f>Migrationsartikel!R71</f>
        <v>1.5</v>
      </c>
      <c r="AB72" s="51" t="str">
        <f>Migrationsartikel!T71</f>
        <v>Kilogramm</v>
      </c>
      <c r="AC72" s="62">
        <f>Migrationsartikel!S71</f>
        <v>1</v>
      </c>
      <c r="AD72" s="51" t="str">
        <f>Migrationsartikel!U71</f>
        <v>(PCE) Stück</v>
      </c>
      <c r="AE72" s="95" t="str">
        <f>Migrationsartikel!Y71</f>
        <v>3 - Reduzierter Satz</v>
      </c>
      <c r="AF72" s="64" t="str">
        <f>IF(Migrationsartikel!AA71="Kein Depotartikel","",Migrationsartikel!AA71)</f>
        <v/>
      </c>
      <c r="AG72" s="95" t="str">
        <f>Migrationsartikel!Z71</f>
        <v>Keine</v>
      </c>
      <c r="AH72" s="51" t="str">
        <f>IF(Migrationsartikel!AB71="ja","true",FALSE)</f>
        <v>true</v>
      </c>
      <c r="AI72" s="51" t="str">
        <f>IF(Migrationsartikel!AC71="ja","true",FALSE)</f>
        <v>true</v>
      </c>
      <c r="AJ72" s="51" t="str">
        <f>IF(Migrationsartikel!AD71="ja","true",FALSE)</f>
        <v>true</v>
      </c>
      <c r="AK72" s="51" t="str">
        <f>IF(Migrationsartikel!AE71="ja","true",FALSE)</f>
        <v>true</v>
      </c>
      <c r="AL72" s="51" t="str">
        <f>IF(Migrationsartikel!AF71="ja","Denner Partner","")</f>
        <v/>
      </c>
      <c r="AM72" s="51" t="str">
        <f>IF(Migrationsartikel!AG71="ja","true","false")</f>
        <v>false</v>
      </c>
      <c r="AN72" s="51" t="str">
        <f t="shared" si="2"/>
        <v>Kassentastenbelegung (ohne GTIN/PLU)</v>
      </c>
      <c r="AO72" s="63" t="s">
        <v>219</v>
      </c>
      <c r="AP72" s="62" t="s">
        <v>2499</v>
      </c>
      <c r="AQ72" s="63" t="s">
        <v>217</v>
      </c>
      <c r="AR72" s="30" t="s">
        <v>219</v>
      </c>
    </row>
    <row r="73" spans="2:44" ht="21.75" customHeight="1" x14ac:dyDescent="0.45">
      <c r="B73" s="51" t="s">
        <v>99</v>
      </c>
      <c r="E73" s="52" t="s">
        <v>87</v>
      </c>
      <c r="F73" s="51" t="str">
        <f>"Warengruppe&gt;&gt;"&amp;_xlfn.TEXTJOIN("&gt;&gt;",TRUE,Migrationsartikel!V72:X72)</f>
        <v>Warengruppe&gt;&gt;Früchte und Gemüse&gt;&gt;Früchte und Gemüse&gt;&gt;Früchte</v>
      </c>
      <c r="H73" s="52" t="s">
        <v>109</v>
      </c>
      <c r="J73" s="51" t="str">
        <f>_xlfn.TEXTJOIN(" ",TRUE,Migrationsartikel!B72,Migrationsartikel!E72)</f>
        <v>2202633000000</v>
      </c>
      <c r="L73" s="51" t="str">
        <f>_xlfn.TEXTJOIN(" ",TRUE,Migrationsartikel!F72:H72)</f>
        <v>Äpfel Gala TT Kl. 2 1.5kg</v>
      </c>
      <c r="M73" s="51" t="str">
        <f>_xlfn.TEXTJOIN(" ",TRUE,Migrationsartikel!J72:L72)</f>
        <v>Pommes Gala Cl. 2 1.5kg</v>
      </c>
      <c r="N73" s="51" t="str">
        <f>_xlfn.TEXTJOIN(" ",TRUE,Migrationsartikel!N72:P72)</f>
        <v>Mele Gala TT Cl. 2 1.5kg</v>
      </c>
      <c r="O73" s="51" t="str">
        <f>Migrationsartikel!F72</f>
        <v>Äpfel Gala TT</v>
      </c>
      <c r="P73" s="51" t="str">
        <f>Migrationsartikel!J72</f>
        <v>Pommes Gala</v>
      </c>
      <c r="Q73" s="51" t="str">
        <f>Migrationsartikel!N72</f>
        <v>Mele Gala TT</v>
      </c>
      <c r="R73" s="51" t="str">
        <f>_xlfn.TEXTJOIN(" ",TRUE,Migrationsartikel!G72)</f>
        <v>Kl. 2</v>
      </c>
      <c r="S73" s="51" t="str">
        <f>_xlfn.TEXTJOIN(" ",TRUE,Migrationsartikel!K72)</f>
        <v>Cl. 2</v>
      </c>
      <c r="T73" s="51" t="str">
        <f>_xlfn.TEXTJOIN(" ",TRUE,Migrationsartikel!O72)</f>
        <v>Cl. 2</v>
      </c>
      <c r="U73" s="51" t="str">
        <f>_xlfn.TEXTJOIN(" ",TRUE,Migrationsartikel!H72)</f>
        <v>1.5kg</v>
      </c>
      <c r="V73" s="51" t="str">
        <f>_xlfn.TEXTJOIN(" ",TRUE,Migrationsartikel!L72)</f>
        <v>1.5kg</v>
      </c>
      <c r="W73" s="51" t="str">
        <f>_xlfn.TEXTJOIN(" ",TRUE,Migrationsartikel!P72)</f>
        <v>1.5kg</v>
      </c>
      <c r="X73" s="51" t="str">
        <f>Migrationsartikel!I72</f>
        <v>Äpfel Gala TT Kl. 2, 1.5 kg</v>
      </c>
      <c r="Y73" s="51" t="str">
        <f>Migrationsartikel!M72</f>
        <v>Pommes Gala cl. 2 1.5kg</v>
      </c>
      <c r="Z73" s="51" t="str">
        <f>Migrationsartikel!Q72</f>
        <v>Mele Gala TT cl. 2 1.5kg</v>
      </c>
      <c r="AA73" s="60">
        <f>Migrationsartikel!R72</f>
        <v>1.5</v>
      </c>
      <c r="AB73" s="51" t="str">
        <f>Migrationsartikel!T72</f>
        <v>Kilogramm</v>
      </c>
      <c r="AC73" s="62">
        <f>Migrationsartikel!S72</f>
        <v>1</v>
      </c>
      <c r="AD73" s="51" t="str">
        <f>Migrationsartikel!U72</f>
        <v>(PCE) Stück</v>
      </c>
      <c r="AE73" s="95" t="str">
        <f>Migrationsartikel!Y72</f>
        <v>3 - Reduzierter Satz</v>
      </c>
      <c r="AF73" s="64" t="str">
        <f>IF(Migrationsartikel!AA72="Kein Depotartikel","",Migrationsartikel!AA72)</f>
        <v/>
      </c>
      <c r="AG73" s="95" t="str">
        <f>Migrationsartikel!Z72</f>
        <v>Keine</v>
      </c>
      <c r="AH73" s="51" t="str">
        <f>IF(Migrationsartikel!AB72="ja","true",FALSE)</f>
        <v>true</v>
      </c>
      <c r="AI73" s="51" t="str">
        <f>IF(Migrationsartikel!AC72="ja","true",FALSE)</f>
        <v>true</v>
      </c>
      <c r="AJ73" s="51" t="str">
        <f>IF(Migrationsartikel!AD72="ja","true",FALSE)</f>
        <v>true</v>
      </c>
      <c r="AK73" s="51" t="str">
        <f>IF(Migrationsartikel!AE72="ja","true",FALSE)</f>
        <v>true</v>
      </c>
      <c r="AL73" s="51" t="str">
        <f>IF(Migrationsartikel!AF72="ja","Denner Partner","")</f>
        <v/>
      </c>
      <c r="AM73" s="51" t="str">
        <f>IF(Migrationsartikel!AG72="ja","true","false")</f>
        <v>false</v>
      </c>
      <c r="AN73" s="51" t="str">
        <f t="shared" si="2"/>
        <v>Kassentastenbelegung (ohne GTIN/PLU)</v>
      </c>
      <c r="AO73" s="63" t="s">
        <v>219</v>
      </c>
      <c r="AP73" s="62" t="s">
        <v>2500</v>
      </c>
      <c r="AQ73" s="63" t="s">
        <v>217</v>
      </c>
      <c r="AR73" s="30" t="s">
        <v>219</v>
      </c>
    </row>
    <row r="74" spans="2:44" ht="21.75" customHeight="1" x14ac:dyDescent="0.45">
      <c r="B74" s="51" t="s">
        <v>99</v>
      </c>
      <c r="E74" s="52" t="s">
        <v>87</v>
      </c>
      <c r="F74" s="51" t="str">
        <f>"Warengruppe&gt;&gt;"&amp;_xlfn.TEXTJOIN("&gt;&gt;",TRUE,Migrationsartikel!V73:X73)</f>
        <v>Warengruppe&gt;&gt;Früchte und Gemüse&gt;&gt;Früchte und Gemüse&gt;&gt;Früchte</v>
      </c>
      <c r="H74" s="52" t="s">
        <v>109</v>
      </c>
      <c r="J74" s="51" t="str">
        <f>_xlfn.TEXTJOIN(" ",TRUE,Migrationsartikel!B73,Migrationsartikel!E73)</f>
        <v>2202389000000</v>
      </c>
      <c r="L74" s="51" t="str">
        <f>_xlfn.TEXTJOIN(" ",TRUE,Migrationsartikel!F73:H73)</f>
        <v>Bio Äpfel Gala Kl. 1 gepackt</v>
      </c>
      <c r="M74" s="51" t="str">
        <f>_xlfn.TEXTJOIN(" ",TRUE,Migrationsartikel!J73:L73)</f>
        <v>Bio Pommes Golden Cl. 1 emballé</v>
      </c>
      <c r="N74" s="51" t="str">
        <f>_xlfn.TEXTJOIN(" ",TRUE,Migrationsartikel!N73:P73)</f>
        <v>Bio Mele Gala Cl. 1 confezionato</v>
      </c>
      <c r="O74" s="51" t="str">
        <f>Migrationsartikel!F73</f>
        <v>Bio Äpfel Gala</v>
      </c>
      <c r="P74" s="51" t="str">
        <f>Migrationsartikel!J73</f>
        <v>Bio Pommes Golden</v>
      </c>
      <c r="Q74" s="51" t="str">
        <f>Migrationsartikel!N73</f>
        <v>Bio Mele Gala</v>
      </c>
      <c r="R74" s="51" t="str">
        <f>_xlfn.TEXTJOIN(" ",TRUE,Migrationsartikel!G73)</f>
        <v>Kl. 1 gepackt</v>
      </c>
      <c r="S74" s="51" t="str">
        <f>_xlfn.TEXTJOIN(" ",TRUE,Migrationsartikel!K73)</f>
        <v>Cl. 1 emballé</v>
      </c>
      <c r="T74" s="51" t="str">
        <f>_xlfn.TEXTJOIN(" ",TRUE,Migrationsartikel!O73)</f>
        <v>Cl. 1 confezionato</v>
      </c>
      <c r="U74" s="51" t="str">
        <f>_xlfn.TEXTJOIN(" ",TRUE,Migrationsartikel!H73)</f>
        <v/>
      </c>
      <c r="V74" s="51" t="str">
        <f>_xlfn.TEXTJOIN(" ",TRUE,Migrationsartikel!L73)</f>
        <v/>
      </c>
      <c r="W74" s="51" t="str">
        <f>_xlfn.TEXTJOIN(" ",TRUE,Migrationsartikel!P73)</f>
        <v/>
      </c>
      <c r="X74" s="51" t="str">
        <f>Migrationsartikel!I73</f>
        <v>Bio Äpfel Gala Kl. 1 gepackt</v>
      </c>
      <c r="Y74" s="51" t="str">
        <f>Migrationsartikel!M73</f>
        <v>Bio Pommes Gala cl. 1 emb.</v>
      </c>
      <c r="Z74" s="51" t="str">
        <f>Migrationsartikel!Q73</f>
        <v>Bio Mele Gala cl. 1 confez.</v>
      </c>
      <c r="AA74" s="60">
        <f>Migrationsartikel!R73</f>
        <v>1</v>
      </c>
      <c r="AB74" s="51" t="str">
        <f>Migrationsartikel!T73</f>
        <v>Kilogramm</v>
      </c>
      <c r="AC74" s="62">
        <f>Migrationsartikel!S73</f>
        <v>1</v>
      </c>
      <c r="AD74" s="51" t="str">
        <f>Migrationsartikel!U73</f>
        <v>(PCE) Stück</v>
      </c>
      <c r="AE74" s="95" t="str">
        <f>Migrationsartikel!Y73</f>
        <v>3 - Reduzierter Satz</v>
      </c>
      <c r="AF74" s="64" t="str">
        <f>IF(Migrationsartikel!AA73="Kein Depotartikel","",Migrationsartikel!AA73)</f>
        <v/>
      </c>
      <c r="AG74" s="95" t="str">
        <f>Migrationsartikel!Z73</f>
        <v>Keine</v>
      </c>
      <c r="AH74" s="51" t="str">
        <f>IF(Migrationsartikel!AB73="ja","true",FALSE)</f>
        <v>true</v>
      </c>
      <c r="AI74" s="51" t="str">
        <f>IF(Migrationsartikel!AC73="ja","true",FALSE)</f>
        <v>true</v>
      </c>
      <c r="AJ74" s="51" t="str">
        <f>IF(Migrationsartikel!AD73="ja","true",FALSE)</f>
        <v>true</v>
      </c>
      <c r="AK74" s="51" t="str">
        <f>IF(Migrationsartikel!AE73="ja","true",FALSE)</f>
        <v>true</v>
      </c>
      <c r="AL74" s="51" t="str">
        <f>IF(Migrationsartikel!AF73="ja","Denner Partner","")</f>
        <v/>
      </c>
      <c r="AM74" s="51" t="str">
        <f>IF(Migrationsartikel!AG73="ja","true","false")</f>
        <v>false</v>
      </c>
      <c r="AN74" s="51" t="str">
        <f t="shared" si="2"/>
        <v>Kassentastenbelegung (ohne GTIN/PLU)</v>
      </c>
      <c r="AO74" s="63" t="s">
        <v>219</v>
      </c>
      <c r="AP74" s="62" t="s">
        <v>2501</v>
      </c>
      <c r="AQ74" s="63" t="s">
        <v>217</v>
      </c>
      <c r="AR74" s="30" t="s">
        <v>219</v>
      </c>
    </row>
    <row r="75" spans="2:44" ht="21.75" customHeight="1" x14ac:dyDescent="0.45">
      <c r="B75" s="51" t="s">
        <v>99</v>
      </c>
      <c r="E75" s="52" t="s">
        <v>87</v>
      </c>
      <c r="F75" s="51" t="str">
        <f>"Warengruppe&gt;&gt;"&amp;_xlfn.TEXTJOIN("&gt;&gt;",TRUE,Migrationsartikel!V74:X74)</f>
        <v>Warengruppe&gt;&gt;Früchte und Gemüse&gt;&gt;Früchte und Gemüse&gt;&gt;Früchte</v>
      </c>
      <c r="H75" s="52" t="s">
        <v>109</v>
      </c>
      <c r="J75" s="51" t="str">
        <f>_xlfn.TEXTJOIN(" ",TRUE,Migrationsartikel!B74,Migrationsartikel!E74)</f>
        <v>114</v>
      </c>
      <c r="L75" s="51" t="str">
        <f>_xlfn.TEXTJOIN(" ",TRUE,Migrationsartikel!F74:H74)</f>
        <v>Äpfel Galmac Offen Kl. 1</v>
      </c>
      <c r="M75" s="51" t="str">
        <f>_xlfn.TEXTJOIN(" ",TRUE,Migrationsartikel!J74:L74)</f>
        <v>Pommes Galmac En vrac, cl. 1</v>
      </c>
      <c r="N75" s="51" t="str">
        <f>_xlfn.TEXTJOIN(" ",TRUE,Migrationsartikel!N74:P74)</f>
        <v>Mele Galmac Cl. 1 vendita sfusa</v>
      </c>
      <c r="O75" s="51" t="str">
        <f>Migrationsartikel!F74</f>
        <v>Äpfel Galmac</v>
      </c>
      <c r="P75" s="51" t="str">
        <f>Migrationsartikel!J74</f>
        <v>Pommes Galmac</v>
      </c>
      <c r="Q75" s="51" t="str">
        <f>Migrationsartikel!N74</f>
        <v>Mele Galmac</v>
      </c>
      <c r="R75" s="51" t="str">
        <f>_xlfn.TEXTJOIN(" ",TRUE,Migrationsartikel!G74)</f>
        <v>Offen Kl. 1</v>
      </c>
      <c r="S75" s="51" t="str">
        <f>_xlfn.TEXTJOIN(" ",TRUE,Migrationsartikel!K74)</f>
        <v>En vrac, cl. 1</v>
      </c>
      <c r="T75" s="51" t="str">
        <f>_xlfn.TEXTJOIN(" ",TRUE,Migrationsartikel!O74)</f>
        <v>Cl. 1 vendita sfusa</v>
      </c>
      <c r="U75" s="51" t="str">
        <f>_xlfn.TEXTJOIN(" ",TRUE,Migrationsartikel!H74)</f>
        <v/>
      </c>
      <c r="V75" s="51" t="str">
        <f>_xlfn.TEXTJOIN(" ",TRUE,Migrationsartikel!L74)</f>
        <v/>
      </c>
      <c r="W75" s="51" t="str">
        <f>_xlfn.TEXTJOIN(" ",TRUE,Migrationsartikel!P74)</f>
        <v/>
      </c>
      <c r="X75" s="51" t="str">
        <f>Migrationsartikel!I74</f>
        <v>Äpfel Galmac Offen Kl. 1</v>
      </c>
      <c r="Y75" s="51" t="str">
        <f>Migrationsartikel!M74</f>
        <v>Pommes Galmac cl. 1 en vrac</v>
      </c>
      <c r="Z75" s="51" t="str">
        <f>Migrationsartikel!Q74</f>
        <v>Mele Galmac chl. 1 v. sfusa</v>
      </c>
      <c r="AA75" s="60">
        <f>Migrationsartikel!R74</f>
        <v>1</v>
      </c>
      <c r="AB75" s="51" t="str">
        <f>Migrationsartikel!T74</f>
        <v>Kilogramm</v>
      </c>
      <c r="AC75" s="62">
        <f>Migrationsartikel!S74</f>
        <v>1</v>
      </c>
      <c r="AD75" s="51" t="str">
        <f>Migrationsartikel!U74</f>
        <v>(KGM) KG</v>
      </c>
      <c r="AE75" s="95" t="str">
        <f>Migrationsartikel!Y74</f>
        <v>3 - Reduzierter Satz</v>
      </c>
      <c r="AF75" s="64" t="str">
        <f>IF(Migrationsartikel!AA74="Kein Depotartikel","",Migrationsartikel!AA74)</f>
        <v/>
      </c>
      <c r="AG75" s="95" t="str">
        <f>Migrationsartikel!Z74</f>
        <v>Keine</v>
      </c>
      <c r="AH75" s="51" t="str">
        <f>IF(Migrationsartikel!AB74="ja","true",FALSE)</f>
        <v>true</v>
      </c>
      <c r="AI75" s="51" t="str">
        <f>IF(Migrationsartikel!AC74="ja","true",FALSE)</f>
        <v>true</v>
      </c>
      <c r="AJ75" s="51" t="str">
        <f>IF(Migrationsartikel!AD74="ja","true",FALSE)</f>
        <v>true</v>
      </c>
      <c r="AK75" s="51" t="str">
        <f>IF(Migrationsartikel!AE74="ja","true",FALSE)</f>
        <v>true</v>
      </c>
      <c r="AL75" s="51" t="str">
        <f>IF(Migrationsartikel!AF74="ja","Denner Partner","")</f>
        <v/>
      </c>
      <c r="AM75" s="51" t="str">
        <f>IF(Migrationsartikel!AG74="ja","true","false")</f>
        <v>false</v>
      </c>
      <c r="AN75" s="51" t="str">
        <f t="shared" si="2"/>
        <v>Kassentastenbelegung (ohne GTIN/PLU)</v>
      </c>
      <c r="AO75" s="63" t="s">
        <v>219</v>
      </c>
      <c r="AP75" s="62" t="s">
        <v>2502</v>
      </c>
      <c r="AQ75" s="63" t="s">
        <v>217</v>
      </c>
      <c r="AR75" s="30" t="s">
        <v>219</v>
      </c>
    </row>
    <row r="76" spans="2:44" ht="21.75" customHeight="1" x14ac:dyDescent="0.45">
      <c r="B76" s="51" t="s">
        <v>99</v>
      </c>
      <c r="E76" s="52" t="s">
        <v>87</v>
      </c>
      <c r="F76" s="51" t="str">
        <f>"Warengruppe&gt;&gt;"&amp;_xlfn.TEXTJOIN("&gt;&gt;",TRUE,Migrationsartikel!V75:X75)</f>
        <v>Warengruppe&gt;&gt;Früchte und Gemüse&gt;&gt;Früchte und Gemüse&gt;&gt;Früchte</v>
      </c>
      <c r="H76" s="52" t="s">
        <v>109</v>
      </c>
      <c r="J76" s="51" t="str">
        <f>_xlfn.TEXTJOIN(" ",TRUE,Migrationsartikel!B75,Migrationsartikel!E75)</f>
        <v>2201354000000</v>
      </c>
      <c r="L76" s="51" t="str">
        <f>_xlfn.TEXTJOIN(" ",TRUE,Migrationsartikel!F75:H75)</f>
        <v>Äpfel Galmac Kl. 1 gepackt</v>
      </c>
      <c r="M76" s="51" t="str">
        <f>_xlfn.TEXTJOIN(" ",TRUE,Migrationsartikel!J75:L75)</f>
        <v>Pommes Galmac Cl. 1 emballé</v>
      </c>
      <c r="N76" s="51" t="str">
        <f>_xlfn.TEXTJOIN(" ",TRUE,Migrationsartikel!N75:P75)</f>
        <v>Mele Galmac Cl. 1 confezionato</v>
      </c>
      <c r="O76" s="51" t="str">
        <f>Migrationsartikel!F75</f>
        <v>Äpfel Galmac</v>
      </c>
      <c r="P76" s="51" t="str">
        <f>Migrationsartikel!J75</f>
        <v>Pommes Galmac</v>
      </c>
      <c r="Q76" s="51" t="str">
        <f>Migrationsartikel!N75</f>
        <v>Mele Galmac</v>
      </c>
      <c r="R76" s="51" t="str">
        <f>_xlfn.TEXTJOIN(" ",TRUE,Migrationsartikel!G75)</f>
        <v>Kl. 1 gepackt</v>
      </c>
      <c r="S76" s="51" t="str">
        <f>_xlfn.TEXTJOIN(" ",TRUE,Migrationsartikel!K75)</f>
        <v>Cl. 1 emballé</v>
      </c>
      <c r="T76" s="51" t="str">
        <f>_xlfn.TEXTJOIN(" ",TRUE,Migrationsartikel!O75)</f>
        <v>Cl. 1 confezionato</v>
      </c>
      <c r="U76" s="51" t="str">
        <f>_xlfn.TEXTJOIN(" ",TRUE,Migrationsartikel!H75)</f>
        <v/>
      </c>
      <c r="V76" s="51" t="str">
        <f>_xlfn.TEXTJOIN(" ",TRUE,Migrationsartikel!L75)</f>
        <v/>
      </c>
      <c r="W76" s="51" t="str">
        <f>_xlfn.TEXTJOIN(" ",TRUE,Migrationsartikel!P75)</f>
        <v/>
      </c>
      <c r="X76" s="51" t="str">
        <f>Migrationsartikel!I75</f>
        <v>Äpfel Galmac Kl. 1 gepackt</v>
      </c>
      <c r="Y76" s="51" t="str">
        <f>Migrationsartikel!M75</f>
        <v>Pommes Galmac cl. 1 emballé</v>
      </c>
      <c r="Z76" s="51" t="str">
        <f>Migrationsartikel!Q75</f>
        <v>Mele Galmac cl. 1 confez.</v>
      </c>
      <c r="AA76" s="60">
        <f>Migrationsartikel!R75</f>
        <v>1</v>
      </c>
      <c r="AB76" s="51" t="str">
        <f>Migrationsartikel!T75</f>
        <v>Kilogramm</v>
      </c>
      <c r="AC76" s="62">
        <f>Migrationsartikel!S75</f>
        <v>1</v>
      </c>
      <c r="AD76" s="51" t="str">
        <f>Migrationsartikel!U75</f>
        <v>(PCE) Stück</v>
      </c>
      <c r="AE76" s="95" t="str">
        <f>Migrationsartikel!Y75</f>
        <v>3 - Reduzierter Satz</v>
      </c>
      <c r="AF76" s="64" t="str">
        <f>IF(Migrationsartikel!AA75="Kein Depotartikel","",Migrationsartikel!AA75)</f>
        <v/>
      </c>
      <c r="AG76" s="95" t="str">
        <f>Migrationsartikel!Z75</f>
        <v>Keine</v>
      </c>
      <c r="AH76" s="51" t="str">
        <f>IF(Migrationsartikel!AB75="ja","true",FALSE)</f>
        <v>true</v>
      </c>
      <c r="AI76" s="51" t="str">
        <f>IF(Migrationsartikel!AC75="ja","true",FALSE)</f>
        <v>true</v>
      </c>
      <c r="AJ76" s="51" t="str">
        <f>IF(Migrationsartikel!AD75="ja","true",FALSE)</f>
        <v>true</v>
      </c>
      <c r="AK76" s="51" t="str">
        <f>IF(Migrationsartikel!AE75="ja","true",FALSE)</f>
        <v>true</v>
      </c>
      <c r="AL76" s="51" t="str">
        <f>IF(Migrationsartikel!AF75="ja","Denner Partner","")</f>
        <v/>
      </c>
      <c r="AM76" s="51" t="str">
        <f>IF(Migrationsartikel!AG75="ja","true","false")</f>
        <v>false</v>
      </c>
      <c r="AN76" s="51" t="str">
        <f t="shared" si="2"/>
        <v>Kassentastenbelegung (ohne GTIN/PLU)</v>
      </c>
      <c r="AO76" s="63" t="s">
        <v>219</v>
      </c>
      <c r="AP76" s="62" t="s">
        <v>2503</v>
      </c>
      <c r="AQ76" s="63" t="s">
        <v>217</v>
      </c>
      <c r="AR76" s="30" t="s">
        <v>219</v>
      </c>
    </row>
    <row r="77" spans="2:44" ht="21.75" customHeight="1" x14ac:dyDescent="0.45">
      <c r="B77" s="51" t="s">
        <v>99</v>
      </c>
      <c r="E77" s="52" t="s">
        <v>87</v>
      </c>
      <c r="F77" s="51" t="str">
        <f>"Warengruppe&gt;&gt;"&amp;_xlfn.TEXTJOIN("&gt;&gt;",TRUE,Migrationsartikel!V76:X76)</f>
        <v>Warengruppe&gt;&gt;Früchte und Gemüse&gt;&gt;Früchte und Gemüse&gt;&gt;Früchte</v>
      </c>
      <c r="H77" s="52" t="s">
        <v>109</v>
      </c>
      <c r="J77" s="51" t="str">
        <f>_xlfn.TEXTJOIN(" ",TRUE,Migrationsartikel!B76,Migrationsartikel!E76)</f>
        <v>2202663000000</v>
      </c>
      <c r="L77" s="51" t="str">
        <f>_xlfn.TEXTJOIN(" ",TRUE,Migrationsartikel!F76:H76)</f>
        <v>Äpfel Golden Kl. 1 gepackt</v>
      </c>
      <c r="M77" s="51" t="str">
        <f>_xlfn.TEXTJOIN(" ",TRUE,Migrationsartikel!J76:L76)</f>
        <v>Pommes Golden Cl. 1 emballé</v>
      </c>
      <c r="N77" s="51" t="str">
        <f>_xlfn.TEXTJOIN(" ",TRUE,Migrationsartikel!N76:P76)</f>
        <v>Mele Golden Cl. 1 confezionato</v>
      </c>
      <c r="O77" s="51" t="str">
        <f>Migrationsartikel!F76</f>
        <v>Äpfel Golden</v>
      </c>
      <c r="P77" s="51" t="str">
        <f>Migrationsartikel!J76</f>
        <v>Pommes Golden</v>
      </c>
      <c r="Q77" s="51" t="str">
        <f>Migrationsartikel!N76</f>
        <v>Mele Golden</v>
      </c>
      <c r="R77" s="51" t="str">
        <f>_xlfn.TEXTJOIN(" ",TRUE,Migrationsartikel!G76)</f>
        <v>Kl. 1 gepackt</v>
      </c>
      <c r="S77" s="51" t="str">
        <f>_xlfn.TEXTJOIN(" ",TRUE,Migrationsartikel!K76)</f>
        <v>Cl. 1 emballé</v>
      </c>
      <c r="T77" s="51" t="str">
        <f>_xlfn.TEXTJOIN(" ",TRUE,Migrationsartikel!O76)</f>
        <v>Cl. 1 confezionato</v>
      </c>
      <c r="U77" s="51" t="str">
        <f>_xlfn.TEXTJOIN(" ",TRUE,Migrationsartikel!H76)</f>
        <v/>
      </c>
      <c r="V77" s="51" t="str">
        <f>_xlfn.TEXTJOIN(" ",TRUE,Migrationsartikel!L76)</f>
        <v/>
      </c>
      <c r="W77" s="51" t="str">
        <f>_xlfn.TEXTJOIN(" ",TRUE,Migrationsartikel!P76)</f>
        <v/>
      </c>
      <c r="X77" s="51" t="str">
        <f>Migrationsartikel!I76</f>
        <v>Äpfel Golden Kl. 1 gepackt</v>
      </c>
      <c r="Y77" s="51" t="str">
        <f>Migrationsartikel!M76</f>
        <v>Pommes Golden cl. 1 emballé</v>
      </c>
      <c r="Z77" s="51" t="str">
        <f>Migrationsartikel!Q76</f>
        <v>Mele Golden cl. 1 confez</v>
      </c>
      <c r="AA77" s="60">
        <f>Migrationsartikel!R76</f>
        <v>1</v>
      </c>
      <c r="AB77" s="51" t="str">
        <f>Migrationsartikel!T76</f>
        <v>Kilogramm</v>
      </c>
      <c r="AC77" s="62">
        <f>Migrationsartikel!S76</f>
        <v>1</v>
      </c>
      <c r="AD77" s="51" t="str">
        <f>Migrationsartikel!U76</f>
        <v>(PCE) Stück</v>
      </c>
      <c r="AE77" s="95" t="str">
        <f>Migrationsartikel!Y76</f>
        <v>3 - Reduzierter Satz</v>
      </c>
      <c r="AF77" s="64" t="str">
        <f>IF(Migrationsartikel!AA76="Kein Depotartikel","",Migrationsartikel!AA76)</f>
        <v/>
      </c>
      <c r="AG77" s="95" t="str">
        <f>Migrationsartikel!Z76</f>
        <v>Keine</v>
      </c>
      <c r="AH77" s="51" t="str">
        <f>IF(Migrationsartikel!AB76="ja","true",FALSE)</f>
        <v>true</v>
      </c>
      <c r="AI77" s="51" t="str">
        <f>IF(Migrationsartikel!AC76="ja","true",FALSE)</f>
        <v>true</v>
      </c>
      <c r="AJ77" s="51" t="str">
        <f>IF(Migrationsartikel!AD76="ja","true",FALSE)</f>
        <v>true</v>
      </c>
      <c r="AK77" s="51" t="str">
        <f>IF(Migrationsartikel!AE76="ja","true",FALSE)</f>
        <v>true</v>
      </c>
      <c r="AL77" s="51" t="str">
        <f>IF(Migrationsartikel!AF76="ja","Denner Partner","")</f>
        <v/>
      </c>
      <c r="AM77" s="51" t="str">
        <f>IF(Migrationsartikel!AG76="ja","true","false")</f>
        <v>false</v>
      </c>
      <c r="AN77" s="51" t="str">
        <f t="shared" si="2"/>
        <v>Kassentastenbelegung (ohne GTIN/PLU)</v>
      </c>
      <c r="AO77" s="63" t="s">
        <v>219</v>
      </c>
      <c r="AP77" s="62" t="s">
        <v>2504</v>
      </c>
      <c r="AQ77" s="63" t="s">
        <v>217</v>
      </c>
      <c r="AR77" s="30" t="s">
        <v>219</v>
      </c>
    </row>
    <row r="78" spans="2:44" ht="21.75" customHeight="1" x14ac:dyDescent="0.45">
      <c r="B78" s="51" t="s">
        <v>99</v>
      </c>
      <c r="E78" s="52" t="s">
        <v>87</v>
      </c>
      <c r="F78" s="51" t="str">
        <f>"Warengruppe&gt;&gt;"&amp;_xlfn.TEXTJOIN("&gt;&gt;",TRUE,Migrationsartikel!V77:X77)</f>
        <v>Warengruppe&gt;&gt;Früchte und Gemüse&gt;&gt;Früchte und Gemüse&gt;&gt;Früchte</v>
      </c>
      <c r="H78" s="52" t="s">
        <v>109</v>
      </c>
      <c r="J78" s="51" t="str">
        <f>_xlfn.TEXTJOIN(" ",TRUE,Migrationsartikel!B77,Migrationsartikel!E77)</f>
        <v>115</v>
      </c>
      <c r="L78" s="51" t="str">
        <f>_xlfn.TEXTJOIN(" ",TRUE,Migrationsartikel!F77:H77)</f>
        <v>Äpfel Golden Offen Kl. 2</v>
      </c>
      <c r="M78" s="51" t="str">
        <f>_xlfn.TEXTJOIN(" ",TRUE,Migrationsartikel!J77:L77)</f>
        <v>Pommes Golden En vrac, cl. 2</v>
      </c>
      <c r="N78" s="51" t="str">
        <f>_xlfn.TEXTJOIN(" ",TRUE,Migrationsartikel!N77:P77)</f>
        <v>Mele Golden Cl. 2 vendita sfusa</v>
      </c>
      <c r="O78" s="51" t="str">
        <f>Migrationsartikel!F77</f>
        <v>Äpfel Golden</v>
      </c>
      <c r="P78" s="51" t="str">
        <f>Migrationsartikel!J77</f>
        <v>Pommes Golden</v>
      </c>
      <c r="Q78" s="51" t="str">
        <f>Migrationsartikel!N77</f>
        <v>Mele Golden</v>
      </c>
      <c r="R78" s="51" t="str">
        <f>_xlfn.TEXTJOIN(" ",TRUE,Migrationsartikel!G77)</f>
        <v>Offen Kl. 2</v>
      </c>
      <c r="S78" s="51" t="str">
        <f>_xlfn.TEXTJOIN(" ",TRUE,Migrationsartikel!K77)</f>
        <v>En vrac, cl. 2</v>
      </c>
      <c r="T78" s="51" t="str">
        <f>_xlfn.TEXTJOIN(" ",TRUE,Migrationsartikel!O77)</f>
        <v>Cl. 2 vendita sfusa</v>
      </c>
      <c r="U78" s="51" t="str">
        <f>_xlfn.TEXTJOIN(" ",TRUE,Migrationsartikel!H77)</f>
        <v/>
      </c>
      <c r="V78" s="51" t="str">
        <f>_xlfn.TEXTJOIN(" ",TRUE,Migrationsartikel!L77)</f>
        <v/>
      </c>
      <c r="W78" s="51" t="str">
        <f>_xlfn.TEXTJOIN(" ",TRUE,Migrationsartikel!P77)</f>
        <v/>
      </c>
      <c r="X78" s="51" t="str">
        <f>Migrationsartikel!I77</f>
        <v>Äpfel Golden Offen Kl. 2</v>
      </c>
      <c r="Y78" s="51" t="str">
        <f>Migrationsartikel!M77</f>
        <v>Pommes Golden cl. 2 en vrac</v>
      </c>
      <c r="Z78" s="51" t="str">
        <f>Migrationsartikel!Q77</f>
        <v>Mele Golden cl. 2 v. sfusa</v>
      </c>
      <c r="AA78" s="60">
        <f>Migrationsartikel!R77</f>
        <v>1</v>
      </c>
      <c r="AB78" s="51" t="str">
        <f>Migrationsartikel!T77</f>
        <v>Kilogramm</v>
      </c>
      <c r="AC78" s="62">
        <f>Migrationsartikel!S77</f>
        <v>1</v>
      </c>
      <c r="AD78" s="51" t="str">
        <f>Migrationsartikel!U77</f>
        <v>(KGM) KG</v>
      </c>
      <c r="AE78" s="95" t="str">
        <f>Migrationsartikel!Y77</f>
        <v>3 - Reduzierter Satz</v>
      </c>
      <c r="AF78" s="64" t="str">
        <f>IF(Migrationsartikel!AA77="Kein Depotartikel","",Migrationsartikel!AA77)</f>
        <v/>
      </c>
      <c r="AG78" s="95" t="str">
        <f>Migrationsartikel!Z77</f>
        <v>Keine</v>
      </c>
      <c r="AH78" s="51" t="str">
        <f>IF(Migrationsartikel!AB77="ja","true",FALSE)</f>
        <v>true</v>
      </c>
      <c r="AI78" s="51" t="str">
        <f>IF(Migrationsartikel!AC77="ja","true",FALSE)</f>
        <v>true</v>
      </c>
      <c r="AJ78" s="51" t="str">
        <f>IF(Migrationsartikel!AD77="ja","true",FALSE)</f>
        <v>true</v>
      </c>
      <c r="AK78" s="51" t="str">
        <f>IF(Migrationsartikel!AE77="ja","true",FALSE)</f>
        <v>true</v>
      </c>
      <c r="AL78" s="51" t="str">
        <f>IF(Migrationsartikel!AF77="ja","Denner Partner","")</f>
        <v/>
      </c>
      <c r="AM78" s="51" t="str">
        <f>IF(Migrationsartikel!AG77="ja","true","false")</f>
        <v>false</v>
      </c>
      <c r="AN78" s="51" t="str">
        <f t="shared" si="2"/>
        <v>Kassentastenbelegung (ohne GTIN/PLU)</v>
      </c>
      <c r="AO78" s="63" t="s">
        <v>219</v>
      </c>
      <c r="AP78" s="62" t="s">
        <v>2505</v>
      </c>
      <c r="AQ78" s="63" t="s">
        <v>217</v>
      </c>
      <c r="AR78" s="30" t="s">
        <v>219</v>
      </c>
    </row>
    <row r="79" spans="2:44" ht="21.75" customHeight="1" x14ac:dyDescent="0.45">
      <c r="B79" s="51" t="s">
        <v>99</v>
      </c>
      <c r="E79" s="52" t="s">
        <v>87</v>
      </c>
      <c r="F79" s="51" t="str">
        <f>"Warengruppe&gt;&gt;"&amp;_xlfn.TEXTJOIN("&gt;&gt;",TRUE,Migrationsartikel!V78:X78)</f>
        <v>Warengruppe&gt;&gt;Früchte und Gemüse&gt;&gt;Früchte und Gemüse&gt;&gt;Früchte</v>
      </c>
      <c r="H79" s="52" t="s">
        <v>109</v>
      </c>
      <c r="J79" s="51" t="str">
        <f>_xlfn.TEXTJOIN(" ",TRUE,Migrationsartikel!B78,Migrationsartikel!E78)</f>
        <v>2202621000003</v>
      </c>
      <c r="L79" s="51" t="str">
        <f>_xlfn.TEXTJOIN(" ",TRUE,Migrationsartikel!F78:H78)</f>
        <v>Äpfel Golden TT 1.5kg</v>
      </c>
      <c r="M79" s="51" t="str">
        <f>_xlfn.TEXTJOIN(" ",TRUE,Migrationsartikel!J78:L78)</f>
        <v>Pommes Golden sac 1.5kg</v>
      </c>
      <c r="N79" s="51" t="str">
        <f>_xlfn.TEXTJOIN(" ",TRUE,Migrationsartikel!N78:P78)</f>
        <v>Mele Golden TT 1.5kg</v>
      </c>
      <c r="O79" s="51" t="str">
        <f>Migrationsartikel!F78</f>
        <v>Äpfel Golden TT</v>
      </c>
      <c r="P79" s="51" t="str">
        <f>Migrationsartikel!J78</f>
        <v>Pommes Golden sac</v>
      </c>
      <c r="Q79" s="51" t="str">
        <f>Migrationsartikel!N78</f>
        <v>Mele Golden TT</v>
      </c>
      <c r="R79" s="51" t="str">
        <f>_xlfn.TEXTJOIN(" ",TRUE,Migrationsartikel!G78)</f>
        <v/>
      </c>
      <c r="S79" s="51" t="str">
        <f>_xlfn.TEXTJOIN(" ",TRUE,Migrationsartikel!K78)</f>
        <v/>
      </c>
      <c r="T79" s="51" t="str">
        <f>_xlfn.TEXTJOIN(" ",TRUE,Migrationsartikel!O78)</f>
        <v/>
      </c>
      <c r="U79" s="51" t="str">
        <f>_xlfn.TEXTJOIN(" ",TRUE,Migrationsartikel!H78)</f>
        <v>1.5kg</v>
      </c>
      <c r="V79" s="51" t="str">
        <f>_xlfn.TEXTJOIN(" ",TRUE,Migrationsartikel!L78)</f>
        <v>1.5kg</v>
      </c>
      <c r="W79" s="51" t="str">
        <f>_xlfn.TEXTJOIN(" ",TRUE,Migrationsartikel!P78)</f>
        <v>1.5kg</v>
      </c>
      <c r="X79" s="51" t="str">
        <f>Migrationsartikel!I78</f>
        <v>Äpfel Golden TT 1.5 kg</v>
      </c>
      <c r="Y79" s="51" t="str">
        <f>Migrationsartikel!M78</f>
        <v>Pomes Golden sac 1.5kg</v>
      </c>
      <c r="Z79" s="51" t="str">
        <f>Migrationsartikel!Q78</f>
        <v>Mele Golden TT 1.5kg</v>
      </c>
      <c r="AA79" s="60">
        <f>Migrationsartikel!R78</f>
        <v>1.5</v>
      </c>
      <c r="AB79" s="51" t="str">
        <f>Migrationsartikel!T78</f>
        <v>Kilogramm</v>
      </c>
      <c r="AC79" s="62">
        <f>Migrationsartikel!S78</f>
        <v>1</v>
      </c>
      <c r="AD79" s="51" t="str">
        <f>Migrationsartikel!U78</f>
        <v>(PCE) Stück</v>
      </c>
      <c r="AE79" s="95" t="str">
        <f>Migrationsartikel!Y78</f>
        <v>3 - Reduzierter Satz</v>
      </c>
      <c r="AF79" s="64" t="str">
        <f>IF(Migrationsartikel!AA78="Kein Depotartikel","",Migrationsartikel!AA78)</f>
        <v/>
      </c>
      <c r="AG79" s="95" t="str">
        <f>Migrationsartikel!Z78</f>
        <v>Keine</v>
      </c>
      <c r="AH79" s="51" t="str">
        <f>IF(Migrationsartikel!AB78="ja","true",FALSE)</f>
        <v>true</v>
      </c>
      <c r="AI79" s="51" t="str">
        <f>IF(Migrationsartikel!AC78="ja","true",FALSE)</f>
        <v>true</v>
      </c>
      <c r="AJ79" s="51" t="str">
        <f>IF(Migrationsartikel!AD78="ja","true",FALSE)</f>
        <v>true</v>
      </c>
      <c r="AK79" s="51" t="str">
        <f>IF(Migrationsartikel!AE78="ja","true",FALSE)</f>
        <v>true</v>
      </c>
      <c r="AL79" s="51" t="str">
        <f>IF(Migrationsartikel!AF78="ja","Denner Partner","")</f>
        <v/>
      </c>
      <c r="AM79" s="51" t="str">
        <f>IF(Migrationsartikel!AG78="ja","true","false")</f>
        <v>false</v>
      </c>
      <c r="AN79" s="51" t="str">
        <f t="shared" si="2"/>
        <v>Kassentastenbelegung (ohne GTIN/PLU)</v>
      </c>
      <c r="AO79" s="63" t="s">
        <v>219</v>
      </c>
      <c r="AP79" s="62" t="s">
        <v>2506</v>
      </c>
      <c r="AQ79" s="63" t="s">
        <v>217</v>
      </c>
      <c r="AR79" s="30" t="s">
        <v>219</v>
      </c>
    </row>
    <row r="80" spans="2:44" ht="21.75" customHeight="1" x14ac:dyDescent="0.45">
      <c r="B80" s="51" t="s">
        <v>99</v>
      </c>
      <c r="E80" s="52" t="s">
        <v>87</v>
      </c>
      <c r="F80" s="51" t="str">
        <f>"Warengruppe&gt;&gt;"&amp;_xlfn.TEXTJOIN("&gt;&gt;",TRUE,Migrationsartikel!V79:X79)</f>
        <v>Warengruppe&gt;&gt;Früchte und Gemüse&gt;&gt;Früchte und Gemüse&gt;&gt;Früchte</v>
      </c>
      <c r="H80" s="52" t="s">
        <v>109</v>
      </c>
      <c r="J80" s="51" t="str">
        <f>_xlfn.TEXTJOIN(" ",TRUE,Migrationsartikel!B79,Migrationsartikel!E79)</f>
        <v>116</v>
      </c>
      <c r="L80" s="51" t="str">
        <f>_xlfn.TEXTJOIN(" ",TRUE,Migrationsartikel!F79:H79)</f>
        <v>Äpfel Granny Smith Offen Kl. 1</v>
      </c>
      <c r="M80" s="51" t="str">
        <f>_xlfn.TEXTJOIN(" ",TRUE,Migrationsartikel!J79:L79)</f>
        <v>Pommes Granny Smith En vrac, cl. 1</v>
      </c>
      <c r="N80" s="51" t="str">
        <f>_xlfn.TEXTJOIN(" ",TRUE,Migrationsartikel!N79:P79)</f>
        <v>Mele Granny Smith Cl. 1 vendita sfusa</v>
      </c>
      <c r="O80" s="51" t="str">
        <f>Migrationsartikel!F79</f>
        <v>Äpfel Granny Smith</v>
      </c>
      <c r="P80" s="51" t="str">
        <f>Migrationsartikel!J79</f>
        <v>Pommes Granny Smith</v>
      </c>
      <c r="Q80" s="51" t="str">
        <f>Migrationsartikel!N79</f>
        <v>Mele Granny Smith</v>
      </c>
      <c r="R80" s="51" t="str">
        <f>_xlfn.TEXTJOIN(" ",TRUE,Migrationsartikel!G79)</f>
        <v>Offen Kl. 1</v>
      </c>
      <c r="S80" s="51" t="str">
        <f>_xlfn.TEXTJOIN(" ",TRUE,Migrationsartikel!K79)</f>
        <v>En vrac, cl. 1</v>
      </c>
      <c r="T80" s="51" t="str">
        <f>_xlfn.TEXTJOIN(" ",TRUE,Migrationsartikel!O79)</f>
        <v>Cl. 1 vendita sfusa</v>
      </c>
      <c r="U80" s="51" t="str">
        <f>_xlfn.TEXTJOIN(" ",TRUE,Migrationsartikel!H79)</f>
        <v/>
      </c>
      <c r="V80" s="51" t="str">
        <f>_xlfn.TEXTJOIN(" ",TRUE,Migrationsartikel!L79)</f>
        <v/>
      </c>
      <c r="W80" s="51" t="str">
        <f>_xlfn.TEXTJOIN(" ",TRUE,Migrationsartikel!P79)</f>
        <v/>
      </c>
      <c r="X80" s="51" t="str">
        <f>Migrationsartikel!I79</f>
        <v>Äpfel Granny Smith Off. Kl.1</v>
      </c>
      <c r="Y80" s="51" t="str">
        <f>Migrationsartikel!M79</f>
        <v>Pommes Gran. Smith cl.1 en.v</v>
      </c>
      <c r="Z80" s="51" t="str">
        <f>Migrationsartikel!Q79</f>
        <v>Mele Granny Smith cl. 1 v.s.</v>
      </c>
      <c r="AA80" s="60">
        <f>Migrationsartikel!R79</f>
        <v>1</v>
      </c>
      <c r="AB80" s="51" t="str">
        <f>Migrationsartikel!T79</f>
        <v>Kilogramm</v>
      </c>
      <c r="AC80" s="62">
        <f>Migrationsartikel!S79</f>
        <v>1</v>
      </c>
      <c r="AD80" s="51" t="str">
        <f>Migrationsartikel!U79</f>
        <v>(KGM) KG</v>
      </c>
      <c r="AE80" s="95" t="str">
        <f>Migrationsartikel!Y79</f>
        <v>3 - Reduzierter Satz</v>
      </c>
      <c r="AF80" s="64" t="str">
        <f>IF(Migrationsartikel!AA79="Kein Depotartikel","",Migrationsartikel!AA79)</f>
        <v/>
      </c>
      <c r="AG80" s="95" t="str">
        <f>Migrationsartikel!Z79</f>
        <v>Keine</v>
      </c>
      <c r="AH80" s="51" t="str">
        <f>IF(Migrationsartikel!AB79="ja","true",FALSE)</f>
        <v>true</v>
      </c>
      <c r="AI80" s="51" t="str">
        <f>IF(Migrationsartikel!AC79="ja","true",FALSE)</f>
        <v>true</v>
      </c>
      <c r="AJ80" s="51" t="str">
        <f>IF(Migrationsartikel!AD79="ja","true",FALSE)</f>
        <v>true</v>
      </c>
      <c r="AK80" s="51" t="str">
        <f>IF(Migrationsartikel!AE79="ja","true",FALSE)</f>
        <v>true</v>
      </c>
      <c r="AL80" s="51" t="str">
        <f>IF(Migrationsartikel!AF79="ja","Denner Partner","")</f>
        <v/>
      </c>
      <c r="AM80" s="51" t="str">
        <f>IF(Migrationsartikel!AG79="ja","true","false")</f>
        <v>false</v>
      </c>
      <c r="AN80" s="51" t="str">
        <f t="shared" si="2"/>
        <v>Kassentastenbelegung (ohne GTIN/PLU)</v>
      </c>
      <c r="AO80" s="63" t="s">
        <v>219</v>
      </c>
      <c r="AP80" s="62" t="s">
        <v>2507</v>
      </c>
      <c r="AQ80" s="63" t="s">
        <v>217</v>
      </c>
      <c r="AR80" s="30" t="s">
        <v>219</v>
      </c>
    </row>
    <row r="81" spans="2:44" ht="21.75" customHeight="1" x14ac:dyDescent="0.45">
      <c r="B81" s="51" t="s">
        <v>99</v>
      </c>
      <c r="E81" s="52" t="s">
        <v>87</v>
      </c>
      <c r="F81" s="51" t="str">
        <f>"Warengruppe&gt;&gt;"&amp;_xlfn.TEXTJOIN("&gt;&gt;",TRUE,Migrationsartikel!V80:X80)</f>
        <v>Warengruppe&gt;&gt;Früchte und Gemüse&gt;&gt;Früchte und Gemüse&gt;&gt;Früchte</v>
      </c>
      <c r="H81" s="52" t="s">
        <v>109</v>
      </c>
      <c r="J81" s="51" t="str">
        <f>_xlfn.TEXTJOIN(" ",TRUE,Migrationsartikel!B80,Migrationsartikel!E80)</f>
        <v>2202901000006</v>
      </c>
      <c r="L81" s="51" t="str">
        <f>_xlfn.TEXTJOIN(" ",TRUE,Migrationsartikel!F80:H80)</f>
        <v>Äpfel Granny Smith Kl. 1 gepackt</v>
      </c>
      <c r="M81" s="51" t="str">
        <f>_xlfn.TEXTJOIN(" ",TRUE,Migrationsartikel!J80:L80)</f>
        <v>Pommes Granny Smith Cl. 1 emballé</v>
      </c>
      <c r="N81" s="51" t="str">
        <f>_xlfn.TEXTJOIN(" ",TRUE,Migrationsartikel!N80:P80)</f>
        <v>Mele Granny Smith Cl. 1 confezionato</v>
      </c>
      <c r="O81" s="51" t="str">
        <f>Migrationsartikel!F80</f>
        <v>Äpfel Granny Smith</v>
      </c>
      <c r="P81" s="51" t="str">
        <f>Migrationsartikel!J80</f>
        <v>Pommes Granny Smith</v>
      </c>
      <c r="Q81" s="51" t="str">
        <f>Migrationsartikel!N80</f>
        <v>Mele Granny Smith</v>
      </c>
      <c r="R81" s="51" t="str">
        <f>_xlfn.TEXTJOIN(" ",TRUE,Migrationsartikel!G80)</f>
        <v>Kl. 1 gepackt</v>
      </c>
      <c r="S81" s="51" t="str">
        <f>_xlfn.TEXTJOIN(" ",TRUE,Migrationsartikel!K80)</f>
        <v>Cl. 1 emballé</v>
      </c>
      <c r="T81" s="51" t="str">
        <f>_xlfn.TEXTJOIN(" ",TRUE,Migrationsartikel!O80)</f>
        <v>Cl. 1 confezionato</v>
      </c>
      <c r="U81" s="51" t="str">
        <f>_xlfn.TEXTJOIN(" ",TRUE,Migrationsartikel!H80)</f>
        <v/>
      </c>
      <c r="V81" s="51" t="str">
        <f>_xlfn.TEXTJOIN(" ",TRUE,Migrationsartikel!L80)</f>
        <v/>
      </c>
      <c r="W81" s="51" t="str">
        <f>_xlfn.TEXTJOIN(" ",TRUE,Migrationsartikel!P80)</f>
        <v/>
      </c>
      <c r="X81" s="51" t="str">
        <f>Migrationsartikel!I80</f>
        <v>Äpfel Granny Smith Kl.1 gep.</v>
      </c>
      <c r="Y81" s="51" t="str">
        <f>Migrationsartikel!M80</f>
        <v>Pommes Gran. Smith cl.1 emb.</v>
      </c>
      <c r="Z81" s="51" t="str">
        <f>Migrationsartikel!Q80</f>
        <v>Mele Granny Smith cl.1 conf.</v>
      </c>
      <c r="AA81" s="60">
        <f>Migrationsartikel!R80</f>
        <v>1</v>
      </c>
      <c r="AB81" s="51" t="str">
        <f>Migrationsartikel!T80</f>
        <v>Kilogramm</v>
      </c>
      <c r="AC81" s="62">
        <f>Migrationsartikel!S80</f>
        <v>1</v>
      </c>
      <c r="AD81" s="51" t="str">
        <f>Migrationsartikel!U80</f>
        <v>(PCE) Stück</v>
      </c>
      <c r="AE81" s="95" t="str">
        <f>Migrationsartikel!Y80</f>
        <v>3 - Reduzierter Satz</v>
      </c>
      <c r="AF81" s="64" t="str">
        <f>IF(Migrationsartikel!AA80="Kein Depotartikel","",Migrationsartikel!AA80)</f>
        <v/>
      </c>
      <c r="AG81" s="95" t="str">
        <f>Migrationsartikel!Z80</f>
        <v>Keine</v>
      </c>
      <c r="AH81" s="51" t="str">
        <f>IF(Migrationsartikel!AB80="ja","true",FALSE)</f>
        <v>true</v>
      </c>
      <c r="AI81" s="51" t="str">
        <f>IF(Migrationsartikel!AC80="ja","true",FALSE)</f>
        <v>true</v>
      </c>
      <c r="AJ81" s="51" t="str">
        <f>IF(Migrationsartikel!AD80="ja","true",FALSE)</f>
        <v>true</v>
      </c>
      <c r="AK81" s="51" t="str">
        <f>IF(Migrationsartikel!AE80="ja","true",FALSE)</f>
        <v>true</v>
      </c>
      <c r="AL81" s="51" t="str">
        <f>IF(Migrationsartikel!AF80="ja","Denner Partner","")</f>
        <v/>
      </c>
      <c r="AM81" s="51" t="str">
        <f>IF(Migrationsartikel!AG80="ja","true","false")</f>
        <v>false</v>
      </c>
      <c r="AN81" s="51" t="str">
        <f t="shared" si="2"/>
        <v>Kassentastenbelegung (ohne GTIN/PLU)</v>
      </c>
      <c r="AO81" s="63" t="s">
        <v>219</v>
      </c>
      <c r="AP81" s="62" t="s">
        <v>2508</v>
      </c>
      <c r="AQ81" s="63" t="s">
        <v>217</v>
      </c>
      <c r="AR81" s="30" t="s">
        <v>219</v>
      </c>
    </row>
    <row r="82" spans="2:44" ht="21.75" customHeight="1" x14ac:dyDescent="0.45">
      <c r="B82" s="51" t="s">
        <v>99</v>
      </c>
      <c r="E82" s="52" t="s">
        <v>87</v>
      </c>
      <c r="F82" s="51" t="str">
        <f>"Warengruppe&gt;&gt;"&amp;_xlfn.TEXTJOIN("&gt;&gt;",TRUE,Migrationsartikel!V81:X81)</f>
        <v>Warengruppe&gt;&gt;Früchte und Gemüse&gt;&gt;Früchte und Gemüse&gt;&gt;Früchte</v>
      </c>
      <c r="H82" s="52" t="s">
        <v>109</v>
      </c>
      <c r="J82" s="51" t="str">
        <f>_xlfn.TEXTJOIN(" ",TRUE,Migrationsartikel!B81,Migrationsartikel!E81)</f>
        <v>2216811000001</v>
      </c>
      <c r="L82" s="51" t="str">
        <f>_xlfn.TEXTJOIN(" ",TRUE,Migrationsartikel!F81:H81)</f>
        <v>Grapefruits rot Netz 2Stk</v>
      </c>
      <c r="M82" s="51" t="str">
        <f>_xlfn.TEXTJOIN(" ",TRUE,Migrationsartikel!J81:L81)</f>
        <v>Pamplemousses rouges Filet 2pces</v>
      </c>
      <c r="N82" s="51" t="str">
        <f>_xlfn.TEXTJOIN(" ",TRUE,Migrationsartikel!N81:P81)</f>
        <v>Pompelmi rossi retina 2pz</v>
      </c>
      <c r="O82" s="51" t="str">
        <f>Migrationsartikel!F81</f>
        <v>Grapefruits rot</v>
      </c>
      <c r="P82" s="51" t="str">
        <f>Migrationsartikel!J81</f>
        <v>Pamplemousses rouges</v>
      </c>
      <c r="Q82" s="51" t="str">
        <f>Migrationsartikel!N81</f>
        <v>Pompelmi rossi</v>
      </c>
      <c r="R82" s="51" t="str">
        <f>_xlfn.TEXTJOIN(" ",TRUE,Migrationsartikel!G81)</f>
        <v>Netz</v>
      </c>
      <c r="S82" s="51" t="str">
        <f>_xlfn.TEXTJOIN(" ",TRUE,Migrationsartikel!K81)</f>
        <v>Filet</v>
      </c>
      <c r="T82" s="51" t="str">
        <f>_xlfn.TEXTJOIN(" ",TRUE,Migrationsartikel!O81)</f>
        <v>retina</v>
      </c>
      <c r="U82" s="51" t="str">
        <f>_xlfn.TEXTJOIN(" ",TRUE,Migrationsartikel!H81)</f>
        <v>2Stk</v>
      </c>
      <c r="V82" s="51" t="str">
        <f>_xlfn.TEXTJOIN(" ",TRUE,Migrationsartikel!L81)</f>
        <v>2pces</v>
      </c>
      <c r="W82" s="51" t="str">
        <f>_xlfn.TEXTJOIN(" ",TRUE,Migrationsartikel!P81)</f>
        <v>2pz</v>
      </c>
      <c r="X82" s="51" t="str">
        <f>Migrationsartikel!I81</f>
        <v>Grapefruits rot Netz 2 Stk</v>
      </c>
      <c r="Y82" s="51" t="str">
        <f>Migrationsartikel!M81</f>
        <v>Pamplemousses rouges 2 pces</v>
      </c>
      <c r="Z82" s="51" t="str">
        <f>Migrationsartikel!Q81</f>
        <v>Pompelmi rossi retina 2 pz</v>
      </c>
      <c r="AA82" s="60">
        <f>Migrationsartikel!R81</f>
        <v>2</v>
      </c>
      <c r="AB82" s="51" t="str">
        <f>Migrationsartikel!T81</f>
        <v>Stück</v>
      </c>
      <c r="AC82" s="62">
        <f>Migrationsartikel!S81</f>
        <v>1</v>
      </c>
      <c r="AD82" s="51" t="str">
        <f>Migrationsartikel!U81</f>
        <v>(PCE) Stück</v>
      </c>
      <c r="AE82" s="95" t="str">
        <f>Migrationsartikel!Y81</f>
        <v>3 - Reduzierter Satz</v>
      </c>
      <c r="AF82" s="64" t="str">
        <f>IF(Migrationsartikel!AA81="Kein Depotartikel","",Migrationsartikel!AA81)</f>
        <v/>
      </c>
      <c r="AG82" s="95" t="str">
        <f>Migrationsartikel!Z81</f>
        <v>Keine</v>
      </c>
      <c r="AH82" s="51" t="str">
        <f>IF(Migrationsartikel!AB81="ja","true",FALSE)</f>
        <v>true</v>
      </c>
      <c r="AI82" s="51" t="str">
        <f>IF(Migrationsartikel!AC81="ja","true",FALSE)</f>
        <v>true</v>
      </c>
      <c r="AJ82" s="51" t="str">
        <f>IF(Migrationsartikel!AD81="ja","true",FALSE)</f>
        <v>true</v>
      </c>
      <c r="AK82" s="51" t="str">
        <f>IF(Migrationsartikel!AE81="ja","true",FALSE)</f>
        <v>true</v>
      </c>
      <c r="AL82" s="51" t="str">
        <f>IF(Migrationsartikel!AF81="ja","Denner Partner","")</f>
        <v/>
      </c>
      <c r="AM82" s="51" t="str">
        <f>IF(Migrationsartikel!AG81="ja","true","false")</f>
        <v>false</v>
      </c>
      <c r="AN82" s="51" t="str">
        <f t="shared" si="2"/>
        <v>Kassentastenbelegung (ohne GTIN/PLU)</v>
      </c>
      <c r="AO82" s="63" t="s">
        <v>219</v>
      </c>
      <c r="AP82" s="62" t="s">
        <v>2509</v>
      </c>
      <c r="AQ82" s="63" t="s">
        <v>217</v>
      </c>
      <c r="AR82" s="30" t="s">
        <v>219</v>
      </c>
    </row>
    <row r="83" spans="2:44" ht="21.75" customHeight="1" x14ac:dyDescent="0.45">
      <c r="B83" s="51" t="s">
        <v>99</v>
      </c>
      <c r="E83" s="52" t="s">
        <v>87</v>
      </c>
      <c r="F83" s="51" t="str">
        <f>"Warengruppe&gt;&gt;"&amp;_xlfn.TEXTJOIN("&gt;&gt;",TRUE,Migrationsartikel!V82:X82)</f>
        <v>Warengruppe&gt;&gt;Früchte und Gemüse&gt;&gt;Früchte und Gemüse&gt;&gt;Früchte</v>
      </c>
      <c r="H83" s="52" t="s">
        <v>109</v>
      </c>
      <c r="J83" s="51" t="str">
        <f>_xlfn.TEXTJOIN(" ",TRUE,Migrationsartikel!B82,Migrationsartikel!E82)</f>
        <v/>
      </c>
      <c r="L83" s="51" t="str">
        <f>_xlfn.TEXTJOIN(" ",TRUE,Migrationsartikel!F82:H82)</f>
        <v>Grapefruits weiss Stk</v>
      </c>
      <c r="M83" s="51" t="str">
        <f>_xlfn.TEXTJOIN(" ",TRUE,Migrationsartikel!J82:L82)</f>
        <v>Pamplemousses jaune pce</v>
      </c>
      <c r="N83" s="51" t="str">
        <f>_xlfn.TEXTJOIN(" ",TRUE,Migrationsartikel!N82:P82)</f>
        <v>Pompelmi bianchi pz</v>
      </c>
      <c r="O83" s="51" t="str">
        <f>Migrationsartikel!F82</f>
        <v>Grapefruits weiss</v>
      </c>
      <c r="P83" s="51" t="str">
        <f>Migrationsartikel!J82</f>
        <v>Pamplemousses jaune</v>
      </c>
      <c r="Q83" s="51" t="str">
        <f>Migrationsartikel!N82</f>
        <v>Pompelmi bianchi</v>
      </c>
      <c r="R83" s="51" t="str">
        <f>_xlfn.TEXTJOIN(" ",TRUE,Migrationsartikel!G82)</f>
        <v/>
      </c>
      <c r="S83" s="51" t="str">
        <f>_xlfn.TEXTJOIN(" ",TRUE,Migrationsartikel!K82)</f>
        <v/>
      </c>
      <c r="T83" s="51" t="str">
        <f>_xlfn.TEXTJOIN(" ",TRUE,Migrationsartikel!O82)</f>
        <v/>
      </c>
      <c r="U83" s="51" t="str">
        <f>_xlfn.TEXTJOIN(" ",TRUE,Migrationsartikel!H82)</f>
        <v>Stk</v>
      </c>
      <c r="V83" s="51" t="str">
        <f>_xlfn.TEXTJOIN(" ",TRUE,Migrationsartikel!L82)</f>
        <v>pce</v>
      </c>
      <c r="W83" s="51" t="str">
        <f>_xlfn.TEXTJOIN(" ",TRUE,Migrationsartikel!P82)</f>
        <v>pz</v>
      </c>
      <c r="X83" s="51" t="str">
        <f>Migrationsartikel!I82</f>
        <v>Grapefruits weiss Stk</v>
      </c>
      <c r="Y83" s="51" t="str">
        <f>Migrationsartikel!M82</f>
        <v>Pampelmousses jaune pce</v>
      </c>
      <c r="Z83" s="51" t="str">
        <f>Migrationsartikel!Q82</f>
        <v>Pompelmi bianchi pz</v>
      </c>
      <c r="AA83" s="60">
        <f>Migrationsartikel!R82</f>
        <v>1</v>
      </c>
      <c r="AB83" s="51" t="str">
        <f>Migrationsartikel!T82</f>
        <v>Stück</v>
      </c>
      <c r="AC83" s="62">
        <f>Migrationsartikel!S82</f>
        <v>1</v>
      </c>
      <c r="AD83" s="51" t="str">
        <f>Migrationsartikel!U82</f>
        <v>(PCE) Stück</v>
      </c>
      <c r="AE83" s="95" t="str">
        <f>Migrationsartikel!Y82</f>
        <v>3 - Reduzierter Satz</v>
      </c>
      <c r="AF83" s="64" t="str">
        <f>IF(Migrationsartikel!AA82="Kein Depotartikel","",Migrationsartikel!AA82)</f>
        <v/>
      </c>
      <c r="AG83" s="95" t="str">
        <f>Migrationsartikel!Z82</f>
        <v>Keine</v>
      </c>
      <c r="AH83" s="51" t="str">
        <f>IF(Migrationsartikel!AB82="ja","true",FALSE)</f>
        <v>true</v>
      </c>
      <c r="AI83" s="51" t="str">
        <f>IF(Migrationsartikel!AC82="ja","true",FALSE)</f>
        <v>true</v>
      </c>
      <c r="AJ83" s="51" t="str">
        <f>IF(Migrationsartikel!AD82="ja","true",FALSE)</f>
        <v>true</v>
      </c>
      <c r="AK83" s="51" t="str">
        <f>IF(Migrationsartikel!AE82="ja","true",FALSE)</f>
        <v>true</v>
      </c>
      <c r="AL83" s="51" t="str">
        <f>IF(Migrationsartikel!AF82="ja","Denner Partner","")</f>
        <v/>
      </c>
      <c r="AM83" s="51" t="str">
        <f>IF(Migrationsartikel!AG82="ja","true","false")</f>
        <v>false</v>
      </c>
      <c r="AN83" s="51" t="str">
        <f t="shared" si="2"/>
        <v>Kassentastenbelegung (ohne GTIN/PLU)</v>
      </c>
      <c r="AO83" s="63" t="s">
        <v>219</v>
      </c>
      <c r="AP83" s="62" t="s">
        <v>2510</v>
      </c>
      <c r="AQ83" s="63" t="s">
        <v>217</v>
      </c>
      <c r="AR83" s="30" t="s">
        <v>219</v>
      </c>
    </row>
    <row r="84" spans="2:44" ht="21.75" customHeight="1" x14ac:dyDescent="0.45">
      <c r="B84" s="51" t="s">
        <v>99</v>
      </c>
      <c r="E84" s="52" t="s">
        <v>87</v>
      </c>
      <c r="F84" s="51" t="str">
        <f>"Warengruppe&gt;&gt;"&amp;_xlfn.TEXTJOIN("&gt;&gt;",TRUE,Migrationsartikel!V83:X83)</f>
        <v>Warengruppe&gt;&gt;Früchte und Gemüse&gt;&gt;Früchte und Gemüse&gt;&gt;Früchte</v>
      </c>
      <c r="H84" s="52" t="s">
        <v>109</v>
      </c>
      <c r="J84" s="51" t="str">
        <f>_xlfn.TEXTJOIN(" ",TRUE,Migrationsartikel!B83,Migrationsartikel!E83)</f>
        <v>117</v>
      </c>
      <c r="L84" s="51" t="str">
        <f>_xlfn.TEXTJOIN(" ",TRUE,Migrationsartikel!F83:H83)</f>
        <v>Äpfel Gravensteiner Offen Kl. 1</v>
      </c>
      <c r="M84" s="51" t="str">
        <f>_xlfn.TEXTJOIN(" ",TRUE,Migrationsartikel!J83:L83)</f>
        <v>Pommes Gravensteiner En vrac, cl. 1</v>
      </c>
      <c r="N84" s="51" t="str">
        <f>_xlfn.TEXTJOIN(" ",TRUE,Migrationsartikel!N83:P83)</f>
        <v>Mele Gravensteiner Cl. 1 vendita sfusa</v>
      </c>
      <c r="O84" s="51" t="str">
        <f>Migrationsartikel!F83</f>
        <v>Äpfel Gravensteiner</v>
      </c>
      <c r="P84" s="51" t="str">
        <f>Migrationsartikel!J83</f>
        <v>Pommes Gravensteiner</v>
      </c>
      <c r="Q84" s="51" t="str">
        <f>Migrationsartikel!N83</f>
        <v>Mele Gravensteiner</v>
      </c>
      <c r="R84" s="51" t="str">
        <f>_xlfn.TEXTJOIN(" ",TRUE,Migrationsartikel!G83)</f>
        <v>Offen Kl. 1</v>
      </c>
      <c r="S84" s="51" t="str">
        <f>_xlfn.TEXTJOIN(" ",TRUE,Migrationsartikel!K83)</f>
        <v>En vrac, cl. 1</v>
      </c>
      <c r="T84" s="51" t="str">
        <f>_xlfn.TEXTJOIN(" ",TRUE,Migrationsartikel!O83)</f>
        <v>Cl. 1 vendita sfusa</v>
      </c>
      <c r="U84" s="51" t="str">
        <f>_xlfn.TEXTJOIN(" ",TRUE,Migrationsartikel!H83)</f>
        <v/>
      </c>
      <c r="V84" s="51" t="str">
        <f>_xlfn.TEXTJOIN(" ",TRUE,Migrationsartikel!L83)</f>
        <v/>
      </c>
      <c r="W84" s="51" t="str">
        <f>_xlfn.TEXTJOIN(" ",TRUE,Migrationsartikel!P83)</f>
        <v/>
      </c>
      <c r="X84" s="51" t="str">
        <f>Migrationsartikel!I83</f>
        <v>Äpfel Gravensteiner Off. Kl1</v>
      </c>
      <c r="Y84" s="51" t="str">
        <f>Migrationsartikel!M83</f>
        <v>Pommes Gravenstr. cl.1 en v.</v>
      </c>
      <c r="Z84" s="51" t="str">
        <f>Migrationsartikel!Q83</f>
        <v>Mele Gravensteiner cl.1 v.s.</v>
      </c>
      <c r="AA84" s="60">
        <f>Migrationsartikel!R83</f>
        <v>1</v>
      </c>
      <c r="AB84" s="51" t="str">
        <f>Migrationsartikel!T83</f>
        <v>Kilogramm</v>
      </c>
      <c r="AC84" s="62">
        <f>Migrationsartikel!S83</f>
        <v>1</v>
      </c>
      <c r="AD84" s="51" t="str">
        <f>Migrationsartikel!U83</f>
        <v>(KGM) KG</v>
      </c>
      <c r="AE84" s="95" t="str">
        <f>Migrationsartikel!Y83</f>
        <v>3 - Reduzierter Satz</v>
      </c>
      <c r="AF84" s="64" t="str">
        <f>IF(Migrationsartikel!AA83="Kein Depotartikel","",Migrationsartikel!AA83)</f>
        <v/>
      </c>
      <c r="AG84" s="95" t="str">
        <f>Migrationsartikel!Z83</f>
        <v>Keine</v>
      </c>
      <c r="AH84" s="51" t="str">
        <f>IF(Migrationsartikel!AB83="ja","true",FALSE)</f>
        <v>true</v>
      </c>
      <c r="AI84" s="51" t="str">
        <f>IF(Migrationsartikel!AC83="ja","true",FALSE)</f>
        <v>true</v>
      </c>
      <c r="AJ84" s="51" t="str">
        <f>IF(Migrationsartikel!AD83="ja","true",FALSE)</f>
        <v>true</v>
      </c>
      <c r="AK84" s="51" t="str">
        <f>IF(Migrationsartikel!AE83="ja","true",FALSE)</f>
        <v>true</v>
      </c>
      <c r="AL84" s="51" t="str">
        <f>IF(Migrationsartikel!AF83="ja","Denner Partner","")</f>
        <v/>
      </c>
      <c r="AM84" s="51" t="str">
        <f>IF(Migrationsartikel!AG83="ja","true","false")</f>
        <v>false</v>
      </c>
      <c r="AN84" s="51" t="str">
        <f t="shared" si="2"/>
        <v>Kassentastenbelegung (ohne GTIN/PLU)</v>
      </c>
      <c r="AO84" s="63" t="s">
        <v>219</v>
      </c>
      <c r="AP84" s="62" t="s">
        <v>2511</v>
      </c>
      <c r="AQ84" s="63" t="s">
        <v>217</v>
      </c>
      <c r="AR84" s="30" t="s">
        <v>219</v>
      </c>
    </row>
    <row r="85" spans="2:44" ht="21.75" customHeight="1" x14ac:dyDescent="0.45">
      <c r="B85" s="51" t="s">
        <v>99</v>
      </c>
      <c r="E85" s="52" t="s">
        <v>87</v>
      </c>
      <c r="F85" s="51" t="str">
        <f>"Warengruppe&gt;&gt;"&amp;_xlfn.TEXTJOIN("&gt;&gt;",TRUE,Migrationsartikel!V84:X84)</f>
        <v>Warengruppe&gt;&gt;Früchte und Gemüse&gt;&gt;Früchte und Gemüse&gt;&gt;Früchte</v>
      </c>
      <c r="H85" s="52" t="s">
        <v>109</v>
      </c>
      <c r="J85" s="51" t="str">
        <f>_xlfn.TEXTJOIN(" ",TRUE,Migrationsartikel!B84,Migrationsartikel!E84)</f>
        <v>2202021000009</v>
      </c>
      <c r="L85" s="51" t="str">
        <f>_xlfn.TEXTJOIN(" ",TRUE,Migrationsartikel!F84:H84)</f>
        <v>Äpfel Gravensteiner Kl. 1 gepackt</v>
      </c>
      <c r="M85" s="51" t="str">
        <f>_xlfn.TEXTJOIN(" ",TRUE,Migrationsartikel!J84:L84)</f>
        <v>Pommes Gravensteiner Cl. 1 emballé</v>
      </c>
      <c r="N85" s="51" t="str">
        <f>_xlfn.TEXTJOIN(" ",TRUE,Migrationsartikel!N84:P84)</f>
        <v>Mele Gravensteiner Cl. 1 confezionato</v>
      </c>
      <c r="O85" s="51" t="str">
        <f>Migrationsartikel!F84</f>
        <v>Äpfel Gravensteiner</v>
      </c>
      <c r="P85" s="51" t="str">
        <f>Migrationsartikel!J84</f>
        <v>Pommes Gravensteiner</v>
      </c>
      <c r="Q85" s="51" t="str">
        <f>Migrationsartikel!N84</f>
        <v>Mele Gravensteiner</v>
      </c>
      <c r="R85" s="51" t="str">
        <f>_xlfn.TEXTJOIN(" ",TRUE,Migrationsartikel!G84)</f>
        <v>Kl. 1 gepackt</v>
      </c>
      <c r="S85" s="51" t="str">
        <f>_xlfn.TEXTJOIN(" ",TRUE,Migrationsartikel!K84)</f>
        <v>Cl. 1 emballé</v>
      </c>
      <c r="T85" s="51" t="str">
        <f>_xlfn.TEXTJOIN(" ",TRUE,Migrationsartikel!O84)</f>
        <v>Cl. 1 confezionato</v>
      </c>
      <c r="U85" s="51" t="str">
        <f>_xlfn.TEXTJOIN(" ",TRUE,Migrationsartikel!H84)</f>
        <v/>
      </c>
      <c r="V85" s="51" t="str">
        <f>_xlfn.TEXTJOIN(" ",TRUE,Migrationsartikel!L84)</f>
        <v/>
      </c>
      <c r="W85" s="51" t="str">
        <f>_xlfn.TEXTJOIN(" ",TRUE,Migrationsartikel!P84)</f>
        <v/>
      </c>
      <c r="X85" s="51" t="str">
        <f>Migrationsartikel!I84</f>
        <v>Äpfel Gravenst. Kl.1 gep.</v>
      </c>
      <c r="Y85" s="51" t="str">
        <f>Migrationsartikel!M84</f>
        <v>Pommes Gravenstr. cl.1 emb.</v>
      </c>
      <c r="Z85" s="51" t="str">
        <f>Migrationsartikel!Q84</f>
        <v>Mele Gravensteiner cl.1 conf</v>
      </c>
      <c r="AA85" s="60">
        <f>Migrationsartikel!R84</f>
        <v>1</v>
      </c>
      <c r="AB85" s="51" t="str">
        <f>Migrationsartikel!T84</f>
        <v>Kilogramm</v>
      </c>
      <c r="AC85" s="62">
        <f>Migrationsartikel!S84</f>
        <v>1</v>
      </c>
      <c r="AD85" s="51" t="str">
        <f>Migrationsartikel!U84</f>
        <v>(PCE) Stück</v>
      </c>
      <c r="AE85" s="95" t="str">
        <f>Migrationsartikel!Y84</f>
        <v>3 - Reduzierter Satz</v>
      </c>
      <c r="AF85" s="64" t="str">
        <f>IF(Migrationsartikel!AA84="Kein Depotartikel","",Migrationsartikel!AA84)</f>
        <v/>
      </c>
      <c r="AG85" s="95" t="str">
        <f>Migrationsartikel!Z84</f>
        <v>Keine</v>
      </c>
      <c r="AH85" s="51" t="str">
        <f>IF(Migrationsartikel!AB84="ja","true",FALSE)</f>
        <v>true</v>
      </c>
      <c r="AI85" s="51" t="str">
        <f>IF(Migrationsartikel!AC84="ja","true",FALSE)</f>
        <v>true</v>
      </c>
      <c r="AJ85" s="51" t="str">
        <f>IF(Migrationsartikel!AD84="ja","true",FALSE)</f>
        <v>true</v>
      </c>
      <c r="AK85" s="51" t="str">
        <f>IF(Migrationsartikel!AE84="ja","true",FALSE)</f>
        <v>true</v>
      </c>
      <c r="AL85" s="51" t="str">
        <f>IF(Migrationsartikel!AF84="ja","Denner Partner","")</f>
        <v/>
      </c>
      <c r="AM85" s="51" t="str">
        <f>IF(Migrationsartikel!AG84="ja","true","false")</f>
        <v>false</v>
      </c>
      <c r="AN85" s="51" t="str">
        <f t="shared" si="2"/>
        <v>Kassentastenbelegung (ohne GTIN/PLU)</v>
      </c>
      <c r="AO85" s="63" t="s">
        <v>219</v>
      </c>
      <c r="AP85" s="62" t="s">
        <v>2512</v>
      </c>
      <c r="AQ85" s="63" t="s">
        <v>217</v>
      </c>
      <c r="AR85" s="30" t="s">
        <v>219</v>
      </c>
    </row>
    <row r="86" spans="2:44" ht="21.75" customHeight="1" x14ac:dyDescent="0.45">
      <c r="B86" s="51" t="s">
        <v>99</v>
      </c>
      <c r="E86" s="52" t="s">
        <v>87</v>
      </c>
      <c r="F86" s="51" t="str">
        <f>"Warengruppe&gt;&gt;"&amp;_xlfn.TEXTJOIN("&gt;&gt;",TRUE,Migrationsartikel!V85:X85)</f>
        <v>Warengruppe&gt;&gt;Früchte und Gemüse&gt;&gt;Früchte und Gemüse&gt;&gt;Früchte</v>
      </c>
      <c r="H86" s="52" t="s">
        <v>109</v>
      </c>
      <c r="J86" s="51" t="str">
        <f>_xlfn.TEXTJOIN(" ",TRUE,Migrationsartikel!B85,Migrationsartikel!E85)</f>
        <v>121</v>
      </c>
      <c r="L86" s="51" t="str">
        <f>_xlfn.TEXTJOIN(" ",TRUE,Migrationsartikel!F85:H85)</f>
        <v>Äpfel Jazz Offen Kl. 1</v>
      </c>
      <c r="M86" s="51" t="str">
        <f>_xlfn.TEXTJOIN(" ",TRUE,Migrationsartikel!J85:L85)</f>
        <v>Pommes Jazz En vrac, cl. 1</v>
      </c>
      <c r="N86" s="51" t="str">
        <f>_xlfn.TEXTJOIN(" ",TRUE,Migrationsartikel!N85:P85)</f>
        <v>Mele Jazz Cl. 1 vendita sfusa</v>
      </c>
      <c r="O86" s="51" t="str">
        <f>Migrationsartikel!F85</f>
        <v>Äpfel Jazz</v>
      </c>
      <c r="P86" s="51" t="str">
        <f>Migrationsartikel!J85</f>
        <v>Pommes Jazz</v>
      </c>
      <c r="Q86" s="51" t="str">
        <f>Migrationsartikel!N85</f>
        <v>Mele Jazz</v>
      </c>
      <c r="R86" s="51" t="str">
        <f>_xlfn.TEXTJOIN(" ",TRUE,Migrationsartikel!G85)</f>
        <v>Offen Kl. 1</v>
      </c>
      <c r="S86" s="51" t="str">
        <f>_xlfn.TEXTJOIN(" ",TRUE,Migrationsartikel!K85)</f>
        <v>En vrac, cl. 1</v>
      </c>
      <c r="T86" s="51" t="str">
        <f>_xlfn.TEXTJOIN(" ",TRUE,Migrationsartikel!O85)</f>
        <v>Cl. 1 vendita sfusa</v>
      </c>
      <c r="U86" s="51" t="str">
        <f>_xlfn.TEXTJOIN(" ",TRUE,Migrationsartikel!H85)</f>
        <v/>
      </c>
      <c r="V86" s="51" t="str">
        <f>_xlfn.TEXTJOIN(" ",TRUE,Migrationsartikel!L85)</f>
        <v/>
      </c>
      <c r="W86" s="51" t="str">
        <f>_xlfn.TEXTJOIN(" ",TRUE,Migrationsartikel!P85)</f>
        <v/>
      </c>
      <c r="X86" s="51" t="str">
        <f>Migrationsartikel!I85</f>
        <v>Äpfel Jazz Offen Kl. 1</v>
      </c>
      <c r="Y86" s="51" t="str">
        <f>Migrationsartikel!M85</f>
        <v>Pommes Jazz cl. 1 en vrac</v>
      </c>
      <c r="Z86" s="51" t="str">
        <f>Migrationsartikel!Q85</f>
        <v>Mele Jazz cl.1 vendita sfusa</v>
      </c>
      <c r="AA86" s="60">
        <f>Migrationsartikel!R85</f>
        <v>1</v>
      </c>
      <c r="AB86" s="51" t="str">
        <f>Migrationsartikel!T85</f>
        <v>Kilogramm</v>
      </c>
      <c r="AC86" s="62">
        <f>Migrationsartikel!S85</f>
        <v>1</v>
      </c>
      <c r="AD86" s="51" t="str">
        <f>Migrationsartikel!U85</f>
        <v>(KGM) KG</v>
      </c>
      <c r="AE86" s="95" t="str">
        <f>Migrationsartikel!Y85</f>
        <v>3 - Reduzierter Satz</v>
      </c>
      <c r="AF86" s="64" t="str">
        <f>IF(Migrationsartikel!AA85="Kein Depotartikel","",Migrationsartikel!AA85)</f>
        <v/>
      </c>
      <c r="AG86" s="95" t="str">
        <f>Migrationsartikel!Z85</f>
        <v>Keine</v>
      </c>
      <c r="AH86" s="51" t="str">
        <f>IF(Migrationsartikel!AB85="ja","true",FALSE)</f>
        <v>true</v>
      </c>
      <c r="AI86" s="51" t="str">
        <f>IF(Migrationsartikel!AC85="ja","true",FALSE)</f>
        <v>true</v>
      </c>
      <c r="AJ86" s="51" t="str">
        <f>IF(Migrationsartikel!AD85="ja","true",FALSE)</f>
        <v>true</v>
      </c>
      <c r="AK86" s="51" t="str">
        <f>IF(Migrationsartikel!AE85="ja","true",FALSE)</f>
        <v>true</v>
      </c>
      <c r="AL86" s="51" t="str">
        <f>IF(Migrationsartikel!AF85="ja","Denner Partner","")</f>
        <v/>
      </c>
      <c r="AM86" s="51" t="str">
        <f>IF(Migrationsartikel!AG85="ja","true","false")</f>
        <v>false</v>
      </c>
      <c r="AN86" s="51" t="str">
        <f t="shared" si="2"/>
        <v>Kassentastenbelegung (ohne GTIN/PLU)</v>
      </c>
      <c r="AO86" s="63" t="s">
        <v>219</v>
      </c>
      <c r="AP86" s="62" t="s">
        <v>2513</v>
      </c>
      <c r="AQ86" s="63" t="s">
        <v>217</v>
      </c>
      <c r="AR86" s="30" t="s">
        <v>219</v>
      </c>
    </row>
    <row r="87" spans="2:44" ht="21.75" customHeight="1" x14ac:dyDescent="0.45">
      <c r="B87" s="51" t="s">
        <v>99</v>
      </c>
      <c r="E87" s="52" t="s">
        <v>87</v>
      </c>
      <c r="F87" s="51" t="str">
        <f>"Warengruppe&gt;&gt;"&amp;_xlfn.TEXTJOIN("&gt;&gt;",TRUE,Migrationsartikel!V86:X86)</f>
        <v>Warengruppe&gt;&gt;Früchte und Gemüse&gt;&gt;Früchte und Gemüse&gt;&gt;Früchte</v>
      </c>
      <c r="H87" s="52" t="s">
        <v>109</v>
      </c>
      <c r="J87" s="51" t="str">
        <f>_xlfn.TEXTJOIN(" ",TRUE,Migrationsartikel!B86,Migrationsartikel!E86)</f>
        <v>2245251000005</v>
      </c>
      <c r="L87" s="51" t="str">
        <f>_xlfn.TEXTJOIN(" ",TRUE,Migrationsartikel!F86:H86)</f>
        <v>Äpfel Jazz Kl. 1 gepackt</v>
      </c>
      <c r="M87" s="51" t="str">
        <f>_xlfn.TEXTJOIN(" ",TRUE,Migrationsartikel!J86:L86)</f>
        <v>Pommes Jazz Cl. 1 emballé</v>
      </c>
      <c r="N87" s="51" t="str">
        <f>_xlfn.TEXTJOIN(" ",TRUE,Migrationsartikel!N86:P86)</f>
        <v>Mele Jazz Cl. 1 confezionato</v>
      </c>
      <c r="O87" s="51" t="str">
        <f>Migrationsartikel!F86</f>
        <v>Äpfel Jazz</v>
      </c>
      <c r="P87" s="51" t="str">
        <f>Migrationsartikel!J86</f>
        <v>Pommes Jazz</v>
      </c>
      <c r="Q87" s="51" t="str">
        <f>Migrationsartikel!N86</f>
        <v>Mele Jazz</v>
      </c>
      <c r="R87" s="51" t="str">
        <f>_xlfn.TEXTJOIN(" ",TRUE,Migrationsartikel!G86)</f>
        <v>Kl. 1 gepackt</v>
      </c>
      <c r="S87" s="51" t="str">
        <f>_xlfn.TEXTJOIN(" ",TRUE,Migrationsartikel!K86)</f>
        <v>Cl. 1 emballé</v>
      </c>
      <c r="T87" s="51" t="str">
        <f>_xlfn.TEXTJOIN(" ",TRUE,Migrationsartikel!O86)</f>
        <v>Cl. 1 confezionato</v>
      </c>
      <c r="U87" s="51" t="str">
        <f>_xlfn.TEXTJOIN(" ",TRUE,Migrationsartikel!H86)</f>
        <v/>
      </c>
      <c r="V87" s="51" t="str">
        <f>_xlfn.TEXTJOIN(" ",TRUE,Migrationsartikel!L86)</f>
        <v/>
      </c>
      <c r="W87" s="51" t="str">
        <f>_xlfn.TEXTJOIN(" ",TRUE,Migrationsartikel!P86)</f>
        <v/>
      </c>
      <c r="X87" s="51" t="str">
        <f>Migrationsartikel!I86</f>
        <v>Äpfel Jazz Kl. 1 gepackt</v>
      </c>
      <c r="Y87" s="51" t="str">
        <f>Migrationsartikel!M86</f>
        <v>Pommes Jazz cl. 1 emballé</v>
      </c>
      <c r="Z87" s="51" t="str">
        <f>Migrationsartikel!Q86</f>
        <v>Mele Jazz cl.1 confezionato</v>
      </c>
      <c r="AA87" s="60">
        <f>Migrationsartikel!R86</f>
        <v>1</v>
      </c>
      <c r="AB87" s="51" t="str">
        <f>Migrationsartikel!T86</f>
        <v>Kilogramm</v>
      </c>
      <c r="AC87" s="62">
        <f>Migrationsartikel!S86</f>
        <v>1</v>
      </c>
      <c r="AD87" s="51" t="str">
        <f>Migrationsartikel!U86</f>
        <v>(PCE) Stück</v>
      </c>
      <c r="AE87" s="95" t="str">
        <f>Migrationsartikel!Y86</f>
        <v>3 - Reduzierter Satz</v>
      </c>
      <c r="AF87" s="64" t="str">
        <f>IF(Migrationsartikel!AA86="Kein Depotartikel","",Migrationsartikel!AA86)</f>
        <v/>
      </c>
      <c r="AG87" s="95" t="str">
        <f>Migrationsartikel!Z86</f>
        <v>Keine</v>
      </c>
      <c r="AH87" s="51" t="str">
        <f>IF(Migrationsartikel!AB86="ja","true",FALSE)</f>
        <v>true</v>
      </c>
      <c r="AI87" s="51" t="str">
        <f>IF(Migrationsartikel!AC86="ja","true",FALSE)</f>
        <v>true</v>
      </c>
      <c r="AJ87" s="51" t="str">
        <f>IF(Migrationsartikel!AD86="ja","true",FALSE)</f>
        <v>true</v>
      </c>
      <c r="AK87" s="51" t="str">
        <f>IF(Migrationsartikel!AE86="ja","true",FALSE)</f>
        <v>true</v>
      </c>
      <c r="AL87" s="51" t="str">
        <f>IF(Migrationsartikel!AF86="ja","Denner Partner","")</f>
        <v/>
      </c>
      <c r="AM87" s="51" t="str">
        <f>IF(Migrationsartikel!AG86="ja","true","false")</f>
        <v>false</v>
      </c>
      <c r="AN87" s="51" t="str">
        <f t="shared" si="2"/>
        <v>Kassentastenbelegung (ohne GTIN/PLU)</v>
      </c>
      <c r="AO87" s="63" t="s">
        <v>219</v>
      </c>
      <c r="AP87" s="62" t="s">
        <v>2514</v>
      </c>
      <c r="AQ87" s="63" t="s">
        <v>217</v>
      </c>
      <c r="AR87" s="30" t="s">
        <v>219</v>
      </c>
    </row>
    <row r="88" spans="2:44" ht="21.75" customHeight="1" x14ac:dyDescent="0.45">
      <c r="B88" s="51" t="s">
        <v>99</v>
      </c>
      <c r="E88" s="52" t="s">
        <v>87</v>
      </c>
      <c r="F88" s="51" t="str">
        <f>"Warengruppe&gt;&gt;"&amp;_xlfn.TEXTJOIN("&gt;&gt;",TRUE,Migrationsartikel!V87:X87)</f>
        <v>Warengruppe&gt;&gt;Früchte und Gemüse&gt;&gt;Früchte und Gemüse&gt;&gt;Früchte</v>
      </c>
      <c r="H88" s="52" t="s">
        <v>109</v>
      </c>
      <c r="J88" s="51" t="str">
        <f>_xlfn.TEXTJOIN(" ",TRUE,Migrationsartikel!B87,Migrationsartikel!E87)</f>
        <v>7628072012627</v>
      </c>
      <c r="L88" s="51" t="str">
        <f>_xlfn.TEXTJOIN(" ",TRUE,Migrationsartikel!F87:H87)</f>
        <v>Johannisbeeren Schale 250g</v>
      </c>
      <c r="M88" s="51" t="str">
        <f>_xlfn.TEXTJOIN(" ",TRUE,Migrationsartikel!J87:L87)</f>
        <v>Raisinets Barquette 250g</v>
      </c>
      <c r="N88" s="51" t="str">
        <f>_xlfn.TEXTJOIN(" ",TRUE,Migrationsartikel!N87:P87)</f>
        <v>Ribes vaschetta 250g</v>
      </c>
      <c r="O88" s="51" t="str">
        <f>Migrationsartikel!F87</f>
        <v>Johannisbeeren</v>
      </c>
      <c r="P88" s="51" t="str">
        <f>Migrationsartikel!J87</f>
        <v>Raisinets</v>
      </c>
      <c r="Q88" s="51" t="str">
        <f>Migrationsartikel!N87</f>
        <v>Ribes</v>
      </c>
      <c r="R88" s="51" t="str">
        <f>_xlfn.TEXTJOIN(" ",TRUE,Migrationsartikel!G87)</f>
        <v>Schale</v>
      </c>
      <c r="S88" s="51" t="str">
        <f>_xlfn.TEXTJOIN(" ",TRUE,Migrationsartikel!K87)</f>
        <v>Barquette</v>
      </c>
      <c r="T88" s="51" t="str">
        <f>_xlfn.TEXTJOIN(" ",TRUE,Migrationsartikel!O87)</f>
        <v>vaschetta</v>
      </c>
      <c r="U88" s="51" t="str">
        <f>_xlfn.TEXTJOIN(" ",TRUE,Migrationsartikel!H87)</f>
        <v>250g</v>
      </c>
      <c r="V88" s="51" t="str">
        <f>_xlfn.TEXTJOIN(" ",TRUE,Migrationsartikel!L87)</f>
        <v>250g</v>
      </c>
      <c r="W88" s="51" t="str">
        <f>_xlfn.TEXTJOIN(" ",TRUE,Migrationsartikel!P87)</f>
        <v>250g</v>
      </c>
      <c r="X88" s="51" t="str">
        <f>Migrationsartikel!I87</f>
        <v>Johannisbeeren Schale 250g</v>
      </c>
      <c r="Y88" s="51" t="str">
        <f>Migrationsartikel!M87</f>
        <v>Raisinets barquette 250g</v>
      </c>
      <c r="Z88" s="51" t="str">
        <f>Migrationsartikel!Q87</f>
        <v>Ribes vaschetta 250g</v>
      </c>
      <c r="AA88" s="60">
        <f>Migrationsartikel!R87</f>
        <v>0.25</v>
      </c>
      <c r="AB88" s="51" t="str">
        <f>Migrationsartikel!T87</f>
        <v>Gramm</v>
      </c>
      <c r="AC88" s="62">
        <f>Migrationsartikel!S87</f>
        <v>100</v>
      </c>
      <c r="AD88" s="51" t="str">
        <f>Migrationsartikel!U87</f>
        <v>(PCE) Stück</v>
      </c>
      <c r="AE88" s="95" t="str">
        <f>Migrationsartikel!Y87</f>
        <v>3 - Reduzierter Satz</v>
      </c>
      <c r="AF88" s="64" t="str">
        <f>IF(Migrationsartikel!AA87="Kein Depotartikel","",Migrationsartikel!AA87)</f>
        <v/>
      </c>
      <c r="AG88" s="95" t="str">
        <f>Migrationsartikel!Z87</f>
        <v>Keine</v>
      </c>
      <c r="AH88" s="51" t="str">
        <f>IF(Migrationsartikel!AB87="ja","true",FALSE)</f>
        <v>true</v>
      </c>
      <c r="AI88" s="51" t="str">
        <f>IF(Migrationsartikel!AC87="ja","true",FALSE)</f>
        <v>true</v>
      </c>
      <c r="AJ88" s="51" t="str">
        <f>IF(Migrationsartikel!AD87="ja","true",FALSE)</f>
        <v>true</v>
      </c>
      <c r="AK88" s="51" t="str">
        <f>IF(Migrationsartikel!AE87="ja","true",FALSE)</f>
        <v>true</v>
      </c>
      <c r="AL88" s="51" t="str">
        <f>IF(Migrationsartikel!AF87="ja","Denner Partner","")</f>
        <v/>
      </c>
      <c r="AM88" s="51" t="str">
        <f>IF(Migrationsartikel!AG87="ja","true","false")</f>
        <v>false</v>
      </c>
      <c r="AN88" s="51" t="str">
        <f t="shared" si="2"/>
        <v>Kassentastenbelegung (ohne GTIN/PLU)</v>
      </c>
      <c r="AO88" s="63" t="s">
        <v>219</v>
      </c>
      <c r="AP88" s="62" t="s">
        <v>2515</v>
      </c>
      <c r="AQ88" s="63" t="s">
        <v>217</v>
      </c>
      <c r="AR88" s="30" t="s">
        <v>219</v>
      </c>
    </row>
    <row r="89" spans="2:44" ht="21.75" customHeight="1" x14ac:dyDescent="0.45">
      <c r="B89" s="51" t="s">
        <v>99</v>
      </c>
      <c r="E89" s="52" t="s">
        <v>87</v>
      </c>
      <c r="F89" s="51" t="str">
        <f>"Warengruppe&gt;&gt;"&amp;_xlfn.TEXTJOIN("&gt;&gt;",TRUE,Migrationsartikel!V88:X88)</f>
        <v>Warengruppe&gt;&gt;Früchte und Gemüse&gt;&gt;Früchte und Gemüse&gt;&gt;Früchte</v>
      </c>
      <c r="H89" s="52" t="s">
        <v>109</v>
      </c>
      <c r="J89" s="51" t="str">
        <f>_xlfn.TEXTJOIN(" ",TRUE,Migrationsartikel!B88,Migrationsartikel!E88)</f>
        <v>124</v>
      </c>
      <c r="L89" s="51" t="str">
        <f>_xlfn.TEXTJOIN(" ",TRUE,Migrationsartikel!F88:H88)</f>
        <v>Äpfel Jonagold Offen Kl. 2</v>
      </c>
      <c r="M89" s="51" t="str">
        <f>_xlfn.TEXTJOIN(" ",TRUE,Migrationsartikel!J88:L88)</f>
        <v>Pommes Jonagold En vrac, cl. 2</v>
      </c>
      <c r="N89" s="51" t="str">
        <f>_xlfn.TEXTJOIN(" ",TRUE,Migrationsartikel!N88:P88)</f>
        <v>Mele Jonagold Cl. 2 vendita sfusa</v>
      </c>
      <c r="O89" s="51" t="str">
        <f>Migrationsartikel!F88</f>
        <v>Äpfel Jonagold</v>
      </c>
      <c r="P89" s="51" t="str">
        <f>Migrationsartikel!J88</f>
        <v>Pommes Jonagold</v>
      </c>
      <c r="Q89" s="51" t="str">
        <f>Migrationsartikel!N88</f>
        <v>Mele Jonagold</v>
      </c>
      <c r="R89" s="51" t="str">
        <f>_xlfn.TEXTJOIN(" ",TRUE,Migrationsartikel!G88)</f>
        <v>Offen Kl. 2</v>
      </c>
      <c r="S89" s="51" t="str">
        <f>_xlfn.TEXTJOIN(" ",TRUE,Migrationsartikel!K88)</f>
        <v>En vrac, cl. 2</v>
      </c>
      <c r="T89" s="51" t="str">
        <f>_xlfn.TEXTJOIN(" ",TRUE,Migrationsartikel!O88)</f>
        <v>Cl. 2 vendita sfusa</v>
      </c>
      <c r="U89" s="51" t="str">
        <f>_xlfn.TEXTJOIN(" ",TRUE,Migrationsartikel!H88)</f>
        <v/>
      </c>
      <c r="V89" s="51" t="str">
        <f>_xlfn.TEXTJOIN(" ",TRUE,Migrationsartikel!L88)</f>
        <v/>
      </c>
      <c r="W89" s="51" t="str">
        <f>_xlfn.TEXTJOIN(" ",TRUE,Migrationsartikel!P88)</f>
        <v/>
      </c>
      <c r="X89" s="51" t="str">
        <f>Migrationsartikel!I88</f>
        <v>Äpfel Jonagold Offen Kl. 2</v>
      </c>
      <c r="Y89" s="51" t="str">
        <f>Migrationsartikel!M88</f>
        <v>Pommes Jonagold cl.2 en v.</v>
      </c>
      <c r="Z89" s="51" t="str">
        <f>Migrationsartikel!Q88</f>
        <v>Mele Jonagold cl. 2 v. sfusa</v>
      </c>
      <c r="AA89" s="60">
        <f>Migrationsartikel!R88</f>
        <v>1</v>
      </c>
      <c r="AB89" s="51" t="str">
        <f>Migrationsartikel!T88</f>
        <v>Kilogramm</v>
      </c>
      <c r="AC89" s="62">
        <f>Migrationsartikel!S88</f>
        <v>1</v>
      </c>
      <c r="AD89" s="51" t="str">
        <f>Migrationsartikel!U88</f>
        <v>(KGM) KG</v>
      </c>
      <c r="AE89" s="95" t="str">
        <f>Migrationsartikel!Y88</f>
        <v>3 - Reduzierter Satz</v>
      </c>
      <c r="AF89" s="64" t="str">
        <f>IF(Migrationsartikel!AA88="Kein Depotartikel","",Migrationsartikel!AA88)</f>
        <v/>
      </c>
      <c r="AG89" s="95" t="str">
        <f>Migrationsartikel!Z88</f>
        <v>Keine</v>
      </c>
      <c r="AH89" s="51" t="str">
        <f>IF(Migrationsartikel!AB88="ja","true",FALSE)</f>
        <v>true</v>
      </c>
      <c r="AI89" s="51" t="str">
        <f>IF(Migrationsartikel!AC88="ja","true",FALSE)</f>
        <v>true</v>
      </c>
      <c r="AJ89" s="51" t="str">
        <f>IF(Migrationsartikel!AD88="ja","true",FALSE)</f>
        <v>true</v>
      </c>
      <c r="AK89" s="51" t="str">
        <f>IF(Migrationsartikel!AE88="ja","true",FALSE)</f>
        <v>true</v>
      </c>
      <c r="AL89" s="51" t="str">
        <f>IF(Migrationsartikel!AF88="ja","Denner Partner","")</f>
        <v/>
      </c>
      <c r="AM89" s="51" t="str">
        <f>IF(Migrationsartikel!AG88="ja","true","false")</f>
        <v>false</v>
      </c>
      <c r="AN89" s="51" t="str">
        <f t="shared" si="2"/>
        <v>Kassentastenbelegung (ohne GTIN/PLU)</v>
      </c>
      <c r="AO89" s="63" t="s">
        <v>219</v>
      </c>
      <c r="AP89" s="62" t="s">
        <v>2516</v>
      </c>
      <c r="AQ89" s="63" t="s">
        <v>217</v>
      </c>
      <c r="AR89" s="30" t="s">
        <v>219</v>
      </c>
    </row>
    <row r="90" spans="2:44" ht="21.75" customHeight="1" x14ac:dyDescent="0.45">
      <c r="B90" s="51" t="s">
        <v>99</v>
      </c>
      <c r="E90" s="52" t="s">
        <v>87</v>
      </c>
      <c r="F90" s="51" t="str">
        <f>"Warengruppe&gt;&gt;"&amp;_xlfn.TEXTJOIN("&gt;&gt;",TRUE,Migrationsartikel!V89:X89)</f>
        <v>Warengruppe&gt;&gt;Früchte und Gemüse&gt;&gt;Früchte und Gemüse&gt;&gt;Früchte</v>
      </c>
      <c r="H90" s="52" t="s">
        <v>109</v>
      </c>
      <c r="J90" s="51" t="str">
        <f>_xlfn.TEXTJOIN(" ",TRUE,Migrationsartikel!B89,Migrationsartikel!E89)</f>
        <v>2201761000003</v>
      </c>
      <c r="L90" s="51" t="str">
        <f>_xlfn.TEXTJOIN(" ",TRUE,Migrationsartikel!F89:H89)</f>
        <v>Kaki gepackt</v>
      </c>
      <c r="M90" s="51" t="str">
        <f>_xlfn.TEXTJOIN(" ",TRUE,Migrationsartikel!J89:L89)</f>
        <v>Kakis Emballé</v>
      </c>
      <c r="N90" s="51" t="str">
        <f>_xlfn.TEXTJOIN(" ",TRUE,Migrationsartikel!N89:P89)</f>
        <v>Cachi confezionato</v>
      </c>
      <c r="O90" s="51" t="str">
        <f>Migrationsartikel!F89</f>
        <v>Kaki</v>
      </c>
      <c r="P90" s="51" t="str">
        <f>Migrationsartikel!J89</f>
        <v>Kakis</v>
      </c>
      <c r="Q90" s="51" t="str">
        <f>Migrationsartikel!N89</f>
        <v>Cachi</v>
      </c>
      <c r="R90" s="51" t="str">
        <f>_xlfn.TEXTJOIN(" ",TRUE,Migrationsartikel!G89)</f>
        <v>gepackt</v>
      </c>
      <c r="S90" s="51" t="str">
        <f>_xlfn.TEXTJOIN(" ",TRUE,Migrationsartikel!K89)</f>
        <v>Emballé</v>
      </c>
      <c r="T90" s="51" t="str">
        <f>_xlfn.TEXTJOIN(" ",TRUE,Migrationsartikel!O89)</f>
        <v>confezionato</v>
      </c>
      <c r="U90" s="51" t="str">
        <f>_xlfn.TEXTJOIN(" ",TRUE,Migrationsartikel!H89)</f>
        <v/>
      </c>
      <c r="V90" s="51" t="str">
        <f>_xlfn.TEXTJOIN(" ",TRUE,Migrationsartikel!L89)</f>
        <v/>
      </c>
      <c r="W90" s="51" t="str">
        <f>_xlfn.TEXTJOIN(" ",TRUE,Migrationsartikel!P89)</f>
        <v/>
      </c>
      <c r="X90" s="51" t="str">
        <f>Migrationsartikel!I89</f>
        <v>Kaki gepackt</v>
      </c>
      <c r="Y90" s="51" t="str">
        <f>Migrationsartikel!M89</f>
        <v>Kakis emballé</v>
      </c>
      <c r="Z90" s="51" t="str">
        <f>Migrationsartikel!Q89</f>
        <v>Cachi confezionato</v>
      </c>
      <c r="AA90" s="60">
        <f>Migrationsartikel!R89</f>
        <v>1</v>
      </c>
      <c r="AB90" s="51" t="str">
        <f>Migrationsartikel!T89</f>
        <v>Kilogramm</v>
      </c>
      <c r="AC90" s="62">
        <f>Migrationsartikel!S89</f>
        <v>1</v>
      </c>
      <c r="AD90" s="51" t="str">
        <f>Migrationsartikel!U89</f>
        <v>(PCE) Stück</v>
      </c>
      <c r="AE90" s="95" t="str">
        <f>Migrationsartikel!Y89</f>
        <v>3 - Reduzierter Satz</v>
      </c>
      <c r="AF90" s="64" t="str">
        <f>IF(Migrationsartikel!AA89="Kein Depotartikel","",Migrationsartikel!AA89)</f>
        <v/>
      </c>
      <c r="AG90" s="95" t="str">
        <f>Migrationsartikel!Z89</f>
        <v>Keine</v>
      </c>
      <c r="AH90" s="51" t="str">
        <f>IF(Migrationsartikel!AB89="ja","true",FALSE)</f>
        <v>true</v>
      </c>
      <c r="AI90" s="51" t="str">
        <f>IF(Migrationsartikel!AC89="ja","true",FALSE)</f>
        <v>true</v>
      </c>
      <c r="AJ90" s="51" t="str">
        <f>IF(Migrationsartikel!AD89="ja","true",FALSE)</f>
        <v>true</v>
      </c>
      <c r="AK90" s="51" t="str">
        <f>IF(Migrationsartikel!AE89="ja","true",FALSE)</f>
        <v>true</v>
      </c>
      <c r="AL90" s="51" t="str">
        <f>IF(Migrationsartikel!AF89="ja","Denner Partner","")</f>
        <v/>
      </c>
      <c r="AM90" s="51" t="str">
        <f>IF(Migrationsartikel!AG89="ja","true","false")</f>
        <v>false</v>
      </c>
      <c r="AN90" s="51" t="str">
        <f t="shared" si="2"/>
        <v>Kassentastenbelegung (ohne GTIN/PLU)</v>
      </c>
      <c r="AO90" s="63" t="s">
        <v>219</v>
      </c>
      <c r="AP90" s="62" t="s">
        <v>2517</v>
      </c>
      <c r="AQ90" s="63" t="s">
        <v>217</v>
      </c>
      <c r="AR90" s="30" t="s">
        <v>219</v>
      </c>
    </row>
    <row r="91" spans="2:44" ht="21.75" customHeight="1" x14ac:dyDescent="0.45">
      <c r="B91" s="51" t="s">
        <v>99</v>
      </c>
      <c r="E91" s="52" t="s">
        <v>87</v>
      </c>
      <c r="F91" s="51" t="str">
        <f>"Warengruppe&gt;&gt;"&amp;_xlfn.TEXTJOIN("&gt;&gt;",TRUE,Migrationsartikel!V90:X90)</f>
        <v>Warengruppe&gt;&gt;Früchte und Gemüse&gt;&gt;Früchte und Gemüse&gt;&gt;Früchte</v>
      </c>
      <c r="H91" s="52" t="s">
        <v>109</v>
      </c>
      <c r="J91" s="51" t="str">
        <f>_xlfn.TEXTJOIN(" ",TRUE,Migrationsartikel!B90,Migrationsartikel!E90)</f>
        <v/>
      </c>
      <c r="L91" s="51" t="str">
        <f>_xlfn.TEXTJOIN(" ",TRUE,Migrationsartikel!F90:H90)</f>
        <v>Kaki Sharon</v>
      </c>
      <c r="M91" s="51" t="str">
        <f>_xlfn.TEXTJOIN(" ",TRUE,Migrationsartikel!J90:L90)</f>
        <v>Kakis Sharon</v>
      </c>
      <c r="N91" s="51" t="str">
        <f>_xlfn.TEXTJOIN(" ",TRUE,Migrationsartikel!N90:P90)</f>
        <v>Cachi Sharon</v>
      </c>
      <c r="O91" s="51" t="str">
        <f>Migrationsartikel!F90</f>
        <v>Kaki Sharon</v>
      </c>
      <c r="P91" s="51" t="str">
        <f>Migrationsartikel!J90</f>
        <v>Kakis Sharon</v>
      </c>
      <c r="Q91" s="51" t="str">
        <f>Migrationsartikel!N90</f>
        <v>Cachi Sharon</v>
      </c>
      <c r="R91" s="51" t="str">
        <f>_xlfn.TEXTJOIN(" ",TRUE,Migrationsartikel!G90)</f>
        <v/>
      </c>
      <c r="S91" s="51" t="str">
        <f>_xlfn.TEXTJOIN(" ",TRUE,Migrationsartikel!K90)</f>
        <v/>
      </c>
      <c r="T91" s="51" t="str">
        <f>_xlfn.TEXTJOIN(" ",TRUE,Migrationsartikel!O90)</f>
        <v/>
      </c>
      <c r="U91" s="51" t="str">
        <f>_xlfn.TEXTJOIN(" ",TRUE,Migrationsartikel!H90)</f>
        <v/>
      </c>
      <c r="V91" s="51" t="str">
        <f>_xlfn.TEXTJOIN(" ",TRUE,Migrationsartikel!L90)</f>
        <v/>
      </c>
      <c r="W91" s="51" t="str">
        <f>_xlfn.TEXTJOIN(" ",TRUE,Migrationsartikel!P90)</f>
        <v/>
      </c>
      <c r="X91" s="51" t="str">
        <f>Migrationsartikel!I90</f>
        <v>Kaki Sharon</v>
      </c>
      <c r="Y91" s="51" t="str">
        <f>Migrationsartikel!M90</f>
        <v>Kakis Sharon</v>
      </c>
      <c r="Z91" s="51" t="str">
        <f>Migrationsartikel!Q90</f>
        <v>Cachi Sharon</v>
      </c>
      <c r="AA91" s="60">
        <f>Migrationsartikel!R90</f>
        <v>1</v>
      </c>
      <c r="AB91" s="51" t="str">
        <f>Migrationsartikel!T90</f>
        <v>Stück</v>
      </c>
      <c r="AC91" s="62">
        <f>Migrationsartikel!S90</f>
        <v>1</v>
      </c>
      <c r="AD91" s="51" t="str">
        <f>Migrationsartikel!U90</f>
        <v>(PCE) Stück</v>
      </c>
      <c r="AE91" s="95" t="str">
        <f>Migrationsartikel!Y90</f>
        <v>3 - Reduzierter Satz</v>
      </c>
      <c r="AF91" s="64" t="str">
        <f>IF(Migrationsartikel!AA90="Kein Depotartikel","",Migrationsartikel!AA90)</f>
        <v/>
      </c>
      <c r="AG91" s="95" t="str">
        <f>Migrationsartikel!Z90</f>
        <v>Keine</v>
      </c>
      <c r="AH91" s="51" t="str">
        <f>IF(Migrationsartikel!AB90="ja","true",FALSE)</f>
        <v>true</v>
      </c>
      <c r="AI91" s="51" t="str">
        <f>IF(Migrationsartikel!AC90="ja","true",FALSE)</f>
        <v>true</v>
      </c>
      <c r="AJ91" s="51" t="str">
        <f>IF(Migrationsartikel!AD90="ja","true",FALSE)</f>
        <v>true</v>
      </c>
      <c r="AK91" s="51" t="str">
        <f>IF(Migrationsartikel!AE90="ja","true",FALSE)</f>
        <v>true</v>
      </c>
      <c r="AL91" s="51" t="str">
        <f>IF(Migrationsartikel!AF90="ja","Denner Partner","")</f>
        <v/>
      </c>
      <c r="AM91" s="51" t="str">
        <f>IF(Migrationsartikel!AG90="ja","true","false")</f>
        <v>false</v>
      </c>
      <c r="AN91" s="51" t="str">
        <f t="shared" si="2"/>
        <v>Kassentastenbelegung (ohne GTIN/PLU)</v>
      </c>
      <c r="AO91" s="63" t="s">
        <v>219</v>
      </c>
      <c r="AP91" s="62" t="s">
        <v>2518</v>
      </c>
      <c r="AQ91" s="63" t="s">
        <v>217</v>
      </c>
      <c r="AR91" s="30" t="s">
        <v>219</v>
      </c>
    </row>
    <row r="92" spans="2:44" ht="21.75" customHeight="1" x14ac:dyDescent="0.45">
      <c r="B92" s="51" t="s">
        <v>99</v>
      </c>
      <c r="E92" s="52" t="s">
        <v>87</v>
      </c>
      <c r="F92" s="51" t="str">
        <f>"Warengruppe&gt;&gt;"&amp;_xlfn.TEXTJOIN("&gt;&gt;",TRUE,Migrationsartikel!V91:X91)</f>
        <v>Warengruppe&gt;&gt;Früchte und Gemüse&gt;&gt;Früchte und Gemüse&gt;&gt;Früchte</v>
      </c>
      <c r="H92" s="52" t="s">
        <v>109</v>
      </c>
      <c r="J92" s="51" t="str">
        <f>_xlfn.TEXTJOIN(" ",TRUE,Migrationsartikel!B91,Migrationsartikel!E91)</f>
        <v>149</v>
      </c>
      <c r="L92" s="51" t="str">
        <f>_xlfn.TEXTJOIN(" ",TRUE,Migrationsartikel!F91:H91)</f>
        <v>Kirschen Offen</v>
      </c>
      <c r="M92" s="51" t="str">
        <f>_xlfn.TEXTJOIN(" ",TRUE,Migrationsartikel!J91:L91)</f>
        <v>Cerises En vrac</v>
      </c>
      <c r="N92" s="51" t="str">
        <f>_xlfn.TEXTJOIN(" ",TRUE,Migrationsartikel!N91:P91)</f>
        <v>Ciliegie vendita sfusa</v>
      </c>
      <c r="O92" s="51" t="str">
        <f>Migrationsartikel!F91</f>
        <v>Kirschen</v>
      </c>
      <c r="P92" s="51" t="str">
        <f>Migrationsartikel!J91</f>
        <v>Cerises</v>
      </c>
      <c r="Q92" s="51" t="str">
        <f>Migrationsartikel!N91</f>
        <v>Ciliegie</v>
      </c>
      <c r="R92" s="51" t="str">
        <f>_xlfn.TEXTJOIN(" ",TRUE,Migrationsartikel!G91)</f>
        <v>Offen</v>
      </c>
      <c r="S92" s="51" t="str">
        <f>_xlfn.TEXTJOIN(" ",TRUE,Migrationsartikel!K91)</f>
        <v>En vrac</v>
      </c>
      <c r="T92" s="51" t="str">
        <f>_xlfn.TEXTJOIN(" ",TRUE,Migrationsartikel!O91)</f>
        <v>vendita sfusa</v>
      </c>
      <c r="U92" s="51" t="str">
        <f>_xlfn.TEXTJOIN(" ",TRUE,Migrationsartikel!H91)</f>
        <v/>
      </c>
      <c r="V92" s="51" t="str">
        <f>_xlfn.TEXTJOIN(" ",TRUE,Migrationsartikel!L91)</f>
        <v/>
      </c>
      <c r="W92" s="51" t="str">
        <f>_xlfn.TEXTJOIN(" ",TRUE,Migrationsartikel!P91)</f>
        <v/>
      </c>
      <c r="X92" s="51" t="str">
        <f>Migrationsartikel!I91</f>
        <v>Kirschen Offen</v>
      </c>
      <c r="Y92" s="51" t="str">
        <f>Migrationsartikel!M91</f>
        <v>Cerises en vrac</v>
      </c>
      <c r="Z92" s="51" t="str">
        <f>Migrationsartikel!Q91</f>
        <v>Ciliegie vendita sfusa</v>
      </c>
      <c r="AA92" s="60">
        <f>Migrationsartikel!R91</f>
        <v>1</v>
      </c>
      <c r="AB92" s="51" t="str">
        <f>Migrationsartikel!T91</f>
        <v>Kilogramm</v>
      </c>
      <c r="AC92" s="62">
        <f>Migrationsartikel!S91</f>
        <v>1</v>
      </c>
      <c r="AD92" s="51" t="str">
        <f>Migrationsartikel!U91</f>
        <v>(KGM) KG</v>
      </c>
      <c r="AE92" s="95" t="str">
        <f>Migrationsartikel!Y91</f>
        <v>3 - Reduzierter Satz</v>
      </c>
      <c r="AF92" s="64" t="str">
        <f>IF(Migrationsartikel!AA91="Kein Depotartikel","",Migrationsartikel!AA91)</f>
        <v/>
      </c>
      <c r="AG92" s="95" t="str">
        <f>Migrationsartikel!Z91</f>
        <v>Keine</v>
      </c>
      <c r="AH92" s="51" t="str">
        <f>IF(Migrationsartikel!AB91="ja","true",FALSE)</f>
        <v>true</v>
      </c>
      <c r="AI92" s="51" t="str">
        <f>IF(Migrationsartikel!AC91="ja","true",FALSE)</f>
        <v>true</v>
      </c>
      <c r="AJ92" s="51" t="str">
        <f>IF(Migrationsartikel!AD91="ja","true",FALSE)</f>
        <v>true</v>
      </c>
      <c r="AK92" s="51" t="str">
        <f>IF(Migrationsartikel!AE91="ja","true",FALSE)</f>
        <v>true</v>
      </c>
      <c r="AL92" s="51" t="str">
        <f>IF(Migrationsartikel!AF91="ja","Denner Partner","")</f>
        <v/>
      </c>
      <c r="AM92" s="51" t="str">
        <f>IF(Migrationsartikel!AG91="ja","true","false")</f>
        <v>false</v>
      </c>
      <c r="AN92" s="51" t="str">
        <f t="shared" si="2"/>
        <v>Kassentastenbelegung (ohne GTIN/PLU)</v>
      </c>
      <c r="AO92" s="63" t="s">
        <v>219</v>
      </c>
      <c r="AP92" s="62" t="s">
        <v>2519</v>
      </c>
      <c r="AQ92" s="63" t="s">
        <v>217</v>
      </c>
      <c r="AR92" s="30" t="s">
        <v>219</v>
      </c>
    </row>
    <row r="93" spans="2:44" ht="21.75" customHeight="1" x14ac:dyDescent="0.45">
      <c r="B93" s="51" t="s">
        <v>99</v>
      </c>
      <c r="E93" s="52" t="s">
        <v>87</v>
      </c>
      <c r="F93" s="51" t="str">
        <f>"Warengruppe&gt;&gt;"&amp;_xlfn.TEXTJOIN("&gt;&gt;",TRUE,Migrationsartikel!V92:X92)</f>
        <v>Warengruppe&gt;&gt;Früchte und Gemüse&gt;&gt;Früchte und Gemüse&gt;&gt;Früchte</v>
      </c>
      <c r="H93" s="52" t="s">
        <v>109</v>
      </c>
      <c r="J93" s="51" t="str">
        <f>_xlfn.TEXTJOIN(" ",TRUE,Migrationsartikel!B92,Migrationsartikel!E92)</f>
        <v>2215771000007</v>
      </c>
      <c r="L93" s="51" t="str">
        <f>_xlfn.TEXTJOIN(" ",TRUE,Migrationsartikel!F92:H92)</f>
        <v>Kiwi grün gepackt</v>
      </c>
      <c r="M93" s="51" t="str">
        <f>_xlfn.TEXTJOIN(" ",TRUE,Migrationsartikel!J92:L92)</f>
        <v>Kiwi vert Emballé</v>
      </c>
      <c r="N93" s="51" t="str">
        <f>_xlfn.TEXTJOIN(" ",TRUE,Migrationsartikel!N92:P92)</f>
        <v>Kiwi verdi confezionato</v>
      </c>
      <c r="O93" s="51" t="str">
        <f>Migrationsartikel!F92</f>
        <v>Kiwi grün</v>
      </c>
      <c r="P93" s="51" t="str">
        <f>Migrationsartikel!J92</f>
        <v>Kiwi vert</v>
      </c>
      <c r="Q93" s="51" t="str">
        <f>Migrationsartikel!N92</f>
        <v>Kiwi verdi</v>
      </c>
      <c r="R93" s="51" t="str">
        <f>_xlfn.TEXTJOIN(" ",TRUE,Migrationsartikel!G92)</f>
        <v>gepackt</v>
      </c>
      <c r="S93" s="51" t="str">
        <f>_xlfn.TEXTJOIN(" ",TRUE,Migrationsartikel!K92)</f>
        <v>Emballé</v>
      </c>
      <c r="T93" s="51" t="str">
        <f>_xlfn.TEXTJOIN(" ",TRUE,Migrationsartikel!O92)</f>
        <v>confezionato</v>
      </c>
      <c r="U93" s="51" t="str">
        <f>_xlfn.TEXTJOIN(" ",TRUE,Migrationsartikel!H92)</f>
        <v/>
      </c>
      <c r="V93" s="51" t="str">
        <f>_xlfn.TEXTJOIN(" ",TRUE,Migrationsartikel!L92)</f>
        <v/>
      </c>
      <c r="W93" s="51" t="str">
        <f>_xlfn.TEXTJOIN(" ",TRUE,Migrationsartikel!P92)</f>
        <v/>
      </c>
      <c r="X93" s="51" t="str">
        <f>Migrationsartikel!I92</f>
        <v>Kiwi grün gepackt</v>
      </c>
      <c r="Y93" s="51" t="str">
        <f>Migrationsartikel!M92</f>
        <v>Kiwi vert emballé</v>
      </c>
      <c r="Z93" s="51" t="str">
        <f>Migrationsartikel!Q92</f>
        <v>Kiwi verdi confezionato</v>
      </c>
      <c r="AA93" s="60">
        <f>Migrationsartikel!R92</f>
        <v>1</v>
      </c>
      <c r="AB93" s="51" t="str">
        <f>Migrationsartikel!T92</f>
        <v>Kilogramm</v>
      </c>
      <c r="AC93" s="62">
        <f>Migrationsartikel!S92</f>
        <v>1</v>
      </c>
      <c r="AD93" s="51" t="str">
        <f>Migrationsartikel!U92</f>
        <v>(PCE) Stück</v>
      </c>
      <c r="AE93" s="95" t="str">
        <f>Migrationsartikel!Y92</f>
        <v>3 - Reduzierter Satz</v>
      </c>
      <c r="AF93" s="64" t="str">
        <f>IF(Migrationsartikel!AA92="Kein Depotartikel","",Migrationsartikel!AA92)</f>
        <v/>
      </c>
      <c r="AG93" s="95" t="str">
        <f>Migrationsartikel!Z92</f>
        <v>Keine</v>
      </c>
      <c r="AH93" s="51" t="str">
        <f>IF(Migrationsartikel!AB92="ja","true",FALSE)</f>
        <v>true</v>
      </c>
      <c r="AI93" s="51" t="str">
        <f>IF(Migrationsartikel!AC92="ja","true",FALSE)</f>
        <v>true</v>
      </c>
      <c r="AJ93" s="51" t="str">
        <f>IF(Migrationsartikel!AD92="ja","true",FALSE)</f>
        <v>true</v>
      </c>
      <c r="AK93" s="51" t="str">
        <f>IF(Migrationsartikel!AE92="ja","true",FALSE)</f>
        <v>true</v>
      </c>
      <c r="AL93" s="51" t="str">
        <f>IF(Migrationsartikel!AF92="ja","Denner Partner","")</f>
        <v/>
      </c>
      <c r="AM93" s="51" t="str">
        <f>IF(Migrationsartikel!AG92="ja","true","false")</f>
        <v>false</v>
      </c>
      <c r="AN93" s="51" t="str">
        <f t="shared" si="2"/>
        <v>Kassentastenbelegung (ohne GTIN/PLU)</v>
      </c>
      <c r="AO93" s="63" t="s">
        <v>219</v>
      </c>
      <c r="AP93" s="62" t="s">
        <v>2520</v>
      </c>
      <c r="AQ93" s="63" t="s">
        <v>217</v>
      </c>
      <c r="AR93" s="30" t="s">
        <v>219</v>
      </c>
    </row>
    <row r="94" spans="2:44" ht="21.75" customHeight="1" x14ac:dyDescent="0.45">
      <c r="B94" s="51" t="s">
        <v>99</v>
      </c>
      <c r="E94" s="52" t="s">
        <v>87</v>
      </c>
      <c r="F94" s="51" t="str">
        <f>"Warengruppe&gt;&gt;"&amp;_xlfn.TEXTJOIN("&gt;&gt;",TRUE,Migrationsartikel!V93:X93)</f>
        <v>Warengruppe&gt;&gt;Früchte und Gemüse&gt;&gt;Früchte und Gemüse&gt;&gt;Früchte</v>
      </c>
      <c r="H94" s="52" t="s">
        <v>109</v>
      </c>
      <c r="J94" s="51" t="str">
        <f>_xlfn.TEXTJOIN(" ",TRUE,Migrationsartikel!B93,Migrationsartikel!E93)</f>
        <v/>
      </c>
      <c r="L94" s="51" t="str">
        <f>_xlfn.TEXTJOIN(" ",TRUE,Migrationsartikel!F93:H93)</f>
        <v>Kokosnuss 1Stk</v>
      </c>
      <c r="M94" s="51" t="str">
        <f>_xlfn.TEXTJOIN(" ",TRUE,Migrationsartikel!J93:L93)</f>
        <v>Noix de coco 1pce</v>
      </c>
      <c r="N94" s="51" t="str">
        <f>_xlfn.TEXTJOIN(" ",TRUE,Migrationsartikel!N93:P93)</f>
        <v>Noce di cocco 1pz</v>
      </c>
      <c r="O94" s="51" t="str">
        <f>Migrationsartikel!F93</f>
        <v>Kokosnuss</v>
      </c>
      <c r="P94" s="51" t="str">
        <f>Migrationsartikel!J93</f>
        <v>Noix de coco</v>
      </c>
      <c r="Q94" s="51" t="str">
        <f>Migrationsartikel!N93</f>
        <v>Noce di cocco</v>
      </c>
      <c r="R94" s="51" t="str">
        <f>_xlfn.TEXTJOIN(" ",TRUE,Migrationsartikel!G93)</f>
        <v/>
      </c>
      <c r="S94" s="51" t="str">
        <f>_xlfn.TEXTJOIN(" ",TRUE,Migrationsartikel!K93)</f>
        <v/>
      </c>
      <c r="T94" s="51" t="str">
        <f>_xlfn.TEXTJOIN(" ",TRUE,Migrationsartikel!O93)</f>
        <v/>
      </c>
      <c r="U94" s="51" t="str">
        <f>_xlfn.TEXTJOIN(" ",TRUE,Migrationsartikel!H93)</f>
        <v>1Stk</v>
      </c>
      <c r="V94" s="51" t="str">
        <f>_xlfn.TEXTJOIN(" ",TRUE,Migrationsartikel!L93)</f>
        <v>1pce</v>
      </c>
      <c r="W94" s="51" t="str">
        <f>_xlfn.TEXTJOIN(" ",TRUE,Migrationsartikel!P93)</f>
        <v>1pz</v>
      </c>
      <c r="X94" s="51" t="str">
        <f>Migrationsartikel!I93</f>
        <v>Kokosnuss 1 Stk</v>
      </c>
      <c r="Y94" s="51" t="str">
        <f>Migrationsartikel!M93</f>
        <v>Noix de coco 1 pce</v>
      </c>
      <c r="Z94" s="51" t="str">
        <f>Migrationsartikel!Q93</f>
        <v>Noce di cocco 1 pz</v>
      </c>
      <c r="AA94" s="60">
        <f>Migrationsartikel!R93</f>
        <v>1</v>
      </c>
      <c r="AB94" s="51" t="str">
        <f>Migrationsartikel!T93</f>
        <v>Stück</v>
      </c>
      <c r="AC94" s="62">
        <f>Migrationsartikel!S93</f>
        <v>1</v>
      </c>
      <c r="AD94" s="51" t="str">
        <f>Migrationsartikel!U93</f>
        <v>(PCE) Stück</v>
      </c>
      <c r="AE94" s="95" t="str">
        <f>Migrationsartikel!Y93</f>
        <v>3 - Reduzierter Satz</v>
      </c>
      <c r="AF94" s="64" t="str">
        <f>IF(Migrationsartikel!AA93="Kein Depotartikel","",Migrationsartikel!AA93)</f>
        <v/>
      </c>
      <c r="AG94" s="95" t="str">
        <f>Migrationsartikel!Z93</f>
        <v>Keine</v>
      </c>
      <c r="AH94" s="51" t="str">
        <f>IF(Migrationsartikel!AB93="ja","true",FALSE)</f>
        <v>true</v>
      </c>
      <c r="AI94" s="51" t="str">
        <f>IF(Migrationsartikel!AC93="ja","true",FALSE)</f>
        <v>true</v>
      </c>
      <c r="AJ94" s="51" t="str">
        <f>IF(Migrationsartikel!AD93="ja","true",FALSE)</f>
        <v>true</v>
      </c>
      <c r="AK94" s="51" t="str">
        <f>IF(Migrationsartikel!AE93="ja","true",FALSE)</f>
        <v>true</v>
      </c>
      <c r="AL94" s="51" t="str">
        <f>IF(Migrationsartikel!AF93="ja","Denner Partner","")</f>
        <v/>
      </c>
      <c r="AM94" s="51" t="str">
        <f>IF(Migrationsartikel!AG93="ja","true","false")</f>
        <v>false</v>
      </c>
      <c r="AN94" s="51" t="str">
        <f t="shared" si="2"/>
        <v>Kassentastenbelegung (ohne GTIN/PLU)</v>
      </c>
      <c r="AO94" s="63" t="s">
        <v>219</v>
      </c>
      <c r="AP94" s="62" t="s">
        <v>2521</v>
      </c>
      <c r="AQ94" s="63" t="s">
        <v>217</v>
      </c>
      <c r="AR94" s="30" t="s">
        <v>219</v>
      </c>
    </row>
    <row r="95" spans="2:44" ht="21.75" customHeight="1" x14ac:dyDescent="0.45">
      <c r="B95" s="51" t="s">
        <v>99</v>
      </c>
      <c r="E95" s="52" t="s">
        <v>87</v>
      </c>
      <c r="F95" s="51" t="str">
        <f>"Warengruppe&gt;&gt;"&amp;_xlfn.TEXTJOIN("&gt;&gt;",TRUE,Migrationsartikel!V94:X94)</f>
        <v>Warengruppe&gt;&gt;Früchte und Gemüse&gt;&gt;Früchte und Gemüse&gt;&gt;Früchte</v>
      </c>
      <c r="H95" s="52" t="s">
        <v>109</v>
      </c>
      <c r="J95" s="51" t="str">
        <f>_xlfn.TEXTJOIN(" ",TRUE,Migrationsartikel!B94,Migrationsartikel!E94)</f>
        <v>7613399002598</v>
      </c>
      <c r="L95" s="51" t="str">
        <f>_xlfn.TEXTJOIN(" ",TRUE,Migrationsartikel!F94:H94)</f>
        <v>Kokosnuss Becher 80g</v>
      </c>
      <c r="M95" s="51" t="str">
        <f>_xlfn.TEXTJOIN(" ",TRUE,Migrationsartikel!J94:L94)</f>
        <v>Noix de coco Gobelet 80g</v>
      </c>
      <c r="N95" s="51" t="str">
        <f>_xlfn.TEXTJOIN(" ",TRUE,Migrationsartikel!N94:P94)</f>
        <v>Noce di cocco bicchiere 80g</v>
      </c>
      <c r="O95" s="51" t="str">
        <f>Migrationsartikel!F94</f>
        <v>Kokosnuss</v>
      </c>
      <c r="P95" s="51" t="str">
        <f>Migrationsartikel!J94</f>
        <v>Noix de coco</v>
      </c>
      <c r="Q95" s="51" t="str">
        <f>Migrationsartikel!N94</f>
        <v>Noce di cocco</v>
      </c>
      <c r="R95" s="51" t="str">
        <f>_xlfn.TEXTJOIN(" ",TRUE,Migrationsartikel!G94)</f>
        <v>Becher</v>
      </c>
      <c r="S95" s="51" t="str">
        <f>_xlfn.TEXTJOIN(" ",TRUE,Migrationsartikel!K94)</f>
        <v>Gobelet</v>
      </c>
      <c r="T95" s="51" t="str">
        <f>_xlfn.TEXTJOIN(" ",TRUE,Migrationsartikel!O94)</f>
        <v>bicchiere</v>
      </c>
      <c r="U95" s="51" t="str">
        <f>_xlfn.TEXTJOIN(" ",TRUE,Migrationsartikel!H94)</f>
        <v>80g</v>
      </c>
      <c r="V95" s="51" t="str">
        <f>_xlfn.TEXTJOIN(" ",TRUE,Migrationsartikel!L94)</f>
        <v>80g</v>
      </c>
      <c r="W95" s="51" t="str">
        <f>_xlfn.TEXTJOIN(" ",TRUE,Migrationsartikel!P94)</f>
        <v>80g</v>
      </c>
      <c r="X95" s="51" t="str">
        <f>Migrationsartikel!I94</f>
        <v>Kokosnuss Becher 80g</v>
      </c>
      <c r="Y95" s="51" t="str">
        <f>Migrationsartikel!M94</f>
        <v>Noix de coco 80g</v>
      </c>
      <c r="Z95" s="51" t="str">
        <f>Migrationsartikel!Q94</f>
        <v>Noce di cocco bichiere 80g</v>
      </c>
      <c r="AA95" s="60">
        <f>Migrationsartikel!R94</f>
        <v>0.08</v>
      </c>
      <c r="AB95" s="51" t="str">
        <f>Migrationsartikel!T94</f>
        <v>Gramm</v>
      </c>
      <c r="AC95" s="62">
        <f>Migrationsartikel!S94</f>
        <v>100</v>
      </c>
      <c r="AD95" s="51" t="str">
        <f>Migrationsartikel!U94</f>
        <v>(PCE) Stück</v>
      </c>
      <c r="AE95" s="95" t="str">
        <f>Migrationsartikel!Y94</f>
        <v>3 - Reduzierter Satz</v>
      </c>
      <c r="AF95" s="64" t="str">
        <f>IF(Migrationsartikel!AA94="Kein Depotartikel","",Migrationsartikel!AA94)</f>
        <v/>
      </c>
      <c r="AG95" s="95" t="str">
        <f>Migrationsartikel!Z94</f>
        <v>Keine</v>
      </c>
      <c r="AH95" s="51" t="str">
        <f>IF(Migrationsartikel!AB94="ja","true",FALSE)</f>
        <v>true</v>
      </c>
      <c r="AI95" s="51" t="str">
        <f>IF(Migrationsartikel!AC94="ja","true",FALSE)</f>
        <v>true</v>
      </c>
      <c r="AJ95" s="51" t="str">
        <f>IF(Migrationsartikel!AD94="ja","true",FALSE)</f>
        <v>true</v>
      </c>
      <c r="AK95" s="51" t="str">
        <f>IF(Migrationsartikel!AE94="ja","true",FALSE)</f>
        <v>true</v>
      </c>
      <c r="AL95" s="51" t="str">
        <f>IF(Migrationsartikel!AF94="ja","Denner Partner","")</f>
        <v/>
      </c>
      <c r="AM95" s="51" t="str">
        <f>IF(Migrationsartikel!AG94="ja","true","false")</f>
        <v>false</v>
      </c>
      <c r="AN95" s="51" t="str">
        <f t="shared" si="2"/>
        <v>Kassentastenbelegung (ohne GTIN/PLU)</v>
      </c>
      <c r="AO95" s="63" t="s">
        <v>219</v>
      </c>
      <c r="AP95" s="62" t="s">
        <v>2522</v>
      </c>
      <c r="AQ95" s="63" t="s">
        <v>217</v>
      </c>
      <c r="AR95" s="30" t="s">
        <v>219</v>
      </c>
    </row>
    <row r="96" spans="2:44" ht="21.75" customHeight="1" x14ac:dyDescent="0.45">
      <c r="B96" s="51" t="s">
        <v>99</v>
      </c>
      <c r="E96" s="52" t="s">
        <v>87</v>
      </c>
      <c r="F96" s="51" t="str">
        <f>"Warengruppe&gt;&gt;"&amp;_xlfn.TEXTJOIN("&gt;&gt;",TRUE,Migrationsartikel!V95:X95)</f>
        <v>Warengruppe&gt;&gt;Früchte und Gemüse&gt;&gt;Früchte und Gemüse&gt;&gt;Früchte</v>
      </c>
      <c r="H96" s="52" t="s">
        <v>109</v>
      </c>
      <c r="J96" s="51" t="str">
        <f>_xlfn.TEXTJOIN(" ",TRUE,Migrationsartikel!B95,Migrationsartikel!E95)</f>
        <v>2205051000001</v>
      </c>
      <c r="L96" s="51" t="str">
        <f>_xlfn.TEXTJOIN(" ",TRUE,Migrationsartikel!F95:H95)</f>
        <v>Limetten gepackt</v>
      </c>
      <c r="M96" s="51" t="str">
        <f>_xlfn.TEXTJOIN(" ",TRUE,Migrationsartikel!J95:L95)</f>
        <v>Citrons verts Emballé</v>
      </c>
      <c r="N96" s="51" t="str">
        <f>_xlfn.TEXTJOIN(" ",TRUE,Migrationsartikel!N95:P95)</f>
        <v>Lime confezionato</v>
      </c>
      <c r="O96" s="51" t="str">
        <f>Migrationsartikel!F95</f>
        <v>Limetten</v>
      </c>
      <c r="P96" s="51" t="str">
        <f>Migrationsartikel!J95</f>
        <v>Citrons verts</v>
      </c>
      <c r="Q96" s="51" t="str">
        <f>Migrationsartikel!N95</f>
        <v>Lime</v>
      </c>
      <c r="R96" s="51" t="str">
        <f>_xlfn.TEXTJOIN(" ",TRUE,Migrationsartikel!G95)</f>
        <v>gepackt</v>
      </c>
      <c r="S96" s="51" t="str">
        <f>_xlfn.TEXTJOIN(" ",TRUE,Migrationsartikel!K95)</f>
        <v>Emballé</v>
      </c>
      <c r="T96" s="51" t="str">
        <f>_xlfn.TEXTJOIN(" ",TRUE,Migrationsartikel!O95)</f>
        <v>confezionato</v>
      </c>
      <c r="U96" s="51" t="str">
        <f>_xlfn.TEXTJOIN(" ",TRUE,Migrationsartikel!H95)</f>
        <v/>
      </c>
      <c r="V96" s="51" t="str">
        <f>_xlfn.TEXTJOIN(" ",TRUE,Migrationsartikel!L95)</f>
        <v/>
      </c>
      <c r="W96" s="51" t="str">
        <f>_xlfn.TEXTJOIN(" ",TRUE,Migrationsartikel!P95)</f>
        <v/>
      </c>
      <c r="X96" s="51" t="str">
        <f>Migrationsartikel!I95</f>
        <v>Limetten gepackt</v>
      </c>
      <c r="Y96" s="51" t="str">
        <f>Migrationsartikel!M95</f>
        <v>Citrons verts emballé</v>
      </c>
      <c r="Z96" s="51" t="str">
        <f>Migrationsartikel!Q95</f>
        <v>Lime confezionato</v>
      </c>
      <c r="AA96" s="60">
        <f>Migrationsartikel!R95</f>
        <v>1</v>
      </c>
      <c r="AB96" s="51" t="str">
        <f>Migrationsartikel!T95</f>
        <v>Kilogramm</v>
      </c>
      <c r="AC96" s="62">
        <f>Migrationsartikel!S95</f>
        <v>1</v>
      </c>
      <c r="AD96" s="51" t="str">
        <f>Migrationsartikel!U95</f>
        <v>(PCE) Stück</v>
      </c>
      <c r="AE96" s="95" t="str">
        <f>Migrationsartikel!Y95</f>
        <v>3 - Reduzierter Satz</v>
      </c>
      <c r="AF96" s="64" t="str">
        <f>IF(Migrationsartikel!AA95="Kein Depotartikel","",Migrationsartikel!AA95)</f>
        <v/>
      </c>
      <c r="AG96" s="95" t="str">
        <f>Migrationsartikel!Z95</f>
        <v>Keine</v>
      </c>
      <c r="AH96" s="51" t="str">
        <f>IF(Migrationsartikel!AB95="ja","true",FALSE)</f>
        <v>true</v>
      </c>
      <c r="AI96" s="51" t="str">
        <f>IF(Migrationsartikel!AC95="ja","true",FALSE)</f>
        <v>true</v>
      </c>
      <c r="AJ96" s="51" t="str">
        <f>IF(Migrationsartikel!AD95="ja","true",FALSE)</f>
        <v>true</v>
      </c>
      <c r="AK96" s="51" t="str">
        <f>IF(Migrationsartikel!AE95="ja","true",FALSE)</f>
        <v>true</v>
      </c>
      <c r="AL96" s="51" t="str">
        <f>IF(Migrationsartikel!AF95="ja","Denner Partner","")</f>
        <v/>
      </c>
      <c r="AM96" s="51" t="str">
        <f>IF(Migrationsartikel!AG95="ja","true","false")</f>
        <v>false</v>
      </c>
      <c r="AN96" s="51" t="str">
        <f t="shared" si="2"/>
        <v>Kassentastenbelegung (ohne GTIN/PLU)</v>
      </c>
      <c r="AO96" s="63" t="s">
        <v>219</v>
      </c>
      <c r="AP96" s="62" t="s">
        <v>2523</v>
      </c>
      <c r="AQ96" s="63" t="s">
        <v>217</v>
      </c>
      <c r="AR96" s="30" t="s">
        <v>219</v>
      </c>
    </row>
    <row r="97" spans="2:44" ht="21.75" customHeight="1" x14ac:dyDescent="0.45">
      <c r="B97" s="51" t="s">
        <v>99</v>
      </c>
      <c r="E97" s="52" t="s">
        <v>87</v>
      </c>
      <c r="F97" s="51" t="str">
        <f>"Warengruppe&gt;&gt;"&amp;_xlfn.TEXTJOIN("&gt;&gt;",TRUE,Migrationsartikel!V96:X96)</f>
        <v>Warengruppe&gt;&gt;Früchte und Gemüse&gt;&gt;Früchte und Gemüse&gt;&gt;Früchte</v>
      </c>
      <c r="H97" s="52" t="s">
        <v>109</v>
      </c>
      <c r="J97" s="51" t="str">
        <f>_xlfn.TEXTJOIN(" ",TRUE,Migrationsartikel!B96,Migrationsartikel!E96)</f>
        <v>2205548000000</v>
      </c>
      <c r="L97" s="51" t="str">
        <f>_xlfn.TEXTJOIN(" ",TRUE,Migrationsartikel!F96:H96)</f>
        <v>Äpfel Mairac Kl. 1 gepackt</v>
      </c>
      <c r="M97" s="51" t="str">
        <f>_xlfn.TEXTJOIN(" ",TRUE,Migrationsartikel!J96:L96)</f>
        <v>Pommes Mairac Cl. 1 emballé</v>
      </c>
      <c r="N97" s="51" t="str">
        <f>_xlfn.TEXTJOIN(" ",TRUE,Migrationsartikel!N96:P96)</f>
        <v>Mele Mairac Cl. 1 confezionato</v>
      </c>
      <c r="O97" s="51" t="str">
        <f>Migrationsartikel!F96</f>
        <v>Äpfel Mairac</v>
      </c>
      <c r="P97" s="51" t="str">
        <f>Migrationsartikel!J96</f>
        <v>Pommes Mairac</v>
      </c>
      <c r="Q97" s="51" t="str">
        <f>Migrationsartikel!N96</f>
        <v>Mele Mairac</v>
      </c>
      <c r="R97" s="51" t="str">
        <f>_xlfn.TEXTJOIN(" ",TRUE,Migrationsartikel!G96)</f>
        <v>Kl. 1 gepackt</v>
      </c>
      <c r="S97" s="51" t="str">
        <f>_xlfn.TEXTJOIN(" ",TRUE,Migrationsartikel!K96)</f>
        <v>Cl. 1 emballé</v>
      </c>
      <c r="T97" s="51" t="str">
        <f>_xlfn.TEXTJOIN(" ",TRUE,Migrationsartikel!O96)</f>
        <v>Cl. 1 confezionato</v>
      </c>
      <c r="U97" s="51" t="str">
        <f>_xlfn.TEXTJOIN(" ",TRUE,Migrationsartikel!H96)</f>
        <v/>
      </c>
      <c r="V97" s="51" t="str">
        <f>_xlfn.TEXTJOIN(" ",TRUE,Migrationsartikel!L96)</f>
        <v/>
      </c>
      <c r="W97" s="51" t="str">
        <f>_xlfn.TEXTJOIN(" ",TRUE,Migrationsartikel!P96)</f>
        <v/>
      </c>
      <c r="X97" s="51" t="str">
        <f>Migrationsartikel!I96</f>
        <v>Äpfel Mairac Kl. 1 gepackt</v>
      </c>
      <c r="Y97" s="51" t="str">
        <f>Migrationsartikel!M96</f>
        <v>Pommes Mairac cl. 1 emballé</v>
      </c>
      <c r="Z97" s="51" t="str">
        <f>Migrationsartikel!Q96</f>
        <v>Mele Mairac cl. 1 confez.</v>
      </c>
      <c r="AA97" s="60">
        <f>Migrationsartikel!R96</f>
        <v>1</v>
      </c>
      <c r="AB97" s="51" t="str">
        <f>Migrationsartikel!T96</f>
        <v>Kilogramm</v>
      </c>
      <c r="AC97" s="62">
        <f>Migrationsartikel!S96</f>
        <v>1</v>
      </c>
      <c r="AD97" s="51" t="str">
        <f>Migrationsartikel!U96</f>
        <v>(PCE) Stück</v>
      </c>
      <c r="AE97" s="95" t="str">
        <f>Migrationsartikel!Y96</f>
        <v>3 - Reduzierter Satz</v>
      </c>
      <c r="AF97" s="64" t="str">
        <f>IF(Migrationsartikel!AA96="Kein Depotartikel","",Migrationsartikel!AA96)</f>
        <v/>
      </c>
      <c r="AG97" s="95" t="str">
        <f>Migrationsartikel!Z96</f>
        <v>Keine</v>
      </c>
      <c r="AH97" s="51" t="str">
        <f>IF(Migrationsartikel!AB96="ja","true",FALSE)</f>
        <v>true</v>
      </c>
      <c r="AI97" s="51" t="str">
        <f>IF(Migrationsartikel!AC96="ja","true",FALSE)</f>
        <v>true</v>
      </c>
      <c r="AJ97" s="51" t="str">
        <f>IF(Migrationsartikel!AD96="ja","true",FALSE)</f>
        <v>true</v>
      </c>
      <c r="AK97" s="51" t="str">
        <f>IF(Migrationsartikel!AE96="ja","true",FALSE)</f>
        <v>true</v>
      </c>
      <c r="AL97" s="51" t="str">
        <f>IF(Migrationsartikel!AF96="ja","Denner Partner","")</f>
        <v/>
      </c>
      <c r="AM97" s="51" t="str">
        <f>IF(Migrationsartikel!AG96="ja","true","false")</f>
        <v>false</v>
      </c>
      <c r="AN97" s="51" t="str">
        <f t="shared" si="2"/>
        <v>Kassentastenbelegung (ohne GTIN/PLU)</v>
      </c>
      <c r="AO97" s="63" t="s">
        <v>219</v>
      </c>
      <c r="AP97" s="62" t="s">
        <v>2524</v>
      </c>
      <c r="AQ97" s="63" t="s">
        <v>217</v>
      </c>
      <c r="AR97" s="30" t="s">
        <v>219</v>
      </c>
    </row>
    <row r="98" spans="2:44" ht="21.75" customHeight="1" x14ac:dyDescent="0.45">
      <c r="B98" s="51" t="s">
        <v>99</v>
      </c>
      <c r="E98" s="52" t="s">
        <v>87</v>
      </c>
      <c r="F98" s="51" t="str">
        <f>"Warengruppe&gt;&gt;"&amp;_xlfn.TEXTJOIN("&gt;&gt;",TRUE,Migrationsartikel!V97:X97)</f>
        <v>Warengruppe&gt;&gt;Früchte und Gemüse&gt;&gt;Früchte und Gemüse&gt;&gt;Früchte</v>
      </c>
      <c r="H98" s="52" t="s">
        <v>109</v>
      </c>
      <c r="J98" s="51" t="str">
        <f>_xlfn.TEXTJOIN(" ",TRUE,Migrationsartikel!B97,Migrationsartikel!E97)</f>
        <v>2201401000004</v>
      </c>
      <c r="L98" s="51" t="str">
        <f>_xlfn.TEXTJOIN(" ",TRUE,Migrationsartikel!F97:H97)</f>
        <v>Marroni Netz 750g</v>
      </c>
      <c r="M98" s="51" t="str">
        <f>_xlfn.TEXTJOIN(" ",TRUE,Migrationsartikel!J97:L97)</f>
        <v>Marrons Filet 750g</v>
      </c>
      <c r="N98" s="51" t="str">
        <f>_xlfn.TEXTJOIN(" ",TRUE,Migrationsartikel!N97:P97)</f>
        <v>Castagne retina 750g</v>
      </c>
      <c r="O98" s="51" t="str">
        <f>Migrationsartikel!F97</f>
        <v>Marroni</v>
      </c>
      <c r="P98" s="51" t="str">
        <f>Migrationsartikel!J97</f>
        <v>Marrons</v>
      </c>
      <c r="Q98" s="51" t="str">
        <f>Migrationsartikel!N97</f>
        <v>Castagne</v>
      </c>
      <c r="R98" s="51" t="str">
        <f>_xlfn.TEXTJOIN(" ",TRUE,Migrationsartikel!G97)</f>
        <v>Netz</v>
      </c>
      <c r="S98" s="51" t="str">
        <f>_xlfn.TEXTJOIN(" ",TRUE,Migrationsartikel!K97)</f>
        <v>Filet</v>
      </c>
      <c r="T98" s="51" t="str">
        <f>_xlfn.TEXTJOIN(" ",TRUE,Migrationsartikel!O97)</f>
        <v>retina</v>
      </c>
      <c r="U98" s="51" t="str">
        <f>_xlfn.TEXTJOIN(" ",TRUE,Migrationsartikel!H97)</f>
        <v>750g</v>
      </c>
      <c r="V98" s="51" t="str">
        <f>_xlfn.TEXTJOIN(" ",TRUE,Migrationsartikel!L97)</f>
        <v>750g</v>
      </c>
      <c r="W98" s="51" t="str">
        <f>_xlfn.TEXTJOIN(" ",TRUE,Migrationsartikel!P97)</f>
        <v>750g</v>
      </c>
      <c r="X98" s="51" t="str">
        <f>Migrationsartikel!I97</f>
        <v>Marroni Netz 750g</v>
      </c>
      <c r="Y98" s="51" t="str">
        <f>Migrationsartikel!M97</f>
        <v>Marrons filet 750g</v>
      </c>
      <c r="Z98" s="51" t="str">
        <f>Migrationsartikel!Q97</f>
        <v>Castagne retina 750g</v>
      </c>
      <c r="AA98" s="60">
        <f>Migrationsartikel!R97</f>
        <v>0.75</v>
      </c>
      <c r="AB98" s="51" t="str">
        <f>Migrationsartikel!T97</f>
        <v>Kilogramm</v>
      </c>
      <c r="AC98" s="62">
        <f>Migrationsartikel!S97</f>
        <v>1</v>
      </c>
      <c r="AD98" s="51" t="str">
        <f>Migrationsartikel!U97</f>
        <v>(PCE) Stück</v>
      </c>
      <c r="AE98" s="95" t="str">
        <f>Migrationsartikel!Y97</f>
        <v>3 - Reduzierter Satz</v>
      </c>
      <c r="AF98" s="64" t="str">
        <f>IF(Migrationsartikel!AA97="Kein Depotartikel","",Migrationsartikel!AA97)</f>
        <v/>
      </c>
      <c r="AG98" s="95" t="str">
        <f>Migrationsartikel!Z97</f>
        <v>Keine</v>
      </c>
      <c r="AH98" s="51" t="str">
        <f>IF(Migrationsartikel!AB97="ja","true",FALSE)</f>
        <v>true</v>
      </c>
      <c r="AI98" s="51" t="str">
        <f>IF(Migrationsartikel!AC97="ja","true",FALSE)</f>
        <v>true</v>
      </c>
      <c r="AJ98" s="51" t="str">
        <f>IF(Migrationsartikel!AD97="ja","true",FALSE)</f>
        <v>true</v>
      </c>
      <c r="AK98" s="51" t="str">
        <f>IF(Migrationsartikel!AE97="ja","true",FALSE)</f>
        <v>true</v>
      </c>
      <c r="AL98" s="51" t="str">
        <f>IF(Migrationsartikel!AF97="ja","Denner Partner","")</f>
        <v/>
      </c>
      <c r="AM98" s="51" t="str">
        <f>IF(Migrationsartikel!AG97="ja","true","false")</f>
        <v>false</v>
      </c>
      <c r="AN98" s="51" t="str">
        <f t="shared" si="2"/>
        <v>Kassentastenbelegung (ohne GTIN/PLU)</v>
      </c>
      <c r="AO98" s="63" t="s">
        <v>219</v>
      </c>
      <c r="AP98" s="62" t="s">
        <v>2525</v>
      </c>
      <c r="AQ98" s="63" t="s">
        <v>217</v>
      </c>
      <c r="AR98" s="30" t="s">
        <v>219</v>
      </c>
    </row>
    <row r="99" spans="2:44" ht="21.75" customHeight="1" x14ac:dyDescent="0.45">
      <c r="B99" s="51" t="s">
        <v>99</v>
      </c>
      <c r="E99" s="52" t="s">
        <v>87</v>
      </c>
      <c r="F99" s="51" t="str">
        <f>"Warengruppe&gt;&gt;"&amp;_xlfn.TEXTJOIN("&gt;&gt;",TRUE,Migrationsartikel!V98:X98)</f>
        <v>Warengruppe&gt;&gt;Früchte und Gemüse&gt;&gt;Früchte und Gemüse&gt;&gt;Früchte</v>
      </c>
      <c r="H99" s="52" t="s">
        <v>109</v>
      </c>
      <c r="J99" s="51" t="str">
        <f>_xlfn.TEXTJOIN(" ",TRUE,Migrationsartikel!B98,Migrationsartikel!E98)</f>
        <v>2264431000000</v>
      </c>
      <c r="L99" s="51" t="str">
        <f>_xlfn.TEXTJOIN(" ",TRUE,Migrationsartikel!F98:H98)</f>
        <v>Melonen Charentais 1Stk</v>
      </c>
      <c r="M99" s="51" t="str">
        <f>_xlfn.TEXTJOIN(" ",TRUE,Migrationsartikel!J98:L98)</f>
        <v>Melons charentais 1pce</v>
      </c>
      <c r="N99" s="51" t="str">
        <f>_xlfn.TEXTJOIN(" ",TRUE,Migrationsartikel!N98:P98)</f>
        <v>Meloni Charentais 1pz</v>
      </c>
      <c r="O99" s="51" t="str">
        <f>Migrationsartikel!F98</f>
        <v>Melonen Charentais</v>
      </c>
      <c r="P99" s="51" t="str">
        <f>Migrationsartikel!J98</f>
        <v>Melons charentais</v>
      </c>
      <c r="Q99" s="51" t="str">
        <f>Migrationsartikel!N98</f>
        <v>Meloni Charentais</v>
      </c>
      <c r="R99" s="51" t="str">
        <f>_xlfn.TEXTJOIN(" ",TRUE,Migrationsartikel!G98)</f>
        <v/>
      </c>
      <c r="S99" s="51" t="str">
        <f>_xlfn.TEXTJOIN(" ",TRUE,Migrationsartikel!K98)</f>
        <v/>
      </c>
      <c r="T99" s="51" t="str">
        <f>_xlfn.TEXTJOIN(" ",TRUE,Migrationsartikel!O98)</f>
        <v/>
      </c>
      <c r="U99" s="51" t="str">
        <f>_xlfn.TEXTJOIN(" ",TRUE,Migrationsartikel!H98)</f>
        <v>1Stk</v>
      </c>
      <c r="V99" s="51" t="str">
        <f>_xlfn.TEXTJOIN(" ",TRUE,Migrationsartikel!L98)</f>
        <v>1pce</v>
      </c>
      <c r="W99" s="51" t="str">
        <f>_xlfn.TEXTJOIN(" ",TRUE,Migrationsartikel!P98)</f>
        <v>1pz</v>
      </c>
      <c r="X99" s="51" t="str">
        <f>Migrationsartikel!I98</f>
        <v>Melonen Charentais 1 Stk</v>
      </c>
      <c r="Y99" s="51" t="str">
        <f>Migrationsartikel!M98</f>
        <v>Melons charentais 1 pce</v>
      </c>
      <c r="Z99" s="51" t="str">
        <f>Migrationsartikel!Q98</f>
        <v>Meloni Charentais 1 pz</v>
      </c>
      <c r="AA99" s="60">
        <f>Migrationsartikel!R98</f>
        <v>1</v>
      </c>
      <c r="AB99" s="51" t="str">
        <f>Migrationsartikel!T98</f>
        <v>Stück</v>
      </c>
      <c r="AC99" s="62">
        <f>Migrationsartikel!S98</f>
        <v>1</v>
      </c>
      <c r="AD99" s="51" t="str">
        <f>Migrationsartikel!U98</f>
        <v>(PCE) Stück</v>
      </c>
      <c r="AE99" s="95" t="str">
        <f>Migrationsartikel!Y98</f>
        <v>3 - Reduzierter Satz</v>
      </c>
      <c r="AF99" s="64" t="str">
        <f>IF(Migrationsartikel!AA98="Kein Depotartikel","",Migrationsartikel!AA98)</f>
        <v/>
      </c>
      <c r="AG99" s="95" t="str">
        <f>Migrationsartikel!Z98</f>
        <v>Keine</v>
      </c>
      <c r="AH99" s="51" t="str">
        <f>IF(Migrationsartikel!AB98="ja","true",FALSE)</f>
        <v>true</v>
      </c>
      <c r="AI99" s="51" t="str">
        <f>IF(Migrationsartikel!AC98="ja","true",FALSE)</f>
        <v>true</v>
      </c>
      <c r="AJ99" s="51" t="str">
        <f>IF(Migrationsartikel!AD98="ja","true",FALSE)</f>
        <v>true</v>
      </c>
      <c r="AK99" s="51" t="str">
        <f>IF(Migrationsartikel!AE98="ja","true",FALSE)</f>
        <v>true</v>
      </c>
      <c r="AL99" s="51" t="str">
        <f>IF(Migrationsartikel!AF98="ja","Denner Partner","")</f>
        <v/>
      </c>
      <c r="AM99" s="51" t="str">
        <f>IF(Migrationsartikel!AG98="ja","true","false")</f>
        <v>false</v>
      </c>
      <c r="AN99" s="51" t="str">
        <f t="shared" si="2"/>
        <v>Kassentastenbelegung (ohne GTIN/PLU)</v>
      </c>
      <c r="AO99" s="63" t="s">
        <v>219</v>
      </c>
      <c r="AP99" s="62" t="s">
        <v>2526</v>
      </c>
      <c r="AQ99" s="63" t="s">
        <v>217</v>
      </c>
      <c r="AR99" s="30" t="s">
        <v>219</v>
      </c>
    </row>
    <row r="100" spans="2:44" ht="21.75" customHeight="1" x14ac:dyDescent="0.45">
      <c r="B100" s="51" t="s">
        <v>99</v>
      </c>
      <c r="E100" s="52" t="s">
        <v>87</v>
      </c>
      <c r="F100" s="51" t="str">
        <f>"Warengruppe&gt;&gt;"&amp;_xlfn.TEXTJOIN("&gt;&gt;",TRUE,Migrationsartikel!V99:X99)</f>
        <v>Warengruppe&gt;&gt;Früchte und Gemüse&gt;&gt;Früchte und Gemüse&gt;&gt;Früchte</v>
      </c>
      <c r="H100" s="52" t="s">
        <v>109</v>
      </c>
      <c r="J100" s="51" t="str">
        <f>_xlfn.TEXTJOIN(" ",TRUE,Migrationsartikel!B99,Migrationsartikel!E99)</f>
        <v>2217202000006</v>
      </c>
      <c r="L100" s="51" t="str">
        <f>_xlfn.TEXTJOIN(" ",TRUE,Migrationsartikel!F99:H99)</f>
        <v>Melonen Jolly 1Stk</v>
      </c>
      <c r="M100" s="51" t="str">
        <f>_xlfn.TEXTJOIN(" ",TRUE,Migrationsartikel!J99:L99)</f>
        <v>Melons Jolly 1pce</v>
      </c>
      <c r="N100" s="51" t="str">
        <f>_xlfn.TEXTJOIN(" ",TRUE,Migrationsartikel!N99:P99)</f>
        <v>Meloni Jolly 1pz</v>
      </c>
      <c r="O100" s="51" t="str">
        <f>Migrationsartikel!F99</f>
        <v>Melonen Jolly</v>
      </c>
      <c r="P100" s="51" t="str">
        <f>Migrationsartikel!J99</f>
        <v>Melons Jolly</v>
      </c>
      <c r="Q100" s="51" t="str">
        <f>Migrationsartikel!N99</f>
        <v>Meloni Jolly</v>
      </c>
      <c r="R100" s="51" t="str">
        <f>_xlfn.TEXTJOIN(" ",TRUE,Migrationsartikel!G99)</f>
        <v/>
      </c>
      <c r="S100" s="51" t="str">
        <f>_xlfn.TEXTJOIN(" ",TRUE,Migrationsartikel!K99)</f>
        <v/>
      </c>
      <c r="T100" s="51" t="str">
        <f>_xlfn.TEXTJOIN(" ",TRUE,Migrationsartikel!O99)</f>
        <v/>
      </c>
      <c r="U100" s="51" t="str">
        <f>_xlfn.TEXTJOIN(" ",TRUE,Migrationsartikel!H99)</f>
        <v>1Stk</v>
      </c>
      <c r="V100" s="51" t="str">
        <f>_xlfn.TEXTJOIN(" ",TRUE,Migrationsartikel!L99)</f>
        <v>1pce</v>
      </c>
      <c r="W100" s="51" t="str">
        <f>_xlfn.TEXTJOIN(" ",TRUE,Migrationsartikel!P99)</f>
        <v>1pz</v>
      </c>
      <c r="X100" s="51" t="str">
        <f>Migrationsartikel!I99</f>
        <v>Melonen Jolly 1 Stk</v>
      </c>
      <c r="Y100" s="51" t="str">
        <f>Migrationsartikel!M99</f>
        <v>Melons Jolly 1 pce</v>
      </c>
      <c r="Z100" s="51" t="str">
        <f>Migrationsartikel!Q99</f>
        <v>Meloni Jolly 1 pz</v>
      </c>
      <c r="AA100" s="60">
        <f>Migrationsartikel!R99</f>
        <v>1</v>
      </c>
      <c r="AB100" s="51" t="str">
        <f>Migrationsartikel!T99</f>
        <v>Stück</v>
      </c>
      <c r="AC100" s="62">
        <f>Migrationsartikel!S99</f>
        <v>1</v>
      </c>
      <c r="AD100" s="51" t="str">
        <f>Migrationsartikel!U99</f>
        <v>(PCE) Stück</v>
      </c>
      <c r="AE100" s="95" t="str">
        <f>Migrationsartikel!Y99</f>
        <v>3 - Reduzierter Satz</v>
      </c>
      <c r="AF100" s="64" t="str">
        <f>IF(Migrationsartikel!AA99="Kein Depotartikel","",Migrationsartikel!AA99)</f>
        <v/>
      </c>
      <c r="AG100" s="95" t="str">
        <f>Migrationsartikel!Z99</f>
        <v>Keine</v>
      </c>
      <c r="AH100" s="51" t="str">
        <f>IF(Migrationsartikel!AB99="ja","true",FALSE)</f>
        <v>true</v>
      </c>
      <c r="AI100" s="51" t="str">
        <f>IF(Migrationsartikel!AC99="ja","true",FALSE)</f>
        <v>true</v>
      </c>
      <c r="AJ100" s="51" t="str">
        <f>IF(Migrationsartikel!AD99="ja","true",FALSE)</f>
        <v>true</v>
      </c>
      <c r="AK100" s="51" t="str">
        <f>IF(Migrationsartikel!AE99="ja","true",FALSE)</f>
        <v>true</v>
      </c>
      <c r="AL100" s="51" t="str">
        <f>IF(Migrationsartikel!AF99="ja","Denner Partner","")</f>
        <v/>
      </c>
      <c r="AM100" s="51" t="str">
        <f>IF(Migrationsartikel!AG99="ja","true","false")</f>
        <v>false</v>
      </c>
      <c r="AN100" s="51" t="str">
        <f t="shared" si="2"/>
        <v>Kassentastenbelegung (ohne GTIN/PLU)</v>
      </c>
      <c r="AO100" s="63" t="s">
        <v>219</v>
      </c>
      <c r="AP100" s="62" t="s">
        <v>2527</v>
      </c>
      <c r="AQ100" s="63" t="s">
        <v>217</v>
      </c>
      <c r="AR100" s="30" t="s">
        <v>219</v>
      </c>
    </row>
    <row r="101" spans="2:44" ht="21.75" customHeight="1" x14ac:dyDescent="0.45">
      <c r="B101" s="51" t="s">
        <v>99</v>
      </c>
      <c r="E101" s="52" t="s">
        <v>87</v>
      </c>
      <c r="F101" s="51" t="str">
        <f>"Warengruppe&gt;&gt;"&amp;_xlfn.TEXTJOIN("&gt;&gt;",TRUE,Migrationsartikel!V100:X100)</f>
        <v>Warengruppe&gt;&gt;Früchte und Gemüse&gt;&gt;Früchte und Gemüse&gt;&gt;Früchte</v>
      </c>
      <c r="H101" s="52" t="s">
        <v>109</v>
      </c>
      <c r="J101" s="51" t="str">
        <f>_xlfn.TEXTJOIN(" ",TRUE,Migrationsartikel!B100,Migrationsartikel!E100)</f>
        <v>2205673000000</v>
      </c>
      <c r="L101" s="51" t="str">
        <f>_xlfn.TEXTJOIN(" ",TRUE,Migrationsartikel!F100:H100)</f>
        <v>Melonen Limelon 1Stk</v>
      </c>
      <c r="M101" s="51" t="str">
        <f>_xlfn.TEXTJOIN(" ",TRUE,Migrationsartikel!J100:L100)</f>
        <v>Melons Limelon 1pce</v>
      </c>
      <c r="N101" s="51" t="str">
        <f>_xlfn.TEXTJOIN(" ",TRUE,Migrationsartikel!N100:P100)</f>
        <v>Meloni Limelon 1pz</v>
      </c>
      <c r="O101" s="51" t="str">
        <f>Migrationsartikel!F100</f>
        <v>Melonen Limelon</v>
      </c>
      <c r="P101" s="51" t="str">
        <f>Migrationsartikel!J100</f>
        <v>Melons Limelon</v>
      </c>
      <c r="Q101" s="51" t="str">
        <f>Migrationsartikel!N100</f>
        <v>Meloni Limelon</v>
      </c>
      <c r="R101" s="51" t="str">
        <f>_xlfn.TEXTJOIN(" ",TRUE,Migrationsartikel!G100)</f>
        <v/>
      </c>
      <c r="S101" s="51" t="str">
        <f>_xlfn.TEXTJOIN(" ",TRUE,Migrationsartikel!K100)</f>
        <v/>
      </c>
      <c r="T101" s="51" t="str">
        <f>_xlfn.TEXTJOIN(" ",TRUE,Migrationsartikel!O100)</f>
        <v/>
      </c>
      <c r="U101" s="51" t="str">
        <f>_xlfn.TEXTJOIN(" ",TRUE,Migrationsartikel!H100)</f>
        <v>1Stk</v>
      </c>
      <c r="V101" s="51" t="str">
        <f>_xlfn.TEXTJOIN(" ",TRUE,Migrationsartikel!L100)</f>
        <v>1pce</v>
      </c>
      <c r="W101" s="51" t="str">
        <f>_xlfn.TEXTJOIN(" ",TRUE,Migrationsartikel!P100)</f>
        <v>1pz</v>
      </c>
      <c r="X101" s="51" t="str">
        <f>Migrationsartikel!I100</f>
        <v>Melonen Limelon 1 Stk</v>
      </c>
      <c r="Y101" s="51" t="str">
        <f>Migrationsartikel!M100</f>
        <v>Melons Limelon 1 pce</v>
      </c>
      <c r="Z101" s="51" t="str">
        <f>Migrationsartikel!Q100</f>
        <v>Meloni Limelon 1 pz</v>
      </c>
      <c r="AA101" s="60">
        <f>Migrationsartikel!R100</f>
        <v>1</v>
      </c>
      <c r="AB101" s="51" t="str">
        <f>Migrationsartikel!T100</f>
        <v>Stück</v>
      </c>
      <c r="AC101" s="62">
        <f>Migrationsartikel!S100</f>
        <v>1</v>
      </c>
      <c r="AD101" s="51" t="str">
        <f>Migrationsartikel!U100</f>
        <v>(PCE) Stück</v>
      </c>
      <c r="AE101" s="95" t="str">
        <f>Migrationsartikel!Y100</f>
        <v>3 - Reduzierter Satz</v>
      </c>
      <c r="AF101" s="64" t="str">
        <f>IF(Migrationsartikel!AA100="Kein Depotartikel","",Migrationsartikel!AA100)</f>
        <v/>
      </c>
      <c r="AG101" s="95" t="str">
        <f>Migrationsartikel!Z100</f>
        <v>Keine</v>
      </c>
      <c r="AH101" s="51" t="str">
        <f>IF(Migrationsartikel!AB100="ja","true",FALSE)</f>
        <v>true</v>
      </c>
      <c r="AI101" s="51" t="str">
        <f>IF(Migrationsartikel!AC100="ja","true",FALSE)</f>
        <v>true</v>
      </c>
      <c r="AJ101" s="51" t="str">
        <f>IF(Migrationsartikel!AD100="ja","true",FALSE)</f>
        <v>true</v>
      </c>
      <c r="AK101" s="51" t="str">
        <f>IF(Migrationsartikel!AE100="ja","true",FALSE)</f>
        <v>true</v>
      </c>
      <c r="AL101" s="51" t="str">
        <f>IF(Migrationsartikel!AF100="ja","Denner Partner","")</f>
        <v/>
      </c>
      <c r="AM101" s="51" t="str">
        <f>IF(Migrationsartikel!AG100="ja","true","false")</f>
        <v>false</v>
      </c>
      <c r="AN101" s="51" t="str">
        <f t="shared" si="2"/>
        <v>Kassentastenbelegung (ohne GTIN/PLU)</v>
      </c>
      <c r="AO101" s="63" t="s">
        <v>219</v>
      </c>
      <c r="AP101" s="62" t="s">
        <v>2528</v>
      </c>
      <c r="AQ101" s="63" t="s">
        <v>217</v>
      </c>
      <c r="AR101" s="30" t="s">
        <v>219</v>
      </c>
    </row>
    <row r="102" spans="2:44" ht="21.75" customHeight="1" x14ac:dyDescent="0.45">
      <c r="B102" s="51" t="s">
        <v>99</v>
      </c>
      <c r="E102" s="52" t="s">
        <v>87</v>
      </c>
      <c r="F102" s="51" t="str">
        <f>"Warengruppe&gt;&gt;"&amp;_xlfn.TEXTJOIN("&gt;&gt;",TRUE,Migrationsartikel!V101:X101)</f>
        <v>Warengruppe&gt;&gt;Früchte und Gemüse&gt;&gt;Früchte und Gemüse&gt;&gt;Früchte</v>
      </c>
      <c r="H102" s="52" t="s">
        <v>109</v>
      </c>
      <c r="J102" s="51" t="str">
        <f>_xlfn.TEXTJOIN(" ",TRUE,Migrationsartikel!B101,Migrationsartikel!E101)</f>
        <v>2260322000005</v>
      </c>
      <c r="L102" s="51" t="str">
        <f>_xlfn.TEXTJOIN(" ",TRUE,Migrationsartikel!F101:H101)</f>
        <v>Melonen Netz 1Stk</v>
      </c>
      <c r="M102" s="51" t="str">
        <f>_xlfn.TEXTJOIN(" ",TRUE,Migrationsartikel!J101:L101)</f>
        <v>Melons, filet 1pce</v>
      </c>
      <c r="N102" s="51" t="str">
        <f>_xlfn.TEXTJOIN(" ",TRUE,Migrationsartikel!N101:P101)</f>
        <v>Meloni retificati 1pz</v>
      </c>
      <c r="O102" s="51" t="str">
        <f>Migrationsartikel!F101</f>
        <v>Melonen Netz</v>
      </c>
      <c r="P102" s="51" t="str">
        <f>Migrationsartikel!J101</f>
        <v>Melons, filet</v>
      </c>
      <c r="Q102" s="51" t="str">
        <f>Migrationsartikel!N101</f>
        <v>Meloni retificati</v>
      </c>
      <c r="R102" s="51" t="str">
        <f>_xlfn.TEXTJOIN(" ",TRUE,Migrationsartikel!G101)</f>
        <v/>
      </c>
      <c r="S102" s="51" t="str">
        <f>_xlfn.TEXTJOIN(" ",TRUE,Migrationsartikel!K101)</f>
        <v/>
      </c>
      <c r="T102" s="51" t="str">
        <f>_xlfn.TEXTJOIN(" ",TRUE,Migrationsartikel!O101)</f>
        <v/>
      </c>
      <c r="U102" s="51" t="str">
        <f>_xlfn.TEXTJOIN(" ",TRUE,Migrationsartikel!H101)</f>
        <v>1Stk</v>
      </c>
      <c r="V102" s="51" t="str">
        <f>_xlfn.TEXTJOIN(" ",TRUE,Migrationsartikel!L101)</f>
        <v>1pce</v>
      </c>
      <c r="W102" s="51" t="str">
        <f>_xlfn.TEXTJOIN(" ",TRUE,Migrationsartikel!P101)</f>
        <v>1pz</v>
      </c>
      <c r="X102" s="51" t="str">
        <f>Migrationsartikel!I101</f>
        <v>Melonen Netz 1 Stk</v>
      </c>
      <c r="Y102" s="51" t="str">
        <f>Migrationsartikel!M101</f>
        <v>Melons filet 1 pce</v>
      </c>
      <c r="Z102" s="51" t="str">
        <f>Migrationsartikel!Q101</f>
        <v>Meloni retificati 1 pz</v>
      </c>
      <c r="AA102" s="60">
        <f>Migrationsartikel!R101</f>
        <v>1</v>
      </c>
      <c r="AB102" s="51" t="str">
        <f>Migrationsartikel!T101</f>
        <v>Stück</v>
      </c>
      <c r="AC102" s="62">
        <f>Migrationsartikel!S101</f>
        <v>1</v>
      </c>
      <c r="AD102" s="51" t="str">
        <f>Migrationsartikel!U101</f>
        <v>(PCE) Stück</v>
      </c>
      <c r="AE102" s="95" t="str">
        <f>Migrationsartikel!Y101</f>
        <v>3 - Reduzierter Satz</v>
      </c>
      <c r="AF102" s="64" t="str">
        <f>IF(Migrationsartikel!AA101="Kein Depotartikel","",Migrationsartikel!AA101)</f>
        <v/>
      </c>
      <c r="AG102" s="95" t="str">
        <f>Migrationsartikel!Z101</f>
        <v>Keine</v>
      </c>
      <c r="AH102" s="51" t="str">
        <f>IF(Migrationsartikel!AB101="ja","true",FALSE)</f>
        <v>true</v>
      </c>
      <c r="AI102" s="51" t="str">
        <f>IF(Migrationsartikel!AC101="ja","true",FALSE)</f>
        <v>true</v>
      </c>
      <c r="AJ102" s="51" t="str">
        <f>IF(Migrationsartikel!AD101="ja","true",FALSE)</f>
        <v>true</v>
      </c>
      <c r="AK102" s="51" t="str">
        <f>IF(Migrationsartikel!AE101="ja","true",FALSE)</f>
        <v>true</v>
      </c>
      <c r="AL102" s="51" t="str">
        <f>IF(Migrationsartikel!AF101="ja","Denner Partner","")</f>
        <v/>
      </c>
      <c r="AM102" s="51" t="str">
        <f>IF(Migrationsartikel!AG101="ja","true","false")</f>
        <v>false</v>
      </c>
      <c r="AN102" s="51" t="str">
        <f t="shared" si="2"/>
        <v>Kassentastenbelegung (ohne GTIN/PLU)</v>
      </c>
      <c r="AO102" s="63" t="s">
        <v>219</v>
      </c>
      <c r="AP102" s="62" t="s">
        <v>2529</v>
      </c>
      <c r="AQ102" s="63" t="s">
        <v>217</v>
      </c>
      <c r="AR102" s="30" t="s">
        <v>219</v>
      </c>
    </row>
    <row r="103" spans="2:44" ht="21.75" customHeight="1" x14ac:dyDescent="0.45">
      <c r="B103" s="51" t="s">
        <v>99</v>
      </c>
      <c r="E103" s="52" t="s">
        <v>87</v>
      </c>
      <c r="F103" s="51" t="str">
        <f>"Warengruppe&gt;&gt;"&amp;_xlfn.TEXTJOIN("&gt;&gt;",TRUE,Migrationsartikel!V102:X102)</f>
        <v>Warengruppe&gt;&gt;Früchte und Gemüse&gt;&gt;Früchte und Gemüse&gt;&gt;Früchte</v>
      </c>
      <c r="H103" s="52" t="s">
        <v>109</v>
      </c>
      <c r="J103" s="51" t="str">
        <f>_xlfn.TEXTJOIN(" ",TRUE,Migrationsartikel!B102,Migrationsartikel!E102)</f>
        <v>173</v>
      </c>
      <c r="L103" s="51" t="str">
        <f>_xlfn.TEXTJOIN(" ",TRUE,Migrationsartikel!F102:H102)</f>
        <v>Wassermelonen Dumara kg</v>
      </c>
      <c r="M103" s="51" t="str">
        <f>_xlfn.TEXTJOIN(" ",TRUE,Migrationsartikel!J102:L102)</f>
        <v>Pastèques Dumara kg</v>
      </c>
      <c r="N103" s="51" t="str">
        <f>_xlfn.TEXTJOIN(" ",TRUE,Migrationsartikel!N102:P102)</f>
        <v>Angurie Dumara kg</v>
      </c>
      <c r="O103" s="51" t="str">
        <f>Migrationsartikel!F102</f>
        <v>Wassermelonen</v>
      </c>
      <c r="P103" s="51" t="str">
        <f>Migrationsartikel!J102</f>
        <v>Pastèques</v>
      </c>
      <c r="Q103" s="51" t="str">
        <f>Migrationsartikel!N102</f>
        <v>Angurie</v>
      </c>
      <c r="R103" s="51" t="str">
        <f>_xlfn.TEXTJOIN(" ",TRUE,Migrationsartikel!G102)</f>
        <v>Dumara</v>
      </c>
      <c r="S103" s="51" t="str">
        <f>_xlfn.TEXTJOIN(" ",TRUE,Migrationsartikel!K102)</f>
        <v>Dumara</v>
      </c>
      <c r="T103" s="51" t="str">
        <f>_xlfn.TEXTJOIN(" ",TRUE,Migrationsartikel!O102)</f>
        <v>Dumara</v>
      </c>
      <c r="U103" s="51" t="str">
        <f>_xlfn.TEXTJOIN(" ",TRUE,Migrationsartikel!H102)</f>
        <v>kg</v>
      </c>
      <c r="V103" s="51" t="str">
        <f>_xlfn.TEXTJOIN(" ",TRUE,Migrationsartikel!L102)</f>
        <v>kg</v>
      </c>
      <c r="W103" s="51" t="str">
        <f>_xlfn.TEXTJOIN(" ",TRUE,Migrationsartikel!P102)</f>
        <v>kg</v>
      </c>
      <c r="X103" s="51" t="str">
        <f>Migrationsartikel!I102</f>
        <v>Wassermelonen Dumara</v>
      </c>
      <c r="Y103" s="51" t="str">
        <f>Migrationsartikel!M102</f>
        <v>Pastèques Dumara kg</v>
      </c>
      <c r="Z103" s="51" t="str">
        <f>Migrationsartikel!Q102</f>
        <v>Angurie Dumara kg</v>
      </c>
      <c r="AA103" s="60">
        <f>Migrationsartikel!R102</f>
        <v>1</v>
      </c>
      <c r="AB103" s="51" t="str">
        <f>Migrationsartikel!T102</f>
        <v>Kilogramm</v>
      </c>
      <c r="AC103" s="62">
        <f>Migrationsartikel!S102</f>
        <v>1</v>
      </c>
      <c r="AD103" s="51" t="str">
        <f>Migrationsartikel!U102</f>
        <v>(KGM) KG</v>
      </c>
      <c r="AE103" s="95" t="str">
        <f>Migrationsartikel!Y102</f>
        <v>3 - Reduzierter Satz</v>
      </c>
      <c r="AF103" s="64" t="str">
        <f>IF(Migrationsartikel!AA102="Kein Depotartikel","",Migrationsartikel!AA102)</f>
        <v/>
      </c>
      <c r="AG103" s="95" t="str">
        <f>Migrationsartikel!Z102</f>
        <v>Keine</v>
      </c>
      <c r="AH103" s="51" t="str">
        <f>IF(Migrationsartikel!AB102="ja","true",FALSE)</f>
        <v>true</v>
      </c>
      <c r="AI103" s="51" t="str">
        <f>IF(Migrationsartikel!AC102="ja","true",FALSE)</f>
        <v>true</v>
      </c>
      <c r="AJ103" s="51" t="str">
        <f>IF(Migrationsartikel!AD102="ja","true",FALSE)</f>
        <v>true</v>
      </c>
      <c r="AK103" s="51" t="str">
        <f>IF(Migrationsartikel!AE102="ja","true",FALSE)</f>
        <v>true</v>
      </c>
      <c r="AL103" s="51" t="str">
        <f>IF(Migrationsartikel!AF102="ja","Denner Partner","")</f>
        <v/>
      </c>
      <c r="AM103" s="51" t="str">
        <f>IF(Migrationsartikel!AG102="ja","true","false")</f>
        <v>false</v>
      </c>
      <c r="AN103" s="51" t="str">
        <f t="shared" si="2"/>
        <v>Kassentastenbelegung (ohne GTIN/PLU)</v>
      </c>
      <c r="AO103" s="63" t="s">
        <v>219</v>
      </c>
      <c r="AP103" s="62" t="s">
        <v>2530</v>
      </c>
      <c r="AQ103" s="63" t="s">
        <v>217</v>
      </c>
      <c r="AR103" s="30" t="s">
        <v>219</v>
      </c>
    </row>
    <row r="104" spans="2:44" ht="21.75" customHeight="1" x14ac:dyDescent="0.45">
      <c r="B104" s="51" t="s">
        <v>99</v>
      </c>
      <c r="E104" s="52" t="s">
        <v>87</v>
      </c>
      <c r="F104" s="51" t="str">
        <f>"Warengruppe&gt;&gt;"&amp;_xlfn.TEXTJOIN("&gt;&gt;",TRUE,Migrationsartikel!V103:X103)</f>
        <v>Warengruppe&gt;&gt;Früchte und Gemüse&gt;&gt;Früchte und Gemüse&gt;&gt;Früchte</v>
      </c>
      <c r="H104" s="52" t="s">
        <v>109</v>
      </c>
      <c r="J104" s="51" t="str">
        <f>_xlfn.TEXTJOIN(" ",TRUE,Migrationsartikel!B103,Migrationsartikel!E103)</f>
        <v>2201250000000</v>
      </c>
      <c r="L104" s="51" t="str">
        <f>_xlfn.TEXTJOIN(" ",TRUE,Migrationsartikel!F103:H103)</f>
        <v>Wassermelonen gelb kg</v>
      </c>
      <c r="M104" s="51" t="str">
        <f>_xlfn.TEXTJOIN(" ",TRUE,Migrationsartikel!J103:L103)</f>
        <v>Pastèques Jaune kg</v>
      </c>
      <c r="N104" s="51" t="str">
        <f>_xlfn.TEXTJOIN(" ",TRUE,Migrationsartikel!N103:P103)</f>
        <v>Angurie Giallo kg</v>
      </c>
      <c r="O104" s="51" t="str">
        <f>Migrationsartikel!F103</f>
        <v>Wassermelonen</v>
      </c>
      <c r="P104" s="51" t="str">
        <f>Migrationsartikel!J103</f>
        <v>Pastèques</v>
      </c>
      <c r="Q104" s="51" t="str">
        <f>Migrationsartikel!N103</f>
        <v>Angurie</v>
      </c>
      <c r="R104" s="51" t="str">
        <f>_xlfn.TEXTJOIN(" ",TRUE,Migrationsartikel!G103)</f>
        <v>gelb</v>
      </c>
      <c r="S104" s="51" t="str">
        <f>_xlfn.TEXTJOIN(" ",TRUE,Migrationsartikel!K103)</f>
        <v>Jaune</v>
      </c>
      <c r="T104" s="51" t="str">
        <f>_xlfn.TEXTJOIN(" ",TRUE,Migrationsartikel!O103)</f>
        <v>Giallo</v>
      </c>
      <c r="U104" s="51" t="str">
        <f>_xlfn.TEXTJOIN(" ",TRUE,Migrationsartikel!H103)</f>
        <v>kg</v>
      </c>
      <c r="V104" s="51" t="str">
        <f>_xlfn.TEXTJOIN(" ",TRUE,Migrationsartikel!L103)</f>
        <v>kg</v>
      </c>
      <c r="W104" s="51" t="str">
        <f>_xlfn.TEXTJOIN(" ",TRUE,Migrationsartikel!P103)</f>
        <v>kg</v>
      </c>
      <c r="X104" s="51" t="str">
        <f>Migrationsartikel!I103</f>
        <v>Wassermelonen gelb</v>
      </c>
      <c r="Y104" s="51" t="str">
        <f>Migrationsartikel!M103</f>
        <v>Pastèques jaune kg</v>
      </c>
      <c r="Z104" s="51" t="str">
        <f>Migrationsartikel!Q103</f>
        <v>Angurie giallo kg</v>
      </c>
      <c r="AA104" s="60">
        <f>Migrationsartikel!R103</f>
        <v>1</v>
      </c>
      <c r="AB104" s="51" t="str">
        <f>Migrationsartikel!T103</f>
        <v>Kilogramm</v>
      </c>
      <c r="AC104" s="62">
        <f>Migrationsartikel!S103</f>
        <v>1</v>
      </c>
      <c r="AD104" s="51" t="str">
        <f>Migrationsartikel!U103</f>
        <v>(PCE) Stück</v>
      </c>
      <c r="AE104" s="95" t="str">
        <f>Migrationsartikel!Y103</f>
        <v>3 - Reduzierter Satz</v>
      </c>
      <c r="AF104" s="64" t="str">
        <f>IF(Migrationsartikel!AA103="Kein Depotartikel","",Migrationsartikel!AA103)</f>
        <v/>
      </c>
      <c r="AG104" s="95" t="str">
        <f>Migrationsartikel!Z103</f>
        <v>Keine</v>
      </c>
      <c r="AH104" s="51" t="str">
        <f>IF(Migrationsartikel!AB103="ja","true",FALSE)</f>
        <v>true</v>
      </c>
      <c r="AI104" s="51" t="str">
        <f>IF(Migrationsartikel!AC103="ja","true",FALSE)</f>
        <v>true</v>
      </c>
      <c r="AJ104" s="51" t="str">
        <f>IF(Migrationsartikel!AD103="ja","true",FALSE)</f>
        <v>true</v>
      </c>
      <c r="AK104" s="51" t="str">
        <f>IF(Migrationsartikel!AE103="ja","true",FALSE)</f>
        <v>true</v>
      </c>
      <c r="AL104" s="51" t="str">
        <f>IF(Migrationsartikel!AF103="ja","Denner Partner","")</f>
        <v/>
      </c>
      <c r="AM104" s="51" t="str">
        <f>IF(Migrationsartikel!AG103="ja","true","false")</f>
        <v>false</v>
      </c>
      <c r="AN104" s="51" t="str">
        <f t="shared" si="2"/>
        <v>Kassentastenbelegung (ohne GTIN/PLU)</v>
      </c>
      <c r="AO104" s="63" t="s">
        <v>219</v>
      </c>
      <c r="AP104" s="62" t="s">
        <v>2531</v>
      </c>
      <c r="AQ104" s="63" t="s">
        <v>217</v>
      </c>
      <c r="AR104" s="30" t="s">
        <v>219</v>
      </c>
    </row>
    <row r="105" spans="2:44" ht="21.75" customHeight="1" x14ac:dyDescent="0.45">
      <c r="B105" s="51" t="s">
        <v>99</v>
      </c>
      <c r="E105" s="52" t="s">
        <v>87</v>
      </c>
      <c r="F105" s="51" t="str">
        <f>"Warengruppe&gt;&gt;"&amp;_xlfn.TEXTJOIN("&gt;&gt;",TRUE,Migrationsartikel!V104:X104)</f>
        <v>Warengruppe&gt;&gt;Früchte und Gemüse&gt;&gt;Früchte und Gemüse&gt;&gt;Früchte</v>
      </c>
      <c r="H105" s="52" t="s">
        <v>109</v>
      </c>
      <c r="J105" s="51" t="str">
        <f>_xlfn.TEXTJOIN(" ",TRUE,Migrationsartikel!B104,Migrationsartikel!E104)</f>
        <v>2202750000000</v>
      </c>
      <c r="L105" s="51" t="str">
        <f>_xlfn.TEXTJOIN(" ",TRUE,Migrationsartikel!F104:H104)</f>
        <v>Wassermelonen Mini 1Stk</v>
      </c>
      <c r="M105" s="51" t="str">
        <f>_xlfn.TEXTJOIN(" ",TRUE,Migrationsartikel!J104:L104)</f>
        <v>Pastèques Mini 1pce</v>
      </c>
      <c r="N105" s="51" t="str">
        <f>_xlfn.TEXTJOIN(" ",TRUE,Migrationsartikel!N104:P104)</f>
        <v>Angurie Mini 1pz</v>
      </c>
      <c r="O105" s="51" t="str">
        <f>Migrationsartikel!F104</f>
        <v>Wassermelonen</v>
      </c>
      <c r="P105" s="51" t="str">
        <f>Migrationsartikel!J104</f>
        <v>Pastèques</v>
      </c>
      <c r="Q105" s="51" t="str">
        <f>Migrationsartikel!N104</f>
        <v>Angurie</v>
      </c>
      <c r="R105" s="51" t="str">
        <f>_xlfn.TEXTJOIN(" ",TRUE,Migrationsartikel!G104)</f>
        <v>Mini</v>
      </c>
      <c r="S105" s="51" t="str">
        <f>_xlfn.TEXTJOIN(" ",TRUE,Migrationsartikel!K104)</f>
        <v>Mini</v>
      </c>
      <c r="T105" s="51" t="str">
        <f>_xlfn.TEXTJOIN(" ",TRUE,Migrationsartikel!O104)</f>
        <v>Mini</v>
      </c>
      <c r="U105" s="51" t="str">
        <f>_xlfn.TEXTJOIN(" ",TRUE,Migrationsartikel!H104)</f>
        <v>1Stk</v>
      </c>
      <c r="V105" s="51" t="str">
        <f>_xlfn.TEXTJOIN(" ",TRUE,Migrationsartikel!L104)</f>
        <v>1pce</v>
      </c>
      <c r="W105" s="51" t="str">
        <f>_xlfn.TEXTJOIN(" ",TRUE,Migrationsartikel!P104)</f>
        <v>1pz</v>
      </c>
      <c r="X105" s="51" t="str">
        <f>Migrationsartikel!I104</f>
        <v>Wassermelonen Mini 1 Stk</v>
      </c>
      <c r="Y105" s="51" t="str">
        <f>Migrationsartikel!M104</f>
        <v>Pastèques Mini 1 pce</v>
      </c>
      <c r="Z105" s="51" t="str">
        <f>Migrationsartikel!Q104</f>
        <v>Angurie Mini 1 pz</v>
      </c>
      <c r="AA105" s="60">
        <f>Migrationsartikel!R104</f>
        <v>1</v>
      </c>
      <c r="AB105" s="51" t="str">
        <f>Migrationsartikel!T104</f>
        <v>Stück</v>
      </c>
      <c r="AC105" s="62">
        <f>Migrationsartikel!S104</f>
        <v>1</v>
      </c>
      <c r="AD105" s="51" t="str">
        <f>Migrationsartikel!U104</f>
        <v>(PCE) Stück</v>
      </c>
      <c r="AE105" s="95" t="str">
        <f>Migrationsartikel!Y104</f>
        <v>3 - Reduzierter Satz</v>
      </c>
      <c r="AF105" s="64" t="str">
        <f>IF(Migrationsartikel!AA104="Kein Depotartikel","",Migrationsartikel!AA104)</f>
        <v/>
      </c>
      <c r="AG105" s="95" t="str">
        <f>Migrationsartikel!Z104</f>
        <v>Keine</v>
      </c>
      <c r="AH105" s="51" t="str">
        <f>IF(Migrationsartikel!AB104="ja","true",FALSE)</f>
        <v>true</v>
      </c>
      <c r="AI105" s="51" t="str">
        <f>IF(Migrationsartikel!AC104="ja","true",FALSE)</f>
        <v>true</v>
      </c>
      <c r="AJ105" s="51" t="str">
        <f>IF(Migrationsartikel!AD104="ja","true",FALSE)</f>
        <v>true</v>
      </c>
      <c r="AK105" s="51" t="str">
        <f>IF(Migrationsartikel!AE104="ja","true",FALSE)</f>
        <v>true</v>
      </c>
      <c r="AL105" s="51" t="str">
        <f>IF(Migrationsartikel!AF104="ja","Denner Partner","")</f>
        <v/>
      </c>
      <c r="AM105" s="51" t="str">
        <f>IF(Migrationsartikel!AG104="ja","true","false")</f>
        <v>false</v>
      </c>
      <c r="AN105" s="51" t="str">
        <f t="shared" si="2"/>
        <v>Kassentastenbelegung (ohne GTIN/PLU)</v>
      </c>
      <c r="AO105" s="63" t="s">
        <v>219</v>
      </c>
      <c r="AP105" s="62" t="s">
        <v>2532</v>
      </c>
      <c r="AQ105" s="63" t="s">
        <v>217</v>
      </c>
      <c r="AR105" s="30" t="s">
        <v>219</v>
      </c>
    </row>
    <row r="106" spans="2:44" ht="21.75" customHeight="1" x14ac:dyDescent="0.45">
      <c r="B106" s="51" t="s">
        <v>99</v>
      </c>
      <c r="E106" s="52" t="s">
        <v>87</v>
      </c>
      <c r="F106" s="51" t="str">
        <f>"Warengruppe&gt;&gt;"&amp;_xlfn.TEXTJOIN("&gt;&gt;",TRUE,Migrationsartikel!V105:X105)</f>
        <v>Warengruppe&gt;&gt;Früchte und Gemüse&gt;&gt;Früchte und Gemüse&gt;&gt;Früchte</v>
      </c>
      <c r="H106" s="52" t="s">
        <v>109</v>
      </c>
      <c r="J106" s="51" t="str">
        <f>_xlfn.TEXTJOIN(" ",TRUE,Migrationsartikel!B105,Migrationsartikel!E105)</f>
        <v/>
      </c>
      <c r="L106" s="51" t="str">
        <f>_xlfn.TEXTJOIN(" ",TRUE,Migrationsartikel!F105:H105)</f>
        <v>Melonen weiss 1Stk</v>
      </c>
      <c r="M106" s="51" t="str">
        <f>_xlfn.TEXTJOIN(" ",TRUE,Migrationsartikel!J105:L105)</f>
        <v>Melons blancs 1pce</v>
      </c>
      <c r="N106" s="51" t="str">
        <f>_xlfn.TEXTJOIN(" ",TRUE,Migrationsartikel!N105:P105)</f>
        <v>Meloni bianchi 1pz</v>
      </c>
      <c r="O106" s="51" t="str">
        <f>Migrationsartikel!F105</f>
        <v>Melonen weiss</v>
      </c>
      <c r="P106" s="51" t="str">
        <f>Migrationsartikel!J105</f>
        <v>Melons blancs</v>
      </c>
      <c r="Q106" s="51" t="str">
        <f>Migrationsartikel!N105</f>
        <v>Meloni bianchi</v>
      </c>
      <c r="R106" s="51" t="str">
        <f>_xlfn.TEXTJOIN(" ",TRUE,Migrationsartikel!G105)</f>
        <v/>
      </c>
      <c r="S106" s="51" t="str">
        <f>_xlfn.TEXTJOIN(" ",TRUE,Migrationsartikel!K105)</f>
        <v/>
      </c>
      <c r="T106" s="51" t="str">
        <f>_xlfn.TEXTJOIN(" ",TRUE,Migrationsartikel!O105)</f>
        <v/>
      </c>
      <c r="U106" s="51" t="str">
        <f>_xlfn.TEXTJOIN(" ",TRUE,Migrationsartikel!H105)</f>
        <v>1Stk</v>
      </c>
      <c r="V106" s="51" t="str">
        <f>_xlfn.TEXTJOIN(" ",TRUE,Migrationsartikel!L105)</f>
        <v>1pce</v>
      </c>
      <c r="W106" s="51" t="str">
        <f>_xlfn.TEXTJOIN(" ",TRUE,Migrationsartikel!P105)</f>
        <v>1pz</v>
      </c>
      <c r="X106" s="51" t="str">
        <f>Migrationsartikel!I105</f>
        <v>Melonen weiss 1 Stk</v>
      </c>
      <c r="Y106" s="51" t="str">
        <f>Migrationsartikel!M105</f>
        <v>Melons blans 1 pce</v>
      </c>
      <c r="Z106" s="51" t="str">
        <f>Migrationsartikel!Q105</f>
        <v>Meloni bianchi 1 pz</v>
      </c>
      <c r="AA106" s="60">
        <f>Migrationsartikel!R105</f>
        <v>1</v>
      </c>
      <c r="AB106" s="51" t="str">
        <f>Migrationsartikel!T105</f>
        <v>Stück</v>
      </c>
      <c r="AC106" s="62">
        <f>Migrationsartikel!S105</f>
        <v>1</v>
      </c>
      <c r="AD106" s="51" t="str">
        <f>Migrationsartikel!U105</f>
        <v>(PCE) Stück</v>
      </c>
      <c r="AE106" s="95" t="str">
        <f>Migrationsartikel!Y105</f>
        <v>3 - Reduzierter Satz</v>
      </c>
      <c r="AF106" s="64" t="str">
        <f>IF(Migrationsartikel!AA105="Kein Depotartikel","",Migrationsartikel!AA105)</f>
        <v/>
      </c>
      <c r="AG106" s="95" t="str">
        <f>Migrationsartikel!Z105</f>
        <v>Keine</v>
      </c>
      <c r="AH106" s="51" t="str">
        <f>IF(Migrationsartikel!AB105="ja","true",FALSE)</f>
        <v>true</v>
      </c>
      <c r="AI106" s="51" t="str">
        <f>IF(Migrationsartikel!AC105="ja","true",FALSE)</f>
        <v>true</v>
      </c>
      <c r="AJ106" s="51" t="str">
        <f>IF(Migrationsartikel!AD105="ja","true",FALSE)</f>
        <v>true</v>
      </c>
      <c r="AK106" s="51" t="str">
        <f>IF(Migrationsartikel!AE105="ja","true",FALSE)</f>
        <v>true</v>
      </c>
      <c r="AL106" s="51" t="str">
        <f>IF(Migrationsartikel!AF105="ja","Denner Partner","")</f>
        <v/>
      </c>
      <c r="AM106" s="51" t="str">
        <f>IF(Migrationsartikel!AG105="ja","true","false")</f>
        <v>false</v>
      </c>
      <c r="AN106" s="51" t="str">
        <f t="shared" si="2"/>
        <v>Kassentastenbelegung (ohne GTIN/PLU)</v>
      </c>
      <c r="AO106" s="63" t="s">
        <v>219</v>
      </c>
      <c r="AP106" s="62" t="s">
        <v>2533</v>
      </c>
      <c r="AQ106" s="63" t="s">
        <v>217</v>
      </c>
      <c r="AR106" s="30" t="s">
        <v>219</v>
      </c>
    </row>
    <row r="107" spans="2:44" ht="21.75" customHeight="1" x14ac:dyDescent="0.45">
      <c r="B107" s="51" t="s">
        <v>99</v>
      </c>
      <c r="E107" s="52" t="s">
        <v>87</v>
      </c>
      <c r="F107" s="51" t="str">
        <f>"Warengruppe&gt;&gt;"&amp;_xlfn.TEXTJOIN("&gt;&gt;",TRUE,Migrationsartikel!V106:X106)</f>
        <v>Warengruppe&gt;&gt;Früchte und Gemüse&gt;&gt;Früchte und Gemüse&gt;&gt;Früchte</v>
      </c>
      <c r="H107" s="52" t="s">
        <v>109</v>
      </c>
      <c r="J107" s="51" t="str">
        <f>_xlfn.TEXTJOIN(" ",TRUE,Migrationsartikel!B106,Migrationsartikel!E106)</f>
        <v>7613399001294</v>
      </c>
      <c r="L107" s="51" t="str">
        <f>_xlfn.TEXTJOIN(" ",TRUE,Migrationsartikel!F106:H106)</f>
        <v>Melonen Becher 200g</v>
      </c>
      <c r="M107" s="51" t="str">
        <f>_xlfn.TEXTJOIN(" ",TRUE,Migrationsartikel!J106:L106)</f>
        <v>Melons Gobelet 200g</v>
      </c>
      <c r="N107" s="51" t="str">
        <f>_xlfn.TEXTJOIN(" ",TRUE,Migrationsartikel!N106:P106)</f>
        <v>Meloni bicchiere 200g</v>
      </c>
      <c r="O107" s="51" t="str">
        <f>Migrationsartikel!F106</f>
        <v>Melonen</v>
      </c>
      <c r="P107" s="51" t="str">
        <f>Migrationsartikel!J106</f>
        <v>Melons</v>
      </c>
      <c r="Q107" s="51" t="str">
        <f>Migrationsartikel!N106</f>
        <v>Meloni</v>
      </c>
      <c r="R107" s="51" t="str">
        <f>_xlfn.TEXTJOIN(" ",TRUE,Migrationsartikel!G106)</f>
        <v>Becher</v>
      </c>
      <c r="S107" s="51" t="str">
        <f>_xlfn.TEXTJOIN(" ",TRUE,Migrationsartikel!K106)</f>
        <v>Gobelet</v>
      </c>
      <c r="T107" s="51" t="str">
        <f>_xlfn.TEXTJOIN(" ",TRUE,Migrationsartikel!O106)</f>
        <v>bicchiere</v>
      </c>
      <c r="U107" s="51" t="str">
        <f>_xlfn.TEXTJOIN(" ",TRUE,Migrationsartikel!H106)</f>
        <v>200g</v>
      </c>
      <c r="V107" s="51" t="str">
        <f>_xlfn.TEXTJOIN(" ",TRUE,Migrationsartikel!L106)</f>
        <v>200g</v>
      </c>
      <c r="W107" s="51" t="str">
        <f>_xlfn.TEXTJOIN(" ",TRUE,Migrationsartikel!P106)</f>
        <v>200g</v>
      </c>
      <c r="X107" s="51" t="str">
        <f>Migrationsartikel!I106</f>
        <v>Melonen Becher 200g</v>
      </c>
      <c r="Y107" s="51" t="str">
        <f>Migrationsartikel!M106</f>
        <v>Melons gobelet 200g</v>
      </c>
      <c r="Z107" s="51" t="str">
        <f>Migrationsartikel!Q106</f>
        <v>Meloni bicchiere 200g</v>
      </c>
      <c r="AA107" s="60">
        <f>Migrationsartikel!R106</f>
        <v>0.2</v>
      </c>
      <c r="AB107" s="51" t="str">
        <f>Migrationsartikel!T106</f>
        <v>Gramm</v>
      </c>
      <c r="AC107" s="62">
        <f>Migrationsartikel!S106</f>
        <v>100</v>
      </c>
      <c r="AD107" s="51" t="str">
        <f>Migrationsartikel!U106</f>
        <v>(PCE) Stück</v>
      </c>
      <c r="AE107" s="95" t="str">
        <f>Migrationsartikel!Y106</f>
        <v>3 - Reduzierter Satz</v>
      </c>
      <c r="AF107" s="64" t="str">
        <f>IF(Migrationsartikel!AA106="Kein Depotartikel","",Migrationsartikel!AA106)</f>
        <v/>
      </c>
      <c r="AG107" s="95" t="str">
        <f>Migrationsartikel!Z106</f>
        <v>Keine</v>
      </c>
      <c r="AH107" s="51" t="str">
        <f>IF(Migrationsartikel!AB106="ja","true",FALSE)</f>
        <v>true</v>
      </c>
      <c r="AI107" s="51" t="str">
        <f>IF(Migrationsartikel!AC106="ja","true",FALSE)</f>
        <v>true</v>
      </c>
      <c r="AJ107" s="51" t="str">
        <f>IF(Migrationsartikel!AD106="ja","true",FALSE)</f>
        <v>true</v>
      </c>
      <c r="AK107" s="51" t="str">
        <f>IF(Migrationsartikel!AE106="ja","true",FALSE)</f>
        <v>true</v>
      </c>
      <c r="AL107" s="51" t="str">
        <f>IF(Migrationsartikel!AF106="ja","Denner Partner","")</f>
        <v/>
      </c>
      <c r="AM107" s="51" t="str">
        <f>IF(Migrationsartikel!AG106="ja","true","false")</f>
        <v>false</v>
      </c>
      <c r="AN107" s="51" t="str">
        <f t="shared" si="2"/>
        <v>Kassentastenbelegung (ohne GTIN/PLU)</v>
      </c>
      <c r="AO107" s="63" t="s">
        <v>219</v>
      </c>
      <c r="AP107" s="62" t="s">
        <v>2534</v>
      </c>
      <c r="AQ107" s="63" t="s">
        <v>217</v>
      </c>
      <c r="AR107" s="30" t="s">
        <v>219</v>
      </c>
    </row>
    <row r="108" spans="2:44" ht="21.75" customHeight="1" x14ac:dyDescent="0.45">
      <c r="B108" s="51" t="s">
        <v>99</v>
      </c>
      <c r="E108" s="52" t="s">
        <v>87</v>
      </c>
      <c r="F108" s="51" t="str">
        <f>"Warengruppe&gt;&gt;"&amp;_xlfn.TEXTJOIN("&gt;&gt;",TRUE,Migrationsartikel!V107:X107)</f>
        <v>Warengruppe&gt;&gt;Früchte und Gemüse&gt;&gt;Früchte und Gemüse&gt;&gt;Früchte</v>
      </c>
      <c r="H108" s="52" t="s">
        <v>109</v>
      </c>
      <c r="J108" s="51" t="str">
        <f>_xlfn.TEXTJOIN(" ",TRUE,Migrationsartikel!B107,Migrationsartikel!E107)</f>
        <v>2205585000000</v>
      </c>
      <c r="L108" s="51" t="str">
        <f>_xlfn.TEXTJOIN(" ",TRUE,Migrationsartikel!F107:H107)</f>
        <v>Äpfel Milwa Kl. 1 gepackt</v>
      </c>
      <c r="M108" s="51" t="str">
        <f>_xlfn.TEXTJOIN(" ",TRUE,Migrationsartikel!J107:L107)</f>
        <v>Pommes Milwa Cl. 1 emballé</v>
      </c>
      <c r="N108" s="51" t="str">
        <f>_xlfn.TEXTJOIN(" ",TRUE,Migrationsartikel!N107:P107)</f>
        <v>Mele Milwa Cl. 1 confezionato</v>
      </c>
      <c r="O108" s="51" t="str">
        <f>Migrationsartikel!F107</f>
        <v>Äpfel Milwa</v>
      </c>
      <c r="P108" s="51" t="str">
        <f>Migrationsartikel!J107</f>
        <v>Pommes Milwa</v>
      </c>
      <c r="Q108" s="51" t="str">
        <f>Migrationsartikel!N107</f>
        <v>Mele Milwa</v>
      </c>
      <c r="R108" s="51" t="str">
        <f>_xlfn.TEXTJOIN(" ",TRUE,Migrationsartikel!G107)</f>
        <v>Kl. 1 gepackt</v>
      </c>
      <c r="S108" s="51" t="str">
        <f>_xlfn.TEXTJOIN(" ",TRUE,Migrationsartikel!K107)</f>
        <v>Cl. 1 emballé</v>
      </c>
      <c r="T108" s="51" t="str">
        <f>_xlfn.TEXTJOIN(" ",TRUE,Migrationsartikel!O107)</f>
        <v>Cl. 1 confezionato</v>
      </c>
      <c r="U108" s="51" t="str">
        <f>_xlfn.TEXTJOIN(" ",TRUE,Migrationsartikel!H107)</f>
        <v/>
      </c>
      <c r="V108" s="51" t="str">
        <f>_xlfn.TEXTJOIN(" ",TRUE,Migrationsartikel!L107)</f>
        <v/>
      </c>
      <c r="W108" s="51" t="str">
        <f>_xlfn.TEXTJOIN(" ",TRUE,Migrationsartikel!P107)</f>
        <v/>
      </c>
      <c r="X108" s="51" t="str">
        <f>Migrationsartikel!I107</f>
        <v>Äpfel Milwa Kl. 1 gepackt</v>
      </c>
      <c r="Y108" s="51" t="str">
        <f>Migrationsartikel!M107</f>
        <v>Pommes Milwa cl. 1 emballé</v>
      </c>
      <c r="Z108" s="51" t="str">
        <f>Migrationsartikel!Q107</f>
        <v>Mele Milwa cl.1 confezionato</v>
      </c>
      <c r="AA108" s="60">
        <f>Migrationsartikel!R107</f>
        <v>1</v>
      </c>
      <c r="AB108" s="51" t="str">
        <f>Migrationsartikel!T107</f>
        <v>Kilogramm</v>
      </c>
      <c r="AC108" s="62">
        <f>Migrationsartikel!S107</f>
        <v>1</v>
      </c>
      <c r="AD108" s="51" t="str">
        <f>Migrationsartikel!U107</f>
        <v>(PCE) Stück</v>
      </c>
      <c r="AE108" s="95" t="str">
        <f>Migrationsartikel!Y107</f>
        <v>3 - Reduzierter Satz</v>
      </c>
      <c r="AF108" s="64" t="str">
        <f>IF(Migrationsartikel!AA107="Kein Depotartikel","",Migrationsartikel!AA107)</f>
        <v/>
      </c>
      <c r="AG108" s="95" t="str">
        <f>Migrationsartikel!Z107</f>
        <v>Keine</v>
      </c>
      <c r="AH108" s="51" t="str">
        <f>IF(Migrationsartikel!AB107="ja","true",FALSE)</f>
        <v>true</v>
      </c>
      <c r="AI108" s="51" t="str">
        <f>IF(Migrationsartikel!AC107="ja","true",FALSE)</f>
        <v>true</v>
      </c>
      <c r="AJ108" s="51" t="str">
        <f>IF(Migrationsartikel!AD107="ja","true",FALSE)</f>
        <v>true</v>
      </c>
      <c r="AK108" s="51" t="str">
        <f>IF(Migrationsartikel!AE107="ja","true",FALSE)</f>
        <v>true</v>
      </c>
      <c r="AL108" s="51" t="str">
        <f>IF(Migrationsartikel!AF107="ja","Denner Partner","")</f>
        <v/>
      </c>
      <c r="AM108" s="51" t="str">
        <f>IF(Migrationsartikel!AG107="ja","true","false")</f>
        <v>false</v>
      </c>
      <c r="AN108" s="51" t="str">
        <f t="shared" si="2"/>
        <v>Kassentastenbelegung (ohne GTIN/PLU)</v>
      </c>
      <c r="AO108" s="63" t="s">
        <v>219</v>
      </c>
      <c r="AP108" s="62" t="s">
        <v>2535</v>
      </c>
      <c r="AQ108" s="63" t="s">
        <v>217</v>
      </c>
      <c r="AR108" s="30" t="s">
        <v>219</v>
      </c>
    </row>
    <row r="109" spans="2:44" ht="21.75" customHeight="1" x14ac:dyDescent="0.45">
      <c r="B109" s="51" t="s">
        <v>99</v>
      </c>
      <c r="E109" s="52" t="s">
        <v>87</v>
      </c>
      <c r="F109" s="51" t="str">
        <f>"Warengruppe&gt;&gt;"&amp;_xlfn.TEXTJOIN("&gt;&gt;",TRUE,Migrationsartikel!V108:X108)</f>
        <v>Warengruppe&gt;&gt;Früchte und Gemüse&gt;&gt;Früchte und Gemüse&gt;&gt;Früchte</v>
      </c>
      <c r="H109" s="52" t="s">
        <v>109</v>
      </c>
      <c r="J109" s="51" t="str">
        <f>_xlfn.TEXTJOIN(" ",TRUE,Migrationsartikel!B108,Migrationsartikel!E108)</f>
        <v>165</v>
      </c>
      <c r="L109" s="51" t="str">
        <f>_xlfn.TEXTJOIN(" ",TRUE,Migrationsartikel!F108:H108)</f>
        <v>Mirabellen Offen</v>
      </c>
      <c r="M109" s="51" t="str">
        <f>_xlfn.TEXTJOIN(" ",TRUE,Migrationsartikel!J108:L108)</f>
        <v>Mirabelles En vrac</v>
      </c>
      <c r="N109" s="51" t="str">
        <f>_xlfn.TEXTJOIN(" ",TRUE,Migrationsartikel!N108:P108)</f>
        <v>Mirabelle vendita sfusa</v>
      </c>
      <c r="O109" s="51" t="str">
        <f>Migrationsartikel!F108</f>
        <v>Mirabellen</v>
      </c>
      <c r="P109" s="51" t="str">
        <f>Migrationsartikel!J108</f>
        <v>Mirabelles</v>
      </c>
      <c r="Q109" s="51" t="str">
        <f>Migrationsartikel!N108</f>
        <v>Mirabelle</v>
      </c>
      <c r="R109" s="51" t="str">
        <f>_xlfn.TEXTJOIN(" ",TRUE,Migrationsartikel!G108)</f>
        <v>Offen</v>
      </c>
      <c r="S109" s="51" t="str">
        <f>_xlfn.TEXTJOIN(" ",TRUE,Migrationsartikel!K108)</f>
        <v>En vrac</v>
      </c>
      <c r="T109" s="51" t="str">
        <f>_xlfn.TEXTJOIN(" ",TRUE,Migrationsartikel!O108)</f>
        <v>vendita sfusa</v>
      </c>
      <c r="U109" s="51" t="str">
        <f>_xlfn.TEXTJOIN(" ",TRUE,Migrationsartikel!H108)</f>
        <v/>
      </c>
      <c r="V109" s="51" t="str">
        <f>_xlfn.TEXTJOIN(" ",TRUE,Migrationsartikel!L108)</f>
        <v/>
      </c>
      <c r="W109" s="51" t="str">
        <f>_xlfn.TEXTJOIN(" ",TRUE,Migrationsartikel!P108)</f>
        <v/>
      </c>
      <c r="X109" s="51" t="str">
        <f>Migrationsartikel!I108</f>
        <v>Mirabellen Offen</v>
      </c>
      <c r="Y109" s="51" t="str">
        <f>Migrationsartikel!M108</f>
        <v>Mirabelles en vrac</v>
      </c>
      <c r="Z109" s="51" t="str">
        <f>Migrationsartikel!Q108</f>
        <v>Mirabelle vendita sfusa</v>
      </c>
      <c r="AA109" s="60">
        <f>Migrationsartikel!R108</f>
        <v>1</v>
      </c>
      <c r="AB109" s="51" t="str">
        <f>Migrationsartikel!T108</f>
        <v>Kilogramm</v>
      </c>
      <c r="AC109" s="62">
        <f>Migrationsartikel!S108</f>
        <v>1</v>
      </c>
      <c r="AD109" s="51" t="str">
        <f>Migrationsartikel!U108</f>
        <v>(KGM) KG</v>
      </c>
      <c r="AE109" s="95" t="str">
        <f>Migrationsartikel!Y108</f>
        <v>3 - Reduzierter Satz</v>
      </c>
      <c r="AF109" s="64" t="str">
        <f>IF(Migrationsartikel!AA108="Kein Depotartikel","",Migrationsartikel!AA108)</f>
        <v/>
      </c>
      <c r="AG109" s="95" t="str">
        <f>Migrationsartikel!Z108</f>
        <v>Keine</v>
      </c>
      <c r="AH109" s="51" t="str">
        <f>IF(Migrationsartikel!AB108="ja","true",FALSE)</f>
        <v>true</v>
      </c>
      <c r="AI109" s="51" t="str">
        <f>IF(Migrationsartikel!AC108="ja","true",FALSE)</f>
        <v>true</v>
      </c>
      <c r="AJ109" s="51" t="str">
        <f>IF(Migrationsartikel!AD108="ja","true",FALSE)</f>
        <v>true</v>
      </c>
      <c r="AK109" s="51" t="str">
        <f>IF(Migrationsartikel!AE108="ja","true",FALSE)</f>
        <v>true</v>
      </c>
      <c r="AL109" s="51" t="str">
        <f>IF(Migrationsartikel!AF108="ja","Denner Partner","")</f>
        <v/>
      </c>
      <c r="AM109" s="51" t="str">
        <f>IF(Migrationsartikel!AG108="ja","true","false")</f>
        <v>false</v>
      </c>
      <c r="AN109" s="51" t="str">
        <f t="shared" si="2"/>
        <v>Kassentastenbelegung (ohne GTIN/PLU)</v>
      </c>
      <c r="AO109" s="63" t="s">
        <v>219</v>
      </c>
      <c r="AP109" s="62" t="s">
        <v>2536</v>
      </c>
      <c r="AQ109" s="63" t="s">
        <v>217</v>
      </c>
      <c r="AR109" s="30" t="s">
        <v>219</v>
      </c>
    </row>
    <row r="110" spans="2:44" ht="21.75" customHeight="1" x14ac:dyDescent="0.45">
      <c r="B110" s="51" t="s">
        <v>99</v>
      </c>
      <c r="E110" s="52" t="s">
        <v>87</v>
      </c>
      <c r="F110" s="51" t="str">
        <f>"Warengruppe&gt;&gt;"&amp;_xlfn.TEXTJOIN("&gt;&gt;",TRUE,Migrationsartikel!V109:X109)</f>
        <v>Warengruppe&gt;&gt;Früchte und Gemüse&gt;&gt;Früchte und Gemüse&gt;&gt;Früchte</v>
      </c>
      <c r="H110" s="52" t="s">
        <v>109</v>
      </c>
      <c r="J110" s="51" t="str">
        <f>_xlfn.TEXTJOIN(" ",TRUE,Migrationsartikel!B109,Migrationsartikel!E109)</f>
        <v>175</v>
      </c>
      <c r="L110" s="51" t="str">
        <f>_xlfn.TEXTJOIN(" ",TRUE,Migrationsartikel!F109:H109)</f>
        <v>Birnen Nashi Offen Kl. 1</v>
      </c>
      <c r="M110" s="51" t="str">
        <f>_xlfn.TEXTJOIN(" ",TRUE,Migrationsartikel!J109:L109)</f>
        <v>Poires Nashi En vrac, cl. 1</v>
      </c>
      <c r="N110" s="51" t="str">
        <f>_xlfn.TEXTJOIN(" ",TRUE,Migrationsartikel!N109:P109)</f>
        <v>Pere Nashi Cl. 1 vendita sfusa</v>
      </c>
      <c r="O110" s="51" t="str">
        <f>Migrationsartikel!F109</f>
        <v>Birnen Nashi</v>
      </c>
      <c r="P110" s="51" t="str">
        <f>Migrationsartikel!J109</f>
        <v>Poires Nashi</v>
      </c>
      <c r="Q110" s="51" t="str">
        <f>Migrationsartikel!N109</f>
        <v>Pere Nashi</v>
      </c>
      <c r="R110" s="51" t="str">
        <f>_xlfn.TEXTJOIN(" ",TRUE,Migrationsartikel!G109)</f>
        <v>Offen Kl. 1</v>
      </c>
      <c r="S110" s="51" t="str">
        <f>_xlfn.TEXTJOIN(" ",TRUE,Migrationsartikel!K109)</f>
        <v>En vrac, cl. 1</v>
      </c>
      <c r="T110" s="51" t="str">
        <f>_xlfn.TEXTJOIN(" ",TRUE,Migrationsartikel!O109)</f>
        <v>Cl. 1 vendita sfusa</v>
      </c>
      <c r="U110" s="51" t="str">
        <f>_xlfn.TEXTJOIN(" ",TRUE,Migrationsartikel!H109)</f>
        <v/>
      </c>
      <c r="V110" s="51" t="str">
        <f>_xlfn.TEXTJOIN(" ",TRUE,Migrationsartikel!L109)</f>
        <v/>
      </c>
      <c r="W110" s="51" t="str">
        <f>_xlfn.TEXTJOIN(" ",TRUE,Migrationsartikel!P109)</f>
        <v/>
      </c>
      <c r="X110" s="51" t="str">
        <f>Migrationsartikel!I109</f>
        <v>Birnen Nashi Offen Kl. 1</v>
      </c>
      <c r="Y110" s="51" t="str">
        <f>Migrationsartikel!M109</f>
        <v>Poires Nashi cl. 1 en vrac</v>
      </c>
      <c r="Z110" s="51" t="str">
        <f>Migrationsartikel!Q109</f>
        <v>Pere Nashi cl. 1 v. sfusa</v>
      </c>
      <c r="AA110" s="60">
        <f>Migrationsartikel!R109</f>
        <v>1</v>
      </c>
      <c r="AB110" s="51" t="str">
        <f>Migrationsartikel!T109</f>
        <v>Kilogramm</v>
      </c>
      <c r="AC110" s="62">
        <f>Migrationsartikel!S109</f>
        <v>1</v>
      </c>
      <c r="AD110" s="51" t="str">
        <f>Migrationsartikel!U109</f>
        <v>(KGM) KG</v>
      </c>
      <c r="AE110" s="95" t="str">
        <f>Migrationsartikel!Y109</f>
        <v>3 - Reduzierter Satz</v>
      </c>
      <c r="AF110" s="64" t="str">
        <f>IF(Migrationsartikel!AA109="Kein Depotartikel","",Migrationsartikel!AA109)</f>
        <v/>
      </c>
      <c r="AG110" s="95" t="str">
        <f>Migrationsartikel!Z109</f>
        <v>Keine</v>
      </c>
      <c r="AH110" s="51" t="str">
        <f>IF(Migrationsartikel!AB109="ja","true",FALSE)</f>
        <v>true</v>
      </c>
      <c r="AI110" s="51" t="str">
        <f>IF(Migrationsartikel!AC109="ja","true",FALSE)</f>
        <v>true</v>
      </c>
      <c r="AJ110" s="51" t="str">
        <f>IF(Migrationsartikel!AD109="ja","true",FALSE)</f>
        <v>true</v>
      </c>
      <c r="AK110" s="51" t="str">
        <f>IF(Migrationsartikel!AE109="ja","true",FALSE)</f>
        <v>true</v>
      </c>
      <c r="AL110" s="51" t="str">
        <f>IF(Migrationsartikel!AF109="ja","Denner Partner","")</f>
        <v/>
      </c>
      <c r="AM110" s="51" t="str">
        <f>IF(Migrationsartikel!AG109="ja","true","false")</f>
        <v>false</v>
      </c>
      <c r="AN110" s="51" t="str">
        <f t="shared" si="2"/>
        <v>Kassentastenbelegung (ohne GTIN/PLU)</v>
      </c>
      <c r="AO110" s="63" t="s">
        <v>219</v>
      </c>
      <c r="AP110" s="62" t="s">
        <v>2537</v>
      </c>
      <c r="AQ110" s="63" t="s">
        <v>217</v>
      </c>
      <c r="AR110" s="30" t="s">
        <v>219</v>
      </c>
    </row>
    <row r="111" spans="2:44" ht="21.75" customHeight="1" x14ac:dyDescent="0.45">
      <c r="B111" s="51" t="s">
        <v>99</v>
      </c>
      <c r="E111" s="52" t="s">
        <v>87</v>
      </c>
      <c r="F111" s="51" t="str">
        <f>"Warengruppe&gt;&gt;"&amp;_xlfn.TEXTJOIN("&gt;&gt;",TRUE,Migrationsartikel!V110:X110)</f>
        <v>Warengruppe&gt;&gt;Früchte und Gemüse&gt;&gt;Früchte und Gemüse&gt;&gt;Früchte</v>
      </c>
      <c r="H111" s="52" t="s">
        <v>109</v>
      </c>
      <c r="J111" s="51" t="str">
        <f>_xlfn.TEXTJOIN(" ",TRUE,Migrationsartikel!B110,Migrationsartikel!E110)</f>
        <v>2293431000000</v>
      </c>
      <c r="L111" s="51" t="str">
        <f>_xlfn.TEXTJOIN(" ",TRUE,Migrationsartikel!F110:H110)</f>
        <v>Bio Nektarinen Schale 500g</v>
      </c>
      <c r="M111" s="51" t="str">
        <f>_xlfn.TEXTJOIN(" ",TRUE,Migrationsartikel!J110:L110)</f>
        <v>Bio Nectarines Barquette 500g</v>
      </c>
      <c r="N111" s="51" t="str">
        <f>_xlfn.TEXTJOIN(" ",TRUE,Migrationsartikel!N110:P110)</f>
        <v>Bio Nettarine vaschetta 500g</v>
      </c>
      <c r="O111" s="51" t="str">
        <f>Migrationsartikel!F110</f>
        <v>Bio Nektarinen</v>
      </c>
      <c r="P111" s="51" t="str">
        <f>Migrationsartikel!J110</f>
        <v>Bio Nectarines</v>
      </c>
      <c r="Q111" s="51" t="str">
        <f>Migrationsartikel!N110</f>
        <v>Bio Nettarine</v>
      </c>
      <c r="R111" s="51" t="str">
        <f>_xlfn.TEXTJOIN(" ",TRUE,Migrationsartikel!G110)</f>
        <v>Schale</v>
      </c>
      <c r="S111" s="51" t="str">
        <f>_xlfn.TEXTJOIN(" ",TRUE,Migrationsartikel!K110)</f>
        <v>Barquette</v>
      </c>
      <c r="T111" s="51" t="str">
        <f>_xlfn.TEXTJOIN(" ",TRUE,Migrationsartikel!O110)</f>
        <v>vaschetta</v>
      </c>
      <c r="U111" s="51" t="str">
        <f>_xlfn.TEXTJOIN(" ",TRUE,Migrationsartikel!H110)</f>
        <v>500g</v>
      </c>
      <c r="V111" s="51" t="str">
        <f>_xlfn.TEXTJOIN(" ",TRUE,Migrationsartikel!L110)</f>
        <v>500g</v>
      </c>
      <c r="W111" s="51" t="str">
        <f>_xlfn.TEXTJOIN(" ",TRUE,Migrationsartikel!P110)</f>
        <v>500g</v>
      </c>
      <c r="X111" s="51" t="str">
        <f>Migrationsartikel!I110</f>
        <v>Bio Nektarinen Schale 500g</v>
      </c>
      <c r="Y111" s="51" t="str">
        <f>Migrationsartikel!M110</f>
        <v>Bio Nectarines barq. 500g</v>
      </c>
      <c r="Z111" s="51" t="str">
        <f>Migrationsartikel!Q110</f>
        <v>Bio Nettarine vaschetta 500g</v>
      </c>
      <c r="AA111" s="60">
        <f>Migrationsartikel!R110</f>
        <v>0.5</v>
      </c>
      <c r="AB111" s="51" t="str">
        <f>Migrationsartikel!T110</f>
        <v>Kilogramm</v>
      </c>
      <c r="AC111" s="62">
        <f>Migrationsartikel!S110</f>
        <v>1</v>
      </c>
      <c r="AD111" s="51" t="str">
        <f>Migrationsartikel!U110</f>
        <v>(PCE) Stück</v>
      </c>
      <c r="AE111" s="95" t="str">
        <f>Migrationsartikel!Y110</f>
        <v>3 - Reduzierter Satz</v>
      </c>
      <c r="AF111" s="64" t="str">
        <f>IF(Migrationsartikel!AA110="Kein Depotartikel","",Migrationsartikel!AA110)</f>
        <v/>
      </c>
      <c r="AG111" s="95" t="str">
        <f>Migrationsartikel!Z110</f>
        <v>Keine</v>
      </c>
      <c r="AH111" s="51" t="str">
        <f>IF(Migrationsartikel!AB110="ja","true",FALSE)</f>
        <v>true</v>
      </c>
      <c r="AI111" s="51" t="str">
        <f>IF(Migrationsartikel!AC110="ja","true",FALSE)</f>
        <v>true</v>
      </c>
      <c r="AJ111" s="51" t="str">
        <f>IF(Migrationsartikel!AD110="ja","true",FALSE)</f>
        <v>true</v>
      </c>
      <c r="AK111" s="51" t="str">
        <f>IF(Migrationsartikel!AE110="ja","true",FALSE)</f>
        <v>true</v>
      </c>
      <c r="AL111" s="51" t="str">
        <f>IF(Migrationsartikel!AF110="ja","Denner Partner","")</f>
        <v/>
      </c>
      <c r="AM111" s="51" t="str">
        <f>IF(Migrationsartikel!AG110="ja","true","false")</f>
        <v>false</v>
      </c>
      <c r="AN111" s="51" t="str">
        <f t="shared" si="2"/>
        <v>Kassentastenbelegung (ohne GTIN/PLU)</v>
      </c>
      <c r="AO111" s="63" t="s">
        <v>219</v>
      </c>
      <c r="AP111" s="62" t="s">
        <v>2538</v>
      </c>
      <c r="AQ111" s="63" t="s">
        <v>217</v>
      </c>
      <c r="AR111" s="30" t="s">
        <v>219</v>
      </c>
    </row>
    <row r="112" spans="2:44" ht="21.75" customHeight="1" x14ac:dyDescent="0.45">
      <c r="B112" s="51" t="s">
        <v>99</v>
      </c>
      <c r="E112" s="52" t="s">
        <v>87</v>
      </c>
      <c r="F112" s="51" t="str">
        <f>"Warengruppe&gt;&gt;"&amp;_xlfn.TEXTJOIN("&gt;&gt;",TRUE,Migrationsartikel!V111:X111)</f>
        <v>Warengruppe&gt;&gt;Früchte und Gemüse&gt;&gt;Früchte und Gemüse&gt;&gt;Früchte</v>
      </c>
      <c r="H112" s="52" t="s">
        <v>109</v>
      </c>
      <c r="J112" s="51" t="str">
        <f>_xlfn.TEXTJOIN(" ",TRUE,Migrationsartikel!B111,Migrationsartikel!E111)</f>
        <v>2268451000002</v>
      </c>
      <c r="L112" s="51" t="str">
        <f>_xlfn.TEXTJOIN(" ",TRUE,Migrationsartikel!F111:H111)</f>
        <v>Nektarinen ca. 500g</v>
      </c>
      <c r="M112" s="51" t="str">
        <f>_xlfn.TEXTJOIN(" ",TRUE,Migrationsartikel!J111:L111)</f>
        <v>Nectarines env. 500g</v>
      </c>
      <c r="N112" s="51" t="str">
        <f>_xlfn.TEXTJOIN(" ",TRUE,Migrationsartikel!N111:P111)</f>
        <v>Nettarine ca. 500g</v>
      </c>
      <c r="O112" s="51" t="str">
        <f>Migrationsartikel!F111</f>
        <v>Nektarinen</v>
      </c>
      <c r="P112" s="51" t="str">
        <f>Migrationsartikel!J111</f>
        <v>Nectarines</v>
      </c>
      <c r="Q112" s="51" t="str">
        <f>Migrationsartikel!N111</f>
        <v>Nettarine</v>
      </c>
      <c r="R112" s="51" t="str">
        <f>_xlfn.TEXTJOIN(" ",TRUE,Migrationsartikel!G111)</f>
        <v/>
      </c>
      <c r="S112" s="51" t="str">
        <f>_xlfn.TEXTJOIN(" ",TRUE,Migrationsartikel!K111)</f>
        <v/>
      </c>
      <c r="T112" s="51" t="str">
        <f>_xlfn.TEXTJOIN(" ",TRUE,Migrationsartikel!O111)</f>
        <v/>
      </c>
      <c r="U112" s="51" t="str">
        <f>_xlfn.TEXTJOIN(" ",TRUE,Migrationsartikel!H111)</f>
        <v>ca. 500g</v>
      </c>
      <c r="V112" s="51" t="str">
        <f>_xlfn.TEXTJOIN(" ",TRUE,Migrationsartikel!L111)</f>
        <v>env. 500g</v>
      </c>
      <c r="W112" s="51" t="str">
        <f>_xlfn.TEXTJOIN(" ",TRUE,Migrationsartikel!P111)</f>
        <v>ca. 500g</v>
      </c>
      <c r="X112" s="51" t="str">
        <f>Migrationsartikel!I111</f>
        <v>Nektarinen ca. 500g</v>
      </c>
      <c r="Y112" s="51" t="str">
        <f>Migrationsartikel!M111</f>
        <v>Nectarines env. 500g</v>
      </c>
      <c r="Z112" s="51" t="str">
        <f>Migrationsartikel!Q111</f>
        <v>Nettarine ca. 500g</v>
      </c>
      <c r="AA112" s="60">
        <f>Migrationsartikel!R111</f>
        <v>0.5</v>
      </c>
      <c r="AB112" s="51" t="str">
        <f>Migrationsartikel!T111</f>
        <v>Kilogramm</v>
      </c>
      <c r="AC112" s="62">
        <f>Migrationsartikel!S111</f>
        <v>1</v>
      </c>
      <c r="AD112" s="51" t="str">
        <f>Migrationsartikel!U111</f>
        <v>(PCE) Stück</v>
      </c>
      <c r="AE112" s="95" t="str">
        <f>Migrationsartikel!Y111</f>
        <v>3 - Reduzierter Satz</v>
      </c>
      <c r="AF112" s="64" t="str">
        <f>IF(Migrationsartikel!AA111="Kein Depotartikel","",Migrationsartikel!AA111)</f>
        <v/>
      </c>
      <c r="AG112" s="95" t="str">
        <f>Migrationsartikel!Z111</f>
        <v>Keine</v>
      </c>
      <c r="AH112" s="51" t="str">
        <f>IF(Migrationsartikel!AB111="ja","true",FALSE)</f>
        <v>true</v>
      </c>
      <c r="AI112" s="51" t="str">
        <f>IF(Migrationsartikel!AC111="ja","true",FALSE)</f>
        <v>true</v>
      </c>
      <c r="AJ112" s="51" t="str">
        <f>IF(Migrationsartikel!AD111="ja","true",FALSE)</f>
        <v>true</v>
      </c>
      <c r="AK112" s="51" t="str">
        <f>IF(Migrationsartikel!AE111="ja","true",FALSE)</f>
        <v>true</v>
      </c>
      <c r="AL112" s="51" t="str">
        <f>IF(Migrationsartikel!AF111="ja","Denner Partner","")</f>
        <v/>
      </c>
      <c r="AM112" s="51" t="str">
        <f>IF(Migrationsartikel!AG111="ja","true","false")</f>
        <v>false</v>
      </c>
      <c r="AN112" s="51" t="str">
        <f t="shared" si="2"/>
        <v>Kassentastenbelegung (ohne GTIN/PLU)</v>
      </c>
      <c r="AO112" s="63" t="s">
        <v>219</v>
      </c>
      <c r="AP112" s="62" t="s">
        <v>2539</v>
      </c>
      <c r="AQ112" s="63" t="s">
        <v>217</v>
      </c>
      <c r="AR112" s="30" t="s">
        <v>219</v>
      </c>
    </row>
    <row r="113" spans="2:44" ht="21.75" customHeight="1" x14ac:dyDescent="0.45">
      <c r="B113" s="51" t="s">
        <v>99</v>
      </c>
      <c r="E113" s="52" t="s">
        <v>87</v>
      </c>
      <c r="F113" s="51" t="str">
        <f>"Warengruppe&gt;&gt;"&amp;_xlfn.TEXTJOIN("&gt;&gt;",TRUE,Migrationsartikel!V112:X112)</f>
        <v>Warengruppe&gt;&gt;Früchte und Gemüse&gt;&gt;Früchte und Gemüse&gt;&gt;Früchte</v>
      </c>
      <c r="H113" s="52" t="s">
        <v>109</v>
      </c>
      <c r="J113" s="51" t="str">
        <f>_xlfn.TEXTJOIN(" ",TRUE,Migrationsartikel!B112,Migrationsartikel!E112)</f>
        <v>166</v>
      </c>
      <c r="L113" s="51" t="str">
        <f>_xlfn.TEXTJOIN(" ",TRUE,Migrationsartikel!F112:H112)</f>
        <v>Nektarinen weiss A Offen</v>
      </c>
      <c r="M113" s="51" t="str">
        <f>_xlfn.TEXTJOIN(" ",TRUE,Migrationsartikel!J112:L112)</f>
        <v>Nectarines blanches A En vrac</v>
      </c>
      <c r="N113" s="51" t="str">
        <f>_xlfn.TEXTJOIN(" ",TRUE,Migrationsartikel!N112:P112)</f>
        <v>Nettarine bianche A vendita sfusa</v>
      </c>
      <c r="O113" s="51" t="str">
        <f>Migrationsartikel!F112</f>
        <v>Nektarinen weiss A</v>
      </c>
      <c r="P113" s="51" t="str">
        <f>Migrationsartikel!J112</f>
        <v>Nectarines blanches A</v>
      </c>
      <c r="Q113" s="51" t="str">
        <f>Migrationsartikel!N112</f>
        <v>Nettarine bianche A</v>
      </c>
      <c r="R113" s="51" t="str">
        <f>_xlfn.TEXTJOIN(" ",TRUE,Migrationsartikel!G112)</f>
        <v>Offen</v>
      </c>
      <c r="S113" s="51" t="str">
        <f>_xlfn.TEXTJOIN(" ",TRUE,Migrationsartikel!K112)</f>
        <v>En vrac</v>
      </c>
      <c r="T113" s="51" t="str">
        <f>_xlfn.TEXTJOIN(" ",TRUE,Migrationsartikel!O112)</f>
        <v>vendita sfusa</v>
      </c>
      <c r="U113" s="51" t="str">
        <f>_xlfn.TEXTJOIN(" ",TRUE,Migrationsartikel!H112)</f>
        <v/>
      </c>
      <c r="V113" s="51" t="str">
        <f>_xlfn.TEXTJOIN(" ",TRUE,Migrationsartikel!L112)</f>
        <v/>
      </c>
      <c r="W113" s="51" t="str">
        <f>_xlfn.TEXTJOIN(" ",TRUE,Migrationsartikel!P112)</f>
        <v/>
      </c>
      <c r="X113" s="51" t="str">
        <f>Migrationsartikel!I112</f>
        <v>Nektarinen weiss A Offen</v>
      </c>
      <c r="Y113" s="51" t="str">
        <f>Migrationsartikel!M112</f>
        <v>Nectarines blanches en vrac</v>
      </c>
      <c r="Z113" s="51" t="str">
        <f>Migrationsartikel!Q112</f>
        <v>Nettarine bianche A v. sfusa</v>
      </c>
      <c r="AA113" s="60">
        <f>Migrationsartikel!R112</f>
        <v>1</v>
      </c>
      <c r="AB113" s="51" t="str">
        <f>Migrationsartikel!T112</f>
        <v>Kilogramm</v>
      </c>
      <c r="AC113" s="62">
        <f>Migrationsartikel!S112</f>
        <v>1</v>
      </c>
      <c r="AD113" s="51" t="str">
        <f>Migrationsartikel!U112</f>
        <v>(KGM) KG</v>
      </c>
      <c r="AE113" s="95" t="str">
        <f>Migrationsartikel!Y112</f>
        <v>3 - Reduzierter Satz</v>
      </c>
      <c r="AF113" s="64" t="str">
        <f>IF(Migrationsartikel!AA112="Kein Depotartikel","",Migrationsartikel!AA112)</f>
        <v/>
      </c>
      <c r="AG113" s="95" t="str">
        <f>Migrationsartikel!Z112</f>
        <v>Keine</v>
      </c>
      <c r="AH113" s="51" t="str">
        <f>IF(Migrationsartikel!AB112="ja","true",FALSE)</f>
        <v>true</v>
      </c>
      <c r="AI113" s="51" t="str">
        <f>IF(Migrationsartikel!AC112="ja","true",FALSE)</f>
        <v>true</v>
      </c>
      <c r="AJ113" s="51" t="str">
        <f>IF(Migrationsartikel!AD112="ja","true",FALSE)</f>
        <v>true</v>
      </c>
      <c r="AK113" s="51" t="str">
        <f>IF(Migrationsartikel!AE112="ja","true",FALSE)</f>
        <v>true</v>
      </c>
      <c r="AL113" s="51" t="str">
        <f>IF(Migrationsartikel!AF112="ja","Denner Partner","")</f>
        <v/>
      </c>
      <c r="AM113" s="51" t="str">
        <f>IF(Migrationsartikel!AG112="ja","true","false")</f>
        <v>false</v>
      </c>
      <c r="AN113" s="51" t="str">
        <f t="shared" si="2"/>
        <v>Kassentastenbelegung (ohne GTIN/PLU)</v>
      </c>
      <c r="AO113" s="63" t="s">
        <v>219</v>
      </c>
      <c r="AP113" s="62" t="s">
        <v>2540</v>
      </c>
      <c r="AQ113" s="63" t="s">
        <v>217</v>
      </c>
      <c r="AR113" s="30" t="s">
        <v>219</v>
      </c>
    </row>
    <row r="114" spans="2:44" ht="21.75" customHeight="1" x14ac:dyDescent="0.45">
      <c r="B114" s="51" t="s">
        <v>99</v>
      </c>
      <c r="E114" s="52" t="s">
        <v>87</v>
      </c>
      <c r="F114" s="51" t="str">
        <f>"Warengruppe&gt;&gt;"&amp;_xlfn.TEXTJOIN("&gt;&gt;",TRUE,Migrationsartikel!V113:X113)</f>
        <v>Warengruppe&gt;&gt;Früchte und Gemüse&gt;&gt;Früchte und Gemüse&gt;&gt;Früchte</v>
      </c>
      <c r="H114" s="52" t="s">
        <v>109</v>
      </c>
      <c r="J114" s="51" t="str">
        <f>_xlfn.TEXTJOIN(" ",TRUE,Migrationsartikel!B113,Migrationsartikel!E113)</f>
        <v>2259901000000</v>
      </c>
      <c r="L114" s="51" t="str">
        <f>_xlfn.TEXTJOIN(" ",TRUE,Migrationsartikel!F113:H113)</f>
        <v>Orangen Blond Netz 1kg</v>
      </c>
      <c r="M114" s="51" t="str">
        <f>_xlfn.TEXTJOIN(" ",TRUE,Migrationsartikel!J113:L113)</f>
        <v>Oranges blondes Filet 1kg</v>
      </c>
      <c r="N114" s="51" t="str">
        <f>_xlfn.TEXTJOIN(" ",TRUE,Migrationsartikel!N113:P113)</f>
        <v>Arance bionde retina 1kg</v>
      </c>
      <c r="O114" s="51" t="str">
        <f>Migrationsartikel!F113</f>
        <v>Orangen Blond</v>
      </c>
      <c r="P114" s="51" t="str">
        <f>Migrationsartikel!J113</f>
        <v>Oranges blondes</v>
      </c>
      <c r="Q114" s="51" t="str">
        <f>Migrationsartikel!N113</f>
        <v>Arance bionde</v>
      </c>
      <c r="R114" s="51" t="str">
        <f>_xlfn.TEXTJOIN(" ",TRUE,Migrationsartikel!G113)</f>
        <v>Netz</v>
      </c>
      <c r="S114" s="51" t="str">
        <f>_xlfn.TEXTJOIN(" ",TRUE,Migrationsartikel!K113)</f>
        <v>Filet</v>
      </c>
      <c r="T114" s="51" t="str">
        <f>_xlfn.TEXTJOIN(" ",TRUE,Migrationsartikel!O113)</f>
        <v>retina</v>
      </c>
      <c r="U114" s="51" t="str">
        <f>_xlfn.TEXTJOIN(" ",TRUE,Migrationsartikel!H113)</f>
        <v>1kg</v>
      </c>
      <c r="V114" s="51" t="str">
        <f>_xlfn.TEXTJOIN(" ",TRUE,Migrationsartikel!L113)</f>
        <v>1kg</v>
      </c>
      <c r="W114" s="51" t="str">
        <f>_xlfn.TEXTJOIN(" ",TRUE,Migrationsartikel!P113)</f>
        <v>1kg</v>
      </c>
      <c r="X114" s="51" t="str">
        <f>Migrationsartikel!I113</f>
        <v>Orangen Blond Netz 1kg</v>
      </c>
      <c r="Y114" s="51" t="str">
        <f>Migrationsartikel!M113</f>
        <v>Oranges blondes filet 1 kg</v>
      </c>
      <c r="Z114" s="51" t="str">
        <f>Migrationsartikel!Q113</f>
        <v>Arance bionde retina 1 kg</v>
      </c>
      <c r="AA114" s="60">
        <f>Migrationsartikel!R113</f>
        <v>1</v>
      </c>
      <c r="AB114" s="51" t="str">
        <f>Migrationsartikel!T113</f>
        <v>Kilogramm</v>
      </c>
      <c r="AC114" s="62">
        <f>Migrationsartikel!S113</f>
        <v>1</v>
      </c>
      <c r="AD114" s="51" t="str">
        <f>Migrationsartikel!U113</f>
        <v>(PCE) Stück</v>
      </c>
      <c r="AE114" s="95" t="str">
        <f>Migrationsartikel!Y113</f>
        <v>3 - Reduzierter Satz</v>
      </c>
      <c r="AF114" s="64" t="str">
        <f>IF(Migrationsartikel!AA113="Kein Depotartikel","",Migrationsartikel!AA113)</f>
        <v/>
      </c>
      <c r="AG114" s="95" t="str">
        <f>Migrationsartikel!Z113</f>
        <v>Keine</v>
      </c>
      <c r="AH114" s="51" t="str">
        <f>IF(Migrationsartikel!AB113="ja","true",FALSE)</f>
        <v>true</v>
      </c>
      <c r="AI114" s="51" t="str">
        <f>IF(Migrationsartikel!AC113="ja","true",FALSE)</f>
        <v>true</v>
      </c>
      <c r="AJ114" s="51" t="str">
        <f>IF(Migrationsartikel!AD113="ja","true",FALSE)</f>
        <v>true</v>
      </c>
      <c r="AK114" s="51" t="str">
        <f>IF(Migrationsartikel!AE113="ja","true",FALSE)</f>
        <v>true</v>
      </c>
      <c r="AL114" s="51" t="str">
        <f>IF(Migrationsartikel!AF113="ja","Denner Partner","")</f>
        <v/>
      </c>
      <c r="AM114" s="51" t="str">
        <f>IF(Migrationsartikel!AG113="ja","true","false")</f>
        <v>false</v>
      </c>
      <c r="AN114" s="51" t="str">
        <f t="shared" si="2"/>
        <v>Kassentastenbelegung (ohne GTIN/PLU)</v>
      </c>
      <c r="AO114" s="63" t="s">
        <v>219</v>
      </c>
      <c r="AP114" s="62" t="s">
        <v>2541</v>
      </c>
      <c r="AQ114" s="63" t="s">
        <v>217</v>
      </c>
      <c r="AR114" s="30" t="s">
        <v>219</v>
      </c>
    </row>
    <row r="115" spans="2:44" ht="21.75" customHeight="1" x14ac:dyDescent="0.45">
      <c r="B115" s="51" t="s">
        <v>99</v>
      </c>
      <c r="E115" s="52" t="s">
        <v>87</v>
      </c>
      <c r="F115" s="51" t="str">
        <f>"Warengruppe&gt;&gt;"&amp;_xlfn.TEXTJOIN("&gt;&gt;",TRUE,Migrationsartikel!V114:X114)</f>
        <v>Warengruppe&gt;&gt;Früchte und Gemüse&gt;&gt;Früchte und Gemüse&gt;&gt;Früchte</v>
      </c>
      <c r="H115" s="52" t="s">
        <v>109</v>
      </c>
      <c r="J115" s="51" t="str">
        <f>_xlfn.TEXTJOIN(" ",TRUE,Migrationsartikel!B114,Migrationsartikel!E114)</f>
        <v>167</v>
      </c>
      <c r="L115" s="51" t="str">
        <f>_xlfn.TEXTJOIN(" ",TRUE,Migrationsartikel!F114:H114)</f>
        <v>Orangen Moro Offen</v>
      </c>
      <c r="M115" s="51" t="str">
        <f>_xlfn.TEXTJOIN(" ",TRUE,Migrationsartikel!J114:L114)</f>
        <v>Oranges Moro En vrac</v>
      </c>
      <c r="N115" s="51" t="str">
        <f>_xlfn.TEXTJOIN(" ",TRUE,Migrationsartikel!N114:P114)</f>
        <v>Arance Moro vendita sfusa</v>
      </c>
      <c r="O115" s="51" t="str">
        <f>Migrationsartikel!F114</f>
        <v>Orangen Moro</v>
      </c>
      <c r="P115" s="51" t="str">
        <f>Migrationsartikel!J114</f>
        <v>Oranges Moro</v>
      </c>
      <c r="Q115" s="51" t="str">
        <f>Migrationsartikel!N114</f>
        <v>Arance Moro</v>
      </c>
      <c r="R115" s="51" t="str">
        <f>_xlfn.TEXTJOIN(" ",TRUE,Migrationsartikel!G114)</f>
        <v>Offen</v>
      </c>
      <c r="S115" s="51" t="str">
        <f>_xlfn.TEXTJOIN(" ",TRUE,Migrationsartikel!K114)</f>
        <v>En vrac</v>
      </c>
      <c r="T115" s="51" t="str">
        <f>_xlfn.TEXTJOIN(" ",TRUE,Migrationsartikel!O114)</f>
        <v>vendita sfusa</v>
      </c>
      <c r="U115" s="51" t="str">
        <f>_xlfn.TEXTJOIN(" ",TRUE,Migrationsartikel!H114)</f>
        <v/>
      </c>
      <c r="V115" s="51" t="str">
        <f>_xlfn.TEXTJOIN(" ",TRUE,Migrationsartikel!L114)</f>
        <v/>
      </c>
      <c r="W115" s="51" t="str">
        <f>_xlfn.TEXTJOIN(" ",TRUE,Migrationsartikel!P114)</f>
        <v/>
      </c>
      <c r="X115" s="51" t="str">
        <f>Migrationsartikel!I114</f>
        <v>Orangen Moro Offen</v>
      </c>
      <c r="Y115" s="51" t="str">
        <f>Migrationsartikel!M114</f>
        <v>Oranges Moro en vrac</v>
      </c>
      <c r="Z115" s="51" t="str">
        <f>Migrationsartikel!Q114</f>
        <v>Arance Moro vendita sfusa</v>
      </c>
      <c r="AA115" s="60">
        <f>Migrationsartikel!R114</f>
        <v>1</v>
      </c>
      <c r="AB115" s="51" t="str">
        <f>Migrationsartikel!T114</f>
        <v>Kilogramm</v>
      </c>
      <c r="AC115" s="62">
        <f>Migrationsartikel!S114</f>
        <v>1</v>
      </c>
      <c r="AD115" s="51" t="str">
        <f>Migrationsartikel!U114</f>
        <v>(KGM) KG</v>
      </c>
      <c r="AE115" s="95" t="str">
        <f>Migrationsartikel!Y114</f>
        <v>3 - Reduzierter Satz</v>
      </c>
      <c r="AF115" s="64" t="str">
        <f>IF(Migrationsartikel!AA114="Kein Depotartikel","",Migrationsartikel!AA114)</f>
        <v/>
      </c>
      <c r="AG115" s="95" t="str">
        <f>Migrationsartikel!Z114</f>
        <v>Keine</v>
      </c>
      <c r="AH115" s="51" t="str">
        <f>IF(Migrationsartikel!AB114="ja","true",FALSE)</f>
        <v>true</v>
      </c>
      <c r="AI115" s="51" t="str">
        <f>IF(Migrationsartikel!AC114="ja","true",FALSE)</f>
        <v>true</v>
      </c>
      <c r="AJ115" s="51" t="str">
        <f>IF(Migrationsartikel!AD114="ja","true",FALSE)</f>
        <v>true</v>
      </c>
      <c r="AK115" s="51" t="str">
        <f>IF(Migrationsartikel!AE114="ja","true",FALSE)</f>
        <v>true</v>
      </c>
      <c r="AL115" s="51" t="str">
        <f>IF(Migrationsartikel!AF114="ja","Denner Partner","")</f>
        <v/>
      </c>
      <c r="AM115" s="51" t="str">
        <f>IF(Migrationsartikel!AG114="ja","true","false")</f>
        <v>false</v>
      </c>
      <c r="AN115" s="51" t="str">
        <f t="shared" si="2"/>
        <v>Kassentastenbelegung (ohne GTIN/PLU)</v>
      </c>
      <c r="AO115" s="63" t="s">
        <v>219</v>
      </c>
      <c r="AP115" s="62" t="s">
        <v>2542</v>
      </c>
      <c r="AQ115" s="63" t="s">
        <v>217</v>
      </c>
      <c r="AR115" s="30" t="s">
        <v>219</v>
      </c>
    </row>
    <row r="116" spans="2:44" ht="21.75" customHeight="1" x14ac:dyDescent="0.45">
      <c r="B116" s="51" t="s">
        <v>99</v>
      </c>
      <c r="E116" s="52" t="s">
        <v>87</v>
      </c>
      <c r="F116" s="51" t="str">
        <f>"Warengruppe&gt;&gt;"&amp;_xlfn.TEXTJOIN("&gt;&gt;",TRUE,Migrationsartikel!V115:X115)</f>
        <v>Warengruppe&gt;&gt;Früchte und Gemüse&gt;&gt;Früchte und Gemüse&gt;&gt;Früchte</v>
      </c>
      <c r="H116" s="52" t="s">
        <v>109</v>
      </c>
      <c r="J116" s="51" t="str">
        <f>_xlfn.TEXTJOIN(" ",TRUE,Migrationsartikel!B115,Migrationsartikel!E115)</f>
        <v>164</v>
      </c>
      <c r="L116" s="51" t="str">
        <f>_xlfn.TEXTJOIN(" ",TRUE,Migrationsartikel!F115:H115)</f>
        <v>Bio Pfirsiche Offen</v>
      </c>
      <c r="M116" s="51" t="str">
        <f>_xlfn.TEXTJOIN(" ",TRUE,Migrationsartikel!J115:L115)</f>
        <v>Bio Pêches En vrac</v>
      </c>
      <c r="N116" s="51" t="str">
        <f>_xlfn.TEXTJOIN(" ",TRUE,Migrationsartikel!N115:P115)</f>
        <v>Bio Pesche vendita sfusa</v>
      </c>
      <c r="O116" s="51" t="str">
        <f>Migrationsartikel!F115</f>
        <v>Bio Pfirsiche</v>
      </c>
      <c r="P116" s="51" t="str">
        <f>Migrationsartikel!J115</f>
        <v>Bio Pêches</v>
      </c>
      <c r="Q116" s="51" t="str">
        <f>Migrationsartikel!N115</f>
        <v>Bio Pesche</v>
      </c>
      <c r="R116" s="51" t="str">
        <f>_xlfn.TEXTJOIN(" ",TRUE,Migrationsartikel!G115)</f>
        <v>Offen</v>
      </c>
      <c r="S116" s="51" t="str">
        <f>_xlfn.TEXTJOIN(" ",TRUE,Migrationsartikel!K115)</f>
        <v>En vrac</v>
      </c>
      <c r="T116" s="51" t="str">
        <f>_xlfn.TEXTJOIN(" ",TRUE,Migrationsartikel!O115)</f>
        <v>vendita sfusa</v>
      </c>
      <c r="U116" s="51" t="str">
        <f>_xlfn.TEXTJOIN(" ",TRUE,Migrationsartikel!H115)</f>
        <v/>
      </c>
      <c r="V116" s="51" t="str">
        <f>_xlfn.TEXTJOIN(" ",TRUE,Migrationsartikel!L115)</f>
        <v/>
      </c>
      <c r="W116" s="51" t="str">
        <f>_xlfn.TEXTJOIN(" ",TRUE,Migrationsartikel!P115)</f>
        <v/>
      </c>
      <c r="X116" s="51" t="str">
        <f>Migrationsartikel!I115</f>
        <v>Bio Pfirsiche Offen</v>
      </c>
      <c r="Y116" s="51" t="str">
        <f>Migrationsartikel!M115</f>
        <v>Bio Pêches en vrac</v>
      </c>
      <c r="Z116" s="51" t="str">
        <f>Migrationsartikel!Q115</f>
        <v>Bio Pesche vendita sfusa</v>
      </c>
      <c r="AA116" s="60">
        <f>Migrationsartikel!R115</f>
        <v>1</v>
      </c>
      <c r="AB116" s="51" t="str">
        <f>Migrationsartikel!T115</f>
        <v>Kilogramm</v>
      </c>
      <c r="AC116" s="62">
        <f>Migrationsartikel!S115</f>
        <v>1</v>
      </c>
      <c r="AD116" s="51" t="str">
        <f>Migrationsartikel!U115</f>
        <v>(KGM) KG</v>
      </c>
      <c r="AE116" s="95" t="str">
        <f>Migrationsartikel!Y115</f>
        <v>3 - Reduzierter Satz</v>
      </c>
      <c r="AF116" s="64" t="str">
        <f>IF(Migrationsartikel!AA115="Kein Depotartikel","",Migrationsartikel!AA115)</f>
        <v/>
      </c>
      <c r="AG116" s="95" t="str">
        <f>Migrationsartikel!Z115</f>
        <v>Keine</v>
      </c>
      <c r="AH116" s="51" t="str">
        <f>IF(Migrationsartikel!AB115="ja","true",FALSE)</f>
        <v>true</v>
      </c>
      <c r="AI116" s="51" t="str">
        <f>IF(Migrationsartikel!AC115="ja","true",FALSE)</f>
        <v>true</v>
      </c>
      <c r="AJ116" s="51" t="str">
        <f>IF(Migrationsartikel!AD115="ja","true",FALSE)</f>
        <v>true</v>
      </c>
      <c r="AK116" s="51" t="str">
        <f>IF(Migrationsartikel!AE115="ja","true",FALSE)</f>
        <v>true</v>
      </c>
      <c r="AL116" s="51" t="str">
        <f>IF(Migrationsartikel!AF115="ja","Denner Partner","")</f>
        <v/>
      </c>
      <c r="AM116" s="51" t="str">
        <f>IF(Migrationsartikel!AG115="ja","true","false")</f>
        <v>false</v>
      </c>
      <c r="AN116" s="51" t="str">
        <f t="shared" si="2"/>
        <v>Kassentastenbelegung (ohne GTIN/PLU)</v>
      </c>
      <c r="AO116" s="63" t="s">
        <v>219</v>
      </c>
      <c r="AP116" s="62" t="s">
        <v>2543</v>
      </c>
      <c r="AQ116" s="63" t="s">
        <v>217</v>
      </c>
      <c r="AR116" s="30" t="s">
        <v>219</v>
      </c>
    </row>
    <row r="117" spans="2:44" ht="21.75" customHeight="1" x14ac:dyDescent="0.45">
      <c r="B117" s="51" t="s">
        <v>99</v>
      </c>
      <c r="E117" s="52" t="s">
        <v>87</v>
      </c>
      <c r="F117" s="51" t="str">
        <f>"Warengruppe&gt;&gt;"&amp;_xlfn.TEXTJOIN("&gt;&gt;",TRUE,Migrationsartikel!V116:X116)</f>
        <v>Warengruppe&gt;&gt;Früchte und Gemüse&gt;&gt;Früchte und Gemüse&gt;&gt;Früchte</v>
      </c>
      <c r="H117" s="52" t="s">
        <v>109</v>
      </c>
      <c r="J117" s="51" t="str">
        <f>_xlfn.TEXTJOIN(" ",TRUE,Migrationsartikel!B116,Migrationsartikel!E116)</f>
        <v>2203461000000</v>
      </c>
      <c r="L117" s="51" t="str">
        <f>_xlfn.TEXTJOIN(" ",TRUE,Migrationsartikel!F116:H116)</f>
        <v>Pfirsiche ca. 800g</v>
      </c>
      <c r="M117" s="51" t="str">
        <f>_xlfn.TEXTJOIN(" ",TRUE,Migrationsartikel!J116:L116)</f>
        <v>Pêches env. 800g</v>
      </c>
      <c r="N117" s="51" t="str">
        <f>_xlfn.TEXTJOIN(" ",TRUE,Migrationsartikel!N116:P116)</f>
        <v>Pesche ca. 800g</v>
      </c>
      <c r="O117" s="51" t="str">
        <f>Migrationsartikel!F116</f>
        <v>Pfirsiche</v>
      </c>
      <c r="P117" s="51" t="str">
        <f>Migrationsartikel!J116</f>
        <v>Pêches</v>
      </c>
      <c r="Q117" s="51" t="str">
        <f>Migrationsartikel!N116</f>
        <v>Pesche</v>
      </c>
      <c r="R117" s="51" t="str">
        <f>_xlfn.TEXTJOIN(" ",TRUE,Migrationsartikel!G116)</f>
        <v/>
      </c>
      <c r="S117" s="51" t="str">
        <f>_xlfn.TEXTJOIN(" ",TRUE,Migrationsartikel!K116)</f>
        <v/>
      </c>
      <c r="T117" s="51" t="str">
        <f>_xlfn.TEXTJOIN(" ",TRUE,Migrationsartikel!O116)</f>
        <v/>
      </c>
      <c r="U117" s="51" t="str">
        <f>_xlfn.TEXTJOIN(" ",TRUE,Migrationsartikel!H116)</f>
        <v>ca. 800g</v>
      </c>
      <c r="V117" s="51" t="str">
        <f>_xlfn.TEXTJOIN(" ",TRUE,Migrationsartikel!L116)</f>
        <v>env. 800g</v>
      </c>
      <c r="W117" s="51" t="str">
        <f>_xlfn.TEXTJOIN(" ",TRUE,Migrationsartikel!P116)</f>
        <v>ca. 800g</v>
      </c>
      <c r="X117" s="51" t="str">
        <f>Migrationsartikel!I116</f>
        <v>Pfirsiche ca. 800g</v>
      </c>
      <c r="Y117" s="51" t="str">
        <f>Migrationsartikel!M116</f>
        <v>Pêches env. 800g</v>
      </c>
      <c r="Z117" s="51" t="str">
        <f>Migrationsartikel!Q116</f>
        <v>Pesche ca. 800g</v>
      </c>
      <c r="AA117" s="60">
        <f>Migrationsartikel!R116</f>
        <v>0.8</v>
      </c>
      <c r="AB117" s="51" t="str">
        <f>Migrationsartikel!T116</f>
        <v>Kilogramm</v>
      </c>
      <c r="AC117" s="62">
        <f>Migrationsartikel!S116</f>
        <v>1</v>
      </c>
      <c r="AD117" s="51" t="str">
        <f>Migrationsartikel!U116</f>
        <v>(PCE) Stück</v>
      </c>
      <c r="AE117" s="95" t="str">
        <f>Migrationsartikel!Y116</f>
        <v>3 - Reduzierter Satz</v>
      </c>
      <c r="AF117" s="64" t="str">
        <f>IF(Migrationsartikel!AA116="Kein Depotartikel","",Migrationsartikel!AA116)</f>
        <v/>
      </c>
      <c r="AG117" s="95" t="str">
        <f>Migrationsartikel!Z116</f>
        <v>Keine</v>
      </c>
      <c r="AH117" s="51" t="str">
        <f>IF(Migrationsartikel!AB116="ja","true",FALSE)</f>
        <v>true</v>
      </c>
      <c r="AI117" s="51" t="str">
        <f>IF(Migrationsartikel!AC116="ja","true",FALSE)</f>
        <v>true</v>
      </c>
      <c r="AJ117" s="51" t="str">
        <f>IF(Migrationsartikel!AD116="ja","true",FALSE)</f>
        <v>true</v>
      </c>
      <c r="AK117" s="51" t="str">
        <f>IF(Migrationsartikel!AE116="ja","true",FALSE)</f>
        <v>true</v>
      </c>
      <c r="AL117" s="51" t="str">
        <f>IF(Migrationsartikel!AF116="ja","Denner Partner","")</f>
        <v/>
      </c>
      <c r="AM117" s="51" t="str">
        <f>IF(Migrationsartikel!AG116="ja","true","false")</f>
        <v>false</v>
      </c>
      <c r="AN117" s="51" t="str">
        <f t="shared" si="2"/>
        <v>Kassentastenbelegung (ohne GTIN/PLU)</v>
      </c>
      <c r="AO117" s="63" t="s">
        <v>219</v>
      </c>
      <c r="AP117" s="62" t="s">
        <v>2544</v>
      </c>
      <c r="AQ117" s="63" t="s">
        <v>217</v>
      </c>
      <c r="AR117" s="30" t="s">
        <v>219</v>
      </c>
    </row>
    <row r="118" spans="2:44" ht="21.75" customHeight="1" x14ac:dyDescent="0.45">
      <c r="B118" s="51" t="s">
        <v>99</v>
      </c>
      <c r="E118" s="52" t="s">
        <v>87</v>
      </c>
      <c r="F118" s="51" t="str">
        <f>"Warengruppe&gt;&gt;"&amp;_xlfn.TEXTJOIN("&gt;&gt;",TRUE,Migrationsartikel!V117:X117)</f>
        <v>Warengruppe&gt;&gt;Früchte und Gemüse&gt;&gt;Früchte und Gemüse&gt;&gt;Früchte</v>
      </c>
      <c r="H118" s="52" t="s">
        <v>109</v>
      </c>
      <c r="J118" s="51" t="str">
        <f>_xlfn.TEXTJOIN(" ",TRUE,Migrationsartikel!B117,Migrationsartikel!E117)</f>
        <v>163</v>
      </c>
      <c r="L118" s="51" t="str">
        <f>_xlfn.TEXTJOIN(" ",TRUE,Migrationsartikel!F117:H117)</f>
        <v>Pfirsiche weiss Offen</v>
      </c>
      <c r="M118" s="51" t="str">
        <f>_xlfn.TEXTJOIN(" ",TRUE,Migrationsartikel!J117:L117)</f>
        <v>Pêches blanches En vrac</v>
      </c>
      <c r="N118" s="51" t="str">
        <f>_xlfn.TEXTJOIN(" ",TRUE,Migrationsartikel!N117:P117)</f>
        <v>Pesche bianche vendita sfusa</v>
      </c>
      <c r="O118" s="51" t="str">
        <f>Migrationsartikel!F117</f>
        <v>Pfirsiche weiss</v>
      </c>
      <c r="P118" s="51" t="str">
        <f>Migrationsartikel!J117</f>
        <v>Pêches blanches</v>
      </c>
      <c r="Q118" s="51" t="str">
        <f>Migrationsartikel!N117</f>
        <v>Pesche bianche</v>
      </c>
      <c r="R118" s="51" t="str">
        <f>_xlfn.TEXTJOIN(" ",TRUE,Migrationsartikel!G117)</f>
        <v>Offen</v>
      </c>
      <c r="S118" s="51" t="str">
        <f>_xlfn.TEXTJOIN(" ",TRUE,Migrationsartikel!K117)</f>
        <v>En vrac</v>
      </c>
      <c r="T118" s="51" t="str">
        <f>_xlfn.TEXTJOIN(" ",TRUE,Migrationsartikel!O117)</f>
        <v>vendita sfusa</v>
      </c>
      <c r="U118" s="51" t="str">
        <f>_xlfn.TEXTJOIN(" ",TRUE,Migrationsartikel!H117)</f>
        <v/>
      </c>
      <c r="V118" s="51" t="str">
        <f>_xlfn.TEXTJOIN(" ",TRUE,Migrationsartikel!L117)</f>
        <v/>
      </c>
      <c r="W118" s="51" t="str">
        <f>_xlfn.TEXTJOIN(" ",TRUE,Migrationsartikel!P117)</f>
        <v/>
      </c>
      <c r="X118" s="51" t="str">
        <f>Migrationsartikel!I117</f>
        <v>Pfirsiche weiss Offen</v>
      </c>
      <c r="Y118" s="51" t="str">
        <f>Migrationsartikel!M117</f>
        <v>Pêches blanches en vrac</v>
      </c>
      <c r="Z118" s="51" t="str">
        <f>Migrationsartikel!Q117</f>
        <v>Pesche binache vendita sfusa</v>
      </c>
      <c r="AA118" s="60">
        <f>Migrationsartikel!R117</f>
        <v>1</v>
      </c>
      <c r="AB118" s="51" t="str">
        <f>Migrationsartikel!T117</f>
        <v>Kilogramm</v>
      </c>
      <c r="AC118" s="62">
        <f>Migrationsartikel!S117</f>
        <v>1</v>
      </c>
      <c r="AD118" s="51" t="str">
        <f>Migrationsartikel!U117</f>
        <v>(KGM) KG</v>
      </c>
      <c r="AE118" s="95" t="str">
        <f>Migrationsartikel!Y117</f>
        <v>3 - Reduzierter Satz</v>
      </c>
      <c r="AF118" s="64" t="str">
        <f>IF(Migrationsartikel!AA117="Kein Depotartikel","",Migrationsartikel!AA117)</f>
        <v/>
      </c>
      <c r="AG118" s="95" t="str">
        <f>Migrationsartikel!Z117</f>
        <v>Keine</v>
      </c>
      <c r="AH118" s="51" t="str">
        <f>IF(Migrationsartikel!AB117="ja","true",FALSE)</f>
        <v>true</v>
      </c>
      <c r="AI118" s="51" t="str">
        <f>IF(Migrationsartikel!AC117="ja","true",FALSE)</f>
        <v>true</v>
      </c>
      <c r="AJ118" s="51" t="str">
        <f>IF(Migrationsartikel!AD117="ja","true",FALSE)</f>
        <v>true</v>
      </c>
      <c r="AK118" s="51" t="str">
        <f>IF(Migrationsartikel!AE117="ja","true",FALSE)</f>
        <v>true</v>
      </c>
      <c r="AL118" s="51" t="str">
        <f>IF(Migrationsartikel!AF117="ja","Denner Partner","")</f>
        <v/>
      </c>
      <c r="AM118" s="51" t="str">
        <f>IF(Migrationsartikel!AG117="ja","true","false")</f>
        <v>false</v>
      </c>
      <c r="AN118" s="51" t="str">
        <f t="shared" si="2"/>
        <v>Kassentastenbelegung (ohne GTIN/PLU)</v>
      </c>
      <c r="AO118" s="63" t="s">
        <v>219</v>
      </c>
      <c r="AP118" s="62" t="s">
        <v>2545</v>
      </c>
      <c r="AQ118" s="63" t="s">
        <v>217</v>
      </c>
      <c r="AR118" s="30" t="s">
        <v>219</v>
      </c>
    </row>
    <row r="119" spans="2:44" ht="21.75" customHeight="1" x14ac:dyDescent="0.45">
      <c r="B119" s="51" t="s">
        <v>99</v>
      </c>
      <c r="E119" s="52" t="s">
        <v>87</v>
      </c>
      <c r="F119" s="51" t="str">
        <f>"Warengruppe&gt;&gt;"&amp;_xlfn.TEXTJOIN("&gt;&gt;",TRUE,Migrationsartikel!V118:X118)</f>
        <v>Warengruppe&gt;&gt;Früchte und Gemüse&gt;&gt;Früchte und Gemüse&gt;&gt;Früchte</v>
      </c>
      <c r="H119" s="52" t="s">
        <v>109</v>
      </c>
      <c r="J119" s="51" t="str">
        <f>_xlfn.TEXTJOIN(" ",TRUE,Migrationsartikel!B118,Migrationsartikel!E118)</f>
        <v>169</v>
      </c>
      <c r="L119" s="51" t="str">
        <f>_xlfn.TEXTJOIN(" ",TRUE,Migrationsartikel!F118:H118)</f>
        <v>Pflaumen gelb Offen</v>
      </c>
      <c r="M119" s="51" t="str">
        <f>_xlfn.TEXTJOIN(" ",TRUE,Migrationsartikel!J118:L118)</f>
        <v>Prunes jaunes En vrac</v>
      </c>
      <c r="N119" s="51" t="str">
        <f>_xlfn.TEXTJOIN(" ",TRUE,Migrationsartikel!N118:P118)</f>
        <v>Prugne gialle vendita sfusa</v>
      </c>
      <c r="O119" s="51" t="str">
        <f>Migrationsartikel!F118</f>
        <v>Pflaumen gelb</v>
      </c>
      <c r="P119" s="51" t="str">
        <f>Migrationsartikel!J118</f>
        <v>Prunes jaunes</v>
      </c>
      <c r="Q119" s="51" t="str">
        <f>Migrationsartikel!N118</f>
        <v>Prugne gialle</v>
      </c>
      <c r="R119" s="51" t="str">
        <f>_xlfn.TEXTJOIN(" ",TRUE,Migrationsartikel!G118)</f>
        <v>Offen</v>
      </c>
      <c r="S119" s="51" t="str">
        <f>_xlfn.TEXTJOIN(" ",TRUE,Migrationsartikel!K118)</f>
        <v>En vrac</v>
      </c>
      <c r="T119" s="51" t="str">
        <f>_xlfn.TEXTJOIN(" ",TRUE,Migrationsartikel!O118)</f>
        <v>vendita sfusa</v>
      </c>
      <c r="U119" s="51" t="str">
        <f>_xlfn.TEXTJOIN(" ",TRUE,Migrationsartikel!H118)</f>
        <v/>
      </c>
      <c r="V119" s="51" t="str">
        <f>_xlfn.TEXTJOIN(" ",TRUE,Migrationsartikel!L118)</f>
        <v/>
      </c>
      <c r="W119" s="51" t="str">
        <f>_xlfn.TEXTJOIN(" ",TRUE,Migrationsartikel!P118)</f>
        <v/>
      </c>
      <c r="X119" s="51" t="str">
        <f>Migrationsartikel!I118</f>
        <v>Pflaumen gelb Offen</v>
      </c>
      <c r="Y119" s="51" t="str">
        <f>Migrationsartikel!M118</f>
        <v>Prunes jaunes en vrac</v>
      </c>
      <c r="Z119" s="51" t="str">
        <f>Migrationsartikel!Q118</f>
        <v>Prugne gialle vendita sfusa</v>
      </c>
      <c r="AA119" s="60">
        <f>Migrationsartikel!R118</f>
        <v>1</v>
      </c>
      <c r="AB119" s="51" t="str">
        <f>Migrationsartikel!T118</f>
        <v>Kilogramm</v>
      </c>
      <c r="AC119" s="62">
        <f>Migrationsartikel!S118</f>
        <v>1</v>
      </c>
      <c r="AD119" s="51" t="str">
        <f>Migrationsartikel!U118</f>
        <v>(KGM) KG</v>
      </c>
      <c r="AE119" s="95" t="str">
        <f>Migrationsartikel!Y118</f>
        <v>3 - Reduzierter Satz</v>
      </c>
      <c r="AF119" s="64" t="str">
        <f>IF(Migrationsartikel!AA118="Kein Depotartikel","",Migrationsartikel!AA118)</f>
        <v/>
      </c>
      <c r="AG119" s="95" t="str">
        <f>Migrationsartikel!Z118</f>
        <v>Keine</v>
      </c>
      <c r="AH119" s="51" t="str">
        <f>IF(Migrationsartikel!AB118="ja","true",FALSE)</f>
        <v>true</v>
      </c>
      <c r="AI119" s="51" t="str">
        <f>IF(Migrationsartikel!AC118="ja","true",FALSE)</f>
        <v>true</v>
      </c>
      <c r="AJ119" s="51" t="str">
        <f>IF(Migrationsartikel!AD118="ja","true",FALSE)</f>
        <v>true</v>
      </c>
      <c r="AK119" s="51" t="str">
        <f>IF(Migrationsartikel!AE118="ja","true",FALSE)</f>
        <v>true</v>
      </c>
      <c r="AL119" s="51" t="str">
        <f>IF(Migrationsartikel!AF118="ja","Denner Partner","")</f>
        <v/>
      </c>
      <c r="AM119" s="51" t="str">
        <f>IF(Migrationsartikel!AG118="ja","true","false")</f>
        <v>false</v>
      </c>
      <c r="AN119" s="51" t="str">
        <f t="shared" si="2"/>
        <v>Kassentastenbelegung (ohne GTIN/PLU)</v>
      </c>
      <c r="AO119" s="63" t="s">
        <v>219</v>
      </c>
      <c r="AP119" s="62" t="s">
        <v>2546</v>
      </c>
      <c r="AQ119" s="63" t="s">
        <v>217</v>
      </c>
      <c r="AR119" s="30" t="s">
        <v>219</v>
      </c>
    </row>
    <row r="120" spans="2:44" ht="21.75" customHeight="1" x14ac:dyDescent="0.45">
      <c r="B120" s="51" t="s">
        <v>99</v>
      </c>
      <c r="E120" s="52" t="s">
        <v>87</v>
      </c>
      <c r="F120" s="51" t="str">
        <f>"Warengruppe&gt;&gt;"&amp;_xlfn.TEXTJOIN("&gt;&gt;",TRUE,Migrationsartikel!V119:X119)</f>
        <v>Warengruppe&gt;&gt;Früchte und Gemüse&gt;&gt;Früchte und Gemüse&gt;&gt;Früchte</v>
      </c>
      <c r="H120" s="52" t="s">
        <v>109</v>
      </c>
      <c r="J120" s="51" t="str">
        <f>_xlfn.TEXTJOIN(" ",TRUE,Migrationsartikel!B119,Migrationsartikel!E119)</f>
        <v>2213991000005</v>
      </c>
      <c r="L120" s="51" t="str">
        <f>_xlfn.TEXTJOIN(" ",TRUE,Migrationsartikel!F119:H119)</f>
        <v>Pflaumen gelb Schale 500g</v>
      </c>
      <c r="M120" s="51" t="str">
        <f>_xlfn.TEXTJOIN(" ",TRUE,Migrationsartikel!J119:L119)</f>
        <v>Prunes jaunes Barquette 500g</v>
      </c>
      <c r="N120" s="51" t="str">
        <f>_xlfn.TEXTJOIN(" ",TRUE,Migrationsartikel!N119:P119)</f>
        <v>Prugne gialle vaschetta 500g</v>
      </c>
      <c r="O120" s="51" t="str">
        <f>Migrationsartikel!F119</f>
        <v>Pflaumen gelb</v>
      </c>
      <c r="P120" s="51" t="str">
        <f>Migrationsartikel!J119</f>
        <v>Prunes jaunes</v>
      </c>
      <c r="Q120" s="51" t="str">
        <f>Migrationsartikel!N119</f>
        <v>Prugne gialle</v>
      </c>
      <c r="R120" s="51" t="str">
        <f>_xlfn.TEXTJOIN(" ",TRUE,Migrationsartikel!G119)</f>
        <v>Schale</v>
      </c>
      <c r="S120" s="51" t="str">
        <f>_xlfn.TEXTJOIN(" ",TRUE,Migrationsartikel!K119)</f>
        <v>Barquette</v>
      </c>
      <c r="T120" s="51" t="str">
        <f>_xlfn.TEXTJOIN(" ",TRUE,Migrationsartikel!O119)</f>
        <v>vaschetta</v>
      </c>
      <c r="U120" s="51" t="str">
        <f>_xlfn.TEXTJOIN(" ",TRUE,Migrationsartikel!H119)</f>
        <v>500g</v>
      </c>
      <c r="V120" s="51" t="str">
        <f>_xlfn.TEXTJOIN(" ",TRUE,Migrationsartikel!L119)</f>
        <v>500g</v>
      </c>
      <c r="W120" s="51" t="str">
        <f>_xlfn.TEXTJOIN(" ",TRUE,Migrationsartikel!P119)</f>
        <v>500g</v>
      </c>
      <c r="X120" s="51" t="str">
        <f>Migrationsartikel!I119</f>
        <v>Pflaumen gelb Schale 500g</v>
      </c>
      <c r="Y120" s="51" t="str">
        <f>Migrationsartikel!M119</f>
        <v>Prunes jaunes barqu. 500g</v>
      </c>
      <c r="Z120" s="51" t="str">
        <f>Migrationsartikel!Q119</f>
        <v>Prugne gialle vaschetta 500g</v>
      </c>
      <c r="AA120" s="60">
        <f>Migrationsartikel!R119</f>
        <v>0.5</v>
      </c>
      <c r="AB120" s="51" t="str">
        <f>Migrationsartikel!T119</f>
        <v>Kilogramm</v>
      </c>
      <c r="AC120" s="62">
        <f>Migrationsartikel!S119</f>
        <v>1</v>
      </c>
      <c r="AD120" s="51" t="str">
        <f>Migrationsartikel!U119</f>
        <v>(PCE) Stück</v>
      </c>
      <c r="AE120" s="95" t="str">
        <f>Migrationsartikel!Y119</f>
        <v>3 - Reduzierter Satz</v>
      </c>
      <c r="AF120" s="64" t="str">
        <f>IF(Migrationsartikel!AA119="Kein Depotartikel","",Migrationsartikel!AA119)</f>
        <v/>
      </c>
      <c r="AG120" s="95" t="str">
        <f>Migrationsartikel!Z119</f>
        <v>Keine</v>
      </c>
      <c r="AH120" s="51" t="str">
        <f>IF(Migrationsartikel!AB119="ja","true",FALSE)</f>
        <v>true</v>
      </c>
      <c r="AI120" s="51" t="str">
        <f>IF(Migrationsartikel!AC119="ja","true",FALSE)</f>
        <v>true</v>
      </c>
      <c r="AJ120" s="51" t="str">
        <f>IF(Migrationsartikel!AD119="ja","true",FALSE)</f>
        <v>true</v>
      </c>
      <c r="AK120" s="51" t="str">
        <f>IF(Migrationsartikel!AE119="ja","true",FALSE)</f>
        <v>true</v>
      </c>
      <c r="AL120" s="51" t="str">
        <f>IF(Migrationsartikel!AF119="ja","Denner Partner","")</f>
        <v/>
      </c>
      <c r="AM120" s="51" t="str">
        <f>IF(Migrationsartikel!AG119="ja","true","false")</f>
        <v>false</v>
      </c>
      <c r="AN120" s="51" t="str">
        <f t="shared" si="2"/>
        <v>Kassentastenbelegung (ohne GTIN/PLU)</v>
      </c>
      <c r="AO120" s="63" t="s">
        <v>219</v>
      </c>
      <c r="AP120" s="62" t="s">
        <v>2547</v>
      </c>
      <c r="AQ120" s="63" t="s">
        <v>217</v>
      </c>
      <c r="AR120" s="30" t="s">
        <v>219</v>
      </c>
    </row>
    <row r="121" spans="2:44" ht="21.75" customHeight="1" x14ac:dyDescent="0.45">
      <c r="B121" s="51" t="s">
        <v>99</v>
      </c>
      <c r="E121" s="52" t="s">
        <v>87</v>
      </c>
      <c r="F121" s="51" t="str">
        <f>"Warengruppe&gt;&gt;"&amp;_xlfn.TEXTJOIN("&gt;&gt;",TRUE,Migrationsartikel!V120:X120)</f>
        <v>Warengruppe&gt;&gt;Früchte und Gemüse&gt;&gt;Früchte und Gemüse&gt;&gt;Früchte</v>
      </c>
      <c r="H121" s="52" t="s">
        <v>109</v>
      </c>
      <c r="J121" s="51" t="str">
        <f>_xlfn.TEXTJOIN(" ",TRUE,Migrationsartikel!B120,Migrationsartikel!E120)</f>
        <v>2203321000003</v>
      </c>
      <c r="L121" s="51" t="str">
        <f>_xlfn.TEXTJOIN(" ",TRUE,Migrationsartikel!F120:H120)</f>
        <v>Pflaumen Mix Schale 500g</v>
      </c>
      <c r="M121" s="51" t="str">
        <f>_xlfn.TEXTJOIN(" ",TRUE,Migrationsartikel!J120:L120)</f>
        <v>Mélange de prunes Barquette 500g</v>
      </c>
      <c r="N121" s="51" t="str">
        <f>_xlfn.TEXTJOIN(" ",TRUE,Migrationsartikel!N120:P120)</f>
        <v>Prugne assortite vaschetta 500g</v>
      </c>
      <c r="O121" s="51" t="str">
        <f>Migrationsartikel!F120</f>
        <v>Pflaumen Mix</v>
      </c>
      <c r="P121" s="51" t="str">
        <f>Migrationsartikel!J120</f>
        <v>Mélange de prunes</v>
      </c>
      <c r="Q121" s="51" t="str">
        <f>Migrationsartikel!N120</f>
        <v>Prugne assortite</v>
      </c>
      <c r="R121" s="51" t="str">
        <f>_xlfn.TEXTJOIN(" ",TRUE,Migrationsartikel!G120)</f>
        <v>Schale</v>
      </c>
      <c r="S121" s="51" t="str">
        <f>_xlfn.TEXTJOIN(" ",TRUE,Migrationsartikel!K120)</f>
        <v>Barquette</v>
      </c>
      <c r="T121" s="51" t="str">
        <f>_xlfn.TEXTJOIN(" ",TRUE,Migrationsartikel!O120)</f>
        <v>vaschetta</v>
      </c>
      <c r="U121" s="51" t="str">
        <f>_xlfn.TEXTJOIN(" ",TRUE,Migrationsartikel!H120)</f>
        <v>500g</v>
      </c>
      <c r="V121" s="51" t="str">
        <f>_xlfn.TEXTJOIN(" ",TRUE,Migrationsartikel!L120)</f>
        <v>500g</v>
      </c>
      <c r="W121" s="51" t="str">
        <f>_xlfn.TEXTJOIN(" ",TRUE,Migrationsartikel!P120)</f>
        <v>500g</v>
      </c>
      <c r="X121" s="51" t="str">
        <f>Migrationsartikel!I120</f>
        <v>Pflaumen Mix Schale 500g</v>
      </c>
      <c r="Y121" s="51" t="str">
        <f>Migrationsartikel!M120</f>
        <v>Mélanges de prunes bar. 500g</v>
      </c>
      <c r="Z121" s="51" t="str">
        <f>Migrationsartikel!Q120</f>
        <v>Prugne assortite vasch. 500g</v>
      </c>
      <c r="AA121" s="60">
        <f>Migrationsartikel!R120</f>
        <v>0.5</v>
      </c>
      <c r="AB121" s="51" t="str">
        <f>Migrationsartikel!T120</f>
        <v>Kilogramm</v>
      </c>
      <c r="AC121" s="62">
        <f>Migrationsartikel!S120</f>
        <v>1</v>
      </c>
      <c r="AD121" s="51" t="str">
        <f>Migrationsartikel!U120</f>
        <v>(PCE) Stück</v>
      </c>
      <c r="AE121" s="95" t="str">
        <f>Migrationsartikel!Y120</f>
        <v>3 - Reduzierter Satz</v>
      </c>
      <c r="AF121" s="64" t="str">
        <f>IF(Migrationsartikel!AA120="Kein Depotartikel","",Migrationsartikel!AA120)</f>
        <v/>
      </c>
      <c r="AG121" s="95" t="str">
        <f>Migrationsartikel!Z120</f>
        <v>Keine</v>
      </c>
      <c r="AH121" s="51" t="str">
        <f>IF(Migrationsartikel!AB120="ja","true",FALSE)</f>
        <v>true</v>
      </c>
      <c r="AI121" s="51" t="str">
        <f>IF(Migrationsartikel!AC120="ja","true",FALSE)</f>
        <v>true</v>
      </c>
      <c r="AJ121" s="51" t="str">
        <f>IF(Migrationsartikel!AD120="ja","true",FALSE)</f>
        <v>true</v>
      </c>
      <c r="AK121" s="51" t="str">
        <f>IF(Migrationsartikel!AE120="ja","true",FALSE)</f>
        <v>true</v>
      </c>
      <c r="AL121" s="51" t="str">
        <f>IF(Migrationsartikel!AF120="ja","Denner Partner","")</f>
        <v/>
      </c>
      <c r="AM121" s="51" t="str">
        <f>IF(Migrationsartikel!AG120="ja","true","false")</f>
        <v>false</v>
      </c>
      <c r="AN121" s="51" t="str">
        <f t="shared" si="2"/>
        <v>Kassentastenbelegung (ohne GTIN/PLU)</v>
      </c>
      <c r="AO121" s="63" t="s">
        <v>219</v>
      </c>
      <c r="AP121" s="62" t="s">
        <v>2548</v>
      </c>
      <c r="AQ121" s="63" t="s">
        <v>217</v>
      </c>
      <c r="AR121" s="30" t="s">
        <v>219</v>
      </c>
    </row>
    <row r="122" spans="2:44" ht="21.75" customHeight="1" x14ac:dyDescent="0.45">
      <c r="B122" s="51" t="s">
        <v>99</v>
      </c>
      <c r="E122" s="52" t="s">
        <v>87</v>
      </c>
      <c r="F122" s="51" t="str">
        <f>"Warengruppe&gt;&gt;"&amp;_xlfn.TEXTJOIN("&gt;&gt;",TRUE,Migrationsartikel!V121:X121)</f>
        <v>Warengruppe&gt;&gt;Früchte und Gemüse&gt;&gt;Früchte und Gemüse&gt;&gt;Früchte</v>
      </c>
      <c r="H122" s="52" t="s">
        <v>109</v>
      </c>
      <c r="J122" s="51" t="str">
        <f>_xlfn.TEXTJOIN(" ",TRUE,Migrationsartikel!B121,Migrationsartikel!E121)</f>
        <v>170</v>
      </c>
      <c r="L122" s="51" t="str">
        <f>_xlfn.TEXTJOIN(" ",TRUE,Migrationsartikel!F121:H121)</f>
        <v>Pflaumen rot Offen</v>
      </c>
      <c r="M122" s="51" t="str">
        <f>_xlfn.TEXTJOIN(" ",TRUE,Migrationsartikel!J121:L121)</f>
        <v>Prunes rouges En vrac</v>
      </c>
      <c r="N122" s="51" t="str">
        <f>_xlfn.TEXTJOIN(" ",TRUE,Migrationsartikel!N121:P121)</f>
        <v>Prugne rosse vendita sfusa</v>
      </c>
      <c r="O122" s="51" t="str">
        <f>Migrationsartikel!F121</f>
        <v>Pflaumen rot</v>
      </c>
      <c r="P122" s="51" t="str">
        <f>Migrationsartikel!J121</f>
        <v>Prunes rouges</v>
      </c>
      <c r="Q122" s="51" t="str">
        <f>Migrationsartikel!N121</f>
        <v>Prugne rosse</v>
      </c>
      <c r="R122" s="51" t="str">
        <f>_xlfn.TEXTJOIN(" ",TRUE,Migrationsartikel!G121)</f>
        <v>Offen</v>
      </c>
      <c r="S122" s="51" t="str">
        <f>_xlfn.TEXTJOIN(" ",TRUE,Migrationsartikel!K121)</f>
        <v>En vrac</v>
      </c>
      <c r="T122" s="51" t="str">
        <f>_xlfn.TEXTJOIN(" ",TRUE,Migrationsartikel!O121)</f>
        <v>vendita sfusa</v>
      </c>
      <c r="U122" s="51" t="str">
        <f>_xlfn.TEXTJOIN(" ",TRUE,Migrationsartikel!H121)</f>
        <v/>
      </c>
      <c r="V122" s="51" t="str">
        <f>_xlfn.TEXTJOIN(" ",TRUE,Migrationsartikel!L121)</f>
        <v/>
      </c>
      <c r="W122" s="51" t="str">
        <f>_xlfn.TEXTJOIN(" ",TRUE,Migrationsartikel!P121)</f>
        <v/>
      </c>
      <c r="X122" s="51" t="str">
        <f>Migrationsartikel!I121</f>
        <v>Pflaumen rot Offen</v>
      </c>
      <c r="Y122" s="51" t="str">
        <f>Migrationsartikel!M121</f>
        <v>Prunes rouges en vrac</v>
      </c>
      <c r="Z122" s="51" t="str">
        <f>Migrationsartikel!Q121</f>
        <v>Prugne rosse vendita sfusa</v>
      </c>
      <c r="AA122" s="60">
        <f>Migrationsartikel!R121</f>
        <v>1</v>
      </c>
      <c r="AB122" s="51" t="str">
        <f>Migrationsartikel!T121</f>
        <v>Kilogramm</v>
      </c>
      <c r="AC122" s="62">
        <f>Migrationsartikel!S121</f>
        <v>1</v>
      </c>
      <c r="AD122" s="51" t="str">
        <f>Migrationsartikel!U121</f>
        <v>(KGM) KG</v>
      </c>
      <c r="AE122" s="95" t="str">
        <f>Migrationsartikel!Y121</f>
        <v>3 - Reduzierter Satz</v>
      </c>
      <c r="AF122" s="64" t="str">
        <f>IF(Migrationsartikel!AA121="Kein Depotartikel","",Migrationsartikel!AA121)</f>
        <v/>
      </c>
      <c r="AG122" s="95" t="str">
        <f>Migrationsartikel!Z121</f>
        <v>Keine</v>
      </c>
      <c r="AH122" s="51" t="str">
        <f>IF(Migrationsartikel!AB121="ja","true",FALSE)</f>
        <v>true</v>
      </c>
      <c r="AI122" s="51" t="str">
        <f>IF(Migrationsartikel!AC121="ja","true",FALSE)</f>
        <v>true</v>
      </c>
      <c r="AJ122" s="51" t="str">
        <f>IF(Migrationsartikel!AD121="ja","true",FALSE)</f>
        <v>true</v>
      </c>
      <c r="AK122" s="51" t="str">
        <f>IF(Migrationsartikel!AE121="ja","true",FALSE)</f>
        <v>true</v>
      </c>
      <c r="AL122" s="51" t="str">
        <f>IF(Migrationsartikel!AF121="ja","Denner Partner","")</f>
        <v/>
      </c>
      <c r="AM122" s="51" t="str">
        <f>IF(Migrationsartikel!AG121="ja","true","false")</f>
        <v>false</v>
      </c>
      <c r="AN122" s="51" t="str">
        <f t="shared" si="2"/>
        <v>Kassentastenbelegung (ohne GTIN/PLU)</v>
      </c>
      <c r="AO122" s="63" t="s">
        <v>219</v>
      </c>
      <c r="AP122" s="62" t="s">
        <v>2549</v>
      </c>
      <c r="AQ122" s="63" t="s">
        <v>217</v>
      </c>
      <c r="AR122" s="30" t="s">
        <v>219</v>
      </c>
    </row>
    <row r="123" spans="2:44" ht="21.75" customHeight="1" x14ac:dyDescent="0.45">
      <c r="B123" s="51" t="s">
        <v>99</v>
      </c>
      <c r="E123" s="52" t="s">
        <v>87</v>
      </c>
      <c r="F123" s="51" t="str">
        <f>"Warengruppe&gt;&gt;"&amp;_xlfn.TEXTJOIN("&gt;&gt;",TRUE,Migrationsartikel!V122:X122)</f>
        <v>Warengruppe&gt;&gt;Früchte und Gemüse&gt;&gt;Früchte und Gemüse&gt;&gt;Früchte</v>
      </c>
      <c r="H123" s="52" t="s">
        <v>109</v>
      </c>
      <c r="J123" s="51" t="str">
        <f>_xlfn.TEXTJOIN(" ",TRUE,Migrationsartikel!B122,Migrationsartikel!E122)</f>
        <v>2287291000003</v>
      </c>
      <c r="L123" s="51" t="str">
        <f>_xlfn.TEXTJOIN(" ",TRUE,Migrationsartikel!F122:H122)</f>
        <v>Äpfel Pink Lady Kl. 1 gepackt</v>
      </c>
      <c r="M123" s="51" t="str">
        <f>_xlfn.TEXTJOIN(" ",TRUE,Migrationsartikel!J122:L122)</f>
        <v>Pommes Pink Lady Cl. 1 emballé</v>
      </c>
      <c r="N123" s="51" t="str">
        <f>_xlfn.TEXTJOIN(" ",TRUE,Migrationsartikel!N122:P122)</f>
        <v>Mele Pink Lady Cl. 1 confezionato</v>
      </c>
      <c r="O123" s="51" t="str">
        <f>Migrationsartikel!F122</f>
        <v>Äpfel Pink Lady</v>
      </c>
      <c r="P123" s="51" t="str">
        <f>Migrationsartikel!J122</f>
        <v>Pommes Pink Lady</v>
      </c>
      <c r="Q123" s="51" t="str">
        <f>Migrationsartikel!N122</f>
        <v>Mele Pink Lady</v>
      </c>
      <c r="R123" s="51" t="str">
        <f>_xlfn.TEXTJOIN(" ",TRUE,Migrationsartikel!G122)</f>
        <v>Kl. 1 gepackt</v>
      </c>
      <c r="S123" s="51" t="str">
        <f>_xlfn.TEXTJOIN(" ",TRUE,Migrationsartikel!K122)</f>
        <v>Cl. 1 emballé</v>
      </c>
      <c r="T123" s="51" t="str">
        <f>_xlfn.TEXTJOIN(" ",TRUE,Migrationsartikel!O122)</f>
        <v>Cl. 1 confezionato</v>
      </c>
      <c r="U123" s="51" t="str">
        <f>_xlfn.TEXTJOIN(" ",TRUE,Migrationsartikel!H122)</f>
        <v/>
      </c>
      <c r="V123" s="51" t="str">
        <f>_xlfn.TEXTJOIN(" ",TRUE,Migrationsartikel!L122)</f>
        <v/>
      </c>
      <c r="W123" s="51" t="str">
        <f>_xlfn.TEXTJOIN(" ",TRUE,Migrationsartikel!P122)</f>
        <v/>
      </c>
      <c r="X123" s="51" t="str">
        <f>Migrationsartikel!I122</f>
        <v>Äpfel Pink Lady Kl.1 gepackt</v>
      </c>
      <c r="Y123" s="51" t="str">
        <f>Migrationsartikel!M122</f>
        <v>Pommes Pink Lady cl.1 emb.</v>
      </c>
      <c r="Z123" s="51" t="str">
        <f>Migrationsartikel!Q122</f>
        <v>Mele Pink Lady cl. 1 confez.</v>
      </c>
      <c r="AA123" s="60">
        <f>Migrationsartikel!R122</f>
        <v>1</v>
      </c>
      <c r="AB123" s="51" t="str">
        <f>Migrationsartikel!T122</f>
        <v>Kilogramm</v>
      </c>
      <c r="AC123" s="62">
        <f>Migrationsartikel!S122</f>
        <v>1</v>
      </c>
      <c r="AD123" s="51" t="str">
        <f>Migrationsartikel!U122</f>
        <v>(PCE) Stück</v>
      </c>
      <c r="AE123" s="95" t="str">
        <f>Migrationsartikel!Y122</f>
        <v>3 - Reduzierter Satz</v>
      </c>
      <c r="AF123" s="64" t="str">
        <f>IF(Migrationsartikel!AA122="Kein Depotartikel","",Migrationsartikel!AA122)</f>
        <v/>
      </c>
      <c r="AG123" s="95" t="str">
        <f>Migrationsartikel!Z122</f>
        <v>Keine</v>
      </c>
      <c r="AH123" s="51" t="str">
        <f>IF(Migrationsartikel!AB122="ja","true",FALSE)</f>
        <v>true</v>
      </c>
      <c r="AI123" s="51" t="str">
        <f>IF(Migrationsartikel!AC122="ja","true",FALSE)</f>
        <v>true</v>
      </c>
      <c r="AJ123" s="51" t="str">
        <f>IF(Migrationsartikel!AD122="ja","true",FALSE)</f>
        <v>true</v>
      </c>
      <c r="AK123" s="51" t="str">
        <f>IF(Migrationsartikel!AE122="ja","true",FALSE)</f>
        <v>true</v>
      </c>
      <c r="AL123" s="51" t="str">
        <f>IF(Migrationsartikel!AF122="ja","Denner Partner","")</f>
        <v/>
      </c>
      <c r="AM123" s="51" t="str">
        <f>IF(Migrationsartikel!AG122="ja","true","false")</f>
        <v>false</v>
      </c>
      <c r="AN123" s="51" t="str">
        <f t="shared" si="2"/>
        <v>Kassentastenbelegung (ohne GTIN/PLU)</v>
      </c>
      <c r="AO123" s="63" t="s">
        <v>219</v>
      </c>
      <c r="AP123" s="62" t="s">
        <v>2550</v>
      </c>
      <c r="AQ123" s="63" t="s">
        <v>217</v>
      </c>
      <c r="AR123" s="30" t="s">
        <v>219</v>
      </c>
    </row>
    <row r="124" spans="2:44" ht="21.75" customHeight="1" x14ac:dyDescent="0.45">
      <c r="B124" s="51" t="s">
        <v>99</v>
      </c>
      <c r="E124" s="52" t="s">
        <v>87</v>
      </c>
      <c r="F124" s="51" t="str">
        <f>"Warengruppe&gt;&gt;"&amp;_xlfn.TEXTJOIN("&gt;&gt;",TRUE,Migrationsartikel!V123:X123)</f>
        <v>Warengruppe&gt;&gt;Früchte und Gemüse&gt;&gt;Früchte und Gemüse&gt;&gt;Früchte</v>
      </c>
      <c r="H124" s="52" t="s">
        <v>109</v>
      </c>
      <c r="J124" s="51" t="str">
        <f>_xlfn.TEXTJOIN(" ",TRUE,Migrationsartikel!B123,Migrationsartikel!E123)</f>
        <v>126</v>
      </c>
      <c r="L124" s="51" t="str">
        <f>_xlfn.TEXTJOIN(" ",TRUE,Migrationsartikel!F123:H123)</f>
        <v>Äpfel Pinova Offen Kl. 1</v>
      </c>
      <c r="M124" s="51" t="str">
        <f>_xlfn.TEXTJOIN(" ",TRUE,Migrationsartikel!J123:L123)</f>
        <v>Pommes Pinova En vrac, cl. 1</v>
      </c>
      <c r="N124" s="51" t="str">
        <f>_xlfn.TEXTJOIN(" ",TRUE,Migrationsartikel!N123:P123)</f>
        <v>Mele Pinova Cl. 1 vendita sfusa</v>
      </c>
      <c r="O124" s="51" t="str">
        <f>Migrationsartikel!F123</f>
        <v>Äpfel Pinova</v>
      </c>
      <c r="P124" s="51" t="str">
        <f>Migrationsartikel!J123</f>
        <v>Pommes Pinova</v>
      </c>
      <c r="Q124" s="51" t="str">
        <f>Migrationsartikel!N123</f>
        <v>Mele Pinova</v>
      </c>
      <c r="R124" s="51" t="str">
        <f>_xlfn.TEXTJOIN(" ",TRUE,Migrationsartikel!G123)</f>
        <v>Offen Kl. 1</v>
      </c>
      <c r="S124" s="51" t="str">
        <f>_xlfn.TEXTJOIN(" ",TRUE,Migrationsartikel!K123)</f>
        <v>En vrac, cl. 1</v>
      </c>
      <c r="T124" s="51" t="str">
        <f>_xlfn.TEXTJOIN(" ",TRUE,Migrationsartikel!O123)</f>
        <v>Cl. 1 vendita sfusa</v>
      </c>
      <c r="U124" s="51" t="str">
        <f>_xlfn.TEXTJOIN(" ",TRUE,Migrationsartikel!H123)</f>
        <v/>
      </c>
      <c r="V124" s="51" t="str">
        <f>_xlfn.TEXTJOIN(" ",TRUE,Migrationsartikel!L123)</f>
        <v/>
      </c>
      <c r="W124" s="51" t="str">
        <f>_xlfn.TEXTJOIN(" ",TRUE,Migrationsartikel!P123)</f>
        <v/>
      </c>
      <c r="X124" s="51" t="str">
        <f>Migrationsartikel!I123</f>
        <v>Äpfel Pinova Offen Kl. 1</v>
      </c>
      <c r="Y124" s="51" t="str">
        <f>Migrationsartikel!M123</f>
        <v>Pommes Pinova cl. 1 en vrac</v>
      </c>
      <c r="Z124" s="51" t="str">
        <f>Migrationsartikel!Q123</f>
        <v>Mele Pinova cl. 1 v. sfusa</v>
      </c>
      <c r="AA124" s="60">
        <f>Migrationsartikel!R123</f>
        <v>1</v>
      </c>
      <c r="AB124" s="51" t="str">
        <f>Migrationsartikel!T123</f>
        <v>Kilogramm</v>
      </c>
      <c r="AC124" s="62">
        <f>Migrationsartikel!S123</f>
        <v>1</v>
      </c>
      <c r="AD124" s="51" t="str">
        <f>Migrationsartikel!U123</f>
        <v>(KGM) KG</v>
      </c>
      <c r="AE124" s="95" t="str">
        <f>Migrationsartikel!Y123</f>
        <v>3 - Reduzierter Satz</v>
      </c>
      <c r="AF124" s="64" t="str">
        <f>IF(Migrationsartikel!AA123="Kein Depotartikel","",Migrationsartikel!AA123)</f>
        <v/>
      </c>
      <c r="AG124" s="95" t="str">
        <f>Migrationsartikel!Z123</f>
        <v>Keine</v>
      </c>
      <c r="AH124" s="51" t="str">
        <f>IF(Migrationsartikel!AB123="ja","true",FALSE)</f>
        <v>true</v>
      </c>
      <c r="AI124" s="51" t="str">
        <f>IF(Migrationsartikel!AC123="ja","true",FALSE)</f>
        <v>true</v>
      </c>
      <c r="AJ124" s="51" t="str">
        <f>IF(Migrationsartikel!AD123="ja","true",FALSE)</f>
        <v>true</v>
      </c>
      <c r="AK124" s="51" t="str">
        <f>IF(Migrationsartikel!AE123="ja","true",FALSE)</f>
        <v>true</v>
      </c>
      <c r="AL124" s="51" t="str">
        <f>IF(Migrationsartikel!AF123="ja","Denner Partner","")</f>
        <v/>
      </c>
      <c r="AM124" s="51" t="str">
        <f>IF(Migrationsartikel!AG123="ja","true","false")</f>
        <v>false</v>
      </c>
      <c r="AN124" s="51" t="str">
        <f t="shared" si="2"/>
        <v>Kassentastenbelegung (ohne GTIN/PLU)</v>
      </c>
      <c r="AO124" s="63" t="s">
        <v>219</v>
      </c>
      <c r="AP124" s="62" t="s">
        <v>2551</v>
      </c>
      <c r="AQ124" s="63" t="s">
        <v>217</v>
      </c>
      <c r="AR124" s="30" t="s">
        <v>219</v>
      </c>
    </row>
    <row r="125" spans="2:44" ht="21.75" customHeight="1" x14ac:dyDescent="0.45">
      <c r="B125" s="51" t="s">
        <v>99</v>
      </c>
      <c r="E125" s="52" t="s">
        <v>87</v>
      </c>
      <c r="F125" s="51" t="str">
        <f>"Warengruppe&gt;&gt;"&amp;_xlfn.TEXTJOIN("&gt;&gt;",TRUE,Migrationsartikel!V124:X124)</f>
        <v>Warengruppe&gt;&gt;Früchte und Gemüse&gt;&gt;Früchte und Gemüse&gt;&gt;Früchte</v>
      </c>
      <c r="H125" s="52" t="s">
        <v>109</v>
      </c>
      <c r="J125" s="51" t="str">
        <f>_xlfn.TEXTJOIN(" ",TRUE,Migrationsartikel!B124,Migrationsartikel!E124)</f>
        <v>2202451000006</v>
      </c>
      <c r="L125" s="51" t="str">
        <f>_xlfn.TEXTJOIN(" ",TRUE,Migrationsartikel!F124:H124)</f>
        <v>Äpfel Pinova Kl. 1 gepackt</v>
      </c>
      <c r="M125" s="51" t="str">
        <f>_xlfn.TEXTJOIN(" ",TRUE,Migrationsartikel!J124:L124)</f>
        <v>Pommes Pinova Cl. 1 emballé</v>
      </c>
      <c r="N125" s="51" t="str">
        <f>_xlfn.TEXTJOIN(" ",TRUE,Migrationsartikel!N124:P124)</f>
        <v>Mele Pinova Cl. 1 confezionato</v>
      </c>
      <c r="O125" s="51" t="str">
        <f>Migrationsartikel!F124</f>
        <v>Äpfel Pinova</v>
      </c>
      <c r="P125" s="51" t="str">
        <f>Migrationsartikel!J124</f>
        <v>Pommes Pinova</v>
      </c>
      <c r="Q125" s="51" t="str">
        <f>Migrationsartikel!N124</f>
        <v>Mele Pinova</v>
      </c>
      <c r="R125" s="51" t="str">
        <f>_xlfn.TEXTJOIN(" ",TRUE,Migrationsartikel!G124)</f>
        <v>Kl. 1 gepackt</v>
      </c>
      <c r="S125" s="51" t="str">
        <f>_xlfn.TEXTJOIN(" ",TRUE,Migrationsartikel!K124)</f>
        <v>Cl. 1 emballé</v>
      </c>
      <c r="T125" s="51" t="str">
        <f>_xlfn.TEXTJOIN(" ",TRUE,Migrationsartikel!O124)</f>
        <v>Cl. 1 confezionato</v>
      </c>
      <c r="U125" s="51" t="str">
        <f>_xlfn.TEXTJOIN(" ",TRUE,Migrationsartikel!H124)</f>
        <v/>
      </c>
      <c r="V125" s="51" t="str">
        <f>_xlfn.TEXTJOIN(" ",TRUE,Migrationsartikel!L124)</f>
        <v/>
      </c>
      <c r="W125" s="51" t="str">
        <f>_xlfn.TEXTJOIN(" ",TRUE,Migrationsartikel!P124)</f>
        <v/>
      </c>
      <c r="X125" s="51" t="str">
        <f>Migrationsartikel!I124</f>
        <v>Äpfel Pinova Kl. 1 gepackt</v>
      </c>
      <c r="Y125" s="51" t="str">
        <f>Migrationsartikel!M124</f>
        <v>Pommes Pinova cl. 1 embal.</v>
      </c>
      <c r="Z125" s="51" t="str">
        <f>Migrationsartikel!Q124</f>
        <v>Mele Pinova cl. 1 confez.</v>
      </c>
      <c r="AA125" s="60">
        <f>Migrationsartikel!R124</f>
        <v>1</v>
      </c>
      <c r="AB125" s="51" t="str">
        <f>Migrationsartikel!T124</f>
        <v>Kilogramm</v>
      </c>
      <c r="AC125" s="62">
        <f>Migrationsartikel!S124</f>
        <v>1</v>
      </c>
      <c r="AD125" s="51" t="str">
        <f>Migrationsartikel!U124</f>
        <v>(PCE) Stück</v>
      </c>
      <c r="AE125" s="95" t="str">
        <f>Migrationsartikel!Y124</f>
        <v>3 - Reduzierter Satz</v>
      </c>
      <c r="AF125" s="64" t="str">
        <f>IF(Migrationsartikel!AA124="Kein Depotartikel","",Migrationsartikel!AA124)</f>
        <v/>
      </c>
      <c r="AG125" s="95" t="str">
        <f>Migrationsartikel!Z124</f>
        <v>Keine</v>
      </c>
      <c r="AH125" s="51" t="str">
        <f>IF(Migrationsartikel!AB124="ja","true",FALSE)</f>
        <v>true</v>
      </c>
      <c r="AI125" s="51" t="str">
        <f>IF(Migrationsartikel!AC124="ja","true",FALSE)</f>
        <v>true</v>
      </c>
      <c r="AJ125" s="51" t="str">
        <f>IF(Migrationsartikel!AD124="ja","true",FALSE)</f>
        <v>true</v>
      </c>
      <c r="AK125" s="51" t="str">
        <f>IF(Migrationsartikel!AE124="ja","true",FALSE)</f>
        <v>true</v>
      </c>
      <c r="AL125" s="51" t="str">
        <f>IF(Migrationsartikel!AF124="ja","Denner Partner","")</f>
        <v/>
      </c>
      <c r="AM125" s="51" t="str">
        <f>IF(Migrationsartikel!AG124="ja","true","false")</f>
        <v>false</v>
      </c>
      <c r="AN125" s="51" t="str">
        <f t="shared" si="2"/>
        <v>Kassentastenbelegung (ohne GTIN/PLU)</v>
      </c>
      <c r="AO125" s="63" t="s">
        <v>219</v>
      </c>
      <c r="AP125" s="62" t="s">
        <v>2552</v>
      </c>
      <c r="AQ125" s="63" t="s">
        <v>217</v>
      </c>
      <c r="AR125" s="30" t="s">
        <v>219</v>
      </c>
    </row>
    <row r="126" spans="2:44" ht="21.75" customHeight="1" x14ac:dyDescent="0.45">
      <c r="B126" s="51" t="s">
        <v>99</v>
      </c>
      <c r="E126" s="52" t="s">
        <v>87</v>
      </c>
      <c r="F126" s="51" t="str">
        <f>"Warengruppe&gt;&gt;"&amp;_xlfn.TEXTJOIN("&gt;&gt;",TRUE,Migrationsartikel!V125:X125)</f>
        <v>Warengruppe&gt;&gt;Früchte und Gemüse&gt;&gt;Früchte und Gemüse&gt;&gt;Früchte</v>
      </c>
      <c r="H126" s="52" t="s">
        <v>109</v>
      </c>
      <c r="J126" s="51" t="str">
        <f>_xlfn.TEXTJOIN(" ",TRUE,Migrationsartikel!B125,Migrationsartikel!E125)</f>
        <v/>
      </c>
      <c r="L126" s="51" t="str">
        <f>_xlfn.TEXTJOIN(" ",TRUE,Migrationsartikel!F125:H125)</f>
        <v>Pomelos Stk</v>
      </c>
      <c r="M126" s="51" t="str">
        <f>_xlfn.TEXTJOIN(" ",TRUE,Migrationsartikel!J125:L125)</f>
        <v>Pomélos pce</v>
      </c>
      <c r="N126" s="51" t="str">
        <f>_xlfn.TEXTJOIN(" ",TRUE,Migrationsartikel!N125:P125)</f>
        <v>Pomeli pz</v>
      </c>
      <c r="O126" s="51" t="str">
        <f>Migrationsartikel!F125</f>
        <v>Pomelos</v>
      </c>
      <c r="P126" s="51" t="str">
        <f>Migrationsartikel!J125</f>
        <v>Pomélos</v>
      </c>
      <c r="Q126" s="51" t="str">
        <f>Migrationsartikel!N125</f>
        <v>Pomeli</v>
      </c>
      <c r="R126" s="51" t="str">
        <f>_xlfn.TEXTJOIN(" ",TRUE,Migrationsartikel!G125)</f>
        <v/>
      </c>
      <c r="S126" s="51" t="str">
        <f>_xlfn.TEXTJOIN(" ",TRUE,Migrationsartikel!K125)</f>
        <v/>
      </c>
      <c r="T126" s="51" t="str">
        <f>_xlfn.TEXTJOIN(" ",TRUE,Migrationsartikel!O125)</f>
        <v/>
      </c>
      <c r="U126" s="51" t="str">
        <f>_xlfn.TEXTJOIN(" ",TRUE,Migrationsartikel!H125)</f>
        <v>Stk</v>
      </c>
      <c r="V126" s="51" t="str">
        <f>_xlfn.TEXTJOIN(" ",TRUE,Migrationsartikel!L125)</f>
        <v>pce</v>
      </c>
      <c r="W126" s="51" t="str">
        <f>_xlfn.TEXTJOIN(" ",TRUE,Migrationsartikel!P125)</f>
        <v>pz</v>
      </c>
      <c r="X126" s="51" t="str">
        <f>Migrationsartikel!I125</f>
        <v>Pomelos Stk</v>
      </c>
      <c r="Y126" s="51" t="str">
        <f>Migrationsartikel!M125</f>
        <v>Pomélos pce</v>
      </c>
      <c r="Z126" s="51" t="str">
        <f>Migrationsartikel!Q125</f>
        <v>Pomeli pz</v>
      </c>
      <c r="AA126" s="60">
        <f>Migrationsartikel!R125</f>
        <v>1</v>
      </c>
      <c r="AB126" s="51" t="str">
        <f>Migrationsartikel!T125</f>
        <v>Stück</v>
      </c>
      <c r="AC126" s="62">
        <f>Migrationsartikel!S125</f>
        <v>1</v>
      </c>
      <c r="AD126" s="51" t="str">
        <f>Migrationsartikel!U125</f>
        <v>(PCE) Stück</v>
      </c>
      <c r="AE126" s="95" t="str">
        <f>Migrationsartikel!Y125</f>
        <v>3 - Reduzierter Satz</v>
      </c>
      <c r="AF126" s="64" t="str">
        <f>IF(Migrationsartikel!AA125="Kein Depotartikel","",Migrationsartikel!AA125)</f>
        <v/>
      </c>
      <c r="AG126" s="95" t="str">
        <f>Migrationsartikel!Z125</f>
        <v>Keine</v>
      </c>
      <c r="AH126" s="51" t="str">
        <f>IF(Migrationsartikel!AB125="ja","true",FALSE)</f>
        <v>true</v>
      </c>
      <c r="AI126" s="51" t="str">
        <f>IF(Migrationsartikel!AC125="ja","true",FALSE)</f>
        <v>true</v>
      </c>
      <c r="AJ126" s="51" t="str">
        <f>IF(Migrationsartikel!AD125="ja","true",FALSE)</f>
        <v>true</v>
      </c>
      <c r="AK126" s="51" t="str">
        <f>IF(Migrationsartikel!AE125="ja","true",FALSE)</f>
        <v>true</v>
      </c>
      <c r="AL126" s="51" t="str">
        <f>IF(Migrationsartikel!AF125="ja","Denner Partner","")</f>
        <v/>
      </c>
      <c r="AM126" s="51" t="str">
        <f>IF(Migrationsartikel!AG125="ja","true","false")</f>
        <v>false</v>
      </c>
      <c r="AN126" s="51" t="str">
        <f t="shared" si="2"/>
        <v>Kassentastenbelegung (ohne GTIN/PLU)</v>
      </c>
      <c r="AO126" s="63" t="s">
        <v>219</v>
      </c>
      <c r="AP126" s="62" t="s">
        <v>2553</v>
      </c>
      <c r="AQ126" s="63" t="s">
        <v>217</v>
      </c>
      <c r="AR126" s="30" t="s">
        <v>219</v>
      </c>
    </row>
    <row r="127" spans="2:44" ht="21.75" customHeight="1" x14ac:dyDescent="0.45">
      <c r="B127" s="51" t="s">
        <v>99</v>
      </c>
      <c r="E127" s="52" t="s">
        <v>87</v>
      </c>
      <c r="F127" s="51" t="str">
        <f>"Warengruppe&gt;&gt;"&amp;_xlfn.TEXTJOIN("&gt;&gt;",TRUE,Migrationsartikel!V126:X126)</f>
        <v>Warengruppe&gt;&gt;Früchte und Gemüse&gt;&gt;Früchte und Gemüse&gt;&gt;Früchte</v>
      </c>
      <c r="H127" s="52" t="s">
        <v>109</v>
      </c>
      <c r="J127" s="51" t="str">
        <f>_xlfn.TEXTJOIN(" ",TRUE,Migrationsartikel!B126,Migrationsartikel!E126)</f>
        <v>128</v>
      </c>
      <c r="L127" s="51" t="str">
        <f>_xlfn.TEXTJOIN(" ",TRUE,Migrationsartikel!F126:H126)</f>
        <v>Äpfel Red Delicious Offen Kl. 1</v>
      </c>
      <c r="M127" s="51" t="str">
        <f>_xlfn.TEXTJOIN(" ",TRUE,Migrationsartikel!J126:L126)</f>
        <v>Pommes Red Delicious En vrac, cl. 1</v>
      </c>
      <c r="N127" s="51" t="str">
        <f>_xlfn.TEXTJOIN(" ",TRUE,Migrationsartikel!N126:P126)</f>
        <v>Mele Red Delicious Cl. 1 vendita sfusa</v>
      </c>
      <c r="O127" s="51" t="str">
        <f>Migrationsartikel!F126</f>
        <v>Äpfel Red Delicious</v>
      </c>
      <c r="P127" s="51" t="str">
        <f>Migrationsartikel!J126</f>
        <v>Pommes Red Delicious</v>
      </c>
      <c r="Q127" s="51" t="str">
        <f>Migrationsartikel!N126</f>
        <v>Mele Red Delicious</v>
      </c>
      <c r="R127" s="51" t="str">
        <f>_xlfn.TEXTJOIN(" ",TRUE,Migrationsartikel!G126)</f>
        <v>Offen Kl. 1</v>
      </c>
      <c r="S127" s="51" t="str">
        <f>_xlfn.TEXTJOIN(" ",TRUE,Migrationsartikel!K126)</f>
        <v>En vrac, cl. 1</v>
      </c>
      <c r="T127" s="51" t="str">
        <f>_xlfn.TEXTJOIN(" ",TRUE,Migrationsartikel!O126)</f>
        <v>Cl. 1 vendita sfusa</v>
      </c>
      <c r="U127" s="51" t="str">
        <f>_xlfn.TEXTJOIN(" ",TRUE,Migrationsartikel!H126)</f>
        <v/>
      </c>
      <c r="V127" s="51" t="str">
        <f>_xlfn.TEXTJOIN(" ",TRUE,Migrationsartikel!L126)</f>
        <v/>
      </c>
      <c r="W127" s="51" t="str">
        <f>_xlfn.TEXTJOIN(" ",TRUE,Migrationsartikel!P126)</f>
        <v/>
      </c>
      <c r="X127" s="51" t="str">
        <f>Migrationsartikel!I126</f>
        <v>Äpfel Red Delicious Off Kl.1</v>
      </c>
      <c r="Y127" s="51" t="str">
        <f>Migrationsartikel!M126</f>
        <v>Pommes Red Delic. cl.1 en v.</v>
      </c>
      <c r="Z127" s="51" t="str">
        <f>Migrationsartikel!Q126</f>
        <v>Mele Red Delicious cl.1 v.s.</v>
      </c>
      <c r="AA127" s="60">
        <f>Migrationsartikel!R126</f>
        <v>1</v>
      </c>
      <c r="AB127" s="51" t="str">
        <f>Migrationsartikel!T126</f>
        <v>Kilogramm</v>
      </c>
      <c r="AC127" s="62">
        <f>Migrationsartikel!S126</f>
        <v>1</v>
      </c>
      <c r="AD127" s="51" t="str">
        <f>Migrationsartikel!U126</f>
        <v>(KGM) KG</v>
      </c>
      <c r="AE127" s="95" t="str">
        <f>Migrationsartikel!Y126</f>
        <v>3 - Reduzierter Satz</v>
      </c>
      <c r="AF127" s="64" t="str">
        <f>IF(Migrationsartikel!AA126="Kein Depotartikel","",Migrationsartikel!AA126)</f>
        <v/>
      </c>
      <c r="AG127" s="95" t="str">
        <f>Migrationsartikel!Z126</f>
        <v>Keine</v>
      </c>
      <c r="AH127" s="51" t="str">
        <f>IF(Migrationsartikel!AB126="ja","true",FALSE)</f>
        <v>true</v>
      </c>
      <c r="AI127" s="51" t="str">
        <f>IF(Migrationsartikel!AC126="ja","true",FALSE)</f>
        <v>true</v>
      </c>
      <c r="AJ127" s="51" t="str">
        <f>IF(Migrationsartikel!AD126="ja","true",FALSE)</f>
        <v>true</v>
      </c>
      <c r="AK127" s="51" t="str">
        <f>IF(Migrationsartikel!AE126="ja","true",FALSE)</f>
        <v>true</v>
      </c>
      <c r="AL127" s="51" t="str">
        <f>IF(Migrationsartikel!AF126="ja","Denner Partner","")</f>
        <v/>
      </c>
      <c r="AM127" s="51" t="str">
        <f>IF(Migrationsartikel!AG126="ja","true","false")</f>
        <v>false</v>
      </c>
      <c r="AN127" s="51" t="str">
        <f t="shared" si="2"/>
        <v>Kassentastenbelegung (ohne GTIN/PLU)</v>
      </c>
      <c r="AO127" s="63" t="s">
        <v>219</v>
      </c>
      <c r="AP127" s="62" t="s">
        <v>2554</v>
      </c>
      <c r="AQ127" s="63" t="s">
        <v>217</v>
      </c>
      <c r="AR127" s="30" t="s">
        <v>219</v>
      </c>
    </row>
    <row r="128" spans="2:44" ht="21.75" customHeight="1" x14ac:dyDescent="0.45">
      <c r="B128" s="51" t="s">
        <v>99</v>
      </c>
      <c r="E128" s="52" t="s">
        <v>87</v>
      </c>
      <c r="F128" s="51" t="str">
        <f>"Warengruppe&gt;&gt;"&amp;_xlfn.TEXTJOIN("&gt;&gt;",TRUE,Migrationsartikel!V127:X127)</f>
        <v>Warengruppe&gt;&gt;Früchte und Gemüse&gt;&gt;Früchte und Gemüse&gt;&gt;Früchte</v>
      </c>
      <c r="H128" s="52" t="s">
        <v>109</v>
      </c>
      <c r="J128" s="51" t="str">
        <f>_xlfn.TEXTJOIN(" ",TRUE,Migrationsartikel!B127,Migrationsartikel!E127)</f>
        <v>2205497000000</v>
      </c>
      <c r="L128" s="51" t="str">
        <f>_xlfn.TEXTJOIN(" ",TRUE,Migrationsartikel!F127:H127)</f>
        <v>Äpfel Red Delicious Kl. 1 gepackt</v>
      </c>
      <c r="M128" s="51" t="str">
        <f>_xlfn.TEXTJOIN(" ",TRUE,Migrationsartikel!J127:L127)</f>
        <v>Pommes Red Delicious Cl. 1 emballé</v>
      </c>
      <c r="N128" s="51" t="str">
        <f>_xlfn.TEXTJOIN(" ",TRUE,Migrationsartikel!N127:P127)</f>
        <v>Mele Red Delicious Cl. 1 confezionato</v>
      </c>
      <c r="O128" s="51" t="str">
        <f>Migrationsartikel!F127</f>
        <v>Äpfel Red Delicious</v>
      </c>
      <c r="P128" s="51" t="str">
        <f>Migrationsartikel!J127</f>
        <v>Pommes Red Delicious</v>
      </c>
      <c r="Q128" s="51" t="str">
        <f>Migrationsartikel!N127</f>
        <v>Mele Red Delicious</v>
      </c>
      <c r="R128" s="51" t="str">
        <f>_xlfn.TEXTJOIN(" ",TRUE,Migrationsartikel!G127)</f>
        <v>Kl. 1 gepackt</v>
      </c>
      <c r="S128" s="51" t="str">
        <f>_xlfn.TEXTJOIN(" ",TRUE,Migrationsartikel!K127)</f>
        <v>Cl. 1 emballé</v>
      </c>
      <c r="T128" s="51" t="str">
        <f>_xlfn.TEXTJOIN(" ",TRUE,Migrationsartikel!O127)</f>
        <v>Cl. 1 confezionato</v>
      </c>
      <c r="U128" s="51" t="str">
        <f>_xlfn.TEXTJOIN(" ",TRUE,Migrationsartikel!H127)</f>
        <v/>
      </c>
      <c r="V128" s="51" t="str">
        <f>_xlfn.TEXTJOIN(" ",TRUE,Migrationsartikel!L127)</f>
        <v/>
      </c>
      <c r="W128" s="51" t="str">
        <f>_xlfn.TEXTJOIN(" ",TRUE,Migrationsartikel!P127)</f>
        <v/>
      </c>
      <c r="X128" s="51" t="str">
        <f>Migrationsartikel!I127</f>
        <v>Äpfel Red Delicious Kl.1 gep</v>
      </c>
      <c r="Y128" s="51" t="str">
        <f>Migrationsartikel!M127</f>
        <v>Pommes Red Delic. cl.1 emb.</v>
      </c>
      <c r="Z128" s="51" t="str">
        <f>Migrationsartikel!Q127</f>
        <v>Mele Red Delicious cl.1 conf</v>
      </c>
      <c r="AA128" s="60">
        <f>Migrationsartikel!R127</f>
        <v>1</v>
      </c>
      <c r="AB128" s="51" t="str">
        <f>Migrationsartikel!T127</f>
        <v>Kilogramm</v>
      </c>
      <c r="AC128" s="62">
        <f>Migrationsartikel!S127</f>
        <v>1</v>
      </c>
      <c r="AD128" s="51" t="str">
        <f>Migrationsartikel!U127</f>
        <v>(PCE) Stück</v>
      </c>
      <c r="AE128" s="95" t="str">
        <f>Migrationsartikel!Y127</f>
        <v>3 - Reduzierter Satz</v>
      </c>
      <c r="AF128" s="64" t="str">
        <f>IF(Migrationsartikel!AA127="Kein Depotartikel","",Migrationsartikel!AA127)</f>
        <v/>
      </c>
      <c r="AG128" s="95" t="str">
        <f>Migrationsartikel!Z127</f>
        <v>Keine</v>
      </c>
      <c r="AH128" s="51" t="str">
        <f>IF(Migrationsartikel!AB127="ja","true",FALSE)</f>
        <v>true</v>
      </c>
      <c r="AI128" s="51" t="str">
        <f>IF(Migrationsartikel!AC127="ja","true",FALSE)</f>
        <v>true</v>
      </c>
      <c r="AJ128" s="51" t="str">
        <f>IF(Migrationsartikel!AD127="ja","true",FALSE)</f>
        <v>true</v>
      </c>
      <c r="AK128" s="51" t="str">
        <f>IF(Migrationsartikel!AE127="ja","true",FALSE)</f>
        <v>true</v>
      </c>
      <c r="AL128" s="51" t="str">
        <f>IF(Migrationsartikel!AF127="ja","Denner Partner","")</f>
        <v/>
      </c>
      <c r="AM128" s="51" t="str">
        <f>IF(Migrationsartikel!AG127="ja","true","false")</f>
        <v>false</v>
      </c>
      <c r="AN128" s="51" t="str">
        <f t="shared" si="2"/>
        <v>Kassentastenbelegung (ohne GTIN/PLU)</v>
      </c>
      <c r="AO128" s="63" t="s">
        <v>219</v>
      </c>
      <c r="AP128" s="62" t="s">
        <v>2555</v>
      </c>
      <c r="AQ128" s="63" t="s">
        <v>217</v>
      </c>
      <c r="AR128" s="30" t="s">
        <v>219</v>
      </c>
    </row>
    <row r="129" spans="2:44" ht="21.75" customHeight="1" x14ac:dyDescent="0.45">
      <c r="B129" s="51" t="s">
        <v>99</v>
      </c>
      <c r="E129" s="52" t="s">
        <v>87</v>
      </c>
      <c r="F129" s="51" t="str">
        <f>"Warengruppe&gt;&gt;"&amp;_xlfn.TEXTJOIN("&gt;&gt;",TRUE,Migrationsartikel!V128:X128)</f>
        <v>Warengruppe&gt;&gt;Früchte und Gemüse&gt;&gt;Früchte und Gemüse&gt;&gt;Früchte</v>
      </c>
      <c r="H129" s="52" t="s">
        <v>109</v>
      </c>
      <c r="J129" s="51" t="str">
        <f>_xlfn.TEXTJOIN(" ",TRUE,Migrationsartikel!B128,Migrationsartikel!E128)</f>
        <v>129</v>
      </c>
      <c r="L129" s="51" t="str">
        <f>_xlfn.TEXTJOIN(" ",TRUE,Migrationsartikel!F128:H128)</f>
        <v>Äpfel Rubens Offen Kl. 1</v>
      </c>
      <c r="M129" s="51" t="str">
        <f>_xlfn.TEXTJOIN(" ",TRUE,Migrationsartikel!J128:L128)</f>
        <v>Pommes Rubens En vrac, cl. 1</v>
      </c>
      <c r="N129" s="51" t="str">
        <f>_xlfn.TEXTJOIN(" ",TRUE,Migrationsartikel!N128:P128)</f>
        <v>Mele Rubens Cl. 1 vendita sfusa</v>
      </c>
      <c r="O129" s="51" t="str">
        <f>Migrationsartikel!F128</f>
        <v>Äpfel Rubens</v>
      </c>
      <c r="P129" s="51" t="str">
        <f>Migrationsartikel!J128</f>
        <v>Pommes Rubens</v>
      </c>
      <c r="Q129" s="51" t="str">
        <f>Migrationsartikel!N128</f>
        <v>Mele Rubens</v>
      </c>
      <c r="R129" s="51" t="str">
        <f>_xlfn.TEXTJOIN(" ",TRUE,Migrationsartikel!G128)</f>
        <v>Offen Kl. 1</v>
      </c>
      <c r="S129" s="51" t="str">
        <f>_xlfn.TEXTJOIN(" ",TRUE,Migrationsartikel!K128)</f>
        <v>En vrac, cl. 1</v>
      </c>
      <c r="T129" s="51" t="str">
        <f>_xlfn.TEXTJOIN(" ",TRUE,Migrationsartikel!O128)</f>
        <v>Cl. 1 vendita sfusa</v>
      </c>
      <c r="U129" s="51" t="str">
        <f>_xlfn.TEXTJOIN(" ",TRUE,Migrationsartikel!H128)</f>
        <v/>
      </c>
      <c r="V129" s="51" t="str">
        <f>_xlfn.TEXTJOIN(" ",TRUE,Migrationsartikel!L128)</f>
        <v/>
      </c>
      <c r="W129" s="51" t="str">
        <f>_xlfn.TEXTJOIN(" ",TRUE,Migrationsartikel!P128)</f>
        <v/>
      </c>
      <c r="X129" s="51" t="str">
        <f>Migrationsartikel!I128</f>
        <v>Äpfel Rubens Offen Kl. 1</v>
      </c>
      <c r="Y129" s="51" t="str">
        <f>Migrationsartikel!M128</f>
        <v>Pommes Rubens cl. 1 en vrac</v>
      </c>
      <c r="Z129" s="51" t="str">
        <f>Migrationsartikel!Q128</f>
        <v>Mele Rubens cl. 1 v. sfusa</v>
      </c>
      <c r="AA129" s="60">
        <f>Migrationsartikel!R128</f>
        <v>1</v>
      </c>
      <c r="AB129" s="51" t="str">
        <f>Migrationsartikel!T128</f>
        <v>Kilogramm</v>
      </c>
      <c r="AC129" s="62">
        <f>Migrationsartikel!S128</f>
        <v>1</v>
      </c>
      <c r="AD129" s="51" t="str">
        <f>Migrationsartikel!U128</f>
        <v>(KGM) KG</v>
      </c>
      <c r="AE129" s="95" t="str">
        <f>Migrationsartikel!Y128</f>
        <v>3 - Reduzierter Satz</v>
      </c>
      <c r="AF129" s="64" t="str">
        <f>IF(Migrationsartikel!AA128="Kein Depotartikel","",Migrationsartikel!AA128)</f>
        <v/>
      </c>
      <c r="AG129" s="95" t="str">
        <f>Migrationsartikel!Z128</f>
        <v>Keine</v>
      </c>
      <c r="AH129" s="51" t="str">
        <f>IF(Migrationsartikel!AB128="ja","true",FALSE)</f>
        <v>true</v>
      </c>
      <c r="AI129" s="51" t="str">
        <f>IF(Migrationsartikel!AC128="ja","true",FALSE)</f>
        <v>true</v>
      </c>
      <c r="AJ129" s="51" t="str">
        <f>IF(Migrationsartikel!AD128="ja","true",FALSE)</f>
        <v>true</v>
      </c>
      <c r="AK129" s="51" t="str">
        <f>IF(Migrationsartikel!AE128="ja","true",FALSE)</f>
        <v>true</v>
      </c>
      <c r="AL129" s="51" t="str">
        <f>IF(Migrationsartikel!AF128="ja","Denner Partner","")</f>
        <v/>
      </c>
      <c r="AM129" s="51" t="str">
        <f>IF(Migrationsartikel!AG128="ja","true","false")</f>
        <v>false</v>
      </c>
      <c r="AN129" s="51" t="str">
        <f t="shared" si="2"/>
        <v>Kassentastenbelegung (ohne GTIN/PLU)</v>
      </c>
      <c r="AO129" s="63" t="s">
        <v>219</v>
      </c>
      <c r="AP129" s="62" t="s">
        <v>2556</v>
      </c>
      <c r="AQ129" s="63" t="s">
        <v>217</v>
      </c>
      <c r="AR129" s="30" t="s">
        <v>219</v>
      </c>
    </row>
    <row r="130" spans="2:44" ht="21.75" customHeight="1" x14ac:dyDescent="0.45">
      <c r="B130" s="51" t="s">
        <v>99</v>
      </c>
      <c r="E130" s="52" t="s">
        <v>87</v>
      </c>
      <c r="F130" s="51" t="str">
        <f>"Warengruppe&gt;&gt;"&amp;_xlfn.TEXTJOIN("&gt;&gt;",TRUE,Migrationsartikel!V129:X129)</f>
        <v>Warengruppe&gt;&gt;Früchte und Gemüse&gt;&gt;Früchte und Gemüse&gt;&gt;Früchte</v>
      </c>
      <c r="H130" s="52" t="s">
        <v>109</v>
      </c>
      <c r="J130" s="51" t="str">
        <f>_xlfn.TEXTJOIN(" ",TRUE,Migrationsartikel!B129,Migrationsartikel!E129)</f>
        <v>2254611000005</v>
      </c>
      <c r="L130" s="51" t="str">
        <f>_xlfn.TEXTJOIN(" ",TRUE,Migrationsartikel!F129:H129)</f>
        <v>Äpfel Rubens Kl. 1 gepackt</v>
      </c>
      <c r="M130" s="51" t="str">
        <f>_xlfn.TEXTJOIN(" ",TRUE,Migrationsartikel!J129:L129)</f>
        <v>Pommes Rubens Cl. 1 emballé</v>
      </c>
      <c r="N130" s="51" t="str">
        <f>_xlfn.TEXTJOIN(" ",TRUE,Migrationsartikel!N129:P129)</f>
        <v>Mele Rubens Cl. 1 confezionato</v>
      </c>
      <c r="O130" s="51" t="str">
        <f>Migrationsartikel!F129</f>
        <v>Äpfel Rubens</v>
      </c>
      <c r="P130" s="51" t="str">
        <f>Migrationsartikel!J129</f>
        <v>Pommes Rubens</v>
      </c>
      <c r="Q130" s="51" t="str">
        <f>Migrationsartikel!N129</f>
        <v>Mele Rubens</v>
      </c>
      <c r="R130" s="51" t="str">
        <f>_xlfn.TEXTJOIN(" ",TRUE,Migrationsartikel!G129)</f>
        <v>Kl. 1 gepackt</v>
      </c>
      <c r="S130" s="51" t="str">
        <f>_xlfn.TEXTJOIN(" ",TRUE,Migrationsartikel!K129)</f>
        <v>Cl. 1 emballé</v>
      </c>
      <c r="T130" s="51" t="str">
        <f>_xlfn.TEXTJOIN(" ",TRUE,Migrationsartikel!O129)</f>
        <v>Cl. 1 confezionato</v>
      </c>
      <c r="U130" s="51" t="str">
        <f>_xlfn.TEXTJOIN(" ",TRUE,Migrationsartikel!H129)</f>
        <v/>
      </c>
      <c r="V130" s="51" t="str">
        <f>_xlfn.TEXTJOIN(" ",TRUE,Migrationsartikel!L129)</f>
        <v/>
      </c>
      <c r="W130" s="51" t="str">
        <f>_xlfn.TEXTJOIN(" ",TRUE,Migrationsartikel!P129)</f>
        <v/>
      </c>
      <c r="X130" s="51" t="str">
        <f>Migrationsartikel!I129</f>
        <v>Äpfel Rubens Kl. 1 gepackt</v>
      </c>
      <c r="Y130" s="51" t="str">
        <f>Migrationsartikel!M129</f>
        <v>Pommes Rubens cl. 1 emballé</v>
      </c>
      <c r="Z130" s="51" t="str">
        <f>Migrationsartikel!Q129</f>
        <v>Mele Rubens cl. 1 confez.</v>
      </c>
      <c r="AA130" s="60">
        <f>Migrationsartikel!R129</f>
        <v>1</v>
      </c>
      <c r="AB130" s="51" t="str">
        <f>Migrationsartikel!T129</f>
        <v>Kilogramm</v>
      </c>
      <c r="AC130" s="62">
        <f>Migrationsartikel!S129</f>
        <v>1</v>
      </c>
      <c r="AD130" s="51" t="str">
        <f>Migrationsartikel!U129</f>
        <v>(PCE) Stück</v>
      </c>
      <c r="AE130" s="95" t="str">
        <f>Migrationsartikel!Y129</f>
        <v>3 - Reduzierter Satz</v>
      </c>
      <c r="AF130" s="64" t="str">
        <f>IF(Migrationsartikel!AA129="Kein Depotartikel","",Migrationsartikel!AA129)</f>
        <v/>
      </c>
      <c r="AG130" s="95" t="str">
        <f>Migrationsartikel!Z129</f>
        <v>Keine</v>
      </c>
      <c r="AH130" s="51" t="str">
        <f>IF(Migrationsartikel!AB129="ja","true",FALSE)</f>
        <v>true</v>
      </c>
      <c r="AI130" s="51" t="str">
        <f>IF(Migrationsartikel!AC129="ja","true",FALSE)</f>
        <v>true</v>
      </c>
      <c r="AJ130" s="51" t="str">
        <f>IF(Migrationsartikel!AD129="ja","true",FALSE)</f>
        <v>true</v>
      </c>
      <c r="AK130" s="51" t="str">
        <f>IF(Migrationsartikel!AE129="ja","true",FALSE)</f>
        <v>true</v>
      </c>
      <c r="AL130" s="51" t="str">
        <f>IF(Migrationsartikel!AF129="ja","Denner Partner","")</f>
        <v/>
      </c>
      <c r="AM130" s="51" t="str">
        <f>IF(Migrationsartikel!AG129="ja","true","false")</f>
        <v>false</v>
      </c>
      <c r="AN130" s="51" t="str">
        <f t="shared" si="2"/>
        <v>Kassentastenbelegung (ohne GTIN/PLU)</v>
      </c>
      <c r="AO130" s="63" t="s">
        <v>219</v>
      </c>
      <c r="AP130" s="62" t="s">
        <v>2557</v>
      </c>
      <c r="AQ130" s="63" t="s">
        <v>217</v>
      </c>
      <c r="AR130" s="30" t="s">
        <v>219</v>
      </c>
    </row>
    <row r="131" spans="2:44" ht="21.75" customHeight="1" x14ac:dyDescent="0.45">
      <c r="B131" s="51" t="s">
        <v>99</v>
      </c>
      <c r="E131" s="52" t="s">
        <v>87</v>
      </c>
      <c r="F131" s="51" t="str">
        <f>"Warengruppe&gt;&gt;"&amp;_xlfn.TEXTJOIN("&gt;&gt;",TRUE,Migrationsartikel!V130:X130)</f>
        <v>Warengruppe&gt;&gt;Früchte und Gemüse&gt;&gt;Früchte und Gemüse&gt;&gt;Früchte</v>
      </c>
      <c r="H131" s="52" t="s">
        <v>109</v>
      </c>
      <c r="J131" s="51" t="str">
        <f>_xlfn.TEXTJOIN(" ",TRUE,Migrationsartikel!B130,Migrationsartikel!E130)</f>
        <v>130</v>
      </c>
      <c r="L131" s="51" t="str">
        <f>_xlfn.TEXTJOIN(" ",TRUE,Migrationsartikel!F130:H130)</f>
        <v>Äpfel Rubinette Offen Kl. 1</v>
      </c>
      <c r="M131" s="51" t="str">
        <f>_xlfn.TEXTJOIN(" ",TRUE,Migrationsartikel!J130:L130)</f>
        <v>Pommes Rubinette En vrac, cl. 1</v>
      </c>
      <c r="N131" s="51" t="str">
        <f>_xlfn.TEXTJOIN(" ",TRUE,Migrationsartikel!N130:P130)</f>
        <v>Mele Rubinette Cl. 1 vendita sfusa</v>
      </c>
      <c r="O131" s="51" t="str">
        <f>Migrationsartikel!F130</f>
        <v>Äpfel Rubinette</v>
      </c>
      <c r="P131" s="51" t="str">
        <f>Migrationsartikel!J130</f>
        <v>Pommes Rubinette</v>
      </c>
      <c r="Q131" s="51" t="str">
        <f>Migrationsartikel!N130</f>
        <v>Mele Rubinette</v>
      </c>
      <c r="R131" s="51" t="str">
        <f>_xlfn.TEXTJOIN(" ",TRUE,Migrationsartikel!G130)</f>
        <v>Offen Kl. 1</v>
      </c>
      <c r="S131" s="51" t="str">
        <f>_xlfn.TEXTJOIN(" ",TRUE,Migrationsartikel!K130)</f>
        <v>En vrac, cl. 1</v>
      </c>
      <c r="T131" s="51" t="str">
        <f>_xlfn.TEXTJOIN(" ",TRUE,Migrationsartikel!O130)</f>
        <v>Cl. 1 vendita sfusa</v>
      </c>
      <c r="U131" s="51" t="str">
        <f>_xlfn.TEXTJOIN(" ",TRUE,Migrationsartikel!H130)</f>
        <v/>
      </c>
      <c r="V131" s="51" t="str">
        <f>_xlfn.TEXTJOIN(" ",TRUE,Migrationsartikel!L130)</f>
        <v/>
      </c>
      <c r="W131" s="51" t="str">
        <f>_xlfn.TEXTJOIN(" ",TRUE,Migrationsartikel!P130)</f>
        <v/>
      </c>
      <c r="X131" s="51" t="str">
        <f>Migrationsartikel!I130</f>
        <v>Äpfel Rubinette Offen Kl. 1</v>
      </c>
      <c r="Y131" s="51" t="str">
        <f>Migrationsartikel!M130</f>
        <v>Pommes Rubinette cl.1 en vr.</v>
      </c>
      <c r="Z131" s="51" t="str">
        <f>Migrationsartikel!Q130</f>
        <v>Mele Rubinette cl.1 v. sfusa</v>
      </c>
      <c r="AA131" s="60">
        <f>Migrationsartikel!R130</f>
        <v>1</v>
      </c>
      <c r="AB131" s="51" t="str">
        <f>Migrationsartikel!T130</f>
        <v>Kilogramm</v>
      </c>
      <c r="AC131" s="62">
        <f>Migrationsartikel!S130</f>
        <v>1</v>
      </c>
      <c r="AD131" s="51" t="str">
        <f>Migrationsartikel!U130</f>
        <v>(KGM) KG</v>
      </c>
      <c r="AE131" s="95" t="str">
        <f>Migrationsartikel!Y130</f>
        <v>3 - Reduzierter Satz</v>
      </c>
      <c r="AF131" s="64" t="str">
        <f>IF(Migrationsartikel!AA130="Kein Depotartikel","",Migrationsartikel!AA130)</f>
        <v/>
      </c>
      <c r="AG131" s="95" t="str">
        <f>Migrationsartikel!Z130</f>
        <v>Keine</v>
      </c>
      <c r="AH131" s="51" t="str">
        <f>IF(Migrationsartikel!AB130="ja","true",FALSE)</f>
        <v>true</v>
      </c>
      <c r="AI131" s="51" t="str">
        <f>IF(Migrationsartikel!AC130="ja","true",FALSE)</f>
        <v>true</v>
      </c>
      <c r="AJ131" s="51" t="str">
        <f>IF(Migrationsartikel!AD130="ja","true",FALSE)</f>
        <v>true</v>
      </c>
      <c r="AK131" s="51" t="str">
        <f>IF(Migrationsartikel!AE130="ja","true",FALSE)</f>
        <v>true</v>
      </c>
      <c r="AL131" s="51" t="str">
        <f>IF(Migrationsartikel!AF130="ja","Denner Partner","")</f>
        <v/>
      </c>
      <c r="AM131" s="51" t="str">
        <f>IF(Migrationsartikel!AG130="ja","true","false")</f>
        <v>false</v>
      </c>
      <c r="AN131" s="51" t="str">
        <f t="shared" si="2"/>
        <v>Kassentastenbelegung (ohne GTIN/PLU)</v>
      </c>
      <c r="AO131" s="63" t="s">
        <v>219</v>
      </c>
      <c r="AP131" s="62" t="s">
        <v>2558</v>
      </c>
      <c r="AQ131" s="63" t="s">
        <v>217</v>
      </c>
      <c r="AR131" s="30" t="s">
        <v>219</v>
      </c>
    </row>
    <row r="132" spans="2:44" ht="21.75" customHeight="1" x14ac:dyDescent="0.45">
      <c r="B132" s="51" t="s">
        <v>99</v>
      </c>
      <c r="E132" s="52" t="s">
        <v>87</v>
      </c>
      <c r="F132" s="51" t="str">
        <f>"Warengruppe&gt;&gt;"&amp;_xlfn.TEXTJOIN("&gt;&gt;",TRUE,Migrationsartikel!V131:X131)</f>
        <v>Warengruppe&gt;&gt;Früchte und Gemüse&gt;&gt;Früchte und Gemüse&gt;&gt;Früchte</v>
      </c>
      <c r="H132" s="52" t="s">
        <v>109</v>
      </c>
      <c r="J132" s="51" t="str">
        <f>_xlfn.TEXTJOIN(" ",TRUE,Migrationsartikel!B131,Migrationsartikel!E131)</f>
        <v>2202501000000</v>
      </c>
      <c r="L132" s="51" t="str">
        <f>_xlfn.TEXTJOIN(" ",TRUE,Migrationsartikel!F131:H131)</f>
        <v>Äpfel Rubinette Kl. 1</v>
      </c>
      <c r="M132" s="51" t="str">
        <f>_xlfn.TEXTJOIN(" ",TRUE,Migrationsartikel!J131:L131)</f>
        <v>Pommes Rubinette Cl. 1</v>
      </c>
      <c r="N132" s="51" t="str">
        <f>_xlfn.TEXTJOIN(" ",TRUE,Migrationsartikel!N131:P131)</f>
        <v>Mele Rubinette Cl. 1</v>
      </c>
      <c r="O132" s="51" t="str">
        <f>Migrationsartikel!F131</f>
        <v>Äpfel Rubinette</v>
      </c>
      <c r="P132" s="51" t="str">
        <f>Migrationsartikel!J131</f>
        <v>Pommes Rubinette</v>
      </c>
      <c r="Q132" s="51" t="str">
        <f>Migrationsartikel!N131</f>
        <v>Mele Rubinette</v>
      </c>
      <c r="R132" s="51" t="str">
        <f>_xlfn.TEXTJOIN(" ",TRUE,Migrationsartikel!G131)</f>
        <v>Kl. 1</v>
      </c>
      <c r="S132" s="51" t="str">
        <f>_xlfn.TEXTJOIN(" ",TRUE,Migrationsartikel!K131)</f>
        <v>Cl. 1</v>
      </c>
      <c r="T132" s="51" t="str">
        <f>_xlfn.TEXTJOIN(" ",TRUE,Migrationsartikel!O131)</f>
        <v>Cl. 1</v>
      </c>
      <c r="U132" s="51" t="str">
        <f>_xlfn.TEXTJOIN(" ",TRUE,Migrationsartikel!H131)</f>
        <v/>
      </c>
      <c r="V132" s="51" t="str">
        <f>_xlfn.TEXTJOIN(" ",TRUE,Migrationsartikel!L131)</f>
        <v/>
      </c>
      <c r="W132" s="51" t="str">
        <f>_xlfn.TEXTJOIN(" ",TRUE,Migrationsartikel!P131)</f>
        <v/>
      </c>
      <c r="X132" s="51" t="str">
        <f>Migrationsartikel!I131</f>
        <v>Äpfel Rubinette Kl. 1</v>
      </c>
      <c r="Y132" s="51" t="str">
        <f>Migrationsartikel!M131</f>
        <v>Pommes Rubinette cl. 1</v>
      </c>
      <c r="Z132" s="51" t="str">
        <f>Migrationsartikel!Q131</f>
        <v>Mele Rubinette cl. 1</v>
      </c>
      <c r="AA132" s="60">
        <f>Migrationsartikel!R131</f>
        <v>1</v>
      </c>
      <c r="AB132" s="51" t="str">
        <f>Migrationsartikel!T131</f>
        <v>Kilogramm</v>
      </c>
      <c r="AC132" s="62">
        <f>Migrationsartikel!S131</f>
        <v>1</v>
      </c>
      <c r="AD132" s="51" t="str">
        <f>Migrationsartikel!U131</f>
        <v>(PCE) Stück</v>
      </c>
      <c r="AE132" s="95" t="str">
        <f>Migrationsartikel!Y131</f>
        <v>3 - Reduzierter Satz</v>
      </c>
      <c r="AF132" s="64" t="str">
        <f>IF(Migrationsartikel!AA131="Kein Depotartikel","",Migrationsartikel!AA131)</f>
        <v/>
      </c>
      <c r="AG132" s="95" t="str">
        <f>Migrationsartikel!Z131</f>
        <v>Keine</v>
      </c>
      <c r="AH132" s="51" t="str">
        <f>IF(Migrationsartikel!AB131="ja","true",FALSE)</f>
        <v>true</v>
      </c>
      <c r="AI132" s="51" t="str">
        <f>IF(Migrationsartikel!AC131="ja","true",FALSE)</f>
        <v>true</v>
      </c>
      <c r="AJ132" s="51" t="str">
        <f>IF(Migrationsartikel!AD131="ja","true",FALSE)</f>
        <v>true</v>
      </c>
      <c r="AK132" s="51" t="str">
        <f>IF(Migrationsartikel!AE131="ja","true",FALSE)</f>
        <v>true</v>
      </c>
      <c r="AL132" s="51" t="str">
        <f>IF(Migrationsartikel!AF131="ja","Denner Partner","")</f>
        <v/>
      </c>
      <c r="AM132" s="51" t="str">
        <f>IF(Migrationsartikel!AG131="ja","true","false")</f>
        <v>false</v>
      </c>
      <c r="AN132" s="51" t="str">
        <f t="shared" ref="AN132:AN195" si="3">IF(AND(ISNUMBER(J132),J132&gt;=100,J132&lt;=999),"PLU",IF(AND(ISNUMBER(J132),J132&gt;999),"GTIN","Kassentastenbelegung (ohne GTIN/PLU)"))</f>
        <v>Kassentastenbelegung (ohne GTIN/PLU)</v>
      </c>
      <c r="AO132" s="63" t="s">
        <v>219</v>
      </c>
      <c r="AP132" s="62" t="s">
        <v>2559</v>
      </c>
      <c r="AQ132" s="63" t="s">
        <v>217</v>
      </c>
      <c r="AR132" s="30" t="s">
        <v>219</v>
      </c>
    </row>
    <row r="133" spans="2:44" ht="21.75" customHeight="1" x14ac:dyDescent="0.45">
      <c r="B133" s="51" t="s">
        <v>99</v>
      </c>
      <c r="E133" s="52" t="s">
        <v>87</v>
      </c>
      <c r="F133" s="51" t="str">
        <f>"Warengruppe&gt;&gt;"&amp;_xlfn.TEXTJOIN("&gt;&gt;",TRUE,Migrationsartikel!V132:X132)</f>
        <v>Warengruppe&gt;&gt;Früchte und Gemüse&gt;&gt;Früchte und Gemüse&gt;&gt;Früchte</v>
      </c>
      <c r="H133" s="52" t="s">
        <v>109</v>
      </c>
      <c r="J133" s="51" t="str">
        <f>_xlfn.TEXTJOIN(" ",TRUE,Migrationsartikel!B132,Migrationsartikel!E132)</f>
        <v>7613399001317</v>
      </c>
      <c r="L133" s="51" t="str">
        <f>_xlfn.TEXTJOIN(" ",TRUE,Migrationsartikel!F132:H132)</f>
        <v>Saison Becher Typ1 200g</v>
      </c>
      <c r="M133" s="51" t="str">
        <f>_xlfn.TEXTJOIN(" ",TRUE,Migrationsartikel!J132:L132)</f>
        <v>Gobelet saisonnier T1 200g</v>
      </c>
      <c r="N133" s="51" t="str">
        <f>_xlfn.TEXTJOIN(" ",TRUE,Migrationsartikel!N132:P132)</f>
        <v>Stagione Bicchiere tipo 1 200g</v>
      </c>
      <c r="O133" s="51" t="str">
        <f>Migrationsartikel!F132</f>
        <v>Saison Becher Typ1</v>
      </c>
      <c r="P133" s="51" t="str">
        <f>Migrationsartikel!J132</f>
        <v>Gobelet saisonnier T1</v>
      </c>
      <c r="Q133" s="51" t="str">
        <f>Migrationsartikel!N132</f>
        <v>Stagione Bicchiere</v>
      </c>
      <c r="R133" s="51" t="str">
        <f>_xlfn.TEXTJOIN(" ",TRUE,Migrationsartikel!G132)</f>
        <v/>
      </c>
      <c r="S133" s="51" t="str">
        <f>_xlfn.TEXTJOIN(" ",TRUE,Migrationsartikel!K132)</f>
        <v/>
      </c>
      <c r="T133" s="51" t="str">
        <f>_xlfn.TEXTJOIN(" ",TRUE,Migrationsartikel!O132)</f>
        <v>tipo 1</v>
      </c>
      <c r="U133" s="51" t="str">
        <f>_xlfn.TEXTJOIN(" ",TRUE,Migrationsartikel!H132)</f>
        <v>200g</v>
      </c>
      <c r="V133" s="51" t="str">
        <f>_xlfn.TEXTJOIN(" ",TRUE,Migrationsartikel!L132)</f>
        <v>200g</v>
      </c>
      <c r="W133" s="51" t="str">
        <f>_xlfn.TEXTJOIN(" ",TRUE,Migrationsartikel!P132)</f>
        <v>200g</v>
      </c>
      <c r="X133" s="51" t="str">
        <f>Migrationsartikel!I132</f>
        <v>Saison Becher Typ 1 200g</v>
      </c>
      <c r="Y133" s="51" t="str">
        <f>Migrationsartikel!M132</f>
        <v>Gobelet saisonnier T1 200g</v>
      </c>
      <c r="Z133" s="51" t="str">
        <f>Migrationsartikel!Q132</f>
        <v>Stagione Bicchiere t.1 200g</v>
      </c>
      <c r="AA133" s="60">
        <f>Migrationsartikel!R132</f>
        <v>0.2</v>
      </c>
      <c r="AB133" s="51" t="str">
        <f>Migrationsartikel!T132</f>
        <v>Gramm</v>
      </c>
      <c r="AC133" s="62">
        <f>Migrationsartikel!S132</f>
        <v>100</v>
      </c>
      <c r="AD133" s="51" t="str">
        <f>Migrationsartikel!U132</f>
        <v>(PCE) Stück</v>
      </c>
      <c r="AE133" s="95" t="str">
        <f>Migrationsartikel!Y132</f>
        <v>3 - Reduzierter Satz</v>
      </c>
      <c r="AF133" s="64" t="str">
        <f>IF(Migrationsartikel!AA132="Kein Depotartikel","",Migrationsartikel!AA132)</f>
        <v/>
      </c>
      <c r="AG133" s="95" t="str">
        <f>Migrationsartikel!Z132</f>
        <v>Keine</v>
      </c>
      <c r="AH133" s="51" t="str">
        <f>IF(Migrationsartikel!AB132="ja","true",FALSE)</f>
        <v>true</v>
      </c>
      <c r="AI133" s="51" t="str">
        <f>IF(Migrationsartikel!AC132="ja","true",FALSE)</f>
        <v>true</v>
      </c>
      <c r="AJ133" s="51" t="str">
        <f>IF(Migrationsartikel!AD132="ja","true",FALSE)</f>
        <v>true</v>
      </c>
      <c r="AK133" s="51" t="str">
        <f>IF(Migrationsartikel!AE132="ja","true",FALSE)</f>
        <v>true</v>
      </c>
      <c r="AL133" s="51" t="str">
        <f>IF(Migrationsartikel!AF132="ja","Denner Partner","")</f>
        <v/>
      </c>
      <c r="AM133" s="51" t="str">
        <f>IF(Migrationsartikel!AG132="ja","true","false")</f>
        <v>false</v>
      </c>
      <c r="AN133" s="51" t="str">
        <f t="shared" si="3"/>
        <v>Kassentastenbelegung (ohne GTIN/PLU)</v>
      </c>
      <c r="AO133" s="63" t="s">
        <v>219</v>
      </c>
      <c r="AP133" s="62" t="s">
        <v>2560</v>
      </c>
      <c r="AQ133" s="63" t="s">
        <v>217</v>
      </c>
      <c r="AR133" s="30" t="s">
        <v>219</v>
      </c>
    </row>
    <row r="134" spans="2:44" ht="21.75" customHeight="1" x14ac:dyDescent="0.45">
      <c r="B134" s="51" t="s">
        <v>99</v>
      </c>
      <c r="E134" s="52" t="s">
        <v>87</v>
      </c>
      <c r="F134" s="51" t="str">
        <f>"Warengruppe&gt;&gt;"&amp;_xlfn.TEXTJOIN("&gt;&gt;",TRUE,Migrationsartikel!V133:X133)</f>
        <v>Warengruppe&gt;&gt;Früchte und Gemüse&gt;&gt;Früchte und Gemüse&gt;&gt;Früchte</v>
      </c>
      <c r="H134" s="52" t="s">
        <v>109</v>
      </c>
      <c r="J134" s="51" t="str">
        <f>_xlfn.TEXTJOIN(" ",TRUE,Migrationsartikel!B133,Migrationsartikel!E133)</f>
        <v>7613399001324</v>
      </c>
      <c r="L134" s="51" t="str">
        <f>_xlfn.TEXTJOIN(" ",TRUE,Migrationsartikel!F133:H133)</f>
        <v>Saison Becher Typ2 200g</v>
      </c>
      <c r="M134" s="51" t="str">
        <f>_xlfn.TEXTJOIN(" ",TRUE,Migrationsartikel!J133:L133)</f>
        <v>Gobelet saisonnier T2 200g</v>
      </c>
      <c r="N134" s="51" t="str">
        <f>_xlfn.TEXTJOIN(" ",TRUE,Migrationsartikel!N133:P133)</f>
        <v>Stagione Bicchiere tipo 2 200g</v>
      </c>
      <c r="O134" s="51" t="str">
        <f>Migrationsartikel!F133</f>
        <v>Saison Becher Typ2</v>
      </c>
      <c r="P134" s="51" t="str">
        <f>Migrationsartikel!J133</f>
        <v>Gobelet saisonnier T2</v>
      </c>
      <c r="Q134" s="51" t="str">
        <f>Migrationsartikel!N133</f>
        <v>Stagione Bicchiere</v>
      </c>
      <c r="R134" s="51" t="str">
        <f>_xlfn.TEXTJOIN(" ",TRUE,Migrationsartikel!G133)</f>
        <v/>
      </c>
      <c r="S134" s="51" t="str">
        <f>_xlfn.TEXTJOIN(" ",TRUE,Migrationsartikel!K133)</f>
        <v/>
      </c>
      <c r="T134" s="51" t="str">
        <f>_xlfn.TEXTJOIN(" ",TRUE,Migrationsartikel!O133)</f>
        <v>tipo 2</v>
      </c>
      <c r="U134" s="51" t="str">
        <f>_xlfn.TEXTJOIN(" ",TRUE,Migrationsartikel!H133)</f>
        <v>200g</v>
      </c>
      <c r="V134" s="51" t="str">
        <f>_xlfn.TEXTJOIN(" ",TRUE,Migrationsartikel!L133)</f>
        <v>200g</v>
      </c>
      <c r="W134" s="51" t="str">
        <f>_xlfn.TEXTJOIN(" ",TRUE,Migrationsartikel!P133)</f>
        <v>200g</v>
      </c>
      <c r="X134" s="51" t="str">
        <f>Migrationsartikel!I133</f>
        <v>Saison Becher Typ 2 200g</v>
      </c>
      <c r="Y134" s="51" t="str">
        <f>Migrationsartikel!M133</f>
        <v>Gobelet saisonnier T2 200g</v>
      </c>
      <c r="Z134" s="51" t="str">
        <f>Migrationsartikel!Q133</f>
        <v>Stagione Bicchiere t.2 200g</v>
      </c>
      <c r="AA134" s="60">
        <f>Migrationsartikel!R133</f>
        <v>0.2</v>
      </c>
      <c r="AB134" s="51" t="str">
        <f>Migrationsartikel!T133</f>
        <v>Gramm</v>
      </c>
      <c r="AC134" s="62">
        <f>Migrationsartikel!S133</f>
        <v>100</v>
      </c>
      <c r="AD134" s="51" t="str">
        <f>Migrationsartikel!U133</f>
        <v>(PCE) Stück</v>
      </c>
      <c r="AE134" s="95" t="str">
        <f>Migrationsartikel!Y133</f>
        <v>3 - Reduzierter Satz</v>
      </c>
      <c r="AF134" s="64" t="str">
        <f>IF(Migrationsartikel!AA133="Kein Depotartikel","",Migrationsartikel!AA133)</f>
        <v/>
      </c>
      <c r="AG134" s="95" t="str">
        <f>Migrationsartikel!Z133</f>
        <v>Keine</v>
      </c>
      <c r="AH134" s="51" t="str">
        <f>IF(Migrationsartikel!AB133="ja","true",FALSE)</f>
        <v>true</v>
      </c>
      <c r="AI134" s="51" t="str">
        <f>IF(Migrationsartikel!AC133="ja","true",FALSE)</f>
        <v>true</v>
      </c>
      <c r="AJ134" s="51" t="str">
        <f>IF(Migrationsartikel!AD133="ja","true",FALSE)</f>
        <v>true</v>
      </c>
      <c r="AK134" s="51" t="str">
        <f>IF(Migrationsartikel!AE133="ja","true",FALSE)</f>
        <v>true</v>
      </c>
      <c r="AL134" s="51" t="str">
        <f>IF(Migrationsartikel!AF133="ja","Denner Partner","")</f>
        <v/>
      </c>
      <c r="AM134" s="51" t="str">
        <f>IF(Migrationsartikel!AG133="ja","true","false")</f>
        <v>false</v>
      </c>
      <c r="AN134" s="51" t="str">
        <f t="shared" si="3"/>
        <v>Kassentastenbelegung (ohne GTIN/PLU)</v>
      </c>
      <c r="AO134" s="63" t="s">
        <v>219</v>
      </c>
      <c r="AP134" s="62" t="s">
        <v>2561</v>
      </c>
      <c r="AQ134" s="63" t="s">
        <v>217</v>
      </c>
      <c r="AR134" s="30" t="s">
        <v>219</v>
      </c>
    </row>
    <row r="135" spans="2:44" ht="21.75" customHeight="1" x14ac:dyDescent="0.45">
      <c r="B135" s="51" t="s">
        <v>99</v>
      </c>
      <c r="E135" s="52" t="s">
        <v>87</v>
      </c>
      <c r="F135" s="51" t="str">
        <f>"Warengruppe&gt;&gt;"&amp;_xlfn.TEXTJOIN("&gt;&gt;",TRUE,Migrationsartikel!V134:X134)</f>
        <v>Warengruppe&gt;&gt;Früchte und Gemüse&gt;&gt;Früchte und Gemüse&gt;&gt;Früchte</v>
      </c>
      <c r="H135" s="52" t="s">
        <v>109</v>
      </c>
      <c r="J135" s="51" t="str">
        <f>_xlfn.TEXTJOIN(" ",TRUE,Migrationsartikel!B134,Migrationsartikel!E134)</f>
        <v>171</v>
      </c>
      <c r="L135" s="51" t="str">
        <f>_xlfn.TEXTJOIN(" ",TRUE,Migrationsartikel!F134:H134)</f>
        <v>Satsumas Offen</v>
      </c>
      <c r="M135" s="51" t="str">
        <f>_xlfn.TEXTJOIN(" ",TRUE,Migrationsartikel!J134:L134)</f>
        <v>Satsumas En vrac</v>
      </c>
      <c r="N135" s="51" t="str">
        <f>_xlfn.TEXTJOIN(" ",TRUE,Migrationsartikel!N134:P134)</f>
        <v>Satsumas vendita sfusa</v>
      </c>
      <c r="O135" s="51" t="str">
        <f>Migrationsartikel!F134</f>
        <v>Satsumas</v>
      </c>
      <c r="P135" s="51" t="str">
        <f>Migrationsartikel!J134</f>
        <v>Satsumas</v>
      </c>
      <c r="Q135" s="51" t="str">
        <f>Migrationsartikel!N134</f>
        <v>Satsumas</v>
      </c>
      <c r="R135" s="51" t="str">
        <f>_xlfn.TEXTJOIN(" ",TRUE,Migrationsartikel!G134)</f>
        <v>Offen</v>
      </c>
      <c r="S135" s="51" t="str">
        <f>_xlfn.TEXTJOIN(" ",TRUE,Migrationsartikel!K134)</f>
        <v>En vrac</v>
      </c>
      <c r="T135" s="51" t="str">
        <f>_xlfn.TEXTJOIN(" ",TRUE,Migrationsartikel!O134)</f>
        <v>vendita sfusa</v>
      </c>
      <c r="U135" s="51" t="str">
        <f>_xlfn.TEXTJOIN(" ",TRUE,Migrationsartikel!H134)</f>
        <v/>
      </c>
      <c r="V135" s="51" t="str">
        <f>_xlfn.TEXTJOIN(" ",TRUE,Migrationsartikel!L134)</f>
        <v/>
      </c>
      <c r="W135" s="51" t="str">
        <f>_xlfn.TEXTJOIN(" ",TRUE,Migrationsartikel!P134)</f>
        <v/>
      </c>
      <c r="X135" s="51" t="str">
        <f>Migrationsartikel!I134</f>
        <v>Satsumas Offen</v>
      </c>
      <c r="Y135" s="51" t="str">
        <f>Migrationsartikel!M134</f>
        <v>Satsumas en vrac</v>
      </c>
      <c r="Z135" s="51" t="str">
        <f>Migrationsartikel!Q134</f>
        <v>Satsumas vendita sfusa</v>
      </c>
      <c r="AA135" s="60">
        <f>Migrationsartikel!R134</f>
        <v>1</v>
      </c>
      <c r="AB135" s="51" t="str">
        <f>Migrationsartikel!T134</f>
        <v>Kilogramm</v>
      </c>
      <c r="AC135" s="62">
        <f>Migrationsartikel!S134</f>
        <v>1</v>
      </c>
      <c r="AD135" s="51" t="str">
        <f>Migrationsartikel!U134</f>
        <v>(KGM) KG</v>
      </c>
      <c r="AE135" s="95" t="str">
        <f>Migrationsartikel!Y134</f>
        <v>3 - Reduzierter Satz</v>
      </c>
      <c r="AF135" s="64" t="str">
        <f>IF(Migrationsartikel!AA134="Kein Depotartikel","",Migrationsartikel!AA134)</f>
        <v/>
      </c>
      <c r="AG135" s="95" t="str">
        <f>Migrationsartikel!Z134</f>
        <v>Keine</v>
      </c>
      <c r="AH135" s="51" t="str">
        <f>IF(Migrationsartikel!AB134="ja","true",FALSE)</f>
        <v>true</v>
      </c>
      <c r="AI135" s="51" t="str">
        <f>IF(Migrationsartikel!AC134="ja","true",FALSE)</f>
        <v>true</v>
      </c>
      <c r="AJ135" s="51" t="str">
        <f>IF(Migrationsartikel!AD134="ja","true",FALSE)</f>
        <v>true</v>
      </c>
      <c r="AK135" s="51" t="str">
        <f>IF(Migrationsartikel!AE134="ja","true",FALSE)</f>
        <v>true</v>
      </c>
      <c r="AL135" s="51" t="str">
        <f>IF(Migrationsartikel!AF134="ja","Denner Partner","")</f>
        <v/>
      </c>
      <c r="AM135" s="51" t="str">
        <f>IF(Migrationsartikel!AG134="ja","true","false")</f>
        <v>false</v>
      </c>
      <c r="AN135" s="51" t="str">
        <f t="shared" si="3"/>
        <v>Kassentastenbelegung (ohne GTIN/PLU)</v>
      </c>
      <c r="AO135" s="63" t="s">
        <v>219</v>
      </c>
      <c r="AP135" s="62" t="s">
        <v>2562</v>
      </c>
      <c r="AQ135" s="63" t="s">
        <v>217</v>
      </c>
      <c r="AR135" s="30" t="s">
        <v>219</v>
      </c>
    </row>
    <row r="136" spans="2:44" ht="21.75" customHeight="1" x14ac:dyDescent="0.45">
      <c r="B136" s="51" t="s">
        <v>99</v>
      </c>
      <c r="E136" s="52" t="s">
        <v>87</v>
      </c>
      <c r="F136" s="51" t="str">
        <f>"Warengruppe&gt;&gt;"&amp;_xlfn.TEXTJOIN("&gt;&gt;",TRUE,Migrationsartikel!V135:X135)</f>
        <v>Warengruppe&gt;&gt;Früchte und Gemüse&gt;&gt;Früchte und Gemüse&gt;&gt;Früchte</v>
      </c>
      <c r="H136" s="52" t="s">
        <v>109</v>
      </c>
      <c r="J136" s="51" t="str">
        <f>_xlfn.TEXTJOIN(" ",TRUE,Migrationsartikel!B135,Migrationsartikel!E135)</f>
        <v>131</v>
      </c>
      <c r="L136" s="51" t="str">
        <f>_xlfn.TEXTJOIN(" ",TRUE,Migrationsartikel!F135:H135)</f>
        <v>Äpfel Summerred Offen Kl. 1</v>
      </c>
      <c r="M136" s="51" t="str">
        <f>_xlfn.TEXTJOIN(" ",TRUE,Migrationsartikel!J135:L135)</f>
        <v>Pommes Summerred En vrac, cl. 1</v>
      </c>
      <c r="N136" s="51" t="str">
        <f>_xlfn.TEXTJOIN(" ",TRUE,Migrationsartikel!N135:P135)</f>
        <v>Mele Summerred Cl. 1 vendita sfusa</v>
      </c>
      <c r="O136" s="51" t="str">
        <f>Migrationsartikel!F135</f>
        <v>Äpfel Summerred</v>
      </c>
      <c r="P136" s="51" t="str">
        <f>Migrationsartikel!J135</f>
        <v>Pommes Summerred</v>
      </c>
      <c r="Q136" s="51" t="str">
        <f>Migrationsartikel!N135</f>
        <v>Mele Summerred</v>
      </c>
      <c r="R136" s="51" t="str">
        <f>_xlfn.TEXTJOIN(" ",TRUE,Migrationsartikel!G135)</f>
        <v>Offen Kl. 1</v>
      </c>
      <c r="S136" s="51" t="str">
        <f>_xlfn.TEXTJOIN(" ",TRUE,Migrationsartikel!K135)</f>
        <v>En vrac, cl. 1</v>
      </c>
      <c r="T136" s="51" t="str">
        <f>_xlfn.TEXTJOIN(" ",TRUE,Migrationsartikel!O135)</f>
        <v>Cl. 1 vendita sfusa</v>
      </c>
      <c r="U136" s="51" t="str">
        <f>_xlfn.TEXTJOIN(" ",TRUE,Migrationsartikel!H135)</f>
        <v/>
      </c>
      <c r="V136" s="51" t="str">
        <f>_xlfn.TEXTJOIN(" ",TRUE,Migrationsartikel!L135)</f>
        <v/>
      </c>
      <c r="W136" s="51" t="str">
        <f>_xlfn.TEXTJOIN(" ",TRUE,Migrationsartikel!P135)</f>
        <v/>
      </c>
      <c r="X136" s="51" t="str">
        <f>Migrationsartikel!I135</f>
        <v>Äpfel Summerred Offen Kl. 1</v>
      </c>
      <c r="Y136" s="51" t="str">
        <f>Migrationsartikel!M135</f>
        <v>Pommes Summerred cl.1 en v.</v>
      </c>
      <c r="Z136" s="51" t="str">
        <f>Migrationsartikel!Q135</f>
        <v>Mele Summerred cl.1 v. sfusa</v>
      </c>
      <c r="AA136" s="60">
        <f>Migrationsartikel!R135</f>
        <v>1</v>
      </c>
      <c r="AB136" s="51" t="str">
        <f>Migrationsartikel!T135</f>
        <v>Kilogramm</v>
      </c>
      <c r="AC136" s="62">
        <f>Migrationsartikel!S135</f>
        <v>1</v>
      </c>
      <c r="AD136" s="51" t="str">
        <f>Migrationsartikel!U135</f>
        <v>(KGM) KG</v>
      </c>
      <c r="AE136" s="95" t="str">
        <f>Migrationsartikel!Y135</f>
        <v>3 - Reduzierter Satz</v>
      </c>
      <c r="AF136" s="64" t="str">
        <f>IF(Migrationsartikel!AA135="Kein Depotartikel","",Migrationsartikel!AA135)</f>
        <v/>
      </c>
      <c r="AG136" s="95" t="str">
        <f>Migrationsartikel!Z135</f>
        <v>Keine</v>
      </c>
      <c r="AH136" s="51" t="str">
        <f>IF(Migrationsartikel!AB135="ja","true",FALSE)</f>
        <v>true</v>
      </c>
      <c r="AI136" s="51" t="str">
        <f>IF(Migrationsartikel!AC135="ja","true",FALSE)</f>
        <v>true</v>
      </c>
      <c r="AJ136" s="51" t="str">
        <f>IF(Migrationsartikel!AD135="ja","true",FALSE)</f>
        <v>true</v>
      </c>
      <c r="AK136" s="51" t="str">
        <f>IF(Migrationsartikel!AE135="ja","true",FALSE)</f>
        <v>true</v>
      </c>
      <c r="AL136" s="51" t="str">
        <f>IF(Migrationsartikel!AF135="ja","Denner Partner","")</f>
        <v/>
      </c>
      <c r="AM136" s="51" t="str">
        <f>IF(Migrationsartikel!AG135="ja","true","false")</f>
        <v>false</v>
      </c>
      <c r="AN136" s="51" t="str">
        <f t="shared" si="3"/>
        <v>Kassentastenbelegung (ohne GTIN/PLU)</v>
      </c>
      <c r="AO136" s="63" t="s">
        <v>219</v>
      </c>
      <c r="AP136" s="62" t="s">
        <v>2563</v>
      </c>
      <c r="AQ136" s="63" t="s">
        <v>217</v>
      </c>
      <c r="AR136" s="30" t="s">
        <v>219</v>
      </c>
    </row>
    <row r="137" spans="2:44" ht="21.75" customHeight="1" x14ac:dyDescent="0.45">
      <c r="B137" s="51" t="s">
        <v>99</v>
      </c>
      <c r="E137" s="52" t="s">
        <v>87</v>
      </c>
      <c r="F137" s="51" t="str">
        <f>"Warengruppe&gt;&gt;"&amp;_xlfn.TEXTJOIN("&gt;&gt;",TRUE,Migrationsartikel!V136:X136)</f>
        <v>Warengruppe&gt;&gt;Früchte und Gemüse&gt;&gt;Früchte und Gemüse&gt;&gt;Früchte</v>
      </c>
      <c r="H137" s="52" t="s">
        <v>109</v>
      </c>
      <c r="J137" s="51" t="str">
        <f>_xlfn.TEXTJOIN(" ",TRUE,Migrationsartikel!B136,Migrationsartikel!E136)</f>
        <v>2287592000000</v>
      </c>
      <c r="L137" s="51" t="str">
        <f>_xlfn.TEXTJOIN(" ",TRUE,Migrationsartikel!F136:H136)</f>
        <v>Äpfel Sweet Tango Kl. 1 gepackt</v>
      </c>
      <c r="M137" s="51" t="str">
        <f>_xlfn.TEXTJOIN(" ",TRUE,Migrationsartikel!J136:L136)</f>
        <v>Pommes Sweet Tango Cl. 1 emballé</v>
      </c>
      <c r="N137" s="51" t="str">
        <f>_xlfn.TEXTJOIN(" ",TRUE,Migrationsartikel!N136:P136)</f>
        <v>Mele Sweet Tango Cl. 1 confezionato</v>
      </c>
      <c r="O137" s="51" t="str">
        <f>Migrationsartikel!F136</f>
        <v>Äpfel Sweet Tango</v>
      </c>
      <c r="P137" s="51" t="str">
        <f>Migrationsartikel!J136</f>
        <v>Pommes Sweet Tango</v>
      </c>
      <c r="Q137" s="51" t="str">
        <f>Migrationsartikel!N136</f>
        <v>Mele Sweet Tango</v>
      </c>
      <c r="R137" s="51" t="str">
        <f>_xlfn.TEXTJOIN(" ",TRUE,Migrationsartikel!G136)</f>
        <v>Kl. 1 gepackt</v>
      </c>
      <c r="S137" s="51" t="str">
        <f>_xlfn.TEXTJOIN(" ",TRUE,Migrationsartikel!K136)</f>
        <v>Cl. 1 emballé</v>
      </c>
      <c r="T137" s="51" t="str">
        <f>_xlfn.TEXTJOIN(" ",TRUE,Migrationsartikel!O136)</f>
        <v>Cl. 1 confezionato</v>
      </c>
      <c r="U137" s="51" t="str">
        <f>_xlfn.TEXTJOIN(" ",TRUE,Migrationsartikel!H136)</f>
        <v/>
      </c>
      <c r="V137" s="51" t="str">
        <f>_xlfn.TEXTJOIN(" ",TRUE,Migrationsartikel!L136)</f>
        <v/>
      </c>
      <c r="W137" s="51" t="str">
        <f>_xlfn.TEXTJOIN(" ",TRUE,Migrationsartikel!P136)</f>
        <v/>
      </c>
      <c r="X137" s="51" t="str">
        <f>Migrationsartikel!I136</f>
        <v>Äpfel Sweet Tango Kl. 1 gep.</v>
      </c>
      <c r="Y137" s="51" t="str">
        <f>Migrationsartikel!M136</f>
        <v>Pommes Sweet Tango cl.1 emb.</v>
      </c>
      <c r="Z137" s="51" t="str">
        <f>Migrationsartikel!Q136</f>
        <v>Mele Sweet Tango cl.1 confez</v>
      </c>
      <c r="AA137" s="60">
        <f>Migrationsartikel!R136</f>
        <v>1</v>
      </c>
      <c r="AB137" s="51" t="str">
        <f>Migrationsartikel!T136</f>
        <v>Kilogramm</v>
      </c>
      <c r="AC137" s="62">
        <f>Migrationsartikel!S136</f>
        <v>1</v>
      </c>
      <c r="AD137" s="51" t="str">
        <f>Migrationsartikel!U136</f>
        <v>(PCE) Stück</v>
      </c>
      <c r="AE137" s="95" t="str">
        <f>Migrationsartikel!Y136</f>
        <v>3 - Reduzierter Satz</v>
      </c>
      <c r="AF137" s="64" t="str">
        <f>IF(Migrationsartikel!AA136="Kein Depotartikel","",Migrationsartikel!AA136)</f>
        <v/>
      </c>
      <c r="AG137" s="95" t="str">
        <f>Migrationsartikel!Z136</f>
        <v>Keine</v>
      </c>
      <c r="AH137" s="51" t="str">
        <f>IF(Migrationsartikel!AB136="ja","true",FALSE)</f>
        <v>true</v>
      </c>
      <c r="AI137" s="51" t="str">
        <f>IF(Migrationsartikel!AC136="ja","true",FALSE)</f>
        <v>true</v>
      </c>
      <c r="AJ137" s="51" t="str">
        <f>IF(Migrationsartikel!AD136="ja","true",FALSE)</f>
        <v>true</v>
      </c>
      <c r="AK137" s="51" t="str">
        <f>IF(Migrationsartikel!AE136="ja","true",FALSE)</f>
        <v>true</v>
      </c>
      <c r="AL137" s="51" t="str">
        <f>IF(Migrationsartikel!AF136="ja","Denner Partner","")</f>
        <v/>
      </c>
      <c r="AM137" s="51" t="str">
        <f>IF(Migrationsartikel!AG136="ja","true","false")</f>
        <v>false</v>
      </c>
      <c r="AN137" s="51" t="str">
        <f t="shared" si="3"/>
        <v>Kassentastenbelegung (ohne GTIN/PLU)</v>
      </c>
      <c r="AO137" s="63" t="s">
        <v>219</v>
      </c>
      <c r="AP137" s="62" t="s">
        <v>2564</v>
      </c>
      <c r="AQ137" s="63" t="s">
        <v>217</v>
      </c>
      <c r="AR137" s="30" t="s">
        <v>219</v>
      </c>
    </row>
    <row r="138" spans="2:44" ht="21.75" customHeight="1" x14ac:dyDescent="0.45">
      <c r="B138" s="51" t="s">
        <v>99</v>
      </c>
      <c r="E138" s="52" t="s">
        <v>87</v>
      </c>
      <c r="F138" s="51" t="str">
        <f>"Warengruppe&gt;&gt;"&amp;_xlfn.TEXTJOIN("&gt;&gt;",TRUE,Migrationsartikel!V137:X137)</f>
        <v>Warengruppe&gt;&gt;Früchte und Gemüse&gt;&gt;Früchte und Gemüse&gt;&gt;Früchte</v>
      </c>
      <c r="H138" s="52" t="s">
        <v>109</v>
      </c>
      <c r="J138" s="51" t="str">
        <f>_xlfn.TEXTJOIN(" ",TRUE,Migrationsartikel!B137,Migrationsartikel!E137)</f>
        <v>2287599000002</v>
      </c>
      <c r="L138" s="51" t="str">
        <f>_xlfn.TEXTJOIN(" ",TRUE,Migrationsartikel!F137:H137)</f>
        <v>Bio Äpfel Topaz Kl. 1 gepackt</v>
      </c>
      <c r="M138" s="51" t="str">
        <f>_xlfn.TEXTJOIN(" ",TRUE,Migrationsartikel!J137:L137)</f>
        <v>Bio Pommes Topaz Cl. 1 emballé</v>
      </c>
      <c r="N138" s="51" t="str">
        <f>_xlfn.TEXTJOIN(" ",TRUE,Migrationsartikel!N137:P137)</f>
        <v>Bio Mele Topazio Cl. 1 confezionato</v>
      </c>
      <c r="O138" s="51" t="str">
        <f>Migrationsartikel!F137</f>
        <v>Bio Äpfel Topaz</v>
      </c>
      <c r="P138" s="51" t="str">
        <f>Migrationsartikel!J137</f>
        <v>Bio Pommes Topaz</v>
      </c>
      <c r="Q138" s="51" t="str">
        <f>Migrationsartikel!N137</f>
        <v>Bio Mele Topazio</v>
      </c>
      <c r="R138" s="51" t="str">
        <f>_xlfn.TEXTJOIN(" ",TRUE,Migrationsartikel!G137)</f>
        <v>Kl. 1 gepackt</v>
      </c>
      <c r="S138" s="51" t="str">
        <f>_xlfn.TEXTJOIN(" ",TRUE,Migrationsartikel!K137)</f>
        <v>Cl. 1 emballé</v>
      </c>
      <c r="T138" s="51" t="str">
        <f>_xlfn.TEXTJOIN(" ",TRUE,Migrationsartikel!O137)</f>
        <v>Cl. 1 confezionato</v>
      </c>
      <c r="U138" s="51" t="str">
        <f>_xlfn.TEXTJOIN(" ",TRUE,Migrationsartikel!H137)</f>
        <v/>
      </c>
      <c r="V138" s="51" t="str">
        <f>_xlfn.TEXTJOIN(" ",TRUE,Migrationsartikel!L137)</f>
        <v/>
      </c>
      <c r="W138" s="51" t="str">
        <f>_xlfn.TEXTJOIN(" ",TRUE,Migrationsartikel!P137)</f>
        <v/>
      </c>
      <c r="X138" s="51" t="str">
        <f>Migrationsartikel!I137</f>
        <v>Bio Äpfel Topaz Kl 1 gep.</v>
      </c>
      <c r="Y138" s="51" t="str">
        <f>Migrationsartikel!M137</f>
        <v>Bio Pommes Topaz Cl.1 emb.</v>
      </c>
      <c r="Z138" s="51" t="str">
        <f>Migrationsartikel!Q137</f>
        <v>Bio Mele Topazio cl. 1 conf.</v>
      </c>
      <c r="AA138" s="60">
        <f>Migrationsartikel!R137</f>
        <v>1</v>
      </c>
      <c r="AB138" s="51" t="str">
        <f>Migrationsartikel!T137</f>
        <v>Kilogramm</v>
      </c>
      <c r="AC138" s="62">
        <f>Migrationsartikel!S137</f>
        <v>1</v>
      </c>
      <c r="AD138" s="51" t="str">
        <f>Migrationsartikel!U137</f>
        <v>(PCE) Stück</v>
      </c>
      <c r="AE138" s="95" t="str">
        <f>Migrationsartikel!Y137</f>
        <v>3 - Reduzierter Satz</v>
      </c>
      <c r="AF138" s="64" t="str">
        <f>IF(Migrationsartikel!AA137="Kein Depotartikel","",Migrationsartikel!AA137)</f>
        <v/>
      </c>
      <c r="AG138" s="95" t="str">
        <f>Migrationsartikel!Z137</f>
        <v>Keine</v>
      </c>
      <c r="AH138" s="51" t="str">
        <f>IF(Migrationsartikel!AB137="ja","true",FALSE)</f>
        <v>true</v>
      </c>
      <c r="AI138" s="51" t="str">
        <f>IF(Migrationsartikel!AC137="ja","true",FALSE)</f>
        <v>true</v>
      </c>
      <c r="AJ138" s="51" t="str">
        <f>IF(Migrationsartikel!AD137="ja","true",FALSE)</f>
        <v>true</v>
      </c>
      <c r="AK138" s="51" t="str">
        <f>IF(Migrationsartikel!AE137="ja","true",FALSE)</f>
        <v>true</v>
      </c>
      <c r="AL138" s="51" t="str">
        <f>IF(Migrationsartikel!AF137="ja","Denner Partner","")</f>
        <v/>
      </c>
      <c r="AM138" s="51" t="str">
        <f>IF(Migrationsartikel!AG137="ja","true","false")</f>
        <v>false</v>
      </c>
      <c r="AN138" s="51" t="str">
        <f t="shared" si="3"/>
        <v>Kassentastenbelegung (ohne GTIN/PLU)</v>
      </c>
      <c r="AO138" s="63" t="s">
        <v>219</v>
      </c>
      <c r="AP138" s="62" t="s">
        <v>2565</v>
      </c>
      <c r="AQ138" s="63" t="s">
        <v>217</v>
      </c>
      <c r="AR138" s="30" t="s">
        <v>219</v>
      </c>
    </row>
    <row r="139" spans="2:44" ht="21.75" customHeight="1" x14ac:dyDescent="0.45">
      <c r="B139" s="51" t="s">
        <v>99</v>
      </c>
      <c r="E139" s="52" t="s">
        <v>87</v>
      </c>
      <c r="F139" s="51" t="str">
        <f>"Warengruppe&gt;&gt;"&amp;_xlfn.TEXTJOIN("&gt;&gt;",TRUE,Migrationsartikel!V138:X138)</f>
        <v>Warengruppe&gt;&gt;Früchte und Gemüse&gt;&gt;Früchte und Gemüse&gt;&gt;Früchte</v>
      </c>
      <c r="H139" s="52" t="s">
        <v>109</v>
      </c>
      <c r="J139" s="51" t="str">
        <f>_xlfn.TEXTJOIN(" ",TRUE,Migrationsartikel!B138,Migrationsartikel!E138)</f>
        <v>2259931000001</v>
      </c>
      <c r="L139" s="51" t="str">
        <f>_xlfn.TEXTJOIN(" ",TRUE,Migrationsartikel!F138:H138)</f>
        <v>Trauben mix gepackt ca. 500g</v>
      </c>
      <c r="M139" s="51" t="str">
        <f>_xlfn.TEXTJOIN(" ",TRUE,Migrationsartikel!J138:L138)</f>
        <v>Raisins mélange Emballé env. 500g</v>
      </c>
      <c r="N139" s="51" t="str">
        <f>_xlfn.TEXTJOIN(" ",TRUE,Migrationsartikel!N138:P138)</f>
        <v>Uva mista confezionato ca. 500g</v>
      </c>
      <c r="O139" s="51" t="str">
        <f>Migrationsartikel!F138</f>
        <v>Trauben mix</v>
      </c>
      <c r="P139" s="51" t="str">
        <f>Migrationsartikel!J138</f>
        <v>Raisins mélange</v>
      </c>
      <c r="Q139" s="51" t="str">
        <f>Migrationsartikel!N138</f>
        <v>Uva mista</v>
      </c>
      <c r="R139" s="51" t="str">
        <f>_xlfn.TEXTJOIN(" ",TRUE,Migrationsartikel!G138)</f>
        <v>gepackt</v>
      </c>
      <c r="S139" s="51" t="str">
        <f>_xlfn.TEXTJOIN(" ",TRUE,Migrationsartikel!K138)</f>
        <v>Emballé</v>
      </c>
      <c r="T139" s="51" t="str">
        <f>_xlfn.TEXTJOIN(" ",TRUE,Migrationsartikel!O138)</f>
        <v>confezionato</v>
      </c>
      <c r="U139" s="51" t="str">
        <f>_xlfn.TEXTJOIN(" ",TRUE,Migrationsartikel!H138)</f>
        <v>ca. 500g</v>
      </c>
      <c r="V139" s="51" t="str">
        <f>_xlfn.TEXTJOIN(" ",TRUE,Migrationsartikel!L138)</f>
        <v>env. 500g</v>
      </c>
      <c r="W139" s="51" t="str">
        <f>_xlfn.TEXTJOIN(" ",TRUE,Migrationsartikel!P138)</f>
        <v>ca. 500g</v>
      </c>
      <c r="X139" s="51" t="str">
        <f>Migrationsartikel!I138</f>
        <v>Trauben mix gepackt ca. 500g</v>
      </c>
      <c r="Y139" s="51" t="str">
        <f>Migrationsartikel!M138</f>
        <v>Raisins mélange env. 500g</v>
      </c>
      <c r="Z139" s="51" t="str">
        <f>Migrationsartikel!Q138</f>
        <v>Uva mista ca. 500g confez.</v>
      </c>
      <c r="AA139" s="60">
        <f>Migrationsartikel!R138</f>
        <v>0.5</v>
      </c>
      <c r="AB139" s="51" t="str">
        <f>Migrationsartikel!T138</f>
        <v>Kilogramm</v>
      </c>
      <c r="AC139" s="62">
        <f>Migrationsartikel!S138</f>
        <v>1</v>
      </c>
      <c r="AD139" s="51" t="str">
        <f>Migrationsartikel!U138</f>
        <v>(PCE) Stück</v>
      </c>
      <c r="AE139" s="95" t="str">
        <f>Migrationsartikel!Y138</f>
        <v>3 - Reduzierter Satz</v>
      </c>
      <c r="AF139" s="64" t="str">
        <f>IF(Migrationsartikel!AA138="Kein Depotartikel","",Migrationsartikel!AA138)</f>
        <v/>
      </c>
      <c r="AG139" s="95" t="str">
        <f>Migrationsartikel!Z138</f>
        <v>Keine</v>
      </c>
      <c r="AH139" s="51" t="str">
        <f>IF(Migrationsartikel!AB138="ja","true",FALSE)</f>
        <v>true</v>
      </c>
      <c r="AI139" s="51" t="str">
        <f>IF(Migrationsartikel!AC138="ja","true",FALSE)</f>
        <v>true</v>
      </c>
      <c r="AJ139" s="51" t="str">
        <f>IF(Migrationsartikel!AD138="ja","true",FALSE)</f>
        <v>true</v>
      </c>
      <c r="AK139" s="51" t="str">
        <f>IF(Migrationsartikel!AE138="ja","true",FALSE)</f>
        <v>true</v>
      </c>
      <c r="AL139" s="51" t="str">
        <f>IF(Migrationsartikel!AF138="ja","Denner Partner","")</f>
        <v/>
      </c>
      <c r="AM139" s="51" t="str">
        <f>IF(Migrationsartikel!AG138="ja","true","false")</f>
        <v>false</v>
      </c>
      <c r="AN139" s="51" t="str">
        <f t="shared" si="3"/>
        <v>Kassentastenbelegung (ohne GTIN/PLU)</v>
      </c>
      <c r="AO139" s="63" t="s">
        <v>219</v>
      </c>
      <c r="AP139" s="62" t="s">
        <v>2566</v>
      </c>
      <c r="AQ139" s="63" t="s">
        <v>217</v>
      </c>
      <c r="AR139" s="30" t="s">
        <v>219</v>
      </c>
    </row>
    <row r="140" spans="2:44" ht="21.75" customHeight="1" x14ac:dyDescent="0.45">
      <c r="B140" s="51" t="s">
        <v>99</v>
      </c>
      <c r="E140" s="52" t="s">
        <v>87</v>
      </c>
      <c r="F140" s="51" t="str">
        <f>"Warengruppe&gt;&gt;"&amp;_xlfn.TEXTJOIN("&gt;&gt;",TRUE,Migrationsartikel!V139:X139)</f>
        <v>Warengruppe&gt;&gt;Früchte und Gemüse&gt;&gt;Früchte und Gemüse&gt;&gt;Früchte</v>
      </c>
      <c r="H140" s="52" t="s">
        <v>109</v>
      </c>
      <c r="J140" s="51" t="str">
        <f>_xlfn.TEXTJOIN(" ",TRUE,Migrationsartikel!B139,Migrationsartikel!E139)</f>
        <v>172</v>
      </c>
      <c r="L140" s="51" t="str">
        <f>_xlfn.TEXTJOIN(" ",TRUE,Migrationsartikel!F139:H139)</f>
        <v>Trauben rose Red Globe Offen</v>
      </c>
      <c r="M140" s="51" t="str">
        <f>_xlfn.TEXTJOIN(" ",TRUE,Migrationsartikel!J139:L139)</f>
        <v>Raisins rosé Red Globe En vrac</v>
      </c>
      <c r="N140" s="51" t="str">
        <f>_xlfn.TEXTJOIN(" ",TRUE,Migrationsartikel!N139:P139)</f>
        <v>Uva Rosa Red Globe vendita sfusa</v>
      </c>
      <c r="O140" s="51" t="str">
        <f>Migrationsartikel!F139</f>
        <v>Trauben rose Red Globe</v>
      </c>
      <c r="P140" s="51" t="str">
        <f>Migrationsartikel!J139</f>
        <v>Raisins rosé Red Globe</v>
      </c>
      <c r="Q140" s="51" t="str">
        <f>Migrationsartikel!N139</f>
        <v>Uva Rosa Red Globe</v>
      </c>
      <c r="R140" s="51" t="str">
        <f>_xlfn.TEXTJOIN(" ",TRUE,Migrationsartikel!G139)</f>
        <v>Offen</v>
      </c>
      <c r="S140" s="51" t="str">
        <f>_xlfn.TEXTJOIN(" ",TRUE,Migrationsartikel!K139)</f>
        <v>En vrac</v>
      </c>
      <c r="T140" s="51" t="str">
        <f>_xlfn.TEXTJOIN(" ",TRUE,Migrationsartikel!O139)</f>
        <v>vendita sfusa</v>
      </c>
      <c r="U140" s="51" t="str">
        <f>_xlfn.TEXTJOIN(" ",TRUE,Migrationsartikel!H139)</f>
        <v/>
      </c>
      <c r="V140" s="51" t="str">
        <f>_xlfn.TEXTJOIN(" ",TRUE,Migrationsartikel!L139)</f>
        <v/>
      </c>
      <c r="W140" s="51" t="str">
        <f>_xlfn.TEXTJOIN(" ",TRUE,Migrationsartikel!P139)</f>
        <v/>
      </c>
      <c r="X140" s="51" t="str">
        <f>Migrationsartikel!I139</f>
        <v>Trauben rose Red Globe Offen</v>
      </c>
      <c r="Y140" s="51" t="str">
        <f>Migrationsartikel!M139</f>
        <v>Raisins rosé Red Globe en v.</v>
      </c>
      <c r="Z140" s="51" t="str">
        <f>Migrationsartikel!Q139</f>
        <v>Uva Rosa Red Globe v. sfusa</v>
      </c>
      <c r="AA140" s="60">
        <f>Migrationsartikel!R139</f>
        <v>1</v>
      </c>
      <c r="AB140" s="51" t="str">
        <f>Migrationsartikel!T139</f>
        <v>Kilogramm</v>
      </c>
      <c r="AC140" s="62">
        <f>Migrationsartikel!S139</f>
        <v>1</v>
      </c>
      <c r="AD140" s="51" t="str">
        <f>Migrationsartikel!U139</f>
        <v>(KGM) KG</v>
      </c>
      <c r="AE140" s="95" t="str">
        <f>Migrationsartikel!Y139</f>
        <v>3 - Reduzierter Satz</v>
      </c>
      <c r="AF140" s="64" t="str">
        <f>IF(Migrationsartikel!AA139="Kein Depotartikel","",Migrationsartikel!AA139)</f>
        <v/>
      </c>
      <c r="AG140" s="95" t="str">
        <f>Migrationsartikel!Z139</f>
        <v>Keine</v>
      </c>
      <c r="AH140" s="51" t="str">
        <f>IF(Migrationsartikel!AB139="ja","true",FALSE)</f>
        <v>true</v>
      </c>
      <c r="AI140" s="51" t="str">
        <f>IF(Migrationsartikel!AC139="ja","true",FALSE)</f>
        <v>true</v>
      </c>
      <c r="AJ140" s="51" t="str">
        <f>IF(Migrationsartikel!AD139="ja","true",FALSE)</f>
        <v>true</v>
      </c>
      <c r="AK140" s="51" t="str">
        <f>IF(Migrationsartikel!AE139="ja","true",FALSE)</f>
        <v>true</v>
      </c>
      <c r="AL140" s="51" t="str">
        <f>IF(Migrationsartikel!AF139="ja","Denner Partner","")</f>
        <v/>
      </c>
      <c r="AM140" s="51" t="str">
        <f>IF(Migrationsartikel!AG139="ja","true","false")</f>
        <v>false</v>
      </c>
      <c r="AN140" s="51" t="str">
        <f t="shared" si="3"/>
        <v>Kassentastenbelegung (ohne GTIN/PLU)</v>
      </c>
      <c r="AO140" s="63" t="s">
        <v>219</v>
      </c>
      <c r="AP140" s="62" t="s">
        <v>2567</v>
      </c>
      <c r="AQ140" s="63" t="s">
        <v>217</v>
      </c>
      <c r="AR140" s="30" t="s">
        <v>219</v>
      </c>
    </row>
    <row r="141" spans="2:44" ht="21.75" customHeight="1" x14ac:dyDescent="0.45">
      <c r="B141" s="51" t="s">
        <v>99</v>
      </c>
      <c r="E141" s="52" t="s">
        <v>87</v>
      </c>
      <c r="F141" s="51" t="str">
        <f>"Warengruppe&gt;&gt;"&amp;_xlfn.TEXTJOIN("&gt;&gt;",TRUE,Migrationsartikel!V140:X140)</f>
        <v>Warengruppe&gt;&gt;Früchte und Gemüse&gt;&gt;Früchte und Gemüse&gt;&gt;Früchte</v>
      </c>
      <c r="H141" s="52" t="s">
        <v>109</v>
      </c>
      <c r="J141" s="51" t="str">
        <f>_xlfn.TEXTJOIN(" ",TRUE,Migrationsartikel!B140,Migrationsartikel!E140)</f>
        <v>2259521000008</v>
      </c>
      <c r="L141" s="51" t="str">
        <f>_xlfn.TEXTJOIN(" ",TRUE,Migrationsartikel!F140:H140)</f>
        <v>Trauben rose Red Globe gepackt</v>
      </c>
      <c r="M141" s="51" t="str">
        <f>_xlfn.TEXTJOIN(" ",TRUE,Migrationsartikel!J140:L140)</f>
        <v>Raisins rosé Red Globe Emballé</v>
      </c>
      <c r="N141" s="51" t="str">
        <f>_xlfn.TEXTJOIN(" ",TRUE,Migrationsartikel!N140:P140)</f>
        <v>Uva Rosa Red Globe confezionato</v>
      </c>
      <c r="O141" s="51" t="str">
        <f>Migrationsartikel!F140</f>
        <v>Trauben rose Red Globe</v>
      </c>
      <c r="P141" s="51" t="str">
        <f>Migrationsartikel!J140</f>
        <v>Raisins rosé Red Globe</v>
      </c>
      <c r="Q141" s="51" t="str">
        <f>Migrationsartikel!N140</f>
        <v>Uva Rosa Red Globe</v>
      </c>
      <c r="R141" s="51" t="str">
        <f>_xlfn.TEXTJOIN(" ",TRUE,Migrationsartikel!G140)</f>
        <v>gepackt</v>
      </c>
      <c r="S141" s="51" t="str">
        <f>_xlfn.TEXTJOIN(" ",TRUE,Migrationsartikel!K140)</f>
        <v>Emballé</v>
      </c>
      <c r="T141" s="51" t="str">
        <f>_xlfn.TEXTJOIN(" ",TRUE,Migrationsartikel!O140)</f>
        <v>confezionato</v>
      </c>
      <c r="U141" s="51" t="str">
        <f>_xlfn.TEXTJOIN(" ",TRUE,Migrationsartikel!H140)</f>
        <v/>
      </c>
      <c r="V141" s="51" t="str">
        <f>_xlfn.TEXTJOIN(" ",TRUE,Migrationsartikel!L140)</f>
        <v/>
      </c>
      <c r="W141" s="51" t="str">
        <f>_xlfn.TEXTJOIN(" ",TRUE,Migrationsartikel!P140)</f>
        <v/>
      </c>
      <c r="X141" s="51" t="str">
        <f>Migrationsartikel!I140</f>
        <v>Trauben rose Red Globe gep.</v>
      </c>
      <c r="Y141" s="51" t="str">
        <f>Migrationsartikel!M140</f>
        <v>Raisins rosé Red Globe emb.</v>
      </c>
      <c r="Z141" s="51" t="str">
        <f>Migrationsartikel!Q140</f>
        <v>Uva Rosa Red Globe confez.</v>
      </c>
      <c r="AA141" s="60">
        <f>Migrationsartikel!R140</f>
        <v>1</v>
      </c>
      <c r="AB141" s="51" t="str">
        <f>Migrationsartikel!T140</f>
        <v>Kilogramm</v>
      </c>
      <c r="AC141" s="62">
        <f>Migrationsartikel!S140</f>
        <v>1</v>
      </c>
      <c r="AD141" s="51" t="str">
        <f>Migrationsartikel!U140</f>
        <v>(PCE) Stück</v>
      </c>
      <c r="AE141" s="95" t="str">
        <f>Migrationsartikel!Y140</f>
        <v>3 - Reduzierter Satz</v>
      </c>
      <c r="AF141" s="64" t="str">
        <f>IF(Migrationsartikel!AA140="Kein Depotartikel","",Migrationsartikel!AA140)</f>
        <v/>
      </c>
      <c r="AG141" s="95" t="str">
        <f>Migrationsartikel!Z140</f>
        <v>Keine</v>
      </c>
      <c r="AH141" s="51" t="str">
        <f>IF(Migrationsartikel!AB140="ja","true",FALSE)</f>
        <v>true</v>
      </c>
      <c r="AI141" s="51" t="str">
        <f>IF(Migrationsartikel!AC140="ja","true",FALSE)</f>
        <v>true</v>
      </c>
      <c r="AJ141" s="51" t="str">
        <f>IF(Migrationsartikel!AD140="ja","true",FALSE)</f>
        <v>true</v>
      </c>
      <c r="AK141" s="51" t="str">
        <f>IF(Migrationsartikel!AE140="ja","true",FALSE)</f>
        <v>true</v>
      </c>
      <c r="AL141" s="51" t="str">
        <f>IF(Migrationsartikel!AF140="ja","Denner Partner","")</f>
        <v/>
      </c>
      <c r="AM141" s="51" t="str">
        <f>IF(Migrationsartikel!AG140="ja","true","false")</f>
        <v>false</v>
      </c>
      <c r="AN141" s="51" t="str">
        <f t="shared" si="3"/>
        <v>Kassentastenbelegung (ohne GTIN/PLU)</v>
      </c>
      <c r="AO141" s="63" t="s">
        <v>219</v>
      </c>
      <c r="AP141" s="62" t="s">
        <v>2568</v>
      </c>
      <c r="AQ141" s="63" t="s">
        <v>217</v>
      </c>
      <c r="AR141" s="30" t="s">
        <v>219</v>
      </c>
    </row>
    <row r="142" spans="2:44" ht="21.75" customHeight="1" x14ac:dyDescent="0.45">
      <c r="B142" s="51" t="s">
        <v>99</v>
      </c>
      <c r="E142" s="52" t="s">
        <v>87</v>
      </c>
      <c r="F142" s="51" t="str">
        <f>"Warengruppe&gt;&gt;"&amp;_xlfn.TEXTJOIN("&gt;&gt;",TRUE,Migrationsartikel!V141:X141)</f>
        <v>Warengruppe&gt;&gt;Früchte und Gemüse&gt;&gt;Früchte und Gemüse&gt;&gt;Früchte</v>
      </c>
      <c r="H142" s="52" t="s">
        <v>109</v>
      </c>
      <c r="J142" s="51" t="str">
        <f>_xlfn.TEXTJOIN(" ",TRUE,Migrationsartikel!B141,Migrationsartikel!E141)</f>
        <v>2213691000008</v>
      </c>
      <c r="L142" s="51" t="str">
        <f>_xlfn.TEXTJOIN(" ",TRUE,Migrationsartikel!F141:H141)</f>
        <v>Trauben weiss ca. 500g</v>
      </c>
      <c r="M142" s="51" t="str">
        <f>_xlfn.TEXTJOIN(" ",TRUE,Migrationsartikel!J141:L141)</f>
        <v>Raisins blancs env. 500g</v>
      </c>
      <c r="N142" s="51" t="str">
        <f>_xlfn.TEXTJOIN(" ",TRUE,Migrationsartikel!N141:P141)</f>
        <v>Uva bianca ca. 500g</v>
      </c>
      <c r="O142" s="51" t="str">
        <f>Migrationsartikel!F141</f>
        <v>Trauben weiss</v>
      </c>
      <c r="P142" s="51" t="str">
        <f>Migrationsartikel!J141</f>
        <v>Raisins blancs</v>
      </c>
      <c r="Q142" s="51" t="str">
        <f>Migrationsartikel!N141</f>
        <v>Uva bianca</v>
      </c>
      <c r="R142" s="51" t="str">
        <f>_xlfn.TEXTJOIN(" ",TRUE,Migrationsartikel!G141)</f>
        <v/>
      </c>
      <c r="S142" s="51" t="str">
        <f>_xlfn.TEXTJOIN(" ",TRUE,Migrationsartikel!K141)</f>
        <v/>
      </c>
      <c r="T142" s="51" t="str">
        <f>_xlfn.TEXTJOIN(" ",TRUE,Migrationsartikel!O141)</f>
        <v/>
      </c>
      <c r="U142" s="51" t="str">
        <f>_xlfn.TEXTJOIN(" ",TRUE,Migrationsartikel!H141)</f>
        <v>ca. 500g</v>
      </c>
      <c r="V142" s="51" t="str">
        <f>_xlfn.TEXTJOIN(" ",TRUE,Migrationsartikel!L141)</f>
        <v>env. 500g</v>
      </c>
      <c r="W142" s="51" t="str">
        <f>_xlfn.TEXTJOIN(" ",TRUE,Migrationsartikel!P141)</f>
        <v>ca. 500g</v>
      </c>
      <c r="X142" s="51" t="str">
        <f>Migrationsartikel!I141</f>
        <v>Trauben weiss ca. 500g</v>
      </c>
      <c r="Y142" s="51" t="str">
        <f>Migrationsartikel!M141</f>
        <v>Raisins blancs env. 500g</v>
      </c>
      <c r="Z142" s="51" t="str">
        <f>Migrationsartikel!Q141</f>
        <v>Uva bianca ca. 500g</v>
      </c>
      <c r="AA142" s="60">
        <f>Migrationsartikel!R141</f>
        <v>0.5</v>
      </c>
      <c r="AB142" s="51" t="str">
        <f>Migrationsartikel!T141</f>
        <v>Kilogramm</v>
      </c>
      <c r="AC142" s="62">
        <f>Migrationsartikel!S141</f>
        <v>1</v>
      </c>
      <c r="AD142" s="51" t="str">
        <f>Migrationsartikel!U141</f>
        <v>(PCE) Stück</v>
      </c>
      <c r="AE142" s="95" t="str">
        <f>Migrationsartikel!Y141</f>
        <v>3 - Reduzierter Satz</v>
      </c>
      <c r="AF142" s="64" t="str">
        <f>IF(Migrationsartikel!AA141="Kein Depotartikel","",Migrationsartikel!AA141)</f>
        <v/>
      </c>
      <c r="AG142" s="95" t="str">
        <f>Migrationsartikel!Z141</f>
        <v>Keine</v>
      </c>
      <c r="AH142" s="51" t="str">
        <f>IF(Migrationsartikel!AB141="ja","true",FALSE)</f>
        <v>true</v>
      </c>
      <c r="AI142" s="51" t="str">
        <f>IF(Migrationsartikel!AC141="ja","true",FALSE)</f>
        <v>true</v>
      </c>
      <c r="AJ142" s="51" t="str">
        <f>IF(Migrationsartikel!AD141="ja","true",FALSE)</f>
        <v>true</v>
      </c>
      <c r="AK142" s="51" t="str">
        <f>IF(Migrationsartikel!AE141="ja","true",FALSE)</f>
        <v>true</v>
      </c>
      <c r="AL142" s="51" t="str">
        <f>IF(Migrationsartikel!AF141="ja","Denner Partner","")</f>
        <v/>
      </c>
      <c r="AM142" s="51" t="str">
        <f>IF(Migrationsartikel!AG141="ja","true","false")</f>
        <v>false</v>
      </c>
      <c r="AN142" s="51" t="str">
        <f t="shared" si="3"/>
        <v>Kassentastenbelegung (ohne GTIN/PLU)</v>
      </c>
      <c r="AO142" s="63" t="s">
        <v>219</v>
      </c>
      <c r="AP142" s="62" t="s">
        <v>2569</v>
      </c>
      <c r="AQ142" s="63" t="s">
        <v>217</v>
      </c>
      <c r="AR142" s="30" t="s">
        <v>219</v>
      </c>
    </row>
    <row r="143" spans="2:44" ht="21.75" customHeight="1" x14ac:dyDescent="0.45">
      <c r="B143" s="51" t="s">
        <v>99</v>
      </c>
      <c r="E143" s="52" t="s">
        <v>87</v>
      </c>
      <c r="F143" s="51" t="str">
        <f>"Warengruppe&gt;&gt;"&amp;_xlfn.TEXTJOIN("&gt;&gt;",TRUE,Migrationsartikel!V142:X142)</f>
        <v>Warengruppe&gt;&gt;Früchte und Gemüse&gt;&gt;Früchte und Gemüse&gt;&gt;Früchte</v>
      </c>
      <c r="H143" s="52" t="s">
        <v>109</v>
      </c>
      <c r="J143" s="51" t="str">
        <f>_xlfn.TEXTJOIN(" ",TRUE,Migrationsartikel!B142,Migrationsartikel!E142)</f>
        <v>7610632180204</v>
      </c>
      <c r="L143" s="51" t="str">
        <f>_xlfn.TEXTJOIN(" ",TRUE,Migrationsartikel!F142:H142)</f>
        <v>Trauben weiss 2kg</v>
      </c>
      <c r="M143" s="51" t="str">
        <f>_xlfn.TEXTJOIN(" ",TRUE,Migrationsartikel!J142:L142)</f>
        <v>Raisins blancs 2kg</v>
      </c>
      <c r="N143" s="51" t="str">
        <f>_xlfn.TEXTJOIN(" ",TRUE,Migrationsartikel!N142:P142)</f>
        <v>Uva bianca 2kg</v>
      </c>
      <c r="O143" s="51" t="str">
        <f>Migrationsartikel!F142</f>
        <v>Trauben weiss</v>
      </c>
      <c r="P143" s="51" t="str">
        <f>Migrationsartikel!J142</f>
        <v>Raisins blancs</v>
      </c>
      <c r="Q143" s="51" t="str">
        <f>Migrationsartikel!N142</f>
        <v>Uva bianca</v>
      </c>
      <c r="R143" s="51" t="str">
        <f>_xlfn.TEXTJOIN(" ",TRUE,Migrationsartikel!G142)</f>
        <v/>
      </c>
      <c r="S143" s="51" t="str">
        <f>_xlfn.TEXTJOIN(" ",TRUE,Migrationsartikel!K142)</f>
        <v/>
      </c>
      <c r="T143" s="51" t="str">
        <f>_xlfn.TEXTJOIN(" ",TRUE,Migrationsartikel!O142)</f>
        <v/>
      </c>
      <c r="U143" s="51" t="str">
        <f>_xlfn.TEXTJOIN(" ",TRUE,Migrationsartikel!H142)</f>
        <v>2kg</v>
      </c>
      <c r="V143" s="51" t="str">
        <f>_xlfn.TEXTJOIN(" ",TRUE,Migrationsartikel!L142)</f>
        <v>2kg</v>
      </c>
      <c r="W143" s="51" t="str">
        <f>_xlfn.TEXTJOIN(" ",TRUE,Migrationsartikel!P142)</f>
        <v>2kg</v>
      </c>
      <c r="X143" s="51" t="str">
        <f>Migrationsartikel!I142</f>
        <v>Trauben weiss 2kg</v>
      </c>
      <c r="Y143" s="51" t="str">
        <f>Migrationsartikel!M142</f>
        <v>Raisins blancs 2kg</v>
      </c>
      <c r="Z143" s="51" t="str">
        <f>Migrationsartikel!Q142</f>
        <v>Uva bianca 2kg</v>
      </c>
      <c r="AA143" s="60">
        <f>Migrationsartikel!R142</f>
        <v>2</v>
      </c>
      <c r="AB143" s="51" t="str">
        <f>Migrationsartikel!T142</f>
        <v>Kilogramm</v>
      </c>
      <c r="AC143" s="62">
        <f>Migrationsartikel!S142</f>
        <v>1</v>
      </c>
      <c r="AD143" s="51" t="str">
        <f>Migrationsartikel!U142</f>
        <v>(PCE) Stück</v>
      </c>
      <c r="AE143" s="95" t="str">
        <f>Migrationsartikel!Y142</f>
        <v>3 - Reduzierter Satz</v>
      </c>
      <c r="AF143" s="64" t="str">
        <f>IF(Migrationsartikel!AA142="Kein Depotartikel","",Migrationsartikel!AA142)</f>
        <v/>
      </c>
      <c r="AG143" s="95" t="str">
        <f>Migrationsartikel!Z142</f>
        <v>Keine</v>
      </c>
      <c r="AH143" s="51" t="str">
        <f>IF(Migrationsartikel!AB142="ja","true",FALSE)</f>
        <v>true</v>
      </c>
      <c r="AI143" s="51" t="str">
        <f>IF(Migrationsartikel!AC142="ja","true",FALSE)</f>
        <v>true</v>
      </c>
      <c r="AJ143" s="51" t="str">
        <f>IF(Migrationsartikel!AD142="ja","true",FALSE)</f>
        <v>true</v>
      </c>
      <c r="AK143" s="51" t="str">
        <f>IF(Migrationsartikel!AE142="ja","true",FALSE)</f>
        <v>true</v>
      </c>
      <c r="AL143" s="51" t="str">
        <f>IF(Migrationsartikel!AF142="ja","Denner Partner","")</f>
        <v/>
      </c>
      <c r="AM143" s="51" t="str">
        <f>IF(Migrationsartikel!AG142="ja","true","false")</f>
        <v>false</v>
      </c>
      <c r="AN143" s="51" t="str">
        <f t="shared" si="3"/>
        <v>Kassentastenbelegung (ohne GTIN/PLU)</v>
      </c>
      <c r="AO143" s="63" t="s">
        <v>219</v>
      </c>
      <c r="AP143" s="62" t="s">
        <v>2570</v>
      </c>
      <c r="AQ143" s="63" t="s">
        <v>217</v>
      </c>
      <c r="AR143" s="30" t="s">
        <v>219</v>
      </c>
    </row>
    <row r="144" spans="2:44" ht="21.75" customHeight="1" x14ac:dyDescent="0.45">
      <c r="B144" s="51" t="s">
        <v>99</v>
      </c>
      <c r="E144" s="52" t="s">
        <v>87</v>
      </c>
      <c r="F144" s="51" t="str">
        <f>"Warengruppe&gt;&gt;"&amp;_xlfn.TEXTJOIN("&gt;&gt;",TRUE,Migrationsartikel!V143:X143)</f>
        <v>Warengruppe&gt;&gt;Früchte und Gemüse&gt;&gt;Früchte und Gemüse&gt;&gt;Früchte</v>
      </c>
      <c r="H144" s="52" t="s">
        <v>109</v>
      </c>
      <c r="J144" s="51" t="str">
        <f>_xlfn.TEXTJOIN(" ",TRUE,Migrationsartikel!B143,Migrationsartikel!E143)</f>
        <v>2213691000000</v>
      </c>
      <c r="L144" s="51" t="str">
        <f>_xlfn.TEXTJOIN(" ",TRUE,Migrationsartikel!F143:H143)</f>
        <v>Trauben weiss Vittoria Schale 1kg</v>
      </c>
      <c r="M144" s="51" t="str">
        <f>_xlfn.TEXTJOIN(" ",TRUE,Migrationsartikel!J143:L143)</f>
        <v>Raisins bl. Vittoria Barquette 1kg</v>
      </c>
      <c r="N144" s="51" t="str">
        <f>_xlfn.TEXTJOIN(" ",TRUE,Migrationsartikel!N143:P143)</f>
        <v>Uva bianca Vittoria vaschetta 1kg</v>
      </c>
      <c r="O144" s="51" t="str">
        <f>Migrationsartikel!F143</f>
        <v>Trauben weiss Vittoria</v>
      </c>
      <c r="P144" s="51" t="str">
        <f>Migrationsartikel!J143</f>
        <v>Raisins bl. Vittoria</v>
      </c>
      <c r="Q144" s="51" t="str">
        <f>Migrationsartikel!N143</f>
        <v>Uva bianca Vittoria</v>
      </c>
      <c r="R144" s="51" t="str">
        <f>_xlfn.TEXTJOIN(" ",TRUE,Migrationsartikel!G143)</f>
        <v>Schale</v>
      </c>
      <c r="S144" s="51" t="str">
        <f>_xlfn.TEXTJOIN(" ",TRUE,Migrationsartikel!K143)</f>
        <v>Barquette</v>
      </c>
      <c r="T144" s="51" t="str">
        <f>_xlfn.TEXTJOIN(" ",TRUE,Migrationsartikel!O143)</f>
        <v>vaschetta</v>
      </c>
      <c r="U144" s="51" t="str">
        <f>_xlfn.TEXTJOIN(" ",TRUE,Migrationsartikel!H143)</f>
        <v>1kg</v>
      </c>
      <c r="V144" s="51" t="str">
        <f>_xlfn.TEXTJOIN(" ",TRUE,Migrationsartikel!L143)</f>
        <v>1kg</v>
      </c>
      <c r="W144" s="51" t="str">
        <f>_xlfn.TEXTJOIN(" ",TRUE,Migrationsartikel!P143)</f>
        <v>1kg</v>
      </c>
      <c r="X144" s="51" t="str">
        <f>Migrationsartikel!I143</f>
        <v>Trauben weiss Vittoria 1kg</v>
      </c>
      <c r="Y144" s="51" t="str">
        <f>Migrationsartikel!M143</f>
        <v>Raisins bl. Vittora 1kg</v>
      </c>
      <c r="Z144" s="51" t="str">
        <f>Migrationsartikel!Q143</f>
        <v>Uva bianca vaschetta 1kg</v>
      </c>
      <c r="AA144" s="60">
        <f>Migrationsartikel!R143</f>
        <v>1</v>
      </c>
      <c r="AB144" s="51" t="str">
        <f>Migrationsartikel!T143</f>
        <v>Kilogramm</v>
      </c>
      <c r="AC144" s="62">
        <f>Migrationsartikel!S143</f>
        <v>1</v>
      </c>
      <c r="AD144" s="51" t="str">
        <f>Migrationsartikel!U143</f>
        <v>(PCE) Stück</v>
      </c>
      <c r="AE144" s="95" t="str">
        <f>Migrationsartikel!Y143</f>
        <v>3 - Reduzierter Satz</v>
      </c>
      <c r="AF144" s="64" t="str">
        <f>IF(Migrationsartikel!AA143="Kein Depotartikel","",Migrationsartikel!AA143)</f>
        <v/>
      </c>
      <c r="AG144" s="95" t="str">
        <f>Migrationsartikel!Z143</f>
        <v>Keine</v>
      </c>
      <c r="AH144" s="51" t="str">
        <f>IF(Migrationsartikel!AB143="ja","true",FALSE)</f>
        <v>true</v>
      </c>
      <c r="AI144" s="51" t="str">
        <f>IF(Migrationsartikel!AC143="ja","true",FALSE)</f>
        <v>true</v>
      </c>
      <c r="AJ144" s="51" t="str">
        <f>IF(Migrationsartikel!AD143="ja","true",FALSE)</f>
        <v>true</v>
      </c>
      <c r="AK144" s="51" t="str">
        <f>IF(Migrationsartikel!AE143="ja","true",FALSE)</f>
        <v>true</v>
      </c>
      <c r="AL144" s="51" t="str">
        <f>IF(Migrationsartikel!AF143="ja","Denner Partner","")</f>
        <v/>
      </c>
      <c r="AM144" s="51" t="str">
        <f>IF(Migrationsartikel!AG143="ja","true","false")</f>
        <v>false</v>
      </c>
      <c r="AN144" s="51" t="str">
        <f t="shared" si="3"/>
        <v>Kassentastenbelegung (ohne GTIN/PLU)</v>
      </c>
      <c r="AO144" s="63" t="s">
        <v>219</v>
      </c>
      <c r="AP144" s="62" t="s">
        <v>2571</v>
      </c>
      <c r="AQ144" s="63" t="s">
        <v>217</v>
      </c>
      <c r="AR144" s="30" t="s">
        <v>219</v>
      </c>
    </row>
    <row r="145" spans="2:44" ht="21.75" customHeight="1" x14ac:dyDescent="0.45">
      <c r="B145" s="51" t="s">
        <v>99</v>
      </c>
      <c r="E145" s="52" t="s">
        <v>87</v>
      </c>
      <c r="F145" s="51" t="str">
        <f>"Warengruppe&gt;&gt;"&amp;_xlfn.TEXTJOIN("&gt;&gt;",TRUE,Migrationsartikel!V144:X144)</f>
        <v>Warengruppe&gt;&gt;Früchte und Gemüse&gt;&gt;Früchte und Gemüse&gt;&gt;Früchte</v>
      </c>
      <c r="H145" s="52" t="s">
        <v>109</v>
      </c>
      <c r="J145" s="51" t="str">
        <f>_xlfn.TEXTJOIN(" ",TRUE,Migrationsartikel!B144,Migrationsartikel!E144)</f>
        <v>2209245000006</v>
      </c>
      <c r="L145" s="51" t="str">
        <f>_xlfn.TEXTJOIN(" ",TRUE,Migrationsartikel!F144:H144)</f>
        <v>Bio Zitronen Netz 500g</v>
      </c>
      <c r="M145" s="51" t="str">
        <f>_xlfn.TEXTJOIN(" ",TRUE,Migrationsartikel!J144:L144)</f>
        <v>Bio Citrons Filet 500g</v>
      </c>
      <c r="N145" s="51" t="str">
        <f>_xlfn.TEXTJOIN(" ",TRUE,Migrationsartikel!N144:P144)</f>
        <v>Bio Limoni retina 500g</v>
      </c>
      <c r="O145" s="51" t="str">
        <f>Migrationsartikel!F144</f>
        <v>Bio Zitronen</v>
      </c>
      <c r="P145" s="51" t="str">
        <f>Migrationsartikel!J144</f>
        <v>Bio Citrons</v>
      </c>
      <c r="Q145" s="51" t="str">
        <f>Migrationsartikel!N144</f>
        <v>Bio Limoni</v>
      </c>
      <c r="R145" s="51" t="str">
        <f>_xlfn.TEXTJOIN(" ",TRUE,Migrationsartikel!G144)</f>
        <v>Netz</v>
      </c>
      <c r="S145" s="51" t="str">
        <f>_xlfn.TEXTJOIN(" ",TRUE,Migrationsartikel!K144)</f>
        <v>Filet</v>
      </c>
      <c r="T145" s="51" t="str">
        <f>_xlfn.TEXTJOIN(" ",TRUE,Migrationsartikel!O144)</f>
        <v>retina</v>
      </c>
      <c r="U145" s="51" t="str">
        <f>_xlfn.TEXTJOIN(" ",TRUE,Migrationsartikel!H144)</f>
        <v>500g</v>
      </c>
      <c r="V145" s="51" t="str">
        <f>_xlfn.TEXTJOIN(" ",TRUE,Migrationsartikel!L144)</f>
        <v>500g</v>
      </c>
      <c r="W145" s="51" t="str">
        <f>_xlfn.TEXTJOIN(" ",TRUE,Migrationsartikel!P144)</f>
        <v>500g</v>
      </c>
      <c r="X145" s="51" t="str">
        <f>Migrationsartikel!I144</f>
        <v>Bio Zitronen Netz 500g</v>
      </c>
      <c r="Y145" s="51" t="str">
        <f>Migrationsartikel!M144</f>
        <v>Bio Citrons filet 500g</v>
      </c>
      <c r="Z145" s="51" t="str">
        <f>Migrationsartikel!Q144</f>
        <v>Bio Limoni retina 500g</v>
      </c>
      <c r="AA145" s="60">
        <f>Migrationsartikel!R144</f>
        <v>0.5</v>
      </c>
      <c r="AB145" s="51" t="str">
        <f>Migrationsartikel!T144</f>
        <v>Kilogramm</v>
      </c>
      <c r="AC145" s="62">
        <f>Migrationsartikel!S144</f>
        <v>1</v>
      </c>
      <c r="AD145" s="51" t="str">
        <f>Migrationsartikel!U144</f>
        <v>(PCE) Stück</v>
      </c>
      <c r="AE145" s="95" t="str">
        <f>Migrationsartikel!Y144</f>
        <v>3 - Reduzierter Satz</v>
      </c>
      <c r="AF145" s="64" t="str">
        <f>IF(Migrationsartikel!AA144="Kein Depotartikel","",Migrationsartikel!AA144)</f>
        <v/>
      </c>
      <c r="AG145" s="95" t="str">
        <f>Migrationsartikel!Z144</f>
        <v>Keine</v>
      </c>
      <c r="AH145" s="51" t="str">
        <f>IF(Migrationsartikel!AB144="ja","true",FALSE)</f>
        <v>true</v>
      </c>
      <c r="AI145" s="51" t="str">
        <f>IF(Migrationsartikel!AC144="ja","true",FALSE)</f>
        <v>true</v>
      </c>
      <c r="AJ145" s="51" t="str">
        <f>IF(Migrationsartikel!AD144="ja","true",FALSE)</f>
        <v>true</v>
      </c>
      <c r="AK145" s="51" t="str">
        <f>IF(Migrationsartikel!AE144="ja","true",FALSE)</f>
        <v>true</v>
      </c>
      <c r="AL145" s="51" t="str">
        <f>IF(Migrationsartikel!AF144="ja","Denner Partner","")</f>
        <v/>
      </c>
      <c r="AM145" s="51" t="str">
        <f>IF(Migrationsartikel!AG144="ja","true","false")</f>
        <v>false</v>
      </c>
      <c r="AN145" s="51" t="str">
        <f t="shared" si="3"/>
        <v>Kassentastenbelegung (ohne GTIN/PLU)</v>
      </c>
      <c r="AO145" s="63" t="s">
        <v>219</v>
      </c>
      <c r="AP145" s="62" t="s">
        <v>2572</v>
      </c>
      <c r="AQ145" s="63" t="s">
        <v>217</v>
      </c>
      <c r="AR145" s="30" t="s">
        <v>219</v>
      </c>
    </row>
    <row r="146" spans="2:44" ht="21.75" customHeight="1" x14ac:dyDescent="0.45">
      <c r="B146" s="51" t="s">
        <v>99</v>
      </c>
      <c r="E146" s="52" t="s">
        <v>87</v>
      </c>
      <c r="F146" s="51" t="str">
        <f>"Warengruppe&gt;&gt;"&amp;_xlfn.TEXTJOIN("&gt;&gt;",TRUE,Migrationsartikel!V145:X145)</f>
        <v>Warengruppe&gt;&gt;Früchte und Gemüse&gt;&gt;Früchte und Gemüse&gt;&gt;Früchte</v>
      </c>
      <c r="H146" s="52" t="s">
        <v>109</v>
      </c>
      <c r="J146" s="51" t="str">
        <f>_xlfn.TEXTJOIN(" ",TRUE,Migrationsartikel!B145,Migrationsartikel!E145)</f>
        <v>174</v>
      </c>
      <c r="L146" s="51" t="str">
        <f>_xlfn.TEXTJOIN(" ",TRUE,Migrationsartikel!F145:H145)</f>
        <v>Zitronen Offen</v>
      </c>
      <c r="M146" s="51" t="str">
        <f>_xlfn.TEXTJOIN(" ",TRUE,Migrationsartikel!J145:L145)</f>
        <v>Citrons En vrac</v>
      </c>
      <c r="N146" s="51" t="str">
        <f>_xlfn.TEXTJOIN(" ",TRUE,Migrationsartikel!N145:P145)</f>
        <v>Limoni vendita sfusa</v>
      </c>
      <c r="O146" s="51" t="str">
        <f>Migrationsartikel!F145</f>
        <v>Zitronen</v>
      </c>
      <c r="P146" s="51" t="str">
        <f>Migrationsartikel!J145</f>
        <v>Citrons</v>
      </c>
      <c r="Q146" s="51" t="str">
        <f>Migrationsartikel!N145</f>
        <v>Limoni</v>
      </c>
      <c r="R146" s="51" t="str">
        <f>_xlfn.TEXTJOIN(" ",TRUE,Migrationsartikel!G145)</f>
        <v>Offen</v>
      </c>
      <c r="S146" s="51" t="str">
        <f>_xlfn.TEXTJOIN(" ",TRUE,Migrationsartikel!K145)</f>
        <v>En vrac</v>
      </c>
      <c r="T146" s="51" t="str">
        <f>_xlfn.TEXTJOIN(" ",TRUE,Migrationsartikel!O145)</f>
        <v>vendita sfusa</v>
      </c>
      <c r="U146" s="51" t="str">
        <f>_xlfn.TEXTJOIN(" ",TRUE,Migrationsartikel!H145)</f>
        <v/>
      </c>
      <c r="V146" s="51" t="str">
        <f>_xlfn.TEXTJOIN(" ",TRUE,Migrationsartikel!L145)</f>
        <v/>
      </c>
      <c r="W146" s="51" t="str">
        <f>_xlfn.TEXTJOIN(" ",TRUE,Migrationsartikel!P145)</f>
        <v/>
      </c>
      <c r="X146" s="51" t="str">
        <f>Migrationsartikel!I145</f>
        <v>Zitronen Offen</v>
      </c>
      <c r="Y146" s="51" t="str">
        <f>Migrationsartikel!M145</f>
        <v>Citrons en vrac</v>
      </c>
      <c r="Z146" s="51" t="str">
        <f>Migrationsartikel!Q145</f>
        <v>Limoni vendita sfusa</v>
      </c>
      <c r="AA146" s="60">
        <f>Migrationsartikel!R145</f>
        <v>1</v>
      </c>
      <c r="AB146" s="51" t="str">
        <f>Migrationsartikel!T145</f>
        <v>Kilogramm</v>
      </c>
      <c r="AC146" s="62">
        <f>Migrationsartikel!S145</f>
        <v>1</v>
      </c>
      <c r="AD146" s="51" t="str">
        <f>Migrationsartikel!U145</f>
        <v>(KGM) KG</v>
      </c>
      <c r="AE146" s="95" t="str">
        <f>Migrationsartikel!Y145</f>
        <v>3 - Reduzierter Satz</v>
      </c>
      <c r="AF146" s="64" t="str">
        <f>IF(Migrationsartikel!AA145="Kein Depotartikel","",Migrationsartikel!AA145)</f>
        <v/>
      </c>
      <c r="AG146" s="95" t="str">
        <f>Migrationsartikel!Z145</f>
        <v>Keine</v>
      </c>
      <c r="AH146" s="51" t="str">
        <f>IF(Migrationsartikel!AB145="ja","true",FALSE)</f>
        <v>true</v>
      </c>
      <c r="AI146" s="51" t="str">
        <f>IF(Migrationsartikel!AC145="ja","true",FALSE)</f>
        <v>true</v>
      </c>
      <c r="AJ146" s="51" t="str">
        <f>IF(Migrationsartikel!AD145="ja","true",FALSE)</f>
        <v>true</v>
      </c>
      <c r="AK146" s="51" t="str">
        <f>IF(Migrationsartikel!AE145="ja","true",FALSE)</f>
        <v>true</v>
      </c>
      <c r="AL146" s="51" t="str">
        <f>IF(Migrationsartikel!AF145="ja","Denner Partner","")</f>
        <v/>
      </c>
      <c r="AM146" s="51" t="str">
        <f>IF(Migrationsartikel!AG145="ja","true","false")</f>
        <v>false</v>
      </c>
      <c r="AN146" s="51" t="str">
        <f t="shared" si="3"/>
        <v>Kassentastenbelegung (ohne GTIN/PLU)</v>
      </c>
      <c r="AO146" s="63" t="s">
        <v>219</v>
      </c>
      <c r="AP146" s="62" t="s">
        <v>2573</v>
      </c>
      <c r="AQ146" s="63" t="s">
        <v>217</v>
      </c>
      <c r="AR146" s="30" t="s">
        <v>219</v>
      </c>
    </row>
    <row r="147" spans="2:44" ht="21.75" customHeight="1" x14ac:dyDescent="0.45">
      <c r="B147" s="51" t="s">
        <v>99</v>
      </c>
      <c r="E147" s="52" t="s">
        <v>87</v>
      </c>
      <c r="F147" s="51" t="str">
        <f>"Warengruppe&gt;&gt;"&amp;_xlfn.TEXTJOIN("&gt;&gt;",TRUE,Migrationsartikel!V146:X146)</f>
        <v>Warengruppe&gt;&gt;Früchte und Gemüse&gt;&gt;Früchte und Gemüse&gt;&gt;Gemüse</v>
      </c>
      <c r="H147" s="52" t="s">
        <v>109</v>
      </c>
      <c r="J147" s="51" t="str">
        <f>_xlfn.TEXTJOIN(" ",TRUE,Migrationsartikel!B146,Migrationsartikel!E146)</f>
        <v>7613399024132</v>
      </c>
      <c r="L147" s="51" t="str">
        <f>_xlfn.TEXTJOIN(" ",TRUE,Migrationsartikel!F146:H146)</f>
        <v>Guacamole Schale 500g</v>
      </c>
      <c r="M147" s="51" t="str">
        <f>_xlfn.TEXTJOIN(" ",TRUE,Migrationsartikel!J146:L146)</f>
        <v>Guacamole Barquette 500g</v>
      </c>
      <c r="N147" s="51" t="str">
        <f>_xlfn.TEXTJOIN(" ",TRUE,Migrationsartikel!N146:P146)</f>
        <v>Guacamole vaschetta 500g</v>
      </c>
      <c r="O147" s="51" t="str">
        <f>Migrationsartikel!F146</f>
        <v>Guacamole</v>
      </c>
      <c r="P147" s="51" t="str">
        <f>Migrationsartikel!J146</f>
        <v>Guacamole</v>
      </c>
      <c r="Q147" s="51" t="str">
        <f>Migrationsartikel!N146</f>
        <v>Guacamole</v>
      </c>
      <c r="R147" s="51" t="str">
        <f>_xlfn.TEXTJOIN(" ",TRUE,Migrationsartikel!G146)</f>
        <v>Schale</v>
      </c>
      <c r="S147" s="51" t="str">
        <f>_xlfn.TEXTJOIN(" ",TRUE,Migrationsartikel!K146)</f>
        <v>Barquette</v>
      </c>
      <c r="T147" s="51" t="str">
        <f>_xlfn.TEXTJOIN(" ",TRUE,Migrationsartikel!O146)</f>
        <v>vaschetta</v>
      </c>
      <c r="U147" s="51" t="str">
        <f>_xlfn.TEXTJOIN(" ",TRUE,Migrationsartikel!H146)</f>
        <v>500g</v>
      </c>
      <c r="V147" s="51" t="str">
        <f>_xlfn.TEXTJOIN(" ",TRUE,Migrationsartikel!L146)</f>
        <v>500g</v>
      </c>
      <c r="W147" s="51" t="str">
        <f>_xlfn.TEXTJOIN(" ",TRUE,Migrationsartikel!P146)</f>
        <v>500g</v>
      </c>
      <c r="X147" s="51" t="str">
        <f>Migrationsartikel!I146</f>
        <v>Guacamole Schale 500g</v>
      </c>
      <c r="Y147" s="51" t="str">
        <f>Migrationsartikel!M146</f>
        <v>Guacamole barquette 500g</v>
      </c>
      <c r="Z147" s="51" t="str">
        <f>Migrationsartikel!Q146</f>
        <v>Guacamole vaschetta 500g</v>
      </c>
      <c r="AA147" s="60">
        <f>Migrationsartikel!R146</f>
        <v>0.5</v>
      </c>
      <c r="AB147" s="51" t="str">
        <f>Migrationsartikel!T146</f>
        <v>Kilogramm</v>
      </c>
      <c r="AC147" s="62">
        <f>Migrationsartikel!S146</f>
        <v>1</v>
      </c>
      <c r="AD147" s="51" t="str">
        <f>Migrationsartikel!U146</f>
        <v>(PCE) Stück</v>
      </c>
      <c r="AE147" s="95" t="str">
        <f>Migrationsartikel!Y146</f>
        <v>3 - Reduzierter Satz</v>
      </c>
      <c r="AF147" s="64" t="str">
        <f>IF(Migrationsartikel!AA146="Kein Depotartikel","",Migrationsartikel!AA146)</f>
        <v/>
      </c>
      <c r="AG147" s="95" t="str">
        <f>Migrationsartikel!Z146</f>
        <v>Keine</v>
      </c>
      <c r="AH147" s="51" t="str">
        <f>IF(Migrationsartikel!AB146="ja","true",FALSE)</f>
        <v>true</v>
      </c>
      <c r="AI147" s="51" t="str">
        <f>IF(Migrationsartikel!AC146="ja","true",FALSE)</f>
        <v>true</v>
      </c>
      <c r="AJ147" s="51" t="str">
        <f>IF(Migrationsartikel!AD146="ja","true",FALSE)</f>
        <v>true</v>
      </c>
      <c r="AK147" s="51" t="str">
        <f>IF(Migrationsartikel!AE146="ja","true",FALSE)</f>
        <v>true</v>
      </c>
      <c r="AL147" s="51" t="str">
        <f>IF(Migrationsartikel!AF146="ja","Denner Partner","")</f>
        <v/>
      </c>
      <c r="AM147" s="51" t="str">
        <f>IF(Migrationsartikel!AG146="ja","true","false")</f>
        <v>false</v>
      </c>
      <c r="AN147" s="51" t="str">
        <f t="shared" si="3"/>
        <v>Kassentastenbelegung (ohne GTIN/PLU)</v>
      </c>
      <c r="AO147" s="63" t="s">
        <v>219</v>
      </c>
      <c r="AP147" s="62" t="s">
        <v>2574</v>
      </c>
      <c r="AQ147" s="63" t="s">
        <v>217</v>
      </c>
      <c r="AR147" s="30" t="s">
        <v>219</v>
      </c>
    </row>
    <row r="148" spans="2:44" ht="21.75" customHeight="1" x14ac:dyDescent="0.45">
      <c r="B148" s="51" t="s">
        <v>99</v>
      </c>
      <c r="E148" s="52" t="s">
        <v>87</v>
      </c>
      <c r="F148" s="51" t="str">
        <f>"Warengruppe&gt;&gt;"&amp;_xlfn.TEXTJOIN("&gt;&gt;",TRUE,Migrationsartikel!V147:X147)</f>
        <v>Warengruppe&gt;&gt;Früchte und Gemüse&gt;&gt;Früchte und Gemüse&gt;&gt;Gemüse</v>
      </c>
      <c r="H148" s="52" t="s">
        <v>109</v>
      </c>
      <c r="J148" s="51" t="str">
        <f>_xlfn.TEXTJOIN(" ",TRUE,Migrationsartikel!B147,Migrationsartikel!E147)</f>
        <v>7613399006343</v>
      </c>
      <c r="L148" s="51" t="str">
        <f>_xlfn.TEXTJOIN(" ",TRUE,Migrationsartikel!F147:H147)</f>
        <v>Rotkraut gekocht Beutel 500g</v>
      </c>
      <c r="M148" s="51" t="str">
        <f>_xlfn.TEXTJOIN(" ",TRUE,Migrationsartikel!J147:L147)</f>
        <v>Chou rouge cuit Sachet 500g</v>
      </c>
      <c r="N148" s="51" t="str">
        <f>_xlfn.TEXTJOIN(" ",TRUE,Migrationsartikel!N147:P147)</f>
        <v>Cavolo rosso cotto sacchetto 500g</v>
      </c>
      <c r="O148" s="51" t="str">
        <f>Migrationsartikel!F147</f>
        <v>Rotkraut gekocht</v>
      </c>
      <c r="P148" s="51" t="str">
        <f>Migrationsartikel!J147</f>
        <v>Chou rouge cuit</v>
      </c>
      <c r="Q148" s="51" t="str">
        <f>Migrationsartikel!N147</f>
        <v>Cavolo rosso cotto</v>
      </c>
      <c r="R148" s="51" t="str">
        <f>_xlfn.TEXTJOIN(" ",TRUE,Migrationsartikel!G147)</f>
        <v>Beutel</v>
      </c>
      <c r="S148" s="51" t="str">
        <f>_xlfn.TEXTJOIN(" ",TRUE,Migrationsartikel!K147)</f>
        <v>Sachet</v>
      </c>
      <c r="T148" s="51" t="str">
        <f>_xlfn.TEXTJOIN(" ",TRUE,Migrationsartikel!O147)</f>
        <v>sacchetto</v>
      </c>
      <c r="U148" s="51" t="str">
        <f>_xlfn.TEXTJOIN(" ",TRUE,Migrationsartikel!H147)</f>
        <v>500g</v>
      </c>
      <c r="V148" s="51" t="str">
        <f>_xlfn.TEXTJOIN(" ",TRUE,Migrationsartikel!L147)</f>
        <v>500g</v>
      </c>
      <c r="W148" s="51" t="str">
        <f>_xlfn.TEXTJOIN(" ",TRUE,Migrationsartikel!P147)</f>
        <v>500g</v>
      </c>
      <c r="X148" s="51" t="str">
        <f>Migrationsartikel!I147</f>
        <v>Rotkraut gekocht Beutel 500g</v>
      </c>
      <c r="Y148" s="51" t="str">
        <f>Migrationsartikel!M147</f>
        <v>Chou rouge cuit sachet 500g</v>
      </c>
      <c r="Z148" s="51" t="str">
        <f>Migrationsartikel!Q147</f>
        <v>Cavolo rosso cotto 500g</v>
      </c>
      <c r="AA148" s="60">
        <f>Migrationsartikel!R147</f>
        <v>0.5</v>
      </c>
      <c r="AB148" s="51" t="str">
        <f>Migrationsartikel!T147</f>
        <v>Kilogramm</v>
      </c>
      <c r="AC148" s="62">
        <f>Migrationsartikel!S147</f>
        <v>1</v>
      </c>
      <c r="AD148" s="51" t="str">
        <f>Migrationsartikel!U147</f>
        <v>(PCE) Stück</v>
      </c>
      <c r="AE148" s="95" t="str">
        <f>Migrationsartikel!Y147</f>
        <v>3 - Reduzierter Satz</v>
      </c>
      <c r="AF148" s="64" t="str">
        <f>IF(Migrationsartikel!AA147="Kein Depotartikel","",Migrationsartikel!AA147)</f>
        <v/>
      </c>
      <c r="AG148" s="95" t="str">
        <f>Migrationsartikel!Z147</f>
        <v>Keine</v>
      </c>
      <c r="AH148" s="51" t="str">
        <f>IF(Migrationsartikel!AB147="ja","true",FALSE)</f>
        <v>true</v>
      </c>
      <c r="AI148" s="51" t="str">
        <f>IF(Migrationsartikel!AC147="ja","true",FALSE)</f>
        <v>true</v>
      </c>
      <c r="AJ148" s="51" t="str">
        <f>IF(Migrationsartikel!AD147="ja","true",FALSE)</f>
        <v>true</v>
      </c>
      <c r="AK148" s="51" t="str">
        <f>IF(Migrationsartikel!AE147="ja","true",FALSE)</f>
        <v>true</v>
      </c>
      <c r="AL148" s="51" t="str">
        <f>IF(Migrationsartikel!AF147="ja","Denner Partner","")</f>
        <v/>
      </c>
      <c r="AM148" s="51" t="str">
        <f>IF(Migrationsartikel!AG147="ja","true","false")</f>
        <v>false</v>
      </c>
      <c r="AN148" s="51" t="str">
        <f t="shared" si="3"/>
        <v>Kassentastenbelegung (ohne GTIN/PLU)</v>
      </c>
      <c r="AO148" s="63" t="s">
        <v>219</v>
      </c>
      <c r="AP148" s="62" t="s">
        <v>2575</v>
      </c>
      <c r="AQ148" s="63" t="s">
        <v>217</v>
      </c>
      <c r="AR148" s="30" t="s">
        <v>219</v>
      </c>
    </row>
    <row r="149" spans="2:44" ht="21.75" customHeight="1" x14ac:dyDescent="0.45">
      <c r="B149" s="51" t="s">
        <v>99</v>
      </c>
      <c r="E149" s="52" t="s">
        <v>87</v>
      </c>
      <c r="F149" s="51" t="str">
        <f>"Warengruppe&gt;&gt;"&amp;_xlfn.TEXTJOIN("&gt;&gt;",TRUE,Migrationsartikel!V148:X148)</f>
        <v>Warengruppe&gt;&gt;Früchte und Gemüse&gt;&gt;Früchte und Gemüse&gt;&gt;Gemüse</v>
      </c>
      <c r="H149" s="52" t="s">
        <v>109</v>
      </c>
      <c r="J149" s="51" t="str">
        <f>_xlfn.TEXTJOIN(" ",TRUE,Migrationsartikel!B148,Migrationsartikel!E148)</f>
        <v>7613399006350</v>
      </c>
      <c r="L149" s="51" t="str">
        <f>_xlfn.TEXTJOIN(" ",TRUE,Migrationsartikel!F148:H148)</f>
        <v>Sauerkraut roh Beutel 500g</v>
      </c>
      <c r="M149" s="51" t="str">
        <f>_xlfn.TEXTJOIN(" ",TRUE,Migrationsartikel!J148:L148)</f>
        <v>Choucroute crue Sachet 500g</v>
      </c>
      <c r="N149" s="51" t="str">
        <f>_xlfn.TEXTJOIN(" ",TRUE,Migrationsartikel!N148:P148)</f>
        <v>Crauti crudi sacchetto 500g</v>
      </c>
      <c r="O149" s="51" t="str">
        <f>Migrationsartikel!F148</f>
        <v>Sauerkraut roh</v>
      </c>
      <c r="P149" s="51" t="str">
        <f>Migrationsartikel!J148</f>
        <v>Choucroute crue</v>
      </c>
      <c r="Q149" s="51" t="str">
        <f>Migrationsartikel!N148</f>
        <v>Crauti crudi</v>
      </c>
      <c r="R149" s="51" t="str">
        <f>_xlfn.TEXTJOIN(" ",TRUE,Migrationsartikel!G148)</f>
        <v>Beutel</v>
      </c>
      <c r="S149" s="51" t="str">
        <f>_xlfn.TEXTJOIN(" ",TRUE,Migrationsartikel!K148)</f>
        <v>Sachet</v>
      </c>
      <c r="T149" s="51" t="str">
        <f>_xlfn.TEXTJOIN(" ",TRUE,Migrationsartikel!O148)</f>
        <v>sacchetto</v>
      </c>
      <c r="U149" s="51" t="str">
        <f>_xlfn.TEXTJOIN(" ",TRUE,Migrationsartikel!H148)</f>
        <v>500g</v>
      </c>
      <c r="V149" s="51" t="str">
        <f>_xlfn.TEXTJOIN(" ",TRUE,Migrationsartikel!L148)</f>
        <v>500g</v>
      </c>
      <c r="W149" s="51" t="str">
        <f>_xlfn.TEXTJOIN(" ",TRUE,Migrationsartikel!P148)</f>
        <v>500g</v>
      </c>
      <c r="X149" s="51" t="str">
        <f>Migrationsartikel!I148</f>
        <v>Sauerkraut roh Beutel 500g</v>
      </c>
      <c r="Y149" s="51" t="str">
        <f>Migrationsartikel!M148</f>
        <v>Choucroute crue sachet 500g</v>
      </c>
      <c r="Z149" s="51" t="str">
        <f>Migrationsartikel!Q148</f>
        <v>Crauti crudi sachhetto 500g</v>
      </c>
      <c r="AA149" s="60">
        <f>Migrationsartikel!R148</f>
        <v>0.5</v>
      </c>
      <c r="AB149" s="51" t="str">
        <f>Migrationsartikel!T148</f>
        <v>Kilogramm</v>
      </c>
      <c r="AC149" s="62">
        <f>Migrationsartikel!S148</f>
        <v>1</v>
      </c>
      <c r="AD149" s="51" t="str">
        <f>Migrationsartikel!U148</f>
        <v>(PCE) Stück</v>
      </c>
      <c r="AE149" s="95" t="str">
        <f>Migrationsartikel!Y148</f>
        <v>3 - Reduzierter Satz</v>
      </c>
      <c r="AF149" s="64" t="str">
        <f>IF(Migrationsartikel!AA148="Kein Depotartikel","",Migrationsartikel!AA148)</f>
        <v/>
      </c>
      <c r="AG149" s="95" t="str">
        <f>Migrationsartikel!Z148</f>
        <v>Keine</v>
      </c>
      <c r="AH149" s="51" t="str">
        <f>IF(Migrationsartikel!AB148="ja","true",FALSE)</f>
        <v>true</v>
      </c>
      <c r="AI149" s="51" t="str">
        <f>IF(Migrationsartikel!AC148="ja","true",FALSE)</f>
        <v>true</v>
      </c>
      <c r="AJ149" s="51" t="str">
        <f>IF(Migrationsartikel!AD148="ja","true",FALSE)</f>
        <v>true</v>
      </c>
      <c r="AK149" s="51" t="str">
        <f>IF(Migrationsartikel!AE148="ja","true",FALSE)</f>
        <v>true</v>
      </c>
      <c r="AL149" s="51" t="str">
        <f>IF(Migrationsartikel!AF148="ja","Denner Partner","")</f>
        <v/>
      </c>
      <c r="AM149" s="51" t="str">
        <f>IF(Migrationsartikel!AG148="ja","true","false")</f>
        <v>false</v>
      </c>
      <c r="AN149" s="51" t="str">
        <f t="shared" si="3"/>
        <v>Kassentastenbelegung (ohne GTIN/PLU)</v>
      </c>
      <c r="AO149" s="63" t="s">
        <v>219</v>
      </c>
      <c r="AP149" s="62" t="s">
        <v>2576</v>
      </c>
      <c r="AQ149" s="63" t="s">
        <v>217</v>
      </c>
      <c r="AR149" s="30" t="s">
        <v>219</v>
      </c>
    </row>
    <row r="150" spans="2:44" ht="21.75" customHeight="1" x14ac:dyDescent="0.45">
      <c r="B150" s="51" t="s">
        <v>99</v>
      </c>
      <c r="E150" s="52" t="s">
        <v>87</v>
      </c>
      <c r="F150" s="51" t="str">
        <f>"Warengruppe&gt;&gt;"&amp;_xlfn.TEXTJOIN("&gt;&gt;",TRUE,Migrationsartikel!V149:X149)</f>
        <v>Warengruppe&gt;&gt;Früchte und Gemüse&gt;&gt;Früchte und Gemüse&gt;&gt;Gemüse</v>
      </c>
      <c r="H150" s="52" t="s">
        <v>109</v>
      </c>
      <c r="J150" s="51" t="str">
        <f>_xlfn.TEXTJOIN(" ",TRUE,Migrationsartikel!B149,Migrationsartikel!E149)</f>
        <v>7613399006367</v>
      </c>
      <c r="L150" s="51" t="str">
        <f>_xlfn.TEXTJOIN(" ",TRUE,Migrationsartikel!F149:H149)</f>
        <v>Sauerrüben Beutel 500g</v>
      </c>
      <c r="M150" s="51" t="str">
        <f>_xlfn.TEXTJOIN(" ",TRUE,Migrationsartikel!J149:L149)</f>
        <v>Compote aux raves Sachet 500g</v>
      </c>
      <c r="N150" s="51" t="str">
        <f>_xlfn.TEXTJOIN(" ",TRUE,Migrationsartikel!N149:P149)</f>
        <v>Rape fermentate sacchetto 500g</v>
      </c>
      <c r="O150" s="51" t="str">
        <f>Migrationsartikel!F149</f>
        <v>Sauerrüben</v>
      </c>
      <c r="P150" s="51" t="str">
        <f>Migrationsartikel!J149</f>
        <v>Compote aux raves</v>
      </c>
      <c r="Q150" s="51" t="str">
        <f>Migrationsartikel!N149</f>
        <v>Rape fermentate</v>
      </c>
      <c r="R150" s="51" t="str">
        <f>_xlfn.TEXTJOIN(" ",TRUE,Migrationsartikel!G149)</f>
        <v>Beutel</v>
      </c>
      <c r="S150" s="51" t="str">
        <f>_xlfn.TEXTJOIN(" ",TRUE,Migrationsartikel!K149)</f>
        <v>Sachet</v>
      </c>
      <c r="T150" s="51" t="str">
        <f>_xlfn.TEXTJOIN(" ",TRUE,Migrationsartikel!O149)</f>
        <v>sacchetto</v>
      </c>
      <c r="U150" s="51" t="str">
        <f>_xlfn.TEXTJOIN(" ",TRUE,Migrationsartikel!H149)</f>
        <v>500g</v>
      </c>
      <c r="V150" s="51" t="str">
        <f>_xlfn.TEXTJOIN(" ",TRUE,Migrationsartikel!L149)</f>
        <v>500g</v>
      </c>
      <c r="W150" s="51" t="str">
        <f>_xlfn.TEXTJOIN(" ",TRUE,Migrationsartikel!P149)</f>
        <v>500g</v>
      </c>
      <c r="X150" s="51" t="str">
        <f>Migrationsartikel!I149</f>
        <v>Sauerrüben Beutel 500g</v>
      </c>
      <c r="Y150" s="51" t="str">
        <f>Migrationsartikel!M149</f>
        <v>Compote aux raves 500g</v>
      </c>
      <c r="Z150" s="51" t="str">
        <f>Migrationsartikel!Q149</f>
        <v>Rape fermentate sach. 500g</v>
      </c>
      <c r="AA150" s="60">
        <f>Migrationsartikel!R149</f>
        <v>0.5</v>
      </c>
      <c r="AB150" s="51" t="str">
        <f>Migrationsartikel!T149</f>
        <v>Kilogramm</v>
      </c>
      <c r="AC150" s="62">
        <f>Migrationsartikel!S149</f>
        <v>1</v>
      </c>
      <c r="AD150" s="51" t="str">
        <f>Migrationsartikel!U149</f>
        <v>(PCE) Stück</v>
      </c>
      <c r="AE150" s="95" t="str">
        <f>Migrationsartikel!Y149</f>
        <v>3 - Reduzierter Satz</v>
      </c>
      <c r="AF150" s="64" t="str">
        <f>IF(Migrationsartikel!AA149="Kein Depotartikel","",Migrationsartikel!AA149)</f>
        <v/>
      </c>
      <c r="AG150" s="95" t="str">
        <f>Migrationsartikel!Z149</f>
        <v>Keine</v>
      </c>
      <c r="AH150" s="51" t="str">
        <f>IF(Migrationsartikel!AB149="ja","true",FALSE)</f>
        <v>true</v>
      </c>
      <c r="AI150" s="51" t="str">
        <f>IF(Migrationsartikel!AC149="ja","true",FALSE)</f>
        <v>true</v>
      </c>
      <c r="AJ150" s="51" t="str">
        <f>IF(Migrationsartikel!AD149="ja","true",FALSE)</f>
        <v>true</v>
      </c>
      <c r="AK150" s="51" t="str">
        <f>IF(Migrationsartikel!AE149="ja","true",FALSE)</f>
        <v>true</v>
      </c>
      <c r="AL150" s="51" t="str">
        <f>IF(Migrationsartikel!AF149="ja","Denner Partner","")</f>
        <v/>
      </c>
      <c r="AM150" s="51" t="str">
        <f>IF(Migrationsartikel!AG149="ja","true","false")</f>
        <v>false</v>
      </c>
      <c r="AN150" s="51" t="str">
        <f t="shared" si="3"/>
        <v>Kassentastenbelegung (ohne GTIN/PLU)</v>
      </c>
      <c r="AO150" s="63" t="s">
        <v>219</v>
      </c>
      <c r="AP150" s="62" t="s">
        <v>2577</v>
      </c>
      <c r="AQ150" s="63" t="s">
        <v>217</v>
      </c>
      <c r="AR150" s="30" t="s">
        <v>219</v>
      </c>
    </row>
    <row r="151" spans="2:44" ht="21.75" customHeight="1" x14ac:dyDescent="0.45">
      <c r="B151" s="51" t="s">
        <v>99</v>
      </c>
      <c r="E151" s="52" t="s">
        <v>87</v>
      </c>
      <c r="F151" s="51" t="str">
        <f>"Warengruppe&gt;&gt;"&amp;_xlfn.TEXTJOIN("&gt;&gt;",TRUE,Migrationsartikel!V150:X150)</f>
        <v>Warengruppe&gt;&gt;Früchte und Gemüse&gt;&gt;Früchte und Gemüse&gt;&gt;Gemüse</v>
      </c>
      <c r="H151" s="52" t="s">
        <v>109</v>
      </c>
      <c r="J151" s="51" t="str">
        <f>_xlfn.TEXTJOIN(" ",TRUE,Migrationsartikel!B150,Migrationsartikel!E150)</f>
        <v/>
      </c>
      <c r="L151" s="51" t="str">
        <f>_xlfn.TEXTJOIN(" ",TRUE,Migrationsartikel!F150:H150)</f>
        <v>Schnittlauch Bund 1Stk</v>
      </c>
      <c r="M151" s="51" t="str">
        <f>_xlfn.TEXTJOIN(" ",TRUE,Migrationsartikel!J150:L150)</f>
        <v>Ciboulette Bouquet 1pce</v>
      </c>
      <c r="N151" s="51" t="str">
        <f>_xlfn.TEXTJOIN(" ",TRUE,Migrationsartikel!N150:P150)</f>
        <v>Erba cipollina mazzetto 1pz</v>
      </c>
      <c r="O151" s="51" t="str">
        <f>Migrationsartikel!F150</f>
        <v>Schnittlauch</v>
      </c>
      <c r="P151" s="51" t="str">
        <f>Migrationsartikel!J150</f>
        <v>Ciboulette</v>
      </c>
      <c r="Q151" s="51" t="str">
        <f>Migrationsartikel!N150</f>
        <v>Erba cipollina</v>
      </c>
      <c r="R151" s="51" t="str">
        <f>_xlfn.TEXTJOIN(" ",TRUE,Migrationsartikel!G150)</f>
        <v>Bund</v>
      </c>
      <c r="S151" s="51" t="str">
        <f>_xlfn.TEXTJOIN(" ",TRUE,Migrationsartikel!K150)</f>
        <v>Bouquet</v>
      </c>
      <c r="T151" s="51" t="str">
        <f>_xlfn.TEXTJOIN(" ",TRUE,Migrationsartikel!O150)</f>
        <v>mazzetto</v>
      </c>
      <c r="U151" s="51" t="str">
        <f>_xlfn.TEXTJOIN(" ",TRUE,Migrationsartikel!H150)</f>
        <v>1Stk</v>
      </c>
      <c r="V151" s="51" t="str">
        <f>_xlfn.TEXTJOIN(" ",TRUE,Migrationsartikel!L150)</f>
        <v>1pce</v>
      </c>
      <c r="W151" s="51" t="str">
        <f>_xlfn.TEXTJOIN(" ",TRUE,Migrationsartikel!P150)</f>
        <v>1pz</v>
      </c>
      <c r="X151" s="51" t="str">
        <f>Migrationsartikel!I150</f>
        <v>Schnittlauch Bund 1 Stk</v>
      </c>
      <c r="Y151" s="51" t="str">
        <f>Migrationsartikel!M150</f>
        <v>Ciboulette bouquet 1 pce</v>
      </c>
      <c r="Z151" s="51" t="str">
        <f>Migrationsartikel!Q150</f>
        <v>Erba cipollina mazzetto 1 pz</v>
      </c>
      <c r="AA151" s="60">
        <f>Migrationsartikel!R150</f>
        <v>1</v>
      </c>
      <c r="AB151" s="51" t="str">
        <f>Migrationsartikel!T150</f>
        <v>Stück</v>
      </c>
      <c r="AC151" s="62">
        <f>Migrationsartikel!S150</f>
        <v>1</v>
      </c>
      <c r="AD151" s="51" t="str">
        <f>Migrationsartikel!U150</f>
        <v>(PCE) Stück</v>
      </c>
      <c r="AE151" s="95" t="str">
        <f>Migrationsartikel!Y150</f>
        <v>3 - Reduzierter Satz</v>
      </c>
      <c r="AF151" s="64" t="str">
        <f>IF(Migrationsartikel!AA150="Kein Depotartikel","",Migrationsartikel!AA150)</f>
        <v/>
      </c>
      <c r="AG151" s="95" t="str">
        <f>Migrationsartikel!Z150</f>
        <v>Keine</v>
      </c>
      <c r="AH151" s="51" t="str">
        <f>IF(Migrationsartikel!AB150="ja","true",FALSE)</f>
        <v>true</v>
      </c>
      <c r="AI151" s="51" t="str">
        <f>IF(Migrationsartikel!AC150="ja","true",FALSE)</f>
        <v>true</v>
      </c>
      <c r="AJ151" s="51" t="str">
        <f>IF(Migrationsartikel!AD150="ja","true",FALSE)</f>
        <v>true</v>
      </c>
      <c r="AK151" s="51" t="str">
        <f>IF(Migrationsartikel!AE150="ja","true",FALSE)</f>
        <v>true</v>
      </c>
      <c r="AL151" s="51" t="str">
        <f>IF(Migrationsartikel!AF150="ja","Denner Partner","")</f>
        <v/>
      </c>
      <c r="AM151" s="51" t="str">
        <f>IF(Migrationsartikel!AG150="ja","true","false")</f>
        <v>false</v>
      </c>
      <c r="AN151" s="51" t="str">
        <f t="shared" si="3"/>
        <v>Kassentastenbelegung (ohne GTIN/PLU)</v>
      </c>
      <c r="AO151" s="63" t="s">
        <v>219</v>
      </c>
      <c r="AP151" s="62" t="s">
        <v>2578</v>
      </c>
      <c r="AQ151" s="63" t="s">
        <v>217</v>
      </c>
      <c r="AR151" s="30" t="s">
        <v>219</v>
      </c>
    </row>
    <row r="152" spans="2:44" ht="21.75" customHeight="1" x14ac:dyDescent="0.45">
      <c r="B152" s="51" t="s">
        <v>99</v>
      </c>
      <c r="E152" s="52" t="s">
        <v>87</v>
      </c>
      <c r="F152" s="51" t="str">
        <f>"Warengruppe&gt;&gt;"&amp;_xlfn.TEXTJOIN("&gt;&gt;",TRUE,Migrationsartikel!V151:X151)</f>
        <v>Warengruppe&gt;&gt;Früchte und Gemüse&gt;&gt;Früchte und Gemüse&gt;&gt;Gemüse</v>
      </c>
      <c r="H152" s="52" t="s">
        <v>109</v>
      </c>
      <c r="J152" s="51" t="str">
        <f>_xlfn.TEXTJOIN(" ",TRUE,Migrationsartikel!B151,Migrationsartikel!E151)</f>
        <v>2203681000000</v>
      </c>
      <c r="L152" s="51" t="str">
        <f>_xlfn.TEXTJOIN(" ",TRUE,Migrationsartikel!F151:H151)</f>
        <v>Auberginen ca. 300-400g, gepackt 1Stk</v>
      </c>
      <c r="M152" s="51" t="str">
        <f>_xlfn.TEXTJOIN(" ",TRUE,Migrationsartikel!J151:L151)</f>
        <v>Aubergines 300-400g Emballé 1pce</v>
      </c>
      <c r="N152" s="51" t="str">
        <f>_xlfn.TEXTJOIN(" ",TRUE,Migrationsartikel!N151:P151)</f>
        <v>Melanzane ca 300-400g confezionato 1pz</v>
      </c>
      <c r="O152" s="51" t="str">
        <f>Migrationsartikel!F151</f>
        <v>Auberginen</v>
      </c>
      <c r="P152" s="51" t="str">
        <f>Migrationsartikel!J151</f>
        <v>Aubergines 300-400g</v>
      </c>
      <c r="Q152" s="51" t="str">
        <f>Migrationsartikel!N151</f>
        <v>Melanzane ca 300-400g</v>
      </c>
      <c r="R152" s="51" t="str">
        <f>_xlfn.TEXTJOIN(" ",TRUE,Migrationsartikel!G151)</f>
        <v>ca. 300-400g, gepackt</v>
      </c>
      <c r="S152" s="51" t="str">
        <f>_xlfn.TEXTJOIN(" ",TRUE,Migrationsartikel!K151)</f>
        <v>Emballé</v>
      </c>
      <c r="T152" s="51" t="str">
        <f>_xlfn.TEXTJOIN(" ",TRUE,Migrationsartikel!O151)</f>
        <v>confezionato</v>
      </c>
      <c r="U152" s="51" t="str">
        <f>_xlfn.TEXTJOIN(" ",TRUE,Migrationsartikel!H151)</f>
        <v>1Stk</v>
      </c>
      <c r="V152" s="51" t="str">
        <f>_xlfn.TEXTJOIN(" ",TRUE,Migrationsartikel!L151)</f>
        <v>1pce</v>
      </c>
      <c r="W152" s="51" t="str">
        <f>_xlfn.TEXTJOIN(" ",TRUE,Migrationsartikel!P151)</f>
        <v>1pz</v>
      </c>
      <c r="X152" s="51" t="str">
        <f>Migrationsartikel!I151</f>
        <v>Auberginen ca. 300-400g gep.</v>
      </c>
      <c r="Y152" s="51" t="str">
        <f>Migrationsartikel!M151</f>
        <v>Aubergies 300-400g emballé</v>
      </c>
      <c r="Z152" s="51" t="str">
        <f>Migrationsartikel!Q151</f>
        <v>Melanzane ca. 300-400g 1 pz</v>
      </c>
      <c r="AA152" s="60">
        <f>Migrationsartikel!R151</f>
        <v>1</v>
      </c>
      <c r="AB152" s="51" t="str">
        <f>Migrationsartikel!T151</f>
        <v>Kilogramm</v>
      </c>
      <c r="AC152" s="62">
        <f>Migrationsartikel!S151</f>
        <v>1</v>
      </c>
      <c r="AD152" s="51" t="str">
        <f>Migrationsartikel!U151</f>
        <v>(PCE) Stück</v>
      </c>
      <c r="AE152" s="95" t="str">
        <f>Migrationsartikel!Y151</f>
        <v>3 - Reduzierter Satz</v>
      </c>
      <c r="AF152" s="64" t="str">
        <f>IF(Migrationsartikel!AA151="Kein Depotartikel","",Migrationsartikel!AA151)</f>
        <v/>
      </c>
      <c r="AG152" s="95" t="str">
        <f>Migrationsartikel!Z151</f>
        <v>Keine</v>
      </c>
      <c r="AH152" s="51" t="str">
        <f>IF(Migrationsartikel!AB151="ja","true",FALSE)</f>
        <v>true</v>
      </c>
      <c r="AI152" s="51" t="str">
        <f>IF(Migrationsartikel!AC151="ja","true",FALSE)</f>
        <v>true</v>
      </c>
      <c r="AJ152" s="51" t="str">
        <f>IF(Migrationsartikel!AD151="ja","true",FALSE)</f>
        <v>true</v>
      </c>
      <c r="AK152" s="51" t="str">
        <f>IF(Migrationsartikel!AE151="ja","true",FALSE)</f>
        <v>true</v>
      </c>
      <c r="AL152" s="51" t="str">
        <f>IF(Migrationsartikel!AF151="ja","Denner Partner","")</f>
        <v/>
      </c>
      <c r="AM152" s="51" t="str">
        <f>IF(Migrationsartikel!AG151="ja","true","false")</f>
        <v>false</v>
      </c>
      <c r="AN152" s="51" t="str">
        <f t="shared" si="3"/>
        <v>Kassentastenbelegung (ohne GTIN/PLU)</v>
      </c>
      <c r="AO152" s="63" t="s">
        <v>219</v>
      </c>
      <c r="AP152" s="62" t="s">
        <v>2579</v>
      </c>
      <c r="AQ152" s="63" t="s">
        <v>217</v>
      </c>
      <c r="AR152" s="30" t="s">
        <v>219</v>
      </c>
    </row>
    <row r="153" spans="2:44" ht="21.75" customHeight="1" x14ac:dyDescent="0.45">
      <c r="B153" s="51" t="s">
        <v>99</v>
      </c>
      <c r="E153" s="52" t="s">
        <v>87</v>
      </c>
      <c r="F153" s="51" t="str">
        <f>"Warengruppe&gt;&gt;"&amp;_xlfn.TEXTJOIN("&gt;&gt;",TRUE,Migrationsartikel!V152:X152)</f>
        <v>Warengruppe&gt;&gt;Früchte und Gemüse&gt;&gt;Früchte und Gemüse&gt;&gt;Gemüse</v>
      </c>
      <c r="H153" s="52" t="s">
        <v>109</v>
      </c>
      <c r="J153" s="51" t="str">
        <f>_xlfn.TEXTJOIN(" ",TRUE,Migrationsartikel!B152,Migrationsartikel!E152)</f>
        <v>2292861000000</v>
      </c>
      <c r="L153" s="51" t="str">
        <f>_xlfn.TEXTJOIN(" ",TRUE,Migrationsartikel!F152:H152)</f>
        <v>Bio Auberginen 1Stk</v>
      </c>
      <c r="M153" s="51" t="str">
        <f>_xlfn.TEXTJOIN(" ",TRUE,Migrationsartikel!J152:L152)</f>
        <v>Bio Aubergines 1pce</v>
      </c>
      <c r="N153" s="51" t="str">
        <f>_xlfn.TEXTJOIN(" ",TRUE,Migrationsartikel!N152:P152)</f>
        <v>Bio Melanzane 1pz</v>
      </c>
      <c r="O153" s="51" t="str">
        <f>Migrationsartikel!F152</f>
        <v>Bio Auberginen</v>
      </c>
      <c r="P153" s="51" t="str">
        <f>Migrationsartikel!J152</f>
        <v>Bio Aubergines</v>
      </c>
      <c r="Q153" s="51" t="str">
        <f>Migrationsartikel!N152</f>
        <v>Bio Melanzane</v>
      </c>
      <c r="R153" s="51" t="str">
        <f>_xlfn.TEXTJOIN(" ",TRUE,Migrationsartikel!G152)</f>
        <v/>
      </c>
      <c r="S153" s="51" t="str">
        <f>_xlfn.TEXTJOIN(" ",TRUE,Migrationsartikel!K152)</f>
        <v/>
      </c>
      <c r="T153" s="51" t="str">
        <f>_xlfn.TEXTJOIN(" ",TRUE,Migrationsartikel!O152)</f>
        <v/>
      </c>
      <c r="U153" s="51" t="str">
        <f>_xlfn.TEXTJOIN(" ",TRUE,Migrationsartikel!H152)</f>
        <v>1Stk</v>
      </c>
      <c r="V153" s="51" t="str">
        <f>_xlfn.TEXTJOIN(" ",TRUE,Migrationsartikel!L152)</f>
        <v>1pce</v>
      </c>
      <c r="W153" s="51" t="str">
        <f>_xlfn.TEXTJOIN(" ",TRUE,Migrationsartikel!P152)</f>
        <v>1pz</v>
      </c>
      <c r="X153" s="51" t="str">
        <f>Migrationsartikel!I152</f>
        <v>Bio Auberginen 1 Stk</v>
      </c>
      <c r="Y153" s="51" t="str">
        <f>Migrationsartikel!M152</f>
        <v>Bio Aubergines 1 pce</v>
      </c>
      <c r="Z153" s="51" t="str">
        <f>Migrationsartikel!Q152</f>
        <v>Bio Melanzane 1 pz</v>
      </c>
      <c r="AA153" s="60">
        <f>Migrationsartikel!R152</f>
        <v>1</v>
      </c>
      <c r="AB153" s="51" t="str">
        <f>Migrationsartikel!T152</f>
        <v>Kilogramm</v>
      </c>
      <c r="AC153" s="62">
        <f>Migrationsartikel!S152</f>
        <v>1</v>
      </c>
      <c r="AD153" s="51" t="str">
        <f>Migrationsartikel!U152</f>
        <v>(PCE) Stück</v>
      </c>
      <c r="AE153" s="95" t="str">
        <f>Migrationsartikel!Y152</f>
        <v>3 - Reduzierter Satz</v>
      </c>
      <c r="AF153" s="64" t="str">
        <f>IF(Migrationsartikel!AA152="Kein Depotartikel","",Migrationsartikel!AA152)</f>
        <v/>
      </c>
      <c r="AG153" s="95" t="str">
        <f>Migrationsartikel!Z152</f>
        <v>Keine</v>
      </c>
      <c r="AH153" s="51" t="str">
        <f>IF(Migrationsartikel!AB152="ja","true",FALSE)</f>
        <v>true</v>
      </c>
      <c r="AI153" s="51" t="str">
        <f>IF(Migrationsartikel!AC152="ja","true",FALSE)</f>
        <v>true</v>
      </c>
      <c r="AJ153" s="51" t="str">
        <f>IF(Migrationsartikel!AD152="ja","true",FALSE)</f>
        <v>true</v>
      </c>
      <c r="AK153" s="51" t="str">
        <f>IF(Migrationsartikel!AE152="ja","true",FALSE)</f>
        <v>true</v>
      </c>
      <c r="AL153" s="51" t="str">
        <f>IF(Migrationsartikel!AF152="ja","Denner Partner","")</f>
        <v/>
      </c>
      <c r="AM153" s="51" t="str">
        <f>IF(Migrationsartikel!AG152="ja","true","false")</f>
        <v>false</v>
      </c>
      <c r="AN153" s="51" t="str">
        <f t="shared" si="3"/>
        <v>Kassentastenbelegung (ohne GTIN/PLU)</v>
      </c>
      <c r="AO153" s="63" t="s">
        <v>219</v>
      </c>
      <c r="AP153" s="62" t="s">
        <v>2580</v>
      </c>
      <c r="AQ153" s="63" t="s">
        <v>217</v>
      </c>
      <c r="AR153" s="30" t="s">
        <v>219</v>
      </c>
    </row>
    <row r="154" spans="2:44" ht="21.75" customHeight="1" x14ac:dyDescent="0.45">
      <c r="B154" s="51" t="s">
        <v>99</v>
      </c>
      <c r="E154" s="52" t="s">
        <v>87</v>
      </c>
      <c r="F154" s="51" t="str">
        <f>"Warengruppe&gt;&gt;"&amp;_xlfn.TEXTJOIN("&gt;&gt;",TRUE,Migrationsartikel!V153:X153)</f>
        <v>Warengruppe&gt;&gt;Früchte und Gemüse&gt;&gt;Früchte und Gemüse&gt;&gt;Gemüse</v>
      </c>
      <c r="H154" s="52" t="s">
        <v>109</v>
      </c>
      <c r="J154" s="51" t="str">
        <f>_xlfn.TEXTJOIN(" ",TRUE,Migrationsartikel!B153,Migrationsartikel!E153)</f>
        <v>7613399040361</v>
      </c>
      <c r="L154" s="51" t="str">
        <f>_xlfn.TEXTJOIN(" ",TRUE,Migrationsartikel!F153:H153)</f>
        <v>Basilikum Schale 20g</v>
      </c>
      <c r="M154" s="51" t="str">
        <f>_xlfn.TEXTJOIN(" ",TRUE,Migrationsartikel!J153:L153)</f>
        <v>Basilic Barquette 20g</v>
      </c>
      <c r="N154" s="51" t="str">
        <f>_xlfn.TEXTJOIN(" ",TRUE,Migrationsartikel!N153:P153)</f>
        <v>Basilico vaschetta 20g</v>
      </c>
      <c r="O154" s="51" t="str">
        <f>Migrationsartikel!F153</f>
        <v>Basilikum</v>
      </c>
      <c r="P154" s="51" t="str">
        <f>Migrationsartikel!J153</f>
        <v>Basilic</v>
      </c>
      <c r="Q154" s="51" t="str">
        <f>Migrationsartikel!N153</f>
        <v>Basilico</v>
      </c>
      <c r="R154" s="51" t="str">
        <f>_xlfn.TEXTJOIN(" ",TRUE,Migrationsartikel!G153)</f>
        <v>Schale</v>
      </c>
      <c r="S154" s="51" t="str">
        <f>_xlfn.TEXTJOIN(" ",TRUE,Migrationsartikel!K153)</f>
        <v>Barquette</v>
      </c>
      <c r="T154" s="51" t="str">
        <f>_xlfn.TEXTJOIN(" ",TRUE,Migrationsartikel!O153)</f>
        <v>vaschetta</v>
      </c>
      <c r="U154" s="51" t="str">
        <f>_xlfn.TEXTJOIN(" ",TRUE,Migrationsartikel!H153)</f>
        <v>20g</v>
      </c>
      <c r="V154" s="51" t="str">
        <f>_xlfn.TEXTJOIN(" ",TRUE,Migrationsartikel!L153)</f>
        <v>20g</v>
      </c>
      <c r="W154" s="51" t="str">
        <f>_xlfn.TEXTJOIN(" ",TRUE,Migrationsartikel!P153)</f>
        <v>20g</v>
      </c>
      <c r="X154" s="51" t="str">
        <f>Migrationsartikel!I153</f>
        <v>Basilikum Schale 20g</v>
      </c>
      <c r="Y154" s="51" t="str">
        <f>Migrationsartikel!M153</f>
        <v>Basilic barquette 20g</v>
      </c>
      <c r="Z154" s="51" t="str">
        <f>Migrationsartikel!Q153</f>
        <v>Basilico vaschetta 20g</v>
      </c>
      <c r="AA154" s="60">
        <f>Migrationsartikel!R153</f>
        <v>0.02</v>
      </c>
      <c r="AB154" s="51" t="str">
        <f>Migrationsartikel!T153</f>
        <v>Gramm</v>
      </c>
      <c r="AC154" s="62">
        <f>Migrationsartikel!S153</f>
        <v>100</v>
      </c>
      <c r="AD154" s="51" t="str">
        <f>Migrationsartikel!U153</f>
        <v>(PCE) Stück</v>
      </c>
      <c r="AE154" s="95" t="str">
        <f>Migrationsartikel!Y153</f>
        <v>3 - Reduzierter Satz</v>
      </c>
      <c r="AF154" s="64" t="str">
        <f>IF(Migrationsartikel!AA153="Kein Depotartikel","",Migrationsartikel!AA153)</f>
        <v/>
      </c>
      <c r="AG154" s="95" t="str">
        <f>Migrationsartikel!Z153</f>
        <v>Keine</v>
      </c>
      <c r="AH154" s="51" t="str">
        <f>IF(Migrationsartikel!AB153="ja","true",FALSE)</f>
        <v>true</v>
      </c>
      <c r="AI154" s="51" t="str">
        <f>IF(Migrationsartikel!AC153="ja","true",FALSE)</f>
        <v>true</v>
      </c>
      <c r="AJ154" s="51" t="str">
        <f>IF(Migrationsartikel!AD153="ja","true",FALSE)</f>
        <v>true</v>
      </c>
      <c r="AK154" s="51" t="str">
        <f>IF(Migrationsartikel!AE153="ja","true",FALSE)</f>
        <v>true</v>
      </c>
      <c r="AL154" s="51" t="str">
        <f>IF(Migrationsartikel!AF153="ja","Denner Partner","")</f>
        <v/>
      </c>
      <c r="AM154" s="51" t="str">
        <f>IF(Migrationsartikel!AG153="ja","true","false")</f>
        <v>false</v>
      </c>
      <c r="AN154" s="51" t="str">
        <f t="shared" si="3"/>
        <v>Kassentastenbelegung (ohne GTIN/PLU)</v>
      </c>
      <c r="AO154" s="63" t="s">
        <v>219</v>
      </c>
      <c r="AP154" s="62" t="s">
        <v>2581</v>
      </c>
      <c r="AQ154" s="63" t="s">
        <v>217</v>
      </c>
      <c r="AR154" s="30" t="s">
        <v>219</v>
      </c>
    </row>
    <row r="155" spans="2:44" ht="21.75" customHeight="1" x14ac:dyDescent="0.45">
      <c r="B155" s="51" t="s">
        <v>99</v>
      </c>
      <c r="E155" s="52" t="s">
        <v>87</v>
      </c>
      <c r="F155" s="51" t="str">
        <f>"Warengruppe&gt;&gt;"&amp;_xlfn.TEXTJOIN("&gt;&gt;",TRUE,Migrationsartikel!V154:X154)</f>
        <v>Warengruppe&gt;&gt;Früchte und Gemüse&gt;&gt;Früchte und Gemüse&gt;&gt;Gemüse</v>
      </c>
      <c r="H155" s="52" t="s">
        <v>109</v>
      </c>
      <c r="J155" s="51" t="str">
        <f>_xlfn.TEXTJOIN(" ",TRUE,Migrationsartikel!B154,Migrationsartikel!E154)</f>
        <v>2209257000001</v>
      </c>
      <c r="L155" s="51" t="str">
        <f>_xlfn.TEXTJOIN(" ",TRUE,Migrationsartikel!F154:H154)</f>
        <v>Bio Batavia 1Stk</v>
      </c>
      <c r="M155" s="51" t="str">
        <f>_xlfn.TEXTJOIN(" ",TRUE,Migrationsartikel!J154:L154)</f>
        <v>Bio Batavia 1pce</v>
      </c>
      <c r="N155" s="51" t="str">
        <f>_xlfn.TEXTJOIN(" ",TRUE,Migrationsartikel!N154:P154)</f>
        <v>Bio Batavia 1pz</v>
      </c>
      <c r="O155" s="51" t="str">
        <f>Migrationsartikel!F154</f>
        <v>Bio Batavia</v>
      </c>
      <c r="P155" s="51" t="str">
        <f>Migrationsartikel!J154</f>
        <v>Bio Batavia</v>
      </c>
      <c r="Q155" s="51" t="str">
        <f>Migrationsartikel!N154</f>
        <v>Bio Batavia</v>
      </c>
      <c r="R155" s="51" t="str">
        <f>_xlfn.TEXTJOIN(" ",TRUE,Migrationsartikel!G154)</f>
        <v/>
      </c>
      <c r="S155" s="51" t="str">
        <f>_xlfn.TEXTJOIN(" ",TRUE,Migrationsartikel!K154)</f>
        <v/>
      </c>
      <c r="T155" s="51" t="str">
        <f>_xlfn.TEXTJOIN(" ",TRUE,Migrationsartikel!O154)</f>
        <v/>
      </c>
      <c r="U155" s="51" t="str">
        <f>_xlfn.TEXTJOIN(" ",TRUE,Migrationsartikel!H154)</f>
        <v>1Stk</v>
      </c>
      <c r="V155" s="51" t="str">
        <f>_xlfn.TEXTJOIN(" ",TRUE,Migrationsartikel!L154)</f>
        <v>1pce</v>
      </c>
      <c r="W155" s="51" t="str">
        <f>_xlfn.TEXTJOIN(" ",TRUE,Migrationsartikel!P154)</f>
        <v>1pz</v>
      </c>
      <c r="X155" s="51" t="str">
        <f>Migrationsartikel!I154</f>
        <v>Bio Batavia 1 Stk</v>
      </c>
      <c r="Y155" s="51" t="str">
        <f>Migrationsartikel!M154</f>
        <v>Bio Batavia 1 pce</v>
      </c>
      <c r="Z155" s="51" t="str">
        <f>Migrationsartikel!Q154</f>
        <v>Bio Batavia 1 pz</v>
      </c>
      <c r="AA155" s="60">
        <f>Migrationsartikel!R154</f>
        <v>1</v>
      </c>
      <c r="AB155" s="51" t="str">
        <f>Migrationsartikel!T154</f>
        <v>Stück</v>
      </c>
      <c r="AC155" s="62">
        <f>Migrationsartikel!S154</f>
        <v>1</v>
      </c>
      <c r="AD155" s="51" t="str">
        <f>Migrationsartikel!U154</f>
        <v>(PCE) Stück</v>
      </c>
      <c r="AE155" s="95" t="str">
        <f>Migrationsartikel!Y154</f>
        <v>3 - Reduzierter Satz</v>
      </c>
      <c r="AF155" s="64" t="str">
        <f>IF(Migrationsartikel!AA154="Kein Depotartikel","",Migrationsartikel!AA154)</f>
        <v/>
      </c>
      <c r="AG155" s="95" t="str">
        <f>Migrationsartikel!Z154</f>
        <v>Keine</v>
      </c>
      <c r="AH155" s="51" t="str">
        <f>IF(Migrationsartikel!AB154="ja","true",FALSE)</f>
        <v>true</v>
      </c>
      <c r="AI155" s="51" t="str">
        <f>IF(Migrationsartikel!AC154="ja","true",FALSE)</f>
        <v>true</v>
      </c>
      <c r="AJ155" s="51" t="str">
        <f>IF(Migrationsartikel!AD154="ja","true",FALSE)</f>
        <v>true</v>
      </c>
      <c r="AK155" s="51" t="str">
        <f>IF(Migrationsartikel!AE154="ja","true",FALSE)</f>
        <v>true</v>
      </c>
      <c r="AL155" s="51" t="str">
        <f>IF(Migrationsartikel!AF154="ja","Denner Partner","")</f>
        <v/>
      </c>
      <c r="AM155" s="51" t="str">
        <f>IF(Migrationsartikel!AG154="ja","true","false")</f>
        <v>false</v>
      </c>
      <c r="AN155" s="51" t="str">
        <f t="shared" si="3"/>
        <v>Kassentastenbelegung (ohne GTIN/PLU)</v>
      </c>
      <c r="AO155" s="63" t="s">
        <v>219</v>
      </c>
      <c r="AP155" s="62" t="s">
        <v>2582</v>
      </c>
      <c r="AQ155" s="63" t="s">
        <v>217</v>
      </c>
      <c r="AR155" s="30" t="s">
        <v>219</v>
      </c>
    </row>
    <row r="156" spans="2:44" ht="21.75" customHeight="1" x14ac:dyDescent="0.45">
      <c r="B156" s="51" t="s">
        <v>99</v>
      </c>
      <c r="E156" s="52" t="s">
        <v>87</v>
      </c>
      <c r="F156" s="51" t="str">
        <f>"Warengruppe&gt;&gt;"&amp;_xlfn.TEXTJOIN("&gt;&gt;",TRUE,Migrationsartikel!V155:X155)</f>
        <v>Warengruppe&gt;&gt;Früchte und Gemüse&gt;&gt;Früchte und Gemüse&gt;&gt;Gemüse</v>
      </c>
      <c r="H156" s="52" t="s">
        <v>109</v>
      </c>
      <c r="J156" s="51" t="str">
        <f>_xlfn.TEXTJOIN(" ",TRUE,Migrationsartikel!B155,Migrationsartikel!E155)</f>
        <v>2215831000008</v>
      </c>
      <c r="L156" s="51" t="str">
        <f>_xlfn.TEXTJOIN(" ",TRUE,Migrationsartikel!F155:H155)</f>
        <v>Batavia 1Stk</v>
      </c>
      <c r="M156" s="51" t="str">
        <f>_xlfn.TEXTJOIN(" ",TRUE,Migrationsartikel!J155:L155)</f>
        <v>Laitue batavia 1pce</v>
      </c>
      <c r="N156" s="51" t="str">
        <f>_xlfn.TEXTJOIN(" ",TRUE,Migrationsartikel!N155:P155)</f>
        <v>Batavia 1pz</v>
      </c>
      <c r="O156" s="51" t="str">
        <f>Migrationsartikel!F155</f>
        <v>Batavia</v>
      </c>
      <c r="P156" s="51" t="str">
        <f>Migrationsartikel!J155</f>
        <v>Laitue batavia</v>
      </c>
      <c r="Q156" s="51" t="str">
        <f>Migrationsartikel!N155</f>
        <v>Batavia</v>
      </c>
      <c r="R156" s="51" t="str">
        <f>_xlfn.TEXTJOIN(" ",TRUE,Migrationsartikel!G155)</f>
        <v/>
      </c>
      <c r="S156" s="51" t="str">
        <f>_xlfn.TEXTJOIN(" ",TRUE,Migrationsartikel!K155)</f>
        <v/>
      </c>
      <c r="T156" s="51" t="str">
        <f>_xlfn.TEXTJOIN(" ",TRUE,Migrationsartikel!O155)</f>
        <v/>
      </c>
      <c r="U156" s="51" t="str">
        <f>_xlfn.TEXTJOIN(" ",TRUE,Migrationsartikel!H155)</f>
        <v>1Stk</v>
      </c>
      <c r="V156" s="51" t="str">
        <f>_xlfn.TEXTJOIN(" ",TRUE,Migrationsartikel!L155)</f>
        <v>1pce</v>
      </c>
      <c r="W156" s="51" t="str">
        <f>_xlfn.TEXTJOIN(" ",TRUE,Migrationsartikel!P155)</f>
        <v>1pz</v>
      </c>
      <c r="X156" s="51" t="str">
        <f>Migrationsartikel!I155</f>
        <v>Batavia 1 Stk</v>
      </c>
      <c r="Y156" s="51" t="str">
        <f>Migrationsartikel!M155</f>
        <v>Latiue batavia 1pce</v>
      </c>
      <c r="Z156" s="51" t="str">
        <f>Migrationsartikel!Q155</f>
        <v>Batavia 1 pz</v>
      </c>
      <c r="AA156" s="60">
        <f>Migrationsartikel!R155</f>
        <v>1</v>
      </c>
      <c r="AB156" s="51" t="str">
        <f>Migrationsartikel!T155</f>
        <v>Stück</v>
      </c>
      <c r="AC156" s="62">
        <f>Migrationsartikel!S155</f>
        <v>1</v>
      </c>
      <c r="AD156" s="51" t="str">
        <f>Migrationsartikel!U155</f>
        <v>(PCE) Stück</v>
      </c>
      <c r="AE156" s="95" t="str">
        <f>Migrationsartikel!Y155</f>
        <v>3 - Reduzierter Satz</v>
      </c>
      <c r="AF156" s="64" t="str">
        <f>IF(Migrationsartikel!AA155="Kein Depotartikel","",Migrationsartikel!AA155)</f>
        <v/>
      </c>
      <c r="AG156" s="95" t="str">
        <f>Migrationsartikel!Z155</f>
        <v>Keine</v>
      </c>
      <c r="AH156" s="51" t="str">
        <f>IF(Migrationsartikel!AB155="ja","true",FALSE)</f>
        <v>true</v>
      </c>
      <c r="AI156" s="51" t="str">
        <f>IF(Migrationsartikel!AC155="ja","true",FALSE)</f>
        <v>true</v>
      </c>
      <c r="AJ156" s="51" t="str">
        <f>IF(Migrationsartikel!AD155="ja","true",FALSE)</f>
        <v>true</v>
      </c>
      <c r="AK156" s="51" t="str">
        <f>IF(Migrationsartikel!AE155="ja","true",FALSE)</f>
        <v>true</v>
      </c>
      <c r="AL156" s="51" t="str">
        <f>IF(Migrationsartikel!AF155="ja","Denner Partner","")</f>
        <v/>
      </c>
      <c r="AM156" s="51" t="str">
        <f>IF(Migrationsartikel!AG155="ja","true","false")</f>
        <v>false</v>
      </c>
      <c r="AN156" s="51" t="str">
        <f t="shared" si="3"/>
        <v>Kassentastenbelegung (ohne GTIN/PLU)</v>
      </c>
      <c r="AO156" s="63" t="s">
        <v>219</v>
      </c>
      <c r="AP156" s="62" t="s">
        <v>2583</v>
      </c>
      <c r="AQ156" s="63" t="s">
        <v>217</v>
      </c>
      <c r="AR156" s="30" t="s">
        <v>219</v>
      </c>
    </row>
    <row r="157" spans="2:44" ht="21.75" customHeight="1" x14ac:dyDescent="0.45">
      <c r="B157" s="51" t="s">
        <v>99</v>
      </c>
      <c r="E157" s="52" t="s">
        <v>87</v>
      </c>
      <c r="F157" s="51" t="str">
        <f>"Warengruppe&gt;&gt;"&amp;_xlfn.TEXTJOIN("&gt;&gt;",TRUE,Migrationsartikel!V156:X156)</f>
        <v>Warengruppe&gt;&gt;Früchte und Gemüse&gt;&gt;Früchte und Gemüse&gt;&gt;Gemüse</v>
      </c>
      <c r="H157" s="52" t="s">
        <v>109</v>
      </c>
      <c r="J157" s="51" t="str">
        <f>_xlfn.TEXTJOIN(" ",TRUE,Migrationsartikel!B156,Migrationsartikel!E156)</f>
        <v>2209252000000</v>
      </c>
      <c r="L157" s="51" t="str">
        <f>_xlfn.TEXTJOIN(" ",TRUE,Migrationsartikel!F156:H156)</f>
        <v>Bio Blumenkohl 1Stk</v>
      </c>
      <c r="M157" s="51" t="str">
        <f>_xlfn.TEXTJOIN(" ",TRUE,Migrationsartikel!J156:L156)</f>
        <v>Bio Chou-fleur 1pce</v>
      </c>
      <c r="N157" s="51" t="str">
        <f>_xlfn.TEXTJOIN(" ",TRUE,Migrationsartikel!N156:P156)</f>
        <v>Bio cavolfiore 1pz</v>
      </c>
      <c r="O157" s="51" t="str">
        <f>Migrationsartikel!F156</f>
        <v>Bio Blumenkohl</v>
      </c>
      <c r="P157" s="51" t="str">
        <f>Migrationsartikel!J156</f>
        <v>Bio Chou-fleur</v>
      </c>
      <c r="Q157" s="51" t="str">
        <f>Migrationsartikel!N156</f>
        <v>Bio cavolfiore</v>
      </c>
      <c r="R157" s="51" t="str">
        <f>_xlfn.TEXTJOIN(" ",TRUE,Migrationsartikel!G156)</f>
        <v/>
      </c>
      <c r="S157" s="51" t="str">
        <f>_xlfn.TEXTJOIN(" ",TRUE,Migrationsartikel!K156)</f>
        <v/>
      </c>
      <c r="T157" s="51" t="str">
        <f>_xlfn.TEXTJOIN(" ",TRUE,Migrationsartikel!O156)</f>
        <v/>
      </c>
      <c r="U157" s="51" t="str">
        <f>_xlfn.TEXTJOIN(" ",TRUE,Migrationsartikel!H156)</f>
        <v>1Stk</v>
      </c>
      <c r="V157" s="51" t="str">
        <f>_xlfn.TEXTJOIN(" ",TRUE,Migrationsartikel!L156)</f>
        <v>1pce</v>
      </c>
      <c r="W157" s="51" t="str">
        <f>_xlfn.TEXTJOIN(" ",TRUE,Migrationsartikel!P156)</f>
        <v>1pz</v>
      </c>
      <c r="X157" s="51" t="str">
        <f>Migrationsartikel!I156</f>
        <v>Bio Blumenkohl 1 Stk</v>
      </c>
      <c r="Y157" s="51" t="str">
        <f>Migrationsartikel!M156</f>
        <v>Bio Chou-fleur 1 pce</v>
      </c>
      <c r="Z157" s="51" t="str">
        <f>Migrationsartikel!Q156</f>
        <v>Bio cavolfiore 1 pz</v>
      </c>
      <c r="AA157" s="60">
        <f>Migrationsartikel!R156</f>
        <v>1</v>
      </c>
      <c r="AB157" s="51" t="str">
        <f>Migrationsartikel!T156</f>
        <v>Kilogramm</v>
      </c>
      <c r="AC157" s="62">
        <f>Migrationsartikel!S156</f>
        <v>1</v>
      </c>
      <c r="AD157" s="51" t="str">
        <f>Migrationsartikel!U156</f>
        <v>(PCE) Stück</v>
      </c>
      <c r="AE157" s="95" t="str">
        <f>Migrationsartikel!Y156</f>
        <v>3 - Reduzierter Satz</v>
      </c>
      <c r="AF157" s="64" t="str">
        <f>IF(Migrationsartikel!AA156="Kein Depotartikel","",Migrationsartikel!AA156)</f>
        <v/>
      </c>
      <c r="AG157" s="95" t="str">
        <f>Migrationsartikel!Z156</f>
        <v>Keine</v>
      </c>
      <c r="AH157" s="51" t="str">
        <f>IF(Migrationsartikel!AB156="ja","true",FALSE)</f>
        <v>true</v>
      </c>
      <c r="AI157" s="51" t="str">
        <f>IF(Migrationsartikel!AC156="ja","true",FALSE)</f>
        <v>true</v>
      </c>
      <c r="AJ157" s="51" t="str">
        <f>IF(Migrationsartikel!AD156="ja","true",FALSE)</f>
        <v>true</v>
      </c>
      <c r="AK157" s="51" t="str">
        <f>IF(Migrationsartikel!AE156="ja","true",FALSE)</f>
        <v>true</v>
      </c>
      <c r="AL157" s="51" t="str">
        <f>IF(Migrationsartikel!AF156="ja","Denner Partner","")</f>
        <v/>
      </c>
      <c r="AM157" s="51" t="str">
        <f>IF(Migrationsartikel!AG156="ja","true","false")</f>
        <v>false</v>
      </c>
      <c r="AN157" s="51" t="str">
        <f t="shared" si="3"/>
        <v>Kassentastenbelegung (ohne GTIN/PLU)</v>
      </c>
      <c r="AO157" s="63" t="s">
        <v>219</v>
      </c>
      <c r="AP157" s="62" t="s">
        <v>2584</v>
      </c>
      <c r="AQ157" s="63" t="s">
        <v>217</v>
      </c>
      <c r="AR157" s="30" t="s">
        <v>219</v>
      </c>
    </row>
    <row r="158" spans="2:44" ht="21.75" customHeight="1" x14ac:dyDescent="0.45">
      <c r="B158" s="51" t="s">
        <v>99</v>
      </c>
      <c r="E158" s="52" t="s">
        <v>87</v>
      </c>
      <c r="F158" s="51" t="str">
        <f>"Warengruppe&gt;&gt;"&amp;_xlfn.TEXTJOIN("&gt;&gt;",TRUE,Migrationsartikel!V157:X157)</f>
        <v>Warengruppe&gt;&gt;Früchte und Gemüse&gt;&gt;Früchte und Gemüse&gt;&gt;Gemüse</v>
      </c>
      <c r="H158" s="52" t="s">
        <v>109</v>
      </c>
      <c r="J158" s="51" t="str">
        <f>_xlfn.TEXTJOIN(" ",TRUE,Migrationsartikel!B157,Migrationsartikel!E157)</f>
        <v>2287161000003</v>
      </c>
      <c r="L158" s="51" t="str">
        <f>_xlfn.TEXTJOIN(" ",TRUE,Migrationsartikel!F157:H157)</f>
        <v>Busch Bohnen 350g</v>
      </c>
      <c r="M158" s="51" t="str">
        <f>_xlfn.TEXTJOIN(" ",TRUE,Migrationsartikel!J157:L157)</f>
        <v>Haricots Buissons 350g</v>
      </c>
      <c r="N158" s="51" t="str">
        <f>_xlfn.TEXTJOIN(" ",TRUE,Migrationsartikel!N157:P157)</f>
        <v>Fagiolini Busch 350g</v>
      </c>
      <c r="O158" s="51" t="str">
        <f>Migrationsartikel!F157</f>
        <v>Busch Bohnen</v>
      </c>
      <c r="P158" s="51" t="str">
        <f>Migrationsartikel!J157</f>
        <v>Haricots Buissons</v>
      </c>
      <c r="Q158" s="51" t="str">
        <f>Migrationsartikel!N157</f>
        <v>Fagiolini Busch</v>
      </c>
      <c r="R158" s="51" t="str">
        <f>_xlfn.TEXTJOIN(" ",TRUE,Migrationsartikel!G157)</f>
        <v/>
      </c>
      <c r="S158" s="51" t="str">
        <f>_xlfn.TEXTJOIN(" ",TRUE,Migrationsartikel!K157)</f>
        <v/>
      </c>
      <c r="T158" s="51" t="str">
        <f>_xlfn.TEXTJOIN(" ",TRUE,Migrationsartikel!O157)</f>
        <v/>
      </c>
      <c r="U158" s="51" t="str">
        <f>_xlfn.TEXTJOIN(" ",TRUE,Migrationsartikel!H157)</f>
        <v>350g</v>
      </c>
      <c r="V158" s="51" t="str">
        <f>_xlfn.TEXTJOIN(" ",TRUE,Migrationsartikel!L157)</f>
        <v>350g</v>
      </c>
      <c r="W158" s="51" t="str">
        <f>_xlfn.TEXTJOIN(" ",TRUE,Migrationsartikel!P157)</f>
        <v>350g</v>
      </c>
      <c r="X158" s="51" t="str">
        <f>Migrationsartikel!I157</f>
        <v>Busch Bohnen 350g</v>
      </c>
      <c r="Y158" s="51" t="str">
        <f>Migrationsartikel!M157</f>
        <v>Haricots Buissons 350g</v>
      </c>
      <c r="Z158" s="51" t="str">
        <f>Migrationsartikel!Q157</f>
        <v>Fagiolini Busch 350g</v>
      </c>
      <c r="AA158" s="60">
        <f>Migrationsartikel!R157</f>
        <v>0.35</v>
      </c>
      <c r="AB158" s="51" t="str">
        <f>Migrationsartikel!T157</f>
        <v>Kilogramm</v>
      </c>
      <c r="AC158" s="62">
        <f>Migrationsartikel!S157</f>
        <v>1</v>
      </c>
      <c r="AD158" s="51" t="str">
        <f>Migrationsartikel!U157</f>
        <v>(PCE) Stück</v>
      </c>
      <c r="AE158" s="95" t="str">
        <f>Migrationsartikel!Y157</f>
        <v>3 - Reduzierter Satz</v>
      </c>
      <c r="AF158" s="64" t="str">
        <f>IF(Migrationsartikel!AA157="Kein Depotartikel","",Migrationsartikel!AA157)</f>
        <v/>
      </c>
      <c r="AG158" s="95" t="str">
        <f>Migrationsartikel!Z157</f>
        <v>Keine</v>
      </c>
      <c r="AH158" s="51" t="str">
        <f>IF(Migrationsartikel!AB157="ja","true",FALSE)</f>
        <v>true</v>
      </c>
      <c r="AI158" s="51" t="str">
        <f>IF(Migrationsartikel!AC157="ja","true",FALSE)</f>
        <v>true</v>
      </c>
      <c r="AJ158" s="51" t="str">
        <f>IF(Migrationsartikel!AD157="ja","true",FALSE)</f>
        <v>true</v>
      </c>
      <c r="AK158" s="51" t="str">
        <f>IF(Migrationsartikel!AE157="ja","true",FALSE)</f>
        <v>true</v>
      </c>
      <c r="AL158" s="51" t="str">
        <f>IF(Migrationsartikel!AF157="ja","Denner Partner","")</f>
        <v/>
      </c>
      <c r="AM158" s="51" t="str">
        <f>IF(Migrationsartikel!AG157="ja","true","false")</f>
        <v>false</v>
      </c>
      <c r="AN158" s="51" t="str">
        <f t="shared" si="3"/>
        <v>Kassentastenbelegung (ohne GTIN/PLU)</v>
      </c>
      <c r="AO158" s="63" t="s">
        <v>219</v>
      </c>
      <c r="AP158" s="62" t="s">
        <v>2585</v>
      </c>
      <c r="AQ158" s="63" t="s">
        <v>217</v>
      </c>
      <c r="AR158" s="30" t="s">
        <v>219</v>
      </c>
    </row>
    <row r="159" spans="2:44" ht="21.75" customHeight="1" x14ac:dyDescent="0.45">
      <c r="B159" s="51" t="s">
        <v>99</v>
      </c>
      <c r="E159" s="52" t="s">
        <v>87</v>
      </c>
      <c r="F159" s="51" t="str">
        <f>"Warengruppe&gt;&gt;"&amp;_xlfn.TEXTJOIN("&gt;&gt;",TRUE,Migrationsartikel!V158:X158)</f>
        <v>Warengruppe&gt;&gt;Früchte und Gemüse&gt;&gt;Früchte und Gemüse&gt;&gt;Gemüse</v>
      </c>
      <c r="H159" s="52" t="s">
        <v>109</v>
      </c>
      <c r="J159" s="51" t="str">
        <f>_xlfn.TEXTJOIN(" ",TRUE,Migrationsartikel!B158,Migrationsartikel!E158)</f>
        <v>7613399051879</v>
      </c>
      <c r="L159" s="51" t="str">
        <f>_xlfn.TEXTJOIN(" ",TRUE,Migrationsartikel!F158:H158)</f>
        <v>Bio Busch Bohnen 400g</v>
      </c>
      <c r="M159" s="51" t="str">
        <f>_xlfn.TEXTJOIN(" ",TRUE,Migrationsartikel!J158:L158)</f>
        <v>Bio Haricots Buissons 400g</v>
      </c>
      <c r="N159" s="51" t="str">
        <f>_xlfn.TEXTJOIN(" ",TRUE,Migrationsartikel!N158:P158)</f>
        <v>Bio Fagiolini Busch 400g</v>
      </c>
      <c r="O159" s="51" t="str">
        <f>Migrationsartikel!F158</f>
        <v>Bio Busch Bohnen</v>
      </c>
      <c r="P159" s="51" t="str">
        <f>Migrationsartikel!J158</f>
        <v>Bio Haricots Buissons</v>
      </c>
      <c r="Q159" s="51" t="str">
        <f>Migrationsartikel!N158</f>
        <v>Bio Fagiolini Busch</v>
      </c>
      <c r="R159" s="51" t="str">
        <f>_xlfn.TEXTJOIN(" ",TRUE,Migrationsartikel!G158)</f>
        <v/>
      </c>
      <c r="S159" s="51" t="str">
        <f>_xlfn.TEXTJOIN(" ",TRUE,Migrationsartikel!K158)</f>
        <v/>
      </c>
      <c r="T159" s="51" t="str">
        <f>_xlfn.TEXTJOIN(" ",TRUE,Migrationsartikel!O158)</f>
        <v/>
      </c>
      <c r="U159" s="51" t="str">
        <f>_xlfn.TEXTJOIN(" ",TRUE,Migrationsartikel!H158)</f>
        <v>400g</v>
      </c>
      <c r="V159" s="51" t="str">
        <f>_xlfn.TEXTJOIN(" ",TRUE,Migrationsartikel!L158)</f>
        <v>400g</v>
      </c>
      <c r="W159" s="51" t="str">
        <f>_xlfn.TEXTJOIN(" ",TRUE,Migrationsartikel!P158)</f>
        <v>400g</v>
      </c>
      <c r="X159" s="51" t="str">
        <f>Migrationsartikel!I158</f>
        <v>Bio Busch Bohnen 400g</v>
      </c>
      <c r="Y159" s="51" t="str">
        <f>Migrationsartikel!M158</f>
        <v>Bio Haricots Buissons 400g</v>
      </c>
      <c r="Z159" s="51" t="str">
        <f>Migrationsartikel!Q158</f>
        <v>Bio Fagiolini Busch 400g</v>
      </c>
      <c r="AA159" s="60">
        <f>Migrationsartikel!R158</f>
        <v>0.4</v>
      </c>
      <c r="AB159" s="51" t="str">
        <f>Migrationsartikel!T158</f>
        <v>Kilogramm</v>
      </c>
      <c r="AC159" s="62">
        <f>Migrationsartikel!S158</f>
        <v>1</v>
      </c>
      <c r="AD159" s="51" t="str">
        <f>Migrationsartikel!U158</f>
        <v>(PCE) Stück</v>
      </c>
      <c r="AE159" s="95" t="str">
        <f>Migrationsartikel!Y158</f>
        <v>3 - Reduzierter Satz</v>
      </c>
      <c r="AF159" s="64" t="str">
        <f>IF(Migrationsartikel!AA158="Kein Depotartikel","",Migrationsartikel!AA158)</f>
        <v/>
      </c>
      <c r="AG159" s="95" t="str">
        <f>Migrationsartikel!Z158</f>
        <v>Keine</v>
      </c>
      <c r="AH159" s="51" t="str">
        <f>IF(Migrationsartikel!AB158="ja","true",FALSE)</f>
        <v>true</v>
      </c>
      <c r="AI159" s="51" t="str">
        <f>IF(Migrationsartikel!AC158="ja","true",FALSE)</f>
        <v>true</v>
      </c>
      <c r="AJ159" s="51" t="str">
        <f>IF(Migrationsartikel!AD158="ja","true",FALSE)</f>
        <v>true</v>
      </c>
      <c r="AK159" s="51" t="str">
        <f>IF(Migrationsartikel!AE158="ja","true",FALSE)</f>
        <v>true</v>
      </c>
      <c r="AL159" s="51" t="str">
        <f>IF(Migrationsartikel!AF158="ja","Denner Partner","")</f>
        <v/>
      </c>
      <c r="AM159" s="51" t="str">
        <f>IF(Migrationsartikel!AG158="ja","true","false")</f>
        <v>false</v>
      </c>
      <c r="AN159" s="51" t="str">
        <f t="shared" si="3"/>
        <v>Kassentastenbelegung (ohne GTIN/PLU)</v>
      </c>
      <c r="AO159" s="63" t="s">
        <v>219</v>
      </c>
      <c r="AP159" s="62" t="s">
        <v>2586</v>
      </c>
      <c r="AQ159" s="63" t="s">
        <v>217</v>
      </c>
      <c r="AR159" s="30" t="s">
        <v>219</v>
      </c>
    </row>
    <row r="160" spans="2:44" ht="21.75" customHeight="1" x14ac:dyDescent="0.45">
      <c r="B160" s="51" t="s">
        <v>99</v>
      </c>
      <c r="E160" s="52" t="s">
        <v>87</v>
      </c>
      <c r="F160" s="51" t="str">
        <f>"Warengruppe&gt;&gt;"&amp;_xlfn.TEXTJOIN("&gt;&gt;",TRUE,Migrationsartikel!V159:X159)</f>
        <v>Warengruppe&gt;&gt;Früchte und Gemüse&gt;&gt;Früchte und Gemüse&gt;&gt;Gemüse</v>
      </c>
      <c r="H160" s="52" t="s">
        <v>109</v>
      </c>
      <c r="J160" s="51" t="str">
        <f>_xlfn.TEXTJOIN(" ",TRUE,Migrationsartikel!B159,Migrationsartikel!E159)</f>
        <v>2204122000001</v>
      </c>
      <c r="L160" s="51" t="str">
        <f>_xlfn.TEXTJOIN(" ",TRUE,Migrationsartikel!F159:H159)</f>
        <v>Bohnen Coco Beutel 500g</v>
      </c>
      <c r="M160" s="51" t="str">
        <f>_xlfn.TEXTJOIN(" ",TRUE,Migrationsartikel!J159:L159)</f>
        <v>Haricots Coco Sachet 500g</v>
      </c>
      <c r="N160" s="51" t="str">
        <f>_xlfn.TEXTJOIN(" ",TRUE,Migrationsartikel!N159:P159)</f>
        <v>Fagiolini piattoni sacchetto 500g</v>
      </c>
      <c r="O160" s="51" t="str">
        <f>Migrationsartikel!F159</f>
        <v>Bohnen Coco</v>
      </c>
      <c r="P160" s="51" t="str">
        <f>Migrationsartikel!J159</f>
        <v>Haricots Coco</v>
      </c>
      <c r="Q160" s="51" t="str">
        <f>Migrationsartikel!N159</f>
        <v>Fagiolini piattoni</v>
      </c>
      <c r="R160" s="51" t="str">
        <f>_xlfn.TEXTJOIN(" ",TRUE,Migrationsartikel!G159)</f>
        <v>Beutel</v>
      </c>
      <c r="S160" s="51" t="str">
        <f>_xlfn.TEXTJOIN(" ",TRUE,Migrationsartikel!K159)</f>
        <v>Sachet</v>
      </c>
      <c r="T160" s="51" t="str">
        <f>_xlfn.TEXTJOIN(" ",TRUE,Migrationsartikel!O159)</f>
        <v>sacchetto</v>
      </c>
      <c r="U160" s="51" t="str">
        <f>_xlfn.TEXTJOIN(" ",TRUE,Migrationsartikel!H159)</f>
        <v>500g</v>
      </c>
      <c r="V160" s="51" t="str">
        <f>_xlfn.TEXTJOIN(" ",TRUE,Migrationsartikel!L159)</f>
        <v>500g</v>
      </c>
      <c r="W160" s="51" t="str">
        <f>_xlfn.TEXTJOIN(" ",TRUE,Migrationsartikel!P159)</f>
        <v>500g</v>
      </c>
      <c r="X160" s="51" t="str">
        <f>Migrationsartikel!I159</f>
        <v>Bohnen Coca Beutel 500g</v>
      </c>
      <c r="Y160" s="51" t="str">
        <f>Migrationsartikel!M159</f>
        <v>Haricots Coco Sachet 500g</v>
      </c>
      <c r="Z160" s="51" t="str">
        <f>Migrationsartikel!Q159</f>
        <v>Fagiolini piattoni sac. 500g</v>
      </c>
      <c r="AA160" s="60">
        <f>Migrationsartikel!R159</f>
        <v>0.5</v>
      </c>
      <c r="AB160" s="51" t="str">
        <f>Migrationsartikel!T159</f>
        <v>Kilogramm</v>
      </c>
      <c r="AC160" s="62">
        <f>Migrationsartikel!S159</f>
        <v>1</v>
      </c>
      <c r="AD160" s="51" t="str">
        <f>Migrationsartikel!U159</f>
        <v>(PCE) Stück</v>
      </c>
      <c r="AE160" s="95" t="str">
        <f>Migrationsartikel!Y159</f>
        <v>3 - Reduzierter Satz</v>
      </c>
      <c r="AF160" s="64" t="str">
        <f>IF(Migrationsartikel!AA159="Kein Depotartikel","",Migrationsartikel!AA159)</f>
        <v/>
      </c>
      <c r="AG160" s="95" t="str">
        <f>Migrationsartikel!Z159</f>
        <v>Keine</v>
      </c>
      <c r="AH160" s="51" t="str">
        <f>IF(Migrationsartikel!AB159="ja","true",FALSE)</f>
        <v>true</v>
      </c>
      <c r="AI160" s="51" t="str">
        <f>IF(Migrationsartikel!AC159="ja","true",FALSE)</f>
        <v>true</v>
      </c>
      <c r="AJ160" s="51" t="str">
        <f>IF(Migrationsartikel!AD159="ja","true",FALSE)</f>
        <v>true</v>
      </c>
      <c r="AK160" s="51" t="str">
        <f>IF(Migrationsartikel!AE159="ja","true",FALSE)</f>
        <v>true</v>
      </c>
      <c r="AL160" s="51" t="str">
        <f>IF(Migrationsartikel!AF159="ja","Denner Partner","")</f>
        <v/>
      </c>
      <c r="AM160" s="51" t="str">
        <f>IF(Migrationsartikel!AG159="ja","true","false")</f>
        <v>false</v>
      </c>
      <c r="AN160" s="51" t="str">
        <f t="shared" si="3"/>
        <v>Kassentastenbelegung (ohne GTIN/PLU)</v>
      </c>
      <c r="AO160" s="63" t="s">
        <v>219</v>
      </c>
      <c r="AP160" s="62" t="s">
        <v>2587</v>
      </c>
      <c r="AQ160" s="63" t="s">
        <v>217</v>
      </c>
      <c r="AR160" s="30" t="s">
        <v>219</v>
      </c>
    </row>
    <row r="161" spans="2:44" ht="21.75" customHeight="1" x14ac:dyDescent="0.45">
      <c r="B161" s="51" t="s">
        <v>99</v>
      </c>
      <c r="E161" s="52" t="s">
        <v>87</v>
      </c>
      <c r="F161" s="51" t="str">
        <f>"Warengruppe&gt;&gt;"&amp;_xlfn.TEXTJOIN("&gt;&gt;",TRUE,Migrationsartikel!V160:X160)</f>
        <v>Warengruppe&gt;&gt;Früchte und Gemüse&gt;&gt;Früchte und Gemüse&gt;&gt;Gemüse</v>
      </c>
      <c r="H161" s="52" t="s">
        <v>109</v>
      </c>
      <c r="J161" s="51" t="str">
        <f>_xlfn.TEXTJOIN(" ",TRUE,Migrationsartikel!B160,Migrationsartikel!E160)</f>
        <v>2203731000006</v>
      </c>
      <c r="L161" s="51" t="str">
        <f>_xlfn.TEXTJOIN(" ",TRUE,Migrationsartikel!F160:H160)</f>
        <v>Broccoli 500g</v>
      </c>
      <c r="M161" s="51" t="str">
        <f>_xlfn.TEXTJOIN(" ",TRUE,Migrationsartikel!J160:L160)</f>
        <v>Brocolis 500g</v>
      </c>
      <c r="N161" s="51" t="str">
        <f>_xlfn.TEXTJOIN(" ",TRUE,Migrationsartikel!N160:P160)</f>
        <v>Broccoli 500g</v>
      </c>
      <c r="O161" s="51" t="str">
        <f>Migrationsartikel!F160</f>
        <v>Broccoli</v>
      </c>
      <c r="P161" s="51" t="str">
        <f>Migrationsartikel!J160</f>
        <v>Brocolis</v>
      </c>
      <c r="Q161" s="51" t="str">
        <f>Migrationsartikel!N160</f>
        <v>Broccoli</v>
      </c>
      <c r="R161" s="51" t="str">
        <f>_xlfn.TEXTJOIN(" ",TRUE,Migrationsartikel!G160)</f>
        <v/>
      </c>
      <c r="S161" s="51" t="str">
        <f>_xlfn.TEXTJOIN(" ",TRUE,Migrationsartikel!K160)</f>
        <v/>
      </c>
      <c r="T161" s="51" t="str">
        <f>_xlfn.TEXTJOIN(" ",TRUE,Migrationsartikel!O160)</f>
        <v/>
      </c>
      <c r="U161" s="51" t="str">
        <f>_xlfn.TEXTJOIN(" ",TRUE,Migrationsartikel!H160)</f>
        <v>500g</v>
      </c>
      <c r="V161" s="51" t="str">
        <f>_xlfn.TEXTJOIN(" ",TRUE,Migrationsartikel!L160)</f>
        <v>500g</v>
      </c>
      <c r="W161" s="51" t="str">
        <f>_xlfn.TEXTJOIN(" ",TRUE,Migrationsartikel!P160)</f>
        <v>500g</v>
      </c>
      <c r="X161" s="51" t="str">
        <f>Migrationsartikel!I160</f>
        <v>Broccoli 500g</v>
      </c>
      <c r="Y161" s="51" t="str">
        <f>Migrationsartikel!M160</f>
        <v>Brocoli 500g</v>
      </c>
      <c r="Z161" s="51" t="str">
        <f>Migrationsartikel!Q160</f>
        <v>Broccoli 500g</v>
      </c>
      <c r="AA161" s="60">
        <f>Migrationsartikel!R160</f>
        <v>0.5</v>
      </c>
      <c r="AB161" s="51" t="str">
        <f>Migrationsartikel!T160</f>
        <v>Kilogramm</v>
      </c>
      <c r="AC161" s="62">
        <f>Migrationsartikel!S160</f>
        <v>1</v>
      </c>
      <c r="AD161" s="51" t="str">
        <f>Migrationsartikel!U160</f>
        <v>(PCE) Stück</v>
      </c>
      <c r="AE161" s="95" t="str">
        <f>Migrationsartikel!Y160</f>
        <v>3 - Reduzierter Satz</v>
      </c>
      <c r="AF161" s="64" t="str">
        <f>IF(Migrationsartikel!AA160="Kein Depotartikel","",Migrationsartikel!AA160)</f>
        <v/>
      </c>
      <c r="AG161" s="95" t="str">
        <f>Migrationsartikel!Z160</f>
        <v>Keine</v>
      </c>
      <c r="AH161" s="51" t="str">
        <f>IF(Migrationsartikel!AB160="ja","true",FALSE)</f>
        <v>true</v>
      </c>
      <c r="AI161" s="51" t="str">
        <f>IF(Migrationsartikel!AC160="ja","true",FALSE)</f>
        <v>true</v>
      </c>
      <c r="AJ161" s="51" t="str">
        <f>IF(Migrationsartikel!AD160="ja","true",FALSE)</f>
        <v>true</v>
      </c>
      <c r="AK161" s="51" t="str">
        <f>IF(Migrationsartikel!AE160="ja","true",FALSE)</f>
        <v>true</v>
      </c>
      <c r="AL161" s="51" t="str">
        <f>IF(Migrationsartikel!AF160="ja","Denner Partner","")</f>
        <v/>
      </c>
      <c r="AM161" s="51" t="str">
        <f>IF(Migrationsartikel!AG160="ja","true","false")</f>
        <v>false</v>
      </c>
      <c r="AN161" s="51" t="str">
        <f t="shared" si="3"/>
        <v>Kassentastenbelegung (ohne GTIN/PLU)</v>
      </c>
      <c r="AO161" s="63" t="s">
        <v>219</v>
      </c>
      <c r="AP161" s="62" t="s">
        <v>2588</v>
      </c>
      <c r="AQ161" s="63" t="s">
        <v>217</v>
      </c>
      <c r="AR161" s="30" t="s">
        <v>219</v>
      </c>
    </row>
    <row r="162" spans="2:44" ht="21.75" customHeight="1" x14ac:dyDescent="0.45">
      <c r="B162" s="51" t="s">
        <v>99</v>
      </c>
      <c r="E162" s="52" t="s">
        <v>87</v>
      </c>
      <c r="F162" s="51" t="str">
        <f>"Warengruppe&gt;&gt;"&amp;_xlfn.TEXTJOIN("&gt;&gt;",TRUE,Migrationsartikel!V161:X161)</f>
        <v>Warengruppe&gt;&gt;Früchte und Gemüse&gt;&gt;Früchte und Gemüse&gt;&gt;Gemüse</v>
      </c>
      <c r="H162" s="52" t="s">
        <v>109</v>
      </c>
      <c r="J162" s="51" t="str">
        <f>_xlfn.TEXTJOIN(" ",TRUE,Migrationsartikel!B161,Migrationsartikel!E161)</f>
        <v>211</v>
      </c>
      <c r="L162" s="51" t="str">
        <f>_xlfn.TEXTJOIN(" ",TRUE,Migrationsartikel!F161:H161)</f>
        <v>Chicorée Offen</v>
      </c>
      <c r="M162" s="51" t="str">
        <f>_xlfn.TEXTJOIN(" ",TRUE,Migrationsartikel!J161:L161)</f>
        <v>Endives En vrac</v>
      </c>
      <c r="N162" s="51" t="str">
        <f>_xlfn.TEXTJOIN(" ",TRUE,Migrationsartikel!N161:P161)</f>
        <v>Cicoria belga vendita sfusa</v>
      </c>
      <c r="O162" s="51" t="str">
        <f>Migrationsartikel!F161</f>
        <v>Chicorée</v>
      </c>
      <c r="P162" s="51" t="str">
        <f>Migrationsartikel!J161</f>
        <v>Endives</v>
      </c>
      <c r="Q162" s="51" t="str">
        <f>Migrationsartikel!N161</f>
        <v>Cicoria belga</v>
      </c>
      <c r="R162" s="51" t="str">
        <f>_xlfn.TEXTJOIN(" ",TRUE,Migrationsartikel!G161)</f>
        <v>Offen</v>
      </c>
      <c r="S162" s="51" t="str">
        <f>_xlfn.TEXTJOIN(" ",TRUE,Migrationsartikel!K161)</f>
        <v>En vrac</v>
      </c>
      <c r="T162" s="51" t="str">
        <f>_xlfn.TEXTJOIN(" ",TRUE,Migrationsartikel!O161)</f>
        <v>vendita sfusa</v>
      </c>
      <c r="U162" s="51" t="str">
        <f>_xlfn.TEXTJOIN(" ",TRUE,Migrationsartikel!H161)</f>
        <v/>
      </c>
      <c r="V162" s="51" t="str">
        <f>_xlfn.TEXTJOIN(" ",TRUE,Migrationsartikel!L161)</f>
        <v/>
      </c>
      <c r="W162" s="51" t="str">
        <f>_xlfn.TEXTJOIN(" ",TRUE,Migrationsartikel!P161)</f>
        <v/>
      </c>
      <c r="X162" s="51" t="str">
        <f>Migrationsartikel!I161</f>
        <v>Chicorée Offen</v>
      </c>
      <c r="Y162" s="51" t="str">
        <f>Migrationsartikel!M161</f>
        <v>Endives en vrac</v>
      </c>
      <c r="Z162" s="51" t="str">
        <f>Migrationsartikel!Q161</f>
        <v>Cicoria belga vendita sfusa</v>
      </c>
      <c r="AA162" s="60">
        <f>Migrationsartikel!R161</f>
        <v>1</v>
      </c>
      <c r="AB162" s="51" t="str">
        <f>Migrationsartikel!T161</f>
        <v>Kilogramm</v>
      </c>
      <c r="AC162" s="62">
        <f>Migrationsartikel!S161</f>
        <v>1</v>
      </c>
      <c r="AD162" s="51" t="str">
        <f>Migrationsartikel!U161</f>
        <v>(KGM) KG</v>
      </c>
      <c r="AE162" s="95" t="str">
        <f>Migrationsartikel!Y161</f>
        <v>3 - Reduzierter Satz</v>
      </c>
      <c r="AF162" s="64" t="str">
        <f>IF(Migrationsartikel!AA161="Kein Depotartikel","",Migrationsartikel!AA161)</f>
        <v/>
      </c>
      <c r="AG162" s="95" t="str">
        <f>Migrationsartikel!Z161</f>
        <v>Keine</v>
      </c>
      <c r="AH162" s="51" t="str">
        <f>IF(Migrationsartikel!AB161="ja","true",FALSE)</f>
        <v>true</v>
      </c>
      <c r="AI162" s="51" t="str">
        <f>IF(Migrationsartikel!AC161="ja","true",FALSE)</f>
        <v>true</v>
      </c>
      <c r="AJ162" s="51" t="str">
        <f>IF(Migrationsartikel!AD161="ja","true",FALSE)</f>
        <v>true</v>
      </c>
      <c r="AK162" s="51" t="str">
        <f>IF(Migrationsartikel!AE161="ja","true",FALSE)</f>
        <v>true</v>
      </c>
      <c r="AL162" s="51" t="str">
        <f>IF(Migrationsartikel!AF161="ja","Denner Partner","")</f>
        <v/>
      </c>
      <c r="AM162" s="51" t="str">
        <f>IF(Migrationsartikel!AG161="ja","true","false")</f>
        <v>false</v>
      </c>
      <c r="AN162" s="51" t="str">
        <f t="shared" si="3"/>
        <v>Kassentastenbelegung (ohne GTIN/PLU)</v>
      </c>
      <c r="AO162" s="63" t="s">
        <v>219</v>
      </c>
      <c r="AP162" s="62" t="s">
        <v>2589</v>
      </c>
      <c r="AQ162" s="63" t="s">
        <v>217</v>
      </c>
      <c r="AR162" s="30" t="s">
        <v>219</v>
      </c>
    </row>
    <row r="163" spans="2:44" ht="21.75" customHeight="1" x14ac:dyDescent="0.45">
      <c r="B163" s="51" t="s">
        <v>99</v>
      </c>
      <c r="E163" s="52" t="s">
        <v>87</v>
      </c>
      <c r="F163" s="51" t="str">
        <f>"Warengruppe&gt;&gt;"&amp;_xlfn.TEXTJOIN("&gt;&gt;",TRUE,Migrationsartikel!V162:X162)</f>
        <v>Warengruppe&gt;&gt;Früchte und Gemüse&gt;&gt;Früchte und Gemüse&gt;&gt;Gemüse</v>
      </c>
      <c r="H163" s="52" t="s">
        <v>109</v>
      </c>
      <c r="J163" s="51" t="str">
        <f>_xlfn.TEXTJOIN(" ",TRUE,Migrationsartikel!B162,Migrationsartikel!E162)</f>
        <v>2215801000007</v>
      </c>
      <c r="L163" s="51" t="str">
        <f>_xlfn.TEXTJOIN(" ",TRUE,Migrationsartikel!F162:H162)</f>
        <v>Chicorée Beutel 500g</v>
      </c>
      <c r="M163" s="51" t="str">
        <f>_xlfn.TEXTJOIN(" ",TRUE,Migrationsartikel!J162:L162)</f>
        <v>Endives Sachet 500g</v>
      </c>
      <c r="N163" s="51" t="str">
        <f>_xlfn.TEXTJOIN(" ",TRUE,Migrationsartikel!N162:P162)</f>
        <v>Cicoria belga sacchetto 500g</v>
      </c>
      <c r="O163" s="51" t="str">
        <f>Migrationsartikel!F162</f>
        <v>Chicorée</v>
      </c>
      <c r="P163" s="51" t="str">
        <f>Migrationsartikel!J162</f>
        <v>Endives</v>
      </c>
      <c r="Q163" s="51" t="str">
        <f>Migrationsartikel!N162</f>
        <v>Cicoria belga</v>
      </c>
      <c r="R163" s="51" t="str">
        <f>_xlfn.TEXTJOIN(" ",TRUE,Migrationsartikel!G162)</f>
        <v>Beutel</v>
      </c>
      <c r="S163" s="51" t="str">
        <f>_xlfn.TEXTJOIN(" ",TRUE,Migrationsartikel!K162)</f>
        <v>Sachet</v>
      </c>
      <c r="T163" s="51" t="str">
        <f>_xlfn.TEXTJOIN(" ",TRUE,Migrationsartikel!O162)</f>
        <v>sacchetto</v>
      </c>
      <c r="U163" s="51" t="str">
        <f>_xlfn.TEXTJOIN(" ",TRUE,Migrationsartikel!H162)</f>
        <v>500g</v>
      </c>
      <c r="V163" s="51" t="str">
        <f>_xlfn.TEXTJOIN(" ",TRUE,Migrationsartikel!L162)</f>
        <v>500g</v>
      </c>
      <c r="W163" s="51" t="str">
        <f>_xlfn.TEXTJOIN(" ",TRUE,Migrationsartikel!P162)</f>
        <v>500g</v>
      </c>
      <c r="X163" s="51" t="str">
        <f>Migrationsartikel!I162</f>
        <v>Chicorée Beutel 500g</v>
      </c>
      <c r="Y163" s="51" t="str">
        <f>Migrationsartikel!M162</f>
        <v>Endives sachet 500g</v>
      </c>
      <c r="Z163" s="51" t="str">
        <f>Migrationsartikel!Q162</f>
        <v>Cicoria belga saccch. 500g</v>
      </c>
      <c r="AA163" s="60">
        <f>Migrationsartikel!R162</f>
        <v>0.5</v>
      </c>
      <c r="AB163" s="51" t="str">
        <f>Migrationsartikel!T162</f>
        <v>Kilogramm</v>
      </c>
      <c r="AC163" s="62">
        <f>Migrationsartikel!S162</f>
        <v>1</v>
      </c>
      <c r="AD163" s="51" t="str">
        <f>Migrationsartikel!U162</f>
        <v>(PCE) Stück</v>
      </c>
      <c r="AE163" s="95" t="str">
        <f>Migrationsartikel!Y162</f>
        <v>3 - Reduzierter Satz</v>
      </c>
      <c r="AF163" s="64" t="str">
        <f>IF(Migrationsartikel!AA162="Kein Depotartikel","",Migrationsartikel!AA162)</f>
        <v/>
      </c>
      <c r="AG163" s="95" t="str">
        <f>Migrationsartikel!Z162</f>
        <v>Keine</v>
      </c>
      <c r="AH163" s="51" t="str">
        <f>IF(Migrationsartikel!AB162="ja","true",FALSE)</f>
        <v>true</v>
      </c>
      <c r="AI163" s="51" t="str">
        <f>IF(Migrationsartikel!AC162="ja","true",FALSE)</f>
        <v>true</v>
      </c>
      <c r="AJ163" s="51" t="str">
        <f>IF(Migrationsartikel!AD162="ja","true",FALSE)</f>
        <v>true</v>
      </c>
      <c r="AK163" s="51" t="str">
        <f>IF(Migrationsartikel!AE162="ja","true",FALSE)</f>
        <v>true</v>
      </c>
      <c r="AL163" s="51" t="str">
        <f>IF(Migrationsartikel!AF162="ja","Denner Partner","")</f>
        <v/>
      </c>
      <c r="AM163" s="51" t="str">
        <f>IF(Migrationsartikel!AG162="ja","true","false")</f>
        <v>false</v>
      </c>
      <c r="AN163" s="51" t="str">
        <f t="shared" si="3"/>
        <v>Kassentastenbelegung (ohne GTIN/PLU)</v>
      </c>
      <c r="AO163" s="63" t="s">
        <v>219</v>
      </c>
      <c r="AP163" s="62" t="s">
        <v>2590</v>
      </c>
      <c r="AQ163" s="63" t="s">
        <v>217</v>
      </c>
      <c r="AR163" s="30" t="s">
        <v>219</v>
      </c>
    </row>
    <row r="164" spans="2:44" ht="21.75" customHeight="1" x14ac:dyDescent="0.45">
      <c r="B164" s="51" t="s">
        <v>99</v>
      </c>
      <c r="E164" s="52" t="s">
        <v>87</v>
      </c>
      <c r="F164" s="51" t="str">
        <f>"Warengruppe&gt;&gt;"&amp;_xlfn.TEXTJOIN("&gt;&gt;",TRUE,Migrationsartikel!V163:X163)</f>
        <v>Warengruppe&gt;&gt;Früchte und Gemüse&gt;&gt;Früchte und Gemüse&gt;&gt;Gemüse</v>
      </c>
      <c r="H164" s="52" t="s">
        <v>109</v>
      </c>
      <c r="J164" s="51" t="str">
        <f>_xlfn.TEXTJOIN(" ",TRUE,Migrationsartikel!B163,Migrationsartikel!E163)</f>
        <v>204</v>
      </c>
      <c r="L164" s="51" t="str">
        <f>_xlfn.TEXTJOIN(" ",TRUE,Migrationsartikel!F163:H163)</f>
        <v>Champignons braun Offen</v>
      </c>
      <c r="M164" s="51" t="str">
        <f>_xlfn.TEXTJOIN(" ",TRUE,Migrationsartikel!J163:L163)</f>
        <v>Champignons bruns En vrac</v>
      </c>
      <c r="N164" s="51" t="str">
        <f>_xlfn.TEXTJOIN(" ",TRUE,Migrationsartikel!N163:P163)</f>
        <v>Champignons marrone vendita sfusa</v>
      </c>
      <c r="O164" s="51" t="str">
        <f>Migrationsartikel!F163</f>
        <v>Champignons braun</v>
      </c>
      <c r="P164" s="51" t="str">
        <f>Migrationsartikel!J163</f>
        <v>Champignons bruns</v>
      </c>
      <c r="Q164" s="51" t="str">
        <f>Migrationsartikel!N163</f>
        <v>Champignons marrone</v>
      </c>
      <c r="R164" s="51" t="str">
        <f>_xlfn.TEXTJOIN(" ",TRUE,Migrationsartikel!G163)</f>
        <v>Offen</v>
      </c>
      <c r="S164" s="51" t="str">
        <f>_xlfn.TEXTJOIN(" ",TRUE,Migrationsartikel!K163)</f>
        <v>En vrac</v>
      </c>
      <c r="T164" s="51" t="str">
        <f>_xlfn.TEXTJOIN(" ",TRUE,Migrationsartikel!O163)</f>
        <v>vendita sfusa</v>
      </c>
      <c r="U164" s="51" t="str">
        <f>_xlfn.TEXTJOIN(" ",TRUE,Migrationsartikel!H163)</f>
        <v/>
      </c>
      <c r="V164" s="51" t="str">
        <f>_xlfn.TEXTJOIN(" ",TRUE,Migrationsartikel!L163)</f>
        <v/>
      </c>
      <c r="W164" s="51" t="str">
        <f>_xlfn.TEXTJOIN(" ",TRUE,Migrationsartikel!P163)</f>
        <v/>
      </c>
      <c r="X164" s="51" t="str">
        <f>Migrationsartikel!I163</f>
        <v>Champignons braun Offen</v>
      </c>
      <c r="Y164" s="51" t="str">
        <f>Migrationsartikel!M163</f>
        <v>Champignons bruns en vrac</v>
      </c>
      <c r="Z164" s="51" t="str">
        <f>Migrationsartikel!Q163</f>
        <v>Champignons marrone v.s.</v>
      </c>
      <c r="AA164" s="60">
        <f>Migrationsartikel!R163</f>
        <v>1</v>
      </c>
      <c r="AB164" s="51" t="str">
        <f>Migrationsartikel!T163</f>
        <v>Kilogramm</v>
      </c>
      <c r="AC164" s="62">
        <f>Migrationsartikel!S163</f>
        <v>1</v>
      </c>
      <c r="AD164" s="51" t="str">
        <f>Migrationsartikel!U163</f>
        <v>(KGM) KG</v>
      </c>
      <c r="AE164" s="95" t="str">
        <f>Migrationsartikel!Y163</f>
        <v>3 - Reduzierter Satz</v>
      </c>
      <c r="AF164" s="64" t="str">
        <f>IF(Migrationsartikel!AA163="Kein Depotartikel","",Migrationsartikel!AA163)</f>
        <v/>
      </c>
      <c r="AG164" s="95" t="str">
        <f>Migrationsartikel!Z163</f>
        <v>Keine</v>
      </c>
      <c r="AH164" s="51" t="str">
        <f>IF(Migrationsartikel!AB163="ja","true",FALSE)</f>
        <v>true</v>
      </c>
      <c r="AI164" s="51" t="str">
        <f>IF(Migrationsartikel!AC163="ja","true",FALSE)</f>
        <v>true</v>
      </c>
      <c r="AJ164" s="51" t="str">
        <f>IF(Migrationsartikel!AD163="ja","true",FALSE)</f>
        <v>true</v>
      </c>
      <c r="AK164" s="51" t="str">
        <f>IF(Migrationsartikel!AE163="ja","true",FALSE)</f>
        <v>true</v>
      </c>
      <c r="AL164" s="51" t="str">
        <f>IF(Migrationsartikel!AF163="ja","Denner Partner","")</f>
        <v/>
      </c>
      <c r="AM164" s="51" t="str">
        <f>IF(Migrationsartikel!AG163="ja","true","false")</f>
        <v>false</v>
      </c>
      <c r="AN164" s="51" t="str">
        <f t="shared" si="3"/>
        <v>Kassentastenbelegung (ohne GTIN/PLU)</v>
      </c>
      <c r="AO164" s="63" t="s">
        <v>219</v>
      </c>
      <c r="AP164" s="62" t="s">
        <v>2591</v>
      </c>
      <c r="AQ164" s="63" t="s">
        <v>217</v>
      </c>
      <c r="AR164" s="30" t="s">
        <v>219</v>
      </c>
    </row>
    <row r="165" spans="2:44" ht="21.75" customHeight="1" x14ac:dyDescent="0.45">
      <c r="B165" s="51" t="s">
        <v>99</v>
      </c>
      <c r="E165" s="52" t="s">
        <v>87</v>
      </c>
      <c r="F165" s="51" t="str">
        <f>"Warengruppe&gt;&gt;"&amp;_xlfn.TEXTJOIN("&gt;&gt;",TRUE,Migrationsartikel!V164:X164)</f>
        <v>Warengruppe&gt;&gt;Früchte und Gemüse&gt;&gt;Früchte und Gemüse&gt;&gt;Gemüse</v>
      </c>
      <c r="H165" s="52" t="s">
        <v>109</v>
      </c>
      <c r="J165" s="51" t="str">
        <f>_xlfn.TEXTJOIN(" ",TRUE,Migrationsartikel!B164,Migrationsartikel!E164)</f>
        <v>205</v>
      </c>
      <c r="L165" s="51" t="str">
        <f>_xlfn.TEXTJOIN(" ",TRUE,Migrationsartikel!F164:H164)</f>
        <v>Champignons weiss Offen</v>
      </c>
      <c r="M165" s="51" t="str">
        <f>_xlfn.TEXTJOIN(" ",TRUE,Migrationsartikel!J164:L164)</f>
        <v>Champignons blancs En vrac</v>
      </c>
      <c r="N165" s="51" t="str">
        <f>_xlfn.TEXTJOIN(" ",TRUE,Migrationsartikel!N164:P164)</f>
        <v>Champignons bianchi vendita sfusa</v>
      </c>
      <c r="O165" s="51" t="str">
        <f>Migrationsartikel!F164</f>
        <v>Champignons weiss</v>
      </c>
      <c r="P165" s="51" t="str">
        <f>Migrationsartikel!J164</f>
        <v>Champignons blancs</v>
      </c>
      <c r="Q165" s="51" t="str">
        <f>Migrationsartikel!N164</f>
        <v>Champignons bianchi</v>
      </c>
      <c r="R165" s="51" t="str">
        <f>_xlfn.TEXTJOIN(" ",TRUE,Migrationsartikel!G164)</f>
        <v>Offen</v>
      </c>
      <c r="S165" s="51" t="str">
        <f>_xlfn.TEXTJOIN(" ",TRUE,Migrationsartikel!K164)</f>
        <v>En vrac</v>
      </c>
      <c r="T165" s="51" t="str">
        <f>_xlfn.TEXTJOIN(" ",TRUE,Migrationsartikel!O164)</f>
        <v>vendita sfusa</v>
      </c>
      <c r="U165" s="51" t="str">
        <f>_xlfn.TEXTJOIN(" ",TRUE,Migrationsartikel!H164)</f>
        <v/>
      </c>
      <c r="V165" s="51" t="str">
        <f>_xlfn.TEXTJOIN(" ",TRUE,Migrationsartikel!L164)</f>
        <v/>
      </c>
      <c r="W165" s="51" t="str">
        <f>_xlfn.TEXTJOIN(" ",TRUE,Migrationsartikel!P164)</f>
        <v/>
      </c>
      <c r="X165" s="51" t="str">
        <f>Migrationsartikel!I164</f>
        <v>Champignons weiss Riesen Off</v>
      </c>
      <c r="Y165" s="51" t="str">
        <f>Migrationsartikel!M164</f>
        <v>Champignons blancs en vrac</v>
      </c>
      <c r="Z165" s="51" t="str">
        <f>Migrationsartikel!Q164</f>
        <v>Champignons bianchi v. sfusa</v>
      </c>
      <c r="AA165" s="60">
        <f>Migrationsartikel!R164</f>
        <v>1</v>
      </c>
      <c r="AB165" s="51" t="str">
        <f>Migrationsartikel!T164</f>
        <v>Kilogramm</v>
      </c>
      <c r="AC165" s="62">
        <f>Migrationsartikel!S164</f>
        <v>1</v>
      </c>
      <c r="AD165" s="51" t="str">
        <f>Migrationsartikel!U164</f>
        <v>(KGM) KG</v>
      </c>
      <c r="AE165" s="95" t="str">
        <f>Migrationsartikel!Y164</f>
        <v>3 - Reduzierter Satz</v>
      </c>
      <c r="AF165" s="64" t="str">
        <f>IF(Migrationsartikel!AA164="Kein Depotartikel","",Migrationsartikel!AA164)</f>
        <v/>
      </c>
      <c r="AG165" s="95" t="str">
        <f>Migrationsartikel!Z164</f>
        <v>Keine</v>
      </c>
      <c r="AH165" s="51" t="str">
        <f>IF(Migrationsartikel!AB164="ja","true",FALSE)</f>
        <v>true</v>
      </c>
      <c r="AI165" s="51" t="str">
        <f>IF(Migrationsartikel!AC164="ja","true",FALSE)</f>
        <v>true</v>
      </c>
      <c r="AJ165" s="51" t="str">
        <f>IF(Migrationsartikel!AD164="ja","true",FALSE)</f>
        <v>true</v>
      </c>
      <c r="AK165" s="51" t="str">
        <f>IF(Migrationsartikel!AE164="ja","true",FALSE)</f>
        <v>true</v>
      </c>
      <c r="AL165" s="51" t="str">
        <f>IF(Migrationsartikel!AF164="ja","Denner Partner","")</f>
        <v/>
      </c>
      <c r="AM165" s="51" t="str">
        <f>IF(Migrationsartikel!AG164="ja","true","false")</f>
        <v>false</v>
      </c>
      <c r="AN165" s="51" t="str">
        <f t="shared" si="3"/>
        <v>Kassentastenbelegung (ohne GTIN/PLU)</v>
      </c>
      <c r="AO165" s="63" t="s">
        <v>219</v>
      </c>
      <c r="AP165" s="62" t="s">
        <v>2592</v>
      </c>
      <c r="AQ165" s="63" t="s">
        <v>217</v>
      </c>
      <c r="AR165" s="30" t="s">
        <v>219</v>
      </c>
    </row>
    <row r="166" spans="2:44" ht="21.75" customHeight="1" x14ac:dyDescent="0.45">
      <c r="B166" s="51" t="s">
        <v>99</v>
      </c>
      <c r="E166" s="52" t="s">
        <v>87</v>
      </c>
      <c r="F166" s="51" t="str">
        <f>"Warengruppe&gt;&gt;"&amp;_xlfn.TEXTJOIN("&gt;&gt;",TRUE,Migrationsartikel!V165:X165)</f>
        <v>Warengruppe&gt;&gt;Früchte und Gemüse&gt;&gt;Früchte und Gemüse&gt;&gt;Gemüse</v>
      </c>
      <c r="H166" s="52" t="s">
        <v>109</v>
      </c>
      <c r="J166" s="51" t="str">
        <f>_xlfn.TEXTJOIN(" ",TRUE,Migrationsartikel!B165,Migrationsartikel!E165)</f>
        <v>7630178298935</v>
      </c>
      <c r="L166" s="51" t="str">
        <f>_xlfn.TEXTJOIN(" ",TRUE,Migrationsartikel!F165:H165)</f>
        <v>Champignons weiss Riesen 300g</v>
      </c>
      <c r="M166" s="51" t="str">
        <f>_xlfn.TEXTJOIN(" ",TRUE,Migrationsartikel!J165:L165)</f>
        <v>Champignons blancs Grand 300g</v>
      </c>
      <c r="N166" s="51" t="str">
        <f>_xlfn.TEXTJOIN(" ",TRUE,Migrationsartikel!N165:P165)</f>
        <v>Champignons bianchi grandi 300g</v>
      </c>
      <c r="O166" s="51" t="str">
        <f>Migrationsartikel!F165</f>
        <v>Champignons weiss</v>
      </c>
      <c r="P166" s="51" t="str">
        <f>Migrationsartikel!J165</f>
        <v>Champignons blancs</v>
      </c>
      <c r="Q166" s="51" t="str">
        <f>Migrationsartikel!N165</f>
        <v>Champignons bianchi</v>
      </c>
      <c r="R166" s="51" t="str">
        <f>_xlfn.TEXTJOIN(" ",TRUE,Migrationsartikel!G165)</f>
        <v>Riesen</v>
      </c>
      <c r="S166" s="51" t="str">
        <f>_xlfn.TEXTJOIN(" ",TRUE,Migrationsartikel!K165)</f>
        <v>Grand</v>
      </c>
      <c r="T166" s="51" t="str">
        <f>_xlfn.TEXTJOIN(" ",TRUE,Migrationsartikel!O165)</f>
        <v>grandi</v>
      </c>
      <c r="U166" s="51" t="str">
        <f>_xlfn.TEXTJOIN(" ",TRUE,Migrationsartikel!H165)</f>
        <v>300g</v>
      </c>
      <c r="V166" s="51" t="str">
        <f>_xlfn.TEXTJOIN(" ",TRUE,Migrationsartikel!L165)</f>
        <v>300g</v>
      </c>
      <c r="W166" s="51" t="str">
        <f>_xlfn.TEXTJOIN(" ",TRUE,Migrationsartikel!P165)</f>
        <v>300g</v>
      </c>
      <c r="X166" s="51" t="str">
        <f>Migrationsartikel!I165</f>
        <v>Champignons weiss Ries. 300g</v>
      </c>
      <c r="Y166" s="51" t="str">
        <f>Migrationsartikel!M165</f>
        <v>Champignons blancs gr. 300g</v>
      </c>
      <c r="Z166" s="51" t="str">
        <f>Migrationsartikel!Q165</f>
        <v>Champignons bian grandi 300g</v>
      </c>
      <c r="AA166" s="60">
        <f>Migrationsartikel!R165</f>
        <v>0.3</v>
      </c>
      <c r="AB166" s="51" t="str">
        <f>Migrationsartikel!T165</f>
        <v>Gramm</v>
      </c>
      <c r="AC166" s="62">
        <f>Migrationsartikel!S165</f>
        <v>100</v>
      </c>
      <c r="AD166" s="51" t="str">
        <f>Migrationsartikel!U165</f>
        <v>(PCE) Stück</v>
      </c>
      <c r="AE166" s="95" t="str">
        <f>Migrationsartikel!Y165</f>
        <v>3 - Reduzierter Satz</v>
      </c>
      <c r="AF166" s="64" t="str">
        <f>IF(Migrationsartikel!AA165="Kein Depotartikel","",Migrationsartikel!AA165)</f>
        <v/>
      </c>
      <c r="AG166" s="95" t="str">
        <f>Migrationsartikel!Z165</f>
        <v>Keine</v>
      </c>
      <c r="AH166" s="51" t="str">
        <f>IF(Migrationsartikel!AB165="ja","true",FALSE)</f>
        <v>true</v>
      </c>
      <c r="AI166" s="51" t="str">
        <f>IF(Migrationsartikel!AC165="ja","true",FALSE)</f>
        <v>true</v>
      </c>
      <c r="AJ166" s="51" t="str">
        <f>IF(Migrationsartikel!AD165="ja","true",FALSE)</f>
        <v>true</v>
      </c>
      <c r="AK166" s="51" t="str">
        <f>IF(Migrationsartikel!AE165="ja","true",FALSE)</f>
        <v>true</v>
      </c>
      <c r="AL166" s="51" t="str">
        <f>IF(Migrationsartikel!AF165="ja","Denner Partner","")</f>
        <v/>
      </c>
      <c r="AM166" s="51" t="str">
        <f>IF(Migrationsartikel!AG165="ja","true","false")</f>
        <v>false</v>
      </c>
      <c r="AN166" s="51" t="str">
        <f t="shared" si="3"/>
        <v>Kassentastenbelegung (ohne GTIN/PLU)</v>
      </c>
      <c r="AO166" s="63" t="s">
        <v>219</v>
      </c>
      <c r="AP166" s="62" t="s">
        <v>2593</v>
      </c>
      <c r="AQ166" s="63" t="s">
        <v>217</v>
      </c>
      <c r="AR166" s="30" t="s">
        <v>219</v>
      </c>
    </row>
    <row r="167" spans="2:44" ht="21.75" customHeight="1" x14ac:dyDescent="0.45">
      <c r="B167" s="51" t="s">
        <v>99</v>
      </c>
      <c r="E167" s="52" t="s">
        <v>87</v>
      </c>
      <c r="F167" s="51" t="str">
        <f>"Warengruppe&gt;&gt;"&amp;_xlfn.TEXTJOIN("&gt;&gt;",TRUE,Migrationsartikel!V166:X166)</f>
        <v>Warengruppe&gt;&gt;Früchte und Gemüse&gt;&gt;Früchte und Gemüse&gt;&gt;Gemüse</v>
      </c>
      <c r="H167" s="52" t="s">
        <v>109</v>
      </c>
      <c r="J167" s="51" t="str">
        <f>_xlfn.TEXTJOIN(" ",TRUE,Migrationsartikel!B166,Migrationsartikel!E166)</f>
        <v>7613399005711</v>
      </c>
      <c r="L167" s="51" t="str">
        <f>_xlfn.TEXTJOIN(" ",TRUE,Migrationsartikel!F166:H166)</f>
        <v>Peperoncini Chilisch. Habanero Schale 200g</v>
      </c>
      <c r="M167" s="51" t="str">
        <f>_xlfn.TEXTJOIN(" ",TRUE,Migrationsartikel!J166:L166)</f>
        <v>Piments Habanero barquette 200g</v>
      </c>
      <c r="N167" s="51" t="str">
        <f>_xlfn.TEXTJOIN(" ",TRUE,Migrationsartikel!N166:P166)</f>
        <v>Peperoncini Habaneros vaschetta 200g</v>
      </c>
      <c r="O167" s="51" t="str">
        <f>Migrationsartikel!F166</f>
        <v>Peperoncini Chilisch.</v>
      </c>
      <c r="P167" s="51" t="str">
        <f>Migrationsartikel!J166</f>
        <v>Piments</v>
      </c>
      <c r="Q167" s="51" t="str">
        <f>Migrationsartikel!N166</f>
        <v>Peperoncini</v>
      </c>
      <c r="R167" s="51" t="str">
        <f>_xlfn.TEXTJOIN(" ",TRUE,Migrationsartikel!G166)</f>
        <v>Habanero Schale</v>
      </c>
      <c r="S167" s="51" t="str">
        <f>_xlfn.TEXTJOIN(" ",TRUE,Migrationsartikel!K166)</f>
        <v>Habanero barquette</v>
      </c>
      <c r="T167" s="51" t="str">
        <f>_xlfn.TEXTJOIN(" ",TRUE,Migrationsartikel!O166)</f>
        <v>Habaneros vaschetta</v>
      </c>
      <c r="U167" s="51" t="str">
        <f>_xlfn.TEXTJOIN(" ",TRUE,Migrationsartikel!H166)</f>
        <v>200g</v>
      </c>
      <c r="V167" s="51" t="str">
        <f>_xlfn.TEXTJOIN(" ",TRUE,Migrationsartikel!L166)</f>
        <v>200g</v>
      </c>
      <c r="W167" s="51" t="str">
        <f>_xlfn.TEXTJOIN(" ",TRUE,Migrationsartikel!P166)</f>
        <v>200g</v>
      </c>
      <c r="X167" s="51" t="str">
        <f>Migrationsartikel!I166</f>
        <v>Peperonc. Chilisch. Hab 200g</v>
      </c>
      <c r="Y167" s="51" t="str">
        <f>Migrationsartikel!M166</f>
        <v>Piments Habanero 200g</v>
      </c>
      <c r="Z167" s="51" t="str">
        <f>Migrationsartikel!Q166</f>
        <v>Peperoncini Habaneros 200g</v>
      </c>
      <c r="AA167" s="60">
        <f>Migrationsartikel!R166</f>
        <v>0.2</v>
      </c>
      <c r="AB167" s="51" t="str">
        <f>Migrationsartikel!T166</f>
        <v>Gramm</v>
      </c>
      <c r="AC167" s="62">
        <f>Migrationsartikel!S166</f>
        <v>100</v>
      </c>
      <c r="AD167" s="51" t="str">
        <f>Migrationsartikel!U166</f>
        <v>(PCE) Stück</v>
      </c>
      <c r="AE167" s="95" t="str">
        <f>Migrationsartikel!Y166</f>
        <v>3 - Reduzierter Satz</v>
      </c>
      <c r="AF167" s="64" t="str">
        <f>IF(Migrationsartikel!AA166="Kein Depotartikel","",Migrationsartikel!AA166)</f>
        <v/>
      </c>
      <c r="AG167" s="95" t="str">
        <f>Migrationsartikel!Z166</f>
        <v>Keine</v>
      </c>
      <c r="AH167" s="51" t="str">
        <f>IF(Migrationsartikel!AB166="ja","true",FALSE)</f>
        <v>true</v>
      </c>
      <c r="AI167" s="51" t="str">
        <f>IF(Migrationsartikel!AC166="ja","true",FALSE)</f>
        <v>true</v>
      </c>
      <c r="AJ167" s="51" t="str">
        <f>IF(Migrationsartikel!AD166="ja","true",FALSE)</f>
        <v>true</v>
      </c>
      <c r="AK167" s="51" t="str">
        <f>IF(Migrationsartikel!AE166="ja","true",FALSE)</f>
        <v>true</v>
      </c>
      <c r="AL167" s="51" t="str">
        <f>IF(Migrationsartikel!AF166="ja","Denner Partner","")</f>
        <v/>
      </c>
      <c r="AM167" s="51" t="str">
        <f>IF(Migrationsartikel!AG166="ja","true","false")</f>
        <v>false</v>
      </c>
      <c r="AN167" s="51" t="str">
        <f t="shared" si="3"/>
        <v>Kassentastenbelegung (ohne GTIN/PLU)</v>
      </c>
      <c r="AO167" s="63" t="s">
        <v>219</v>
      </c>
      <c r="AP167" s="62" t="s">
        <v>2594</v>
      </c>
      <c r="AQ167" s="63" t="s">
        <v>217</v>
      </c>
      <c r="AR167" s="30" t="s">
        <v>219</v>
      </c>
    </row>
    <row r="168" spans="2:44" ht="21.75" customHeight="1" x14ac:dyDescent="0.45">
      <c r="B168" s="51" t="s">
        <v>99</v>
      </c>
      <c r="E168" s="52" t="s">
        <v>87</v>
      </c>
      <c r="F168" s="51" t="str">
        <f>"Warengruppe&gt;&gt;"&amp;_xlfn.TEXTJOIN("&gt;&gt;",TRUE,Migrationsartikel!V167:X167)</f>
        <v>Warengruppe&gt;&gt;Früchte und Gemüse&gt;&gt;Früchte und Gemüse&gt;&gt;Gemüse</v>
      </c>
      <c r="H168" s="52" t="s">
        <v>109</v>
      </c>
      <c r="J168" s="51" t="str">
        <f>_xlfn.TEXTJOIN(" ",TRUE,Migrationsartikel!B167,Migrationsartikel!E167)</f>
        <v>7613399005728</v>
      </c>
      <c r="L168" s="51" t="str">
        <f>_xlfn.TEXTJOIN(" ",TRUE,Migrationsartikel!F167:H167)</f>
        <v>Peperoncini Chilisch. Jalapeno Schale 300g</v>
      </c>
      <c r="M168" s="51" t="str">
        <f>_xlfn.TEXTJOIN(" ",TRUE,Migrationsartikel!J167:L167)</f>
        <v>Piments Jalapeno barquette 300g</v>
      </c>
      <c r="N168" s="51" t="str">
        <f>_xlfn.TEXTJOIN(" ",TRUE,Migrationsartikel!N167:P167)</f>
        <v>Peperoncini Jalapeno vaschetta 300g</v>
      </c>
      <c r="O168" s="51" t="str">
        <f>Migrationsartikel!F167</f>
        <v>Peperoncini Chilisch.</v>
      </c>
      <c r="P168" s="51" t="str">
        <f>Migrationsartikel!J167</f>
        <v>Piments</v>
      </c>
      <c r="Q168" s="51" t="str">
        <f>Migrationsartikel!N167</f>
        <v>Peperoncini</v>
      </c>
      <c r="R168" s="51" t="str">
        <f>_xlfn.TEXTJOIN(" ",TRUE,Migrationsartikel!G167)</f>
        <v>Jalapeno Schale</v>
      </c>
      <c r="S168" s="51" t="str">
        <f>_xlfn.TEXTJOIN(" ",TRUE,Migrationsartikel!K167)</f>
        <v>Jalapeno barquette</v>
      </c>
      <c r="T168" s="51" t="str">
        <f>_xlfn.TEXTJOIN(" ",TRUE,Migrationsartikel!O167)</f>
        <v>Jalapeno vaschetta</v>
      </c>
      <c r="U168" s="51" t="str">
        <f>_xlfn.TEXTJOIN(" ",TRUE,Migrationsartikel!H167)</f>
        <v>300g</v>
      </c>
      <c r="V168" s="51" t="str">
        <f>_xlfn.TEXTJOIN(" ",TRUE,Migrationsartikel!L167)</f>
        <v>300g</v>
      </c>
      <c r="W168" s="51" t="str">
        <f>_xlfn.TEXTJOIN(" ",TRUE,Migrationsartikel!P167)</f>
        <v>300g</v>
      </c>
      <c r="X168" s="51" t="str">
        <f>Migrationsartikel!I167</f>
        <v>Peperonc. Chilisch. Jal 300g</v>
      </c>
      <c r="Y168" s="51" t="str">
        <f>Migrationsartikel!M167</f>
        <v>Piments Jalapeno 300g</v>
      </c>
      <c r="Z168" s="51" t="str">
        <f>Migrationsartikel!Q167</f>
        <v>Peperoncini Jalapeno 300g</v>
      </c>
      <c r="AA168" s="60">
        <f>Migrationsartikel!R167</f>
        <v>0.3</v>
      </c>
      <c r="AB168" s="51" t="str">
        <f>Migrationsartikel!T167</f>
        <v>Gramm</v>
      </c>
      <c r="AC168" s="62">
        <f>Migrationsartikel!S167</f>
        <v>100</v>
      </c>
      <c r="AD168" s="51" t="str">
        <f>Migrationsartikel!U167</f>
        <v>(PCE) Stück</v>
      </c>
      <c r="AE168" s="95" t="str">
        <f>Migrationsartikel!Y167</f>
        <v>3 - Reduzierter Satz</v>
      </c>
      <c r="AF168" s="64" t="str">
        <f>IF(Migrationsartikel!AA167="Kein Depotartikel","",Migrationsartikel!AA167)</f>
        <v/>
      </c>
      <c r="AG168" s="95" t="str">
        <f>Migrationsartikel!Z167</f>
        <v>Keine</v>
      </c>
      <c r="AH168" s="51" t="str">
        <f>IF(Migrationsartikel!AB167="ja","true",FALSE)</f>
        <v>true</v>
      </c>
      <c r="AI168" s="51" t="str">
        <f>IF(Migrationsartikel!AC167="ja","true",FALSE)</f>
        <v>true</v>
      </c>
      <c r="AJ168" s="51" t="str">
        <f>IF(Migrationsartikel!AD167="ja","true",FALSE)</f>
        <v>true</v>
      </c>
      <c r="AK168" s="51" t="str">
        <f>IF(Migrationsartikel!AE167="ja","true",FALSE)</f>
        <v>true</v>
      </c>
      <c r="AL168" s="51" t="str">
        <f>IF(Migrationsartikel!AF167="ja","Denner Partner","")</f>
        <v/>
      </c>
      <c r="AM168" s="51" t="str">
        <f>IF(Migrationsartikel!AG167="ja","true","false")</f>
        <v>false</v>
      </c>
      <c r="AN168" s="51" t="str">
        <f t="shared" si="3"/>
        <v>Kassentastenbelegung (ohne GTIN/PLU)</v>
      </c>
      <c r="AO168" s="63" t="s">
        <v>219</v>
      </c>
      <c r="AP168" s="62" t="s">
        <v>2595</v>
      </c>
      <c r="AQ168" s="63" t="s">
        <v>217</v>
      </c>
      <c r="AR168" s="30" t="s">
        <v>219</v>
      </c>
    </row>
    <row r="169" spans="2:44" ht="21.75" customHeight="1" x14ac:dyDescent="0.45">
      <c r="B169" s="51" t="s">
        <v>99</v>
      </c>
      <c r="E169" s="52" t="s">
        <v>87</v>
      </c>
      <c r="F169" s="51" t="str">
        <f>"Warengruppe&gt;&gt;"&amp;_xlfn.TEXTJOIN("&gt;&gt;",TRUE,Migrationsartikel!V168:X168)</f>
        <v>Warengruppe&gt;&gt;Früchte und Gemüse&gt;&gt;Früchte und Gemüse&gt;&gt;Gemüse</v>
      </c>
      <c r="H169" s="52" t="s">
        <v>109</v>
      </c>
      <c r="J169" s="51" t="str">
        <f>_xlfn.TEXTJOIN(" ",TRUE,Migrationsartikel!B168,Migrationsartikel!E168)</f>
        <v>215</v>
      </c>
      <c r="L169" s="51" t="str">
        <f>_xlfn.TEXTJOIN(" ",TRUE,Migrationsartikel!F168:H168)</f>
        <v>Chinakohl Offen</v>
      </c>
      <c r="M169" s="51" t="str">
        <f>_xlfn.TEXTJOIN(" ",TRUE,Migrationsartikel!J168:L168)</f>
        <v>Chou chinois En vrac</v>
      </c>
      <c r="N169" s="51" t="str">
        <f>_xlfn.TEXTJOIN(" ",TRUE,Migrationsartikel!N168:P168)</f>
        <v>Cavolo cinese vendita sfusa</v>
      </c>
      <c r="O169" s="51" t="str">
        <f>Migrationsartikel!F168</f>
        <v>Chinakohl</v>
      </c>
      <c r="P169" s="51" t="str">
        <f>Migrationsartikel!J168</f>
        <v>Chou chinois</v>
      </c>
      <c r="Q169" s="51" t="str">
        <f>Migrationsartikel!N168</f>
        <v>Cavolo cinese</v>
      </c>
      <c r="R169" s="51" t="str">
        <f>_xlfn.TEXTJOIN(" ",TRUE,Migrationsartikel!G168)</f>
        <v>Offen</v>
      </c>
      <c r="S169" s="51" t="str">
        <f>_xlfn.TEXTJOIN(" ",TRUE,Migrationsartikel!K168)</f>
        <v>En vrac</v>
      </c>
      <c r="T169" s="51" t="str">
        <f>_xlfn.TEXTJOIN(" ",TRUE,Migrationsartikel!O168)</f>
        <v>vendita sfusa</v>
      </c>
      <c r="U169" s="51" t="str">
        <f>_xlfn.TEXTJOIN(" ",TRUE,Migrationsartikel!H168)</f>
        <v/>
      </c>
      <c r="V169" s="51" t="str">
        <f>_xlfn.TEXTJOIN(" ",TRUE,Migrationsartikel!L168)</f>
        <v/>
      </c>
      <c r="W169" s="51" t="str">
        <f>_xlfn.TEXTJOIN(" ",TRUE,Migrationsartikel!P168)</f>
        <v/>
      </c>
      <c r="X169" s="51" t="str">
        <f>Migrationsartikel!I168</f>
        <v>Chinakohl Offen</v>
      </c>
      <c r="Y169" s="51" t="str">
        <f>Migrationsartikel!M168</f>
        <v>Chou chinois en vrac</v>
      </c>
      <c r="Z169" s="51" t="str">
        <f>Migrationsartikel!Q168</f>
        <v>Cavolo cinese vendita sfusa</v>
      </c>
      <c r="AA169" s="60">
        <f>Migrationsartikel!R168</f>
        <v>1</v>
      </c>
      <c r="AB169" s="51" t="str">
        <f>Migrationsartikel!T168</f>
        <v>Kilogramm</v>
      </c>
      <c r="AC169" s="62">
        <f>Migrationsartikel!S168</f>
        <v>1</v>
      </c>
      <c r="AD169" s="51" t="str">
        <f>Migrationsartikel!U168</f>
        <v>(KGM) KG</v>
      </c>
      <c r="AE169" s="95" t="str">
        <f>Migrationsartikel!Y168</f>
        <v>3 - Reduzierter Satz</v>
      </c>
      <c r="AF169" s="64" t="str">
        <f>IF(Migrationsartikel!AA168="Kein Depotartikel","",Migrationsartikel!AA168)</f>
        <v/>
      </c>
      <c r="AG169" s="95" t="str">
        <f>Migrationsartikel!Z168</f>
        <v>Keine</v>
      </c>
      <c r="AH169" s="51" t="str">
        <f>IF(Migrationsartikel!AB168="ja","true",FALSE)</f>
        <v>true</v>
      </c>
      <c r="AI169" s="51" t="str">
        <f>IF(Migrationsartikel!AC168="ja","true",FALSE)</f>
        <v>true</v>
      </c>
      <c r="AJ169" s="51" t="str">
        <f>IF(Migrationsartikel!AD168="ja","true",FALSE)</f>
        <v>true</v>
      </c>
      <c r="AK169" s="51" t="str">
        <f>IF(Migrationsartikel!AE168="ja","true",FALSE)</f>
        <v>true</v>
      </c>
      <c r="AL169" s="51" t="str">
        <f>IF(Migrationsartikel!AF168="ja","Denner Partner","")</f>
        <v/>
      </c>
      <c r="AM169" s="51" t="str">
        <f>IF(Migrationsartikel!AG168="ja","true","false")</f>
        <v>false</v>
      </c>
      <c r="AN169" s="51" t="str">
        <f t="shared" si="3"/>
        <v>Kassentastenbelegung (ohne GTIN/PLU)</v>
      </c>
      <c r="AO169" s="63" t="s">
        <v>219</v>
      </c>
      <c r="AP169" s="62" t="s">
        <v>2596</v>
      </c>
      <c r="AQ169" s="63" t="s">
        <v>217</v>
      </c>
      <c r="AR169" s="30" t="s">
        <v>219</v>
      </c>
    </row>
    <row r="170" spans="2:44" ht="21.75" customHeight="1" x14ac:dyDescent="0.45">
      <c r="B170" s="51" t="s">
        <v>99</v>
      </c>
      <c r="E170" s="52" t="s">
        <v>87</v>
      </c>
      <c r="F170" s="51" t="str">
        <f>"Warengruppe&gt;&gt;"&amp;_xlfn.TEXTJOIN("&gt;&gt;",TRUE,Migrationsartikel!V169:X169)</f>
        <v>Warengruppe&gt;&gt;Früchte und Gemüse&gt;&gt;Früchte und Gemüse&gt;&gt;Gemüse</v>
      </c>
      <c r="H170" s="52" t="s">
        <v>109</v>
      </c>
      <c r="J170" s="51" t="str">
        <f>_xlfn.TEXTJOIN(" ",TRUE,Migrationsartikel!B169,Migrationsartikel!E169)</f>
        <v>2203769000000</v>
      </c>
      <c r="L170" s="51" t="str">
        <f>_xlfn.TEXTJOIN(" ",TRUE,Migrationsartikel!F169:H169)</f>
        <v>Bio Chinakohl 1Stk</v>
      </c>
      <c r="M170" s="51" t="str">
        <f>_xlfn.TEXTJOIN(" ",TRUE,Migrationsartikel!J169:L169)</f>
        <v>Bio Chou chinois 1pce</v>
      </c>
      <c r="N170" s="51" t="str">
        <f>_xlfn.TEXTJOIN(" ",TRUE,Migrationsartikel!N169:P169)</f>
        <v>Bio cavolo cinese 1pz</v>
      </c>
      <c r="O170" s="51" t="str">
        <f>Migrationsartikel!F169</f>
        <v>Bio Chinakohl</v>
      </c>
      <c r="P170" s="51" t="str">
        <f>Migrationsartikel!J169</f>
        <v>Bio Chou chinois</v>
      </c>
      <c r="Q170" s="51" t="str">
        <f>Migrationsartikel!N169</f>
        <v>Bio cavolo cinese</v>
      </c>
      <c r="R170" s="51" t="str">
        <f>_xlfn.TEXTJOIN(" ",TRUE,Migrationsartikel!G169)</f>
        <v/>
      </c>
      <c r="S170" s="51" t="str">
        <f>_xlfn.TEXTJOIN(" ",TRUE,Migrationsartikel!K169)</f>
        <v/>
      </c>
      <c r="T170" s="51" t="str">
        <f>_xlfn.TEXTJOIN(" ",TRUE,Migrationsartikel!O169)</f>
        <v/>
      </c>
      <c r="U170" s="51" t="str">
        <f>_xlfn.TEXTJOIN(" ",TRUE,Migrationsartikel!H169)</f>
        <v>1Stk</v>
      </c>
      <c r="V170" s="51" t="str">
        <f>_xlfn.TEXTJOIN(" ",TRUE,Migrationsartikel!L169)</f>
        <v>1pce</v>
      </c>
      <c r="W170" s="51" t="str">
        <f>_xlfn.TEXTJOIN(" ",TRUE,Migrationsartikel!P169)</f>
        <v>1pz</v>
      </c>
      <c r="X170" s="51" t="str">
        <f>Migrationsartikel!I169</f>
        <v>Bio Chinakohl 1 Stk</v>
      </c>
      <c r="Y170" s="51" t="str">
        <f>Migrationsartikel!M169</f>
        <v>Bio Chou chinois 1 pce</v>
      </c>
      <c r="Z170" s="51" t="str">
        <f>Migrationsartikel!Q169</f>
        <v>Bio cavolo cinese 1 pz</v>
      </c>
      <c r="AA170" s="60">
        <f>Migrationsartikel!R169</f>
        <v>1</v>
      </c>
      <c r="AB170" s="51" t="str">
        <f>Migrationsartikel!T169</f>
        <v>Kilogramm</v>
      </c>
      <c r="AC170" s="62">
        <f>Migrationsartikel!S169</f>
        <v>1</v>
      </c>
      <c r="AD170" s="51" t="str">
        <f>Migrationsartikel!U169</f>
        <v>(PCE) Stück</v>
      </c>
      <c r="AE170" s="95" t="str">
        <f>Migrationsartikel!Y169</f>
        <v>3 - Reduzierter Satz</v>
      </c>
      <c r="AF170" s="64" t="str">
        <f>IF(Migrationsartikel!AA169="Kein Depotartikel","",Migrationsartikel!AA169)</f>
        <v/>
      </c>
      <c r="AG170" s="95" t="str">
        <f>Migrationsartikel!Z169</f>
        <v>Keine</v>
      </c>
      <c r="AH170" s="51" t="str">
        <f>IF(Migrationsartikel!AB169="ja","true",FALSE)</f>
        <v>true</v>
      </c>
      <c r="AI170" s="51" t="str">
        <f>IF(Migrationsartikel!AC169="ja","true",FALSE)</f>
        <v>true</v>
      </c>
      <c r="AJ170" s="51" t="str">
        <f>IF(Migrationsartikel!AD169="ja","true",FALSE)</f>
        <v>true</v>
      </c>
      <c r="AK170" s="51" t="str">
        <f>IF(Migrationsartikel!AE169="ja","true",FALSE)</f>
        <v>true</v>
      </c>
      <c r="AL170" s="51" t="str">
        <f>IF(Migrationsartikel!AF169="ja","Denner Partner","")</f>
        <v/>
      </c>
      <c r="AM170" s="51" t="str">
        <f>IF(Migrationsartikel!AG169="ja","true","false")</f>
        <v>false</v>
      </c>
      <c r="AN170" s="51" t="str">
        <f t="shared" si="3"/>
        <v>Kassentastenbelegung (ohne GTIN/PLU)</v>
      </c>
      <c r="AO170" s="63" t="s">
        <v>219</v>
      </c>
      <c r="AP170" s="62" t="s">
        <v>2597</v>
      </c>
      <c r="AQ170" s="63" t="s">
        <v>217</v>
      </c>
      <c r="AR170" s="30" t="s">
        <v>219</v>
      </c>
    </row>
    <row r="171" spans="2:44" ht="21.75" customHeight="1" x14ac:dyDescent="0.45">
      <c r="B171" s="51" t="s">
        <v>99</v>
      </c>
      <c r="E171" s="52" t="s">
        <v>87</v>
      </c>
      <c r="F171" s="51" t="str">
        <f>"Warengruppe&gt;&gt;"&amp;_xlfn.TEXTJOIN("&gt;&gt;",TRUE,Migrationsartikel!V170:X170)</f>
        <v>Warengruppe&gt;&gt;Früchte und Gemüse&gt;&gt;Früchte und Gemüse&gt;&gt;Gemüse</v>
      </c>
      <c r="H171" s="52" t="s">
        <v>109</v>
      </c>
      <c r="J171" s="51" t="str">
        <f>_xlfn.TEXTJOIN(" ",TRUE,Migrationsartikel!B170,Migrationsartikel!E170)</f>
        <v/>
      </c>
      <c r="L171" s="51" t="str">
        <f>_xlfn.TEXTJOIN(" ",TRUE,Migrationsartikel!F170:H170)</f>
        <v>Chnuspernüssli 250g</v>
      </c>
      <c r="M171" s="51" t="str">
        <f>_xlfn.TEXTJOIN(" ",TRUE,Migrationsartikel!J170:L170)</f>
        <v>Mélange de noix 250g</v>
      </c>
      <c r="N171" s="51" t="str">
        <f>_xlfn.TEXTJOIN(" ",TRUE,Migrationsartikel!N170:P170)</f>
        <v>Mix di noci 250g</v>
      </c>
      <c r="O171" s="51" t="str">
        <f>Migrationsartikel!F170</f>
        <v>Chnuspernüssli</v>
      </c>
      <c r="P171" s="51" t="str">
        <f>Migrationsartikel!J170</f>
        <v>Mélange de noix</v>
      </c>
      <c r="Q171" s="51" t="str">
        <f>Migrationsartikel!N170</f>
        <v>Mix di noci</v>
      </c>
      <c r="R171" s="51" t="str">
        <f>_xlfn.TEXTJOIN(" ",TRUE,Migrationsartikel!G170)</f>
        <v/>
      </c>
      <c r="S171" s="51" t="str">
        <f>_xlfn.TEXTJOIN(" ",TRUE,Migrationsartikel!K170)</f>
        <v/>
      </c>
      <c r="T171" s="51" t="str">
        <f>_xlfn.TEXTJOIN(" ",TRUE,Migrationsartikel!O170)</f>
        <v/>
      </c>
      <c r="U171" s="51" t="str">
        <f>_xlfn.TEXTJOIN(" ",TRUE,Migrationsartikel!H170)</f>
        <v>250g</v>
      </c>
      <c r="V171" s="51" t="str">
        <f>_xlfn.TEXTJOIN(" ",TRUE,Migrationsartikel!L170)</f>
        <v>250g</v>
      </c>
      <c r="W171" s="51" t="str">
        <f>_xlfn.TEXTJOIN(" ",TRUE,Migrationsartikel!P170)</f>
        <v>250g</v>
      </c>
      <c r="X171" s="51" t="str">
        <f>Migrationsartikel!I170</f>
        <v>Chnuspernüssli 250g</v>
      </c>
      <c r="Y171" s="51" t="str">
        <f>Migrationsartikel!M170</f>
        <v>Mélange de noix 250g</v>
      </c>
      <c r="Z171" s="51" t="str">
        <f>Migrationsartikel!Q170</f>
        <v>Mix di noci 250g</v>
      </c>
      <c r="AA171" s="60">
        <f>Migrationsartikel!R170</f>
        <v>0.25</v>
      </c>
      <c r="AB171" s="51" t="str">
        <f>Migrationsartikel!T170</f>
        <v>Gramm</v>
      </c>
      <c r="AC171" s="62">
        <f>Migrationsartikel!S170</f>
        <v>100</v>
      </c>
      <c r="AD171" s="51" t="str">
        <f>Migrationsartikel!U170</f>
        <v>(PCE) Stück</v>
      </c>
      <c r="AE171" s="95" t="str">
        <f>Migrationsartikel!Y170</f>
        <v>3 - Reduzierter Satz</v>
      </c>
      <c r="AF171" s="64" t="str">
        <f>IF(Migrationsartikel!AA170="Kein Depotartikel","",Migrationsartikel!AA170)</f>
        <v/>
      </c>
      <c r="AG171" s="95" t="str">
        <f>Migrationsartikel!Z170</f>
        <v>Keine</v>
      </c>
      <c r="AH171" s="51" t="str">
        <f>IF(Migrationsartikel!AB170="ja","true",FALSE)</f>
        <v>true</v>
      </c>
      <c r="AI171" s="51" t="str">
        <f>IF(Migrationsartikel!AC170="ja","true",FALSE)</f>
        <v>true</v>
      </c>
      <c r="AJ171" s="51" t="str">
        <f>IF(Migrationsartikel!AD170="ja","true",FALSE)</f>
        <v>true</v>
      </c>
      <c r="AK171" s="51" t="str">
        <f>IF(Migrationsartikel!AE170="ja","true",FALSE)</f>
        <v>true</v>
      </c>
      <c r="AL171" s="51" t="str">
        <f>IF(Migrationsartikel!AF170="ja","Denner Partner","")</f>
        <v/>
      </c>
      <c r="AM171" s="51" t="str">
        <f>IF(Migrationsartikel!AG170="ja","true","false")</f>
        <v>false</v>
      </c>
      <c r="AN171" s="51" t="str">
        <f t="shared" si="3"/>
        <v>Kassentastenbelegung (ohne GTIN/PLU)</v>
      </c>
      <c r="AO171" s="63" t="s">
        <v>219</v>
      </c>
      <c r="AP171" s="62" t="s">
        <v>2598</v>
      </c>
      <c r="AQ171" s="63" t="s">
        <v>217</v>
      </c>
      <c r="AR171" s="30" t="s">
        <v>219</v>
      </c>
    </row>
    <row r="172" spans="2:44" ht="21.75" customHeight="1" x14ac:dyDescent="0.45">
      <c r="B172" s="51" t="s">
        <v>99</v>
      </c>
      <c r="E172" s="52" t="s">
        <v>87</v>
      </c>
      <c r="F172" s="51" t="str">
        <f>"Warengruppe&gt;&gt;"&amp;_xlfn.TEXTJOIN("&gt;&gt;",TRUE,Migrationsartikel!V171:X171)</f>
        <v>Warengruppe&gt;&gt;Früchte und Gemüse&gt;&gt;Früchte und Gemüse&gt;&gt;Gemüse</v>
      </c>
      <c r="H172" s="52" t="s">
        <v>109</v>
      </c>
      <c r="J172" s="51" t="str">
        <f>_xlfn.TEXTJOIN(" ",TRUE,Migrationsartikel!B171,Migrationsartikel!E171)</f>
        <v/>
      </c>
      <c r="L172" s="51" t="str">
        <f>_xlfn.TEXTJOIN(" ",TRUE,Migrationsartikel!F171:H171)</f>
        <v>Chnuspernüssli 300g</v>
      </c>
      <c r="M172" s="51" t="str">
        <f>_xlfn.TEXTJOIN(" ",TRUE,Migrationsartikel!J171:L171)</f>
        <v>Mélange de noix 300g</v>
      </c>
      <c r="N172" s="51" t="str">
        <f>_xlfn.TEXTJOIN(" ",TRUE,Migrationsartikel!N171:P171)</f>
        <v>Mix di noci 300g</v>
      </c>
      <c r="O172" s="51" t="str">
        <f>Migrationsartikel!F171</f>
        <v>Chnuspernüssli</v>
      </c>
      <c r="P172" s="51" t="str">
        <f>Migrationsartikel!J171</f>
        <v>Mélange de noix</v>
      </c>
      <c r="Q172" s="51" t="str">
        <f>Migrationsartikel!N171</f>
        <v>Mix di noci</v>
      </c>
      <c r="R172" s="51" t="str">
        <f>_xlfn.TEXTJOIN(" ",TRUE,Migrationsartikel!G171)</f>
        <v/>
      </c>
      <c r="S172" s="51" t="str">
        <f>_xlfn.TEXTJOIN(" ",TRUE,Migrationsartikel!K171)</f>
        <v/>
      </c>
      <c r="T172" s="51" t="str">
        <f>_xlfn.TEXTJOIN(" ",TRUE,Migrationsartikel!O171)</f>
        <v/>
      </c>
      <c r="U172" s="51" t="str">
        <f>_xlfn.TEXTJOIN(" ",TRUE,Migrationsartikel!H171)</f>
        <v>300g</v>
      </c>
      <c r="V172" s="51" t="str">
        <f>_xlfn.TEXTJOIN(" ",TRUE,Migrationsartikel!L171)</f>
        <v>300g</v>
      </c>
      <c r="W172" s="51" t="str">
        <f>_xlfn.TEXTJOIN(" ",TRUE,Migrationsartikel!P171)</f>
        <v>300g</v>
      </c>
      <c r="X172" s="51" t="str">
        <f>Migrationsartikel!I171</f>
        <v>Chnuspernüssli 300g</v>
      </c>
      <c r="Y172" s="51" t="str">
        <f>Migrationsartikel!M171</f>
        <v>Mélange de noix 300g</v>
      </c>
      <c r="Z172" s="51" t="str">
        <f>Migrationsartikel!Q171</f>
        <v>Mix di noci 300g</v>
      </c>
      <c r="AA172" s="60">
        <f>Migrationsartikel!R171</f>
        <v>0.3</v>
      </c>
      <c r="AB172" s="51" t="str">
        <f>Migrationsartikel!T171</f>
        <v>Gramm</v>
      </c>
      <c r="AC172" s="62">
        <f>Migrationsartikel!S171</f>
        <v>100</v>
      </c>
      <c r="AD172" s="51" t="str">
        <f>Migrationsartikel!U171</f>
        <v>(PCE) Stück</v>
      </c>
      <c r="AE172" s="95" t="str">
        <f>Migrationsartikel!Y171</f>
        <v>3 - Reduzierter Satz</v>
      </c>
      <c r="AF172" s="64" t="str">
        <f>IF(Migrationsartikel!AA171="Kein Depotartikel","",Migrationsartikel!AA171)</f>
        <v/>
      </c>
      <c r="AG172" s="95" t="str">
        <f>Migrationsartikel!Z171</f>
        <v>Keine</v>
      </c>
      <c r="AH172" s="51" t="str">
        <f>IF(Migrationsartikel!AB171="ja","true",FALSE)</f>
        <v>true</v>
      </c>
      <c r="AI172" s="51" t="str">
        <f>IF(Migrationsartikel!AC171="ja","true",FALSE)</f>
        <v>true</v>
      </c>
      <c r="AJ172" s="51" t="str">
        <f>IF(Migrationsartikel!AD171="ja","true",FALSE)</f>
        <v>true</v>
      </c>
      <c r="AK172" s="51" t="str">
        <f>IF(Migrationsartikel!AE171="ja","true",FALSE)</f>
        <v>true</v>
      </c>
      <c r="AL172" s="51" t="str">
        <f>IF(Migrationsartikel!AF171="ja","Denner Partner","")</f>
        <v/>
      </c>
      <c r="AM172" s="51" t="str">
        <f>IF(Migrationsartikel!AG171="ja","true","false")</f>
        <v>false</v>
      </c>
      <c r="AN172" s="51" t="str">
        <f t="shared" si="3"/>
        <v>Kassentastenbelegung (ohne GTIN/PLU)</v>
      </c>
      <c r="AO172" s="63" t="s">
        <v>219</v>
      </c>
      <c r="AP172" s="62" t="s">
        <v>2599</v>
      </c>
      <c r="AQ172" s="63" t="s">
        <v>217</v>
      </c>
      <c r="AR172" s="30" t="s">
        <v>219</v>
      </c>
    </row>
    <row r="173" spans="2:44" ht="21.75" customHeight="1" x14ac:dyDescent="0.45">
      <c r="B173" s="51" t="s">
        <v>99</v>
      </c>
      <c r="E173" s="52" t="s">
        <v>87</v>
      </c>
      <c r="F173" s="51" t="str">
        <f>"Warengruppe&gt;&gt;"&amp;_xlfn.TEXTJOIN("&gt;&gt;",TRUE,Migrationsartikel!V172:X172)</f>
        <v>Warengruppe&gt;&gt;Früchte und Gemüse&gt;&gt;Früchte und Gemüse&gt;&gt;Gemüse</v>
      </c>
      <c r="H173" s="52" t="s">
        <v>109</v>
      </c>
      <c r="J173" s="51" t="str">
        <f>_xlfn.TEXTJOIN(" ",TRUE,Migrationsartikel!B172,Migrationsartikel!E172)</f>
        <v>2285971000000</v>
      </c>
      <c r="L173" s="51" t="str">
        <f>_xlfn.TEXTJOIN(" ",TRUE,Migrationsartikel!F172:H172)</f>
        <v>Rüben gepackt</v>
      </c>
      <c r="M173" s="51" t="str">
        <f>_xlfn.TEXTJOIN(" ",TRUE,Migrationsartikel!J172:L172)</f>
        <v>Carottes Emballés</v>
      </c>
      <c r="N173" s="51" t="str">
        <f>_xlfn.TEXTJOIN(" ",TRUE,Migrationsartikel!N172:P172)</f>
        <v>Carote confezionato</v>
      </c>
      <c r="O173" s="51" t="str">
        <f>Migrationsartikel!F172</f>
        <v>Rüben</v>
      </c>
      <c r="P173" s="51" t="str">
        <f>Migrationsartikel!J172</f>
        <v>Carottes</v>
      </c>
      <c r="Q173" s="51" t="str">
        <f>Migrationsartikel!N172</f>
        <v>Carote</v>
      </c>
      <c r="R173" s="51" t="str">
        <f>_xlfn.TEXTJOIN(" ",TRUE,Migrationsartikel!G172)</f>
        <v>gepackt</v>
      </c>
      <c r="S173" s="51" t="str">
        <f>_xlfn.TEXTJOIN(" ",TRUE,Migrationsartikel!K172)</f>
        <v>Emballés</v>
      </c>
      <c r="T173" s="51" t="str">
        <f>_xlfn.TEXTJOIN(" ",TRUE,Migrationsartikel!O172)</f>
        <v>confezionato</v>
      </c>
      <c r="U173" s="51" t="str">
        <f>_xlfn.TEXTJOIN(" ",TRUE,Migrationsartikel!H172)</f>
        <v/>
      </c>
      <c r="V173" s="51" t="str">
        <f>_xlfn.TEXTJOIN(" ",TRUE,Migrationsartikel!L172)</f>
        <v/>
      </c>
      <c r="W173" s="51" t="str">
        <f>_xlfn.TEXTJOIN(" ",TRUE,Migrationsartikel!P172)</f>
        <v/>
      </c>
      <c r="X173" s="51" t="str">
        <f>Migrationsartikel!I172</f>
        <v>Rüben gepackt</v>
      </c>
      <c r="Y173" s="51" t="str">
        <f>Migrationsartikel!M172</f>
        <v>Carottes emballés</v>
      </c>
      <c r="Z173" s="51" t="str">
        <f>Migrationsartikel!Q172</f>
        <v>Carote confezionato</v>
      </c>
      <c r="AA173" s="60">
        <f>Migrationsartikel!R172</f>
        <v>1</v>
      </c>
      <c r="AB173" s="51" t="str">
        <f>Migrationsartikel!T172</f>
        <v>Kilogramm</v>
      </c>
      <c r="AC173" s="62">
        <f>Migrationsartikel!S172</f>
        <v>1</v>
      </c>
      <c r="AD173" s="51" t="str">
        <f>Migrationsartikel!U172</f>
        <v>(PCE) Stück</v>
      </c>
      <c r="AE173" s="95" t="str">
        <f>Migrationsartikel!Y172</f>
        <v>3 - Reduzierter Satz</v>
      </c>
      <c r="AF173" s="64" t="str">
        <f>IF(Migrationsartikel!AA172="Kein Depotartikel","",Migrationsartikel!AA172)</f>
        <v/>
      </c>
      <c r="AG173" s="95" t="str">
        <f>Migrationsartikel!Z172</f>
        <v>Keine</v>
      </c>
      <c r="AH173" s="51" t="str">
        <f>IF(Migrationsartikel!AB172="ja","true",FALSE)</f>
        <v>true</v>
      </c>
      <c r="AI173" s="51" t="str">
        <f>IF(Migrationsartikel!AC172="ja","true",FALSE)</f>
        <v>true</v>
      </c>
      <c r="AJ173" s="51" t="str">
        <f>IF(Migrationsartikel!AD172="ja","true",FALSE)</f>
        <v>true</v>
      </c>
      <c r="AK173" s="51" t="str">
        <f>IF(Migrationsartikel!AE172="ja","true",FALSE)</f>
        <v>true</v>
      </c>
      <c r="AL173" s="51" t="str">
        <f>IF(Migrationsartikel!AF172="ja","Denner Partner","")</f>
        <v/>
      </c>
      <c r="AM173" s="51" t="str">
        <f>IF(Migrationsartikel!AG172="ja","true","false")</f>
        <v>false</v>
      </c>
      <c r="AN173" s="51" t="str">
        <f t="shared" si="3"/>
        <v>Kassentastenbelegung (ohne GTIN/PLU)</v>
      </c>
      <c r="AO173" s="63" t="s">
        <v>219</v>
      </c>
      <c r="AP173" s="62" t="s">
        <v>2600</v>
      </c>
      <c r="AQ173" s="63" t="s">
        <v>217</v>
      </c>
      <c r="AR173" s="30" t="s">
        <v>219</v>
      </c>
    </row>
    <row r="174" spans="2:44" ht="21.75" customHeight="1" x14ac:dyDescent="0.45">
      <c r="B174" s="51" t="s">
        <v>99</v>
      </c>
      <c r="E174" s="52" t="s">
        <v>87</v>
      </c>
      <c r="F174" s="51" t="str">
        <f>"Warengruppe&gt;&gt;"&amp;_xlfn.TEXTJOIN("&gt;&gt;",TRUE,Migrationsartikel!V173:X173)</f>
        <v>Warengruppe&gt;&gt;Früchte und Gemüse&gt;&gt;Früchte und Gemüse&gt;&gt;Gemüse</v>
      </c>
      <c r="H174" s="52" t="s">
        <v>109</v>
      </c>
      <c r="J174" s="51" t="str">
        <f>_xlfn.TEXTJOIN(" ",TRUE,Migrationsartikel!B173,Migrationsartikel!E173)</f>
        <v>216</v>
      </c>
      <c r="L174" s="51" t="str">
        <f>_xlfn.TEXTJOIN(" ",TRUE,Migrationsartikel!F173:H173)</f>
        <v>Cicorino Rosso Offen</v>
      </c>
      <c r="M174" s="51" t="str">
        <f>_xlfn.TEXTJOIN(" ",TRUE,Migrationsartikel!J173:L173)</f>
        <v>Cicorino Rosso En vrac</v>
      </c>
      <c r="N174" s="51" t="str">
        <f>_xlfn.TEXTJOIN(" ",TRUE,Migrationsartikel!N173:P173)</f>
        <v>Cicorino rosso vendita sfusa</v>
      </c>
      <c r="O174" s="51" t="str">
        <f>Migrationsartikel!F173</f>
        <v>Cicorino Rosso</v>
      </c>
      <c r="P174" s="51" t="str">
        <f>Migrationsartikel!J173</f>
        <v>Cicorino Rosso</v>
      </c>
      <c r="Q174" s="51" t="str">
        <f>Migrationsartikel!N173</f>
        <v>Cicorino rosso</v>
      </c>
      <c r="R174" s="51" t="str">
        <f>_xlfn.TEXTJOIN(" ",TRUE,Migrationsartikel!G173)</f>
        <v>Offen</v>
      </c>
      <c r="S174" s="51" t="str">
        <f>_xlfn.TEXTJOIN(" ",TRUE,Migrationsartikel!K173)</f>
        <v>En vrac</v>
      </c>
      <c r="T174" s="51" t="str">
        <f>_xlfn.TEXTJOIN(" ",TRUE,Migrationsartikel!O173)</f>
        <v>vendita sfusa</v>
      </c>
      <c r="U174" s="51" t="str">
        <f>_xlfn.TEXTJOIN(" ",TRUE,Migrationsartikel!H173)</f>
        <v/>
      </c>
      <c r="V174" s="51" t="str">
        <f>_xlfn.TEXTJOIN(" ",TRUE,Migrationsartikel!L173)</f>
        <v/>
      </c>
      <c r="W174" s="51" t="str">
        <f>_xlfn.TEXTJOIN(" ",TRUE,Migrationsartikel!P173)</f>
        <v/>
      </c>
      <c r="X174" s="51" t="str">
        <f>Migrationsartikel!I173</f>
        <v>Cicorino Rosso Offen</v>
      </c>
      <c r="Y174" s="51" t="str">
        <f>Migrationsartikel!M173</f>
        <v>Cicorino Rosso en vrac</v>
      </c>
      <c r="Z174" s="51" t="str">
        <f>Migrationsartikel!Q173</f>
        <v>Cicorino rosso vendita sfusa</v>
      </c>
      <c r="AA174" s="60">
        <f>Migrationsartikel!R173</f>
        <v>1</v>
      </c>
      <c r="AB174" s="51" t="str">
        <f>Migrationsartikel!T173</f>
        <v>Kilogramm</v>
      </c>
      <c r="AC174" s="62">
        <f>Migrationsartikel!S173</f>
        <v>1</v>
      </c>
      <c r="AD174" s="51" t="str">
        <f>Migrationsartikel!U173</f>
        <v>(KGM) KG</v>
      </c>
      <c r="AE174" s="95" t="str">
        <f>Migrationsartikel!Y173</f>
        <v>3 - Reduzierter Satz</v>
      </c>
      <c r="AF174" s="64" t="str">
        <f>IF(Migrationsartikel!AA173="Kein Depotartikel","",Migrationsartikel!AA173)</f>
        <v/>
      </c>
      <c r="AG174" s="95" t="str">
        <f>Migrationsartikel!Z173</f>
        <v>Keine</v>
      </c>
      <c r="AH174" s="51" t="str">
        <f>IF(Migrationsartikel!AB173="ja","true",FALSE)</f>
        <v>true</v>
      </c>
      <c r="AI174" s="51" t="str">
        <f>IF(Migrationsartikel!AC173="ja","true",FALSE)</f>
        <v>true</v>
      </c>
      <c r="AJ174" s="51" t="str">
        <f>IF(Migrationsartikel!AD173="ja","true",FALSE)</f>
        <v>true</v>
      </c>
      <c r="AK174" s="51" t="str">
        <f>IF(Migrationsartikel!AE173="ja","true",FALSE)</f>
        <v>true</v>
      </c>
      <c r="AL174" s="51" t="str">
        <f>IF(Migrationsartikel!AF173="ja","Denner Partner","")</f>
        <v/>
      </c>
      <c r="AM174" s="51" t="str">
        <f>IF(Migrationsartikel!AG173="ja","true","false")</f>
        <v>false</v>
      </c>
      <c r="AN174" s="51" t="str">
        <f t="shared" si="3"/>
        <v>Kassentastenbelegung (ohne GTIN/PLU)</v>
      </c>
      <c r="AO174" s="63" t="s">
        <v>219</v>
      </c>
      <c r="AP174" s="62" t="s">
        <v>2601</v>
      </c>
      <c r="AQ174" s="63" t="s">
        <v>217</v>
      </c>
      <c r="AR174" s="30" t="s">
        <v>219</v>
      </c>
    </row>
    <row r="175" spans="2:44" ht="21.75" customHeight="1" x14ac:dyDescent="0.45">
      <c r="B175" s="51" t="s">
        <v>99</v>
      </c>
      <c r="E175" s="52" t="s">
        <v>87</v>
      </c>
      <c r="F175" s="51" t="str">
        <f>"Warengruppe&gt;&gt;"&amp;_xlfn.TEXTJOIN("&gt;&gt;",TRUE,Migrationsartikel!V174:X174)</f>
        <v>Warengruppe&gt;&gt;Früchte und Gemüse&gt;&gt;Früchte und Gemüse&gt;&gt;Gemüse</v>
      </c>
      <c r="H175" s="52" t="s">
        <v>109</v>
      </c>
      <c r="J175" s="51" t="str">
        <f>_xlfn.TEXTJOIN(" ",TRUE,Migrationsartikel!B174,Migrationsartikel!E174)</f>
        <v>2203771000004</v>
      </c>
      <c r="L175" s="51" t="str">
        <f>_xlfn.TEXTJOIN(" ",TRUE,Migrationsartikel!F174:H174)</f>
        <v>Cicorino Rosso 1Stk</v>
      </c>
      <c r="M175" s="51" t="str">
        <f>_xlfn.TEXTJOIN(" ",TRUE,Migrationsartikel!J174:L174)</f>
        <v>Cicorino Rosso 1pce</v>
      </c>
      <c r="N175" s="51" t="str">
        <f>_xlfn.TEXTJOIN(" ",TRUE,Migrationsartikel!N174:P174)</f>
        <v>Cicorino rosso 1pz</v>
      </c>
      <c r="O175" s="51" t="str">
        <f>Migrationsartikel!F174</f>
        <v>Cicorino Rosso</v>
      </c>
      <c r="P175" s="51" t="str">
        <f>Migrationsartikel!J174</f>
        <v>Cicorino Rosso</v>
      </c>
      <c r="Q175" s="51" t="str">
        <f>Migrationsartikel!N174</f>
        <v>Cicorino rosso</v>
      </c>
      <c r="R175" s="51" t="str">
        <f>_xlfn.TEXTJOIN(" ",TRUE,Migrationsartikel!G174)</f>
        <v/>
      </c>
      <c r="S175" s="51" t="str">
        <f>_xlfn.TEXTJOIN(" ",TRUE,Migrationsartikel!K174)</f>
        <v/>
      </c>
      <c r="T175" s="51" t="str">
        <f>_xlfn.TEXTJOIN(" ",TRUE,Migrationsartikel!O174)</f>
        <v/>
      </c>
      <c r="U175" s="51" t="str">
        <f>_xlfn.TEXTJOIN(" ",TRUE,Migrationsartikel!H174)</f>
        <v>1Stk</v>
      </c>
      <c r="V175" s="51" t="str">
        <f>_xlfn.TEXTJOIN(" ",TRUE,Migrationsartikel!L174)</f>
        <v>1pce</v>
      </c>
      <c r="W175" s="51" t="str">
        <f>_xlfn.TEXTJOIN(" ",TRUE,Migrationsartikel!P174)</f>
        <v>1pz</v>
      </c>
      <c r="X175" s="51" t="str">
        <f>Migrationsartikel!I174</f>
        <v>Cicorino Rosso 1 Stk</v>
      </c>
      <c r="Y175" s="51" t="str">
        <f>Migrationsartikel!M174</f>
        <v>Cicorino Rosso 1 pce</v>
      </c>
      <c r="Z175" s="51" t="str">
        <f>Migrationsartikel!Q174</f>
        <v>Cicorino rosso 1 pz</v>
      </c>
      <c r="AA175" s="60">
        <f>Migrationsartikel!R174</f>
        <v>1</v>
      </c>
      <c r="AB175" s="51" t="str">
        <f>Migrationsartikel!T174</f>
        <v>Stück</v>
      </c>
      <c r="AC175" s="62">
        <f>Migrationsartikel!S174</f>
        <v>1</v>
      </c>
      <c r="AD175" s="51" t="str">
        <f>Migrationsartikel!U174</f>
        <v>(PCE) Stück</v>
      </c>
      <c r="AE175" s="95" t="str">
        <f>Migrationsartikel!Y174</f>
        <v>3 - Reduzierter Satz</v>
      </c>
      <c r="AF175" s="64" t="str">
        <f>IF(Migrationsartikel!AA174="Kein Depotartikel","",Migrationsartikel!AA174)</f>
        <v/>
      </c>
      <c r="AG175" s="95" t="str">
        <f>Migrationsartikel!Z174</f>
        <v>Keine</v>
      </c>
      <c r="AH175" s="51" t="str">
        <f>IF(Migrationsartikel!AB174="ja","true",FALSE)</f>
        <v>true</v>
      </c>
      <c r="AI175" s="51" t="str">
        <f>IF(Migrationsartikel!AC174="ja","true",FALSE)</f>
        <v>true</v>
      </c>
      <c r="AJ175" s="51" t="str">
        <f>IF(Migrationsartikel!AD174="ja","true",FALSE)</f>
        <v>true</v>
      </c>
      <c r="AK175" s="51" t="str">
        <f>IF(Migrationsartikel!AE174="ja","true",FALSE)</f>
        <v>true</v>
      </c>
      <c r="AL175" s="51" t="str">
        <f>IF(Migrationsartikel!AF174="ja","Denner Partner","")</f>
        <v/>
      </c>
      <c r="AM175" s="51" t="str">
        <f>IF(Migrationsartikel!AG174="ja","true","false")</f>
        <v>false</v>
      </c>
      <c r="AN175" s="51" t="str">
        <f t="shared" si="3"/>
        <v>Kassentastenbelegung (ohne GTIN/PLU)</v>
      </c>
      <c r="AO175" s="63" t="s">
        <v>219</v>
      </c>
      <c r="AP175" s="62" t="s">
        <v>2602</v>
      </c>
      <c r="AQ175" s="63" t="s">
        <v>217</v>
      </c>
      <c r="AR175" s="30" t="s">
        <v>219</v>
      </c>
    </row>
    <row r="176" spans="2:44" ht="21.75" customHeight="1" x14ac:dyDescent="0.45">
      <c r="B176" s="51" t="s">
        <v>99</v>
      </c>
      <c r="E176" s="52" t="s">
        <v>87</v>
      </c>
      <c r="F176" s="51" t="str">
        <f>"Warengruppe&gt;&gt;"&amp;_xlfn.TEXTJOIN("&gt;&gt;",TRUE,Migrationsartikel!V175:X175)</f>
        <v>Warengruppe&gt;&gt;Früchte und Gemüse&gt;&gt;Früchte und Gemüse&gt;&gt;Gemüse</v>
      </c>
      <c r="H176" s="52" t="s">
        <v>109</v>
      </c>
      <c r="J176" s="51" t="str">
        <f>_xlfn.TEXTJOIN(" ",TRUE,Migrationsartikel!B175,Migrationsartikel!E175)</f>
        <v>217</v>
      </c>
      <c r="L176" s="51" t="str">
        <f>_xlfn.TEXTJOIN(" ",TRUE,Migrationsartikel!F175:H175)</f>
        <v>Cima di Rapa Grelos Offen</v>
      </c>
      <c r="M176" s="51" t="str">
        <f>_xlfn.TEXTJOIN(" ",TRUE,Migrationsartikel!J175:L175)</f>
        <v>Cima di Rapa Grelos En vrac</v>
      </c>
      <c r="N176" s="51" t="str">
        <f>_xlfn.TEXTJOIN(" ",TRUE,Migrationsartikel!N175:P175)</f>
        <v>Cime di Rapa Grelos vendita sfusa</v>
      </c>
      <c r="O176" s="51" t="str">
        <f>Migrationsartikel!F175</f>
        <v>Cima di Rapa Grelos</v>
      </c>
      <c r="P176" s="51" t="str">
        <f>Migrationsartikel!J175</f>
        <v>Cima di Rapa Grelos</v>
      </c>
      <c r="Q176" s="51" t="str">
        <f>Migrationsartikel!N175</f>
        <v>Cime di Rapa Grelos</v>
      </c>
      <c r="R176" s="51" t="str">
        <f>_xlfn.TEXTJOIN(" ",TRUE,Migrationsartikel!G175)</f>
        <v>Offen</v>
      </c>
      <c r="S176" s="51" t="str">
        <f>_xlfn.TEXTJOIN(" ",TRUE,Migrationsartikel!K175)</f>
        <v>En vrac</v>
      </c>
      <c r="T176" s="51" t="str">
        <f>_xlfn.TEXTJOIN(" ",TRUE,Migrationsartikel!O175)</f>
        <v>vendita sfusa</v>
      </c>
      <c r="U176" s="51" t="str">
        <f>_xlfn.TEXTJOIN(" ",TRUE,Migrationsartikel!H175)</f>
        <v/>
      </c>
      <c r="V176" s="51" t="str">
        <f>_xlfn.TEXTJOIN(" ",TRUE,Migrationsartikel!L175)</f>
        <v/>
      </c>
      <c r="W176" s="51" t="str">
        <f>_xlfn.TEXTJOIN(" ",TRUE,Migrationsartikel!P175)</f>
        <v/>
      </c>
      <c r="X176" s="51" t="str">
        <f>Migrationsartikel!I175</f>
        <v>Cima di Rapa Grelos Offen</v>
      </c>
      <c r="Y176" s="51" t="str">
        <f>Migrationsartikel!M175</f>
        <v>Cima di Rapa Grelos en vrac</v>
      </c>
      <c r="Z176" s="51" t="str">
        <f>Migrationsartikel!Q175</f>
        <v>Cime di Rapa Grelos v.sfusa</v>
      </c>
      <c r="AA176" s="60">
        <f>Migrationsartikel!R175</f>
        <v>1</v>
      </c>
      <c r="AB176" s="51" t="str">
        <f>Migrationsartikel!T175</f>
        <v>Kilogramm</v>
      </c>
      <c r="AC176" s="62">
        <f>Migrationsartikel!S175</f>
        <v>1</v>
      </c>
      <c r="AD176" s="51" t="str">
        <f>Migrationsartikel!U175</f>
        <v>(KGM) KG</v>
      </c>
      <c r="AE176" s="95" t="str">
        <f>Migrationsartikel!Y175</f>
        <v>3 - Reduzierter Satz</v>
      </c>
      <c r="AF176" s="64" t="str">
        <f>IF(Migrationsartikel!AA175="Kein Depotartikel","",Migrationsartikel!AA175)</f>
        <v/>
      </c>
      <c r="AG176" s="95" t="str">
        <f>Migrationsartikel!Z175</f>
        <v>Keine</v>
      </c>
      <c r="AH176" s="51" t="str">
        <f>IF(Migrationsartikel!AB175="ja","true",FALSE)</f>
        <v>true</v>
      </c>
      <c r="AI176" s="51" t="str">
        <f>IF(Migrationsartikel!AC175="ja","true",FALSE)</f>
        <v>true</v>
      </c>
      <c r="AJ176" s="51" t="str">
        <f>IF(Migrationsartikel!AD175="ja","true",FALSE)</f>
        <v>true</v>
      </c>
      <c r="AK176" s="51" t="str">
        <f>IF(Migrationsartikel!AE175="ja","true",FALSE)</f>
        <v>true</v>
      </c>
      <c r="AL176" s="51" t="str">
        <f>IF(Migrationsartikel!AF175="ja","Denner Partner","")</f>
        <v/>
      </c>
      <c r="AM176" s="51" t="str">
        <f>IF(Migrationsartikel!AG175="ja","true","false")</f>
        <v>false</v>
      </c>
      <c r="AN176" s="51" t="str">
        <f t="shared" si="3"/>
        <v>Kassentastenbelegung (ohne GTIN/PLU)</v>
      </c>
      <c r="AO176" s="63" t="s">
        <v>219</v>
      </c>
      <c r="AP176" s="62" t="s">
        <v>2603</v>
      </c>
      <c r="AQ176" s="63" t="s">
        <v>217</v>
      </c>
      <c r="AR176" s="30" t="s">
        <v>219</v>
      </c>
    </row>
    <row r="177" spans="2:44" ht="21.75" customHeight="1" x14ac:dyDescent="0.45">
      <c r="B177" s="51" t="s">
        <v>99</v>
      </c>
      <c r="E177" s="52" t="s">
        <v>87</v>
      </c>
      <c r="F177" s="51" t="str">
        <f>"Warengruppe&gt;&gt;"&amp;_xlfn.TEXTJOIN("&gt;&gt;",TRUE,Migrationsartikel!V176:X176)</f>
        <v>Warengruppe&gt;&gt;Früchte und Gemüse&gt;&gt;Früchte und Gemüse&gt;&gt;Gemüse</v>
      </c>
      <c r="H177" s="52" t="s">
        <v>109</v>
      </c>
      <c r="J177" s="51" t="str">
        <f>_xlfn.TEXTJOIN(" ",TRUE,Migrationsartikel!B176,Migrationsartikel!E176)</f>
        <v>7613399031222</v>
      </c>
      <c r="L177" s="51" t="str">
        <f>_xlfn.TEXTJOIN(" ",TRUE,Migrationsartikel!F176:H176)</f>
        <v>Bio Tomaten Datterino Schale 250g</v>
      </c>
      <c r="M177" s="51" t="str">
        <f>_xlfn.TEXTJOIN(" ",TRUE,Migrationsartikel!J176:L176)</f>
        <v>Bio Tomates Datterino Barquette 250g</v>
      </c>
      <c r="N177" s="51" t="str">
        <f>_xlfn.TEXTJOIN(" ",TRUE,Migrationsartikel!N176:P176)</f>
        <v>Bio Pomodori Datterino vaschetta 250g</v>
      </c>
      <c r="O177" s="51" t="str">
        <f>Migrationsartikel!F176</f>
        <v>Bio Tomaten Datterino</v>
      </c>
      <c r="P177" s="51" t="str">
        <f>Migrationsartikel!J176</f>
        <v>Bio Tomates Datterino</v>
      </c>
      <c r="Q177" s="51" t="str">
        <f>Migrationsartikel!N176</f>
        <v>Bio Pomodori Datterino</v>
      </c>
      <c r="R177" s="51" t="str">
        <f>_xlfn.TEXTJOIN(" ",TRUE,Migrationsartikel!G176)</f>
        <v>Schale</v>
      </c>
      <c r="S177" s="51" t="str">
        <f>_xlfn.TEXTJOIN(" ",TRUE,Migrationsartikel!K176)</f>
        <v>Barquette</v>
      </c>
      <c r="T177" s="51" t="str">
        <f>_xlfn.TEXTJOIN(" ",TRUE,Migrationsartikel!O176)</f>
        <v>vaschetta</v>
      </c>
      <c r="U177" s="51" t="str">
        <f>_xlfn.TEXTJOIN(" ",TRUE,Migrationsartikel!H176)</f>
        <v>250g</v>
      </c>
      <c r="V177" s="51" t="str">
        <f>_xlfn.TEXTJOIN(" ",TRUE,Migrationsartikel!L176)</f>
        <v>250g</v>
      </c>
      <c r="W177" s="51" t="str">
        <f>_xlfn.TEXTJOIN(" ",TRUE,Migrationsartikel!P176)</f>
        <v>250g</v>
      </c>
      <c r="X177" s="51" t="str">
        <f>Migrationsartikel!I176</f>
        <v>Bio Tomaten Datterino 250g</v>
      </c>
      <c r="Y177" s="51" t="str">
        <f>Migrationsartikel!M176</f>
        <v>Bio Tomates Datterino 250g</v>
      </c>
      <c r="Z177" s="51" t="str">
        <f>Migrationsartikel!Q176</f>
        <v>Bio Pomodori Datterino 250g</v>
      </c>
      <c r="AA177" s="60">
        <f>Migrationsartikel!R176</f>
        <v>0.25</v>
      </c>
      <c r="AB177" s="51" t="str">
        <f>Migrationsartikel!T176</f>
        <v>Kilogramm</v>
      </c>
      <c r="AC177" s="62">
        <f>Migrationsartikel!S176</f>
        <v>1</v>
      </c>
      <c r="AD177" s="51" t="str">
        <f>Migrationsartikel!U176</f>
        <v>(PCE) Stück</v>
      </c>
      <c r="AE177" s="95" t="str">
        <f>Migrationsartikel!Y176</f>
        <v>3 - Reduzierter Satz</v>
      </c>
      <c r="AF177" s="64" t="str">
        <f>IF(Migrationsartikel!AA176="Kein Depotartikel","",Migrationsartikel!AA176)</f>
        <v/>
      </c>
      <c r="AG177" s="95" t="str">
        <f>Migrationsartikel!Z176</f>
        <v>Keine</v>
      </c>
      <c r="AH177" s="51" t="str">
        <f>IF(Migrationsartikel!AB176="ja","true",FALSE)</f>
        <v>true</v>
      </c>
      <c r="AI177" s="51" t="str">
        <f>IF(Migrationsartikel!AC176="ja","true",FALSE)</f>
        <v>true</v>
      </c>
      <c r="AJ177" s="51" t="str">
        <f>IF(Migrationsartikel!AD176="ja","true",FALSE)</f>
        <v>true</v>
      </c>
      <c r="AK177" s="51" t="str">
        <f>IF(Migrationsartikel!AE176="ja","true",FALSE)</f>
        <v>true</v>
      </c>
      <c r="AL177" s="51" t="str">
        <f>IF(Migrationsartikel!AF176="ja","Denner Partner","")</f>
        <v/>
      </c>
      <c r="AM177" s="51" t="str">
        <f>IF(Migrationsartikel!AG176="ja","true","false")</f>
        <v>false</v>
      </c>
      <c r="AN177" s="51" t="str">
        <f t="shared" si="3"/>
        <v>Kassentastenbelegung (ohne GTIN/PLU)</v>
      </c>
      <c r="AO177" s="63" t="s">
        <v>219</v>
      </c>
      <c r="AP177" s="62" t="s">
        <v>2604</v>
      </c>
      <c r="AQ177" s="63" t="s">
        <v>217</v>
      </c>
      <c r="AR177" s="30" t="s">
        <v>219</v>
      </c>
    </row>
    <row r="178" spans="2:44" ht="21.75" customHeight="1" x14ac:dyDescent="0.45">
      <c r="B178" s="51" t="s">
        <v>99</v>
      </c>
      <c r="E178" s="52" t="s">
        <v>87</v>
      </c>
      <c r="F178" s="51" t="str">
        <f>"Warengruppe&gt;&gt;"&amp;_xlfn.TEXTJOIN("&gt;&gt;",TRUE,Migrationsartikel!V177:X177)</f>
        <v>Warengruppe&gt;&gt;Früchte und Gemüse&gt;&gt;Früchte und Gemüse&gt;&gt;Gemüse</v>
      </c>
      <c r="H178" s="52" t="s">
        <v>109</v>
      </c>
      <c r="J178" s="51" t="str">
        <f>_xlfn.TEXTJOIN(" ",TRUE,Migrationsartikel!B177,Migrationsartikel!E177)</f>
        <v>7613399040644</v>
      </c>
      <c r="L178" s="51" t="str">
        <f>_xlfn.TEXTJOIN(" ",TRUE,Migrationsartikel!F177:H177)</f>
        <v>Dill Schale 20g</v>
      </c>
      <c r="M178" s="51" t="str">
        <f>_xlfn.TEXTJOIN(" ",TRUE,Migrationsartikel!J177:L177)</f>
        <v>Aneth Barquette 20g</v>
      </c>
      <c r="N178" s="51" t="str">
        <f>_xlfn.TEXTJOIN(" ",TRUE,Migrationsartikel!N177:P177)</f>
        <v>Aneto vaschetta 20g</v>
      </c>
      <c r="O178" s="51" t="str">
        <f>Migrationsartikel!F177</f>
        <v>Dill</v>
      </c>
      <c r="P178" s="51" t="str">
        <f>Migrationsartikel!J177</f>
        <v>Aneth</v>
      </c>
      <c r="Q178" s="51" t="str">
        <f>Migrationsartikel!N177</f>
        <v>Aneto</v>
      </c>
      <c r="R178" s="51" t="str">
        <f>_xlfn.TEXTJOIN(" ",TRUE,Migrationsartikel!G177)</f>
        <v>Schale</v>
      </c>
      <c r="S178" s="51" t="str">
        <f>_xlfn.TEXTJOIN(" ",TRUE,Migrationsartikel!K177)</f>
        <v>Barquette</v>
      </c>
      <c r="T178" s="51" t="str">
        <f>_xlfn.TEXTJOIN(" ",TRUE,Migrationsartikel!O177)</f>
        <v>vaschetta</v>
      </c>
      <c r="U178" s="51" t="str">
        <f>_xlfn.TEXTJOIN(" ",TRUE,Migrationsartikel!H177)</f>
        <v>20g</v>
      </c>
      <c r="V178" s="51" t="str">
        <f>_xlfn.TEXTJOIN(" ",TRUE,Migrationsartikel!L177)</f>
        <v>20g</v>
      </c>
      <c r="W178" s="51" t="str">
        <f>_xlfn.TEXTJOIN(" ",TRUE,Migrationsartikel!P177)</f>
        <v>20g</v>
      </c>
      <c r="X178" s="51" t="str">
        <f>Migrationsartikel!I177</f>
        <v>Dill Schale 20g</v>
      </c>
      <c r="Y178" s="51" t="str">
        <f>Migrationsartikel!M177</f>
        <v>Aneth barquette 20g</v>
      </c>
      <c r="Z178" s="51" t="str">
        <f>Migrationsartikel!Q177</f>
        <v>Aneto vaschetta 20g</v>
      </c>
      <c r="AA178" s="60">
        <f>Migrationsartikel!R177</f>
        <v>0.02</v>
      </c>
      <c r="AB178" s="51" t="str">
        <f>Migrationsartikel!T177</f>
        <v>Gramm</v>
      </c>
      <c r="AC178" s="62">
        <f>Migrationsartikel!S177</f>
        <v>100</v>
      </c>
      <c r="AD178" s="51" t="str">
        <f>Migrationsartikel!U177</f>
        <v>(PCE) Stück</v>
      </c>
      <c r="AE178" s="95" t="str">
        <f>Migrationsartikel!Y177</f>
        <v>3 - Reduzierter Satz</v>
      </c>
      <c r="AF178" s="64" t="str">
        <f>IF(Migrationsartikel!AA177="Kein Depotartikel","",Migrationsartikel!AA177)</f>
        <v/>
      </c>
      <c r="AG178" s="95" t="str">
        <f>Migrationsartikel!Z177</f>
        <v>Keine</v>
      </c>
      <c r="AH178" s="51" t="str">
        <f>IF(Migrationsartikel!AB177="ja","true",FALSE)</f>
        <v>true</v>
      </c>
      <c r="AI178" s="51" t="str">
        <f>IF(Migrationsartikel!AC177="ja","true",FALSE)</f>
        <v>true</v>
      </c>
      <c r="AJ178" s="51" t="str">
        <f>IF(Migrationsartikel!AD177="ja","true",FALSE)</f>
        <v>true</v>
      </c>
      <c r="AK178" s="51" t="str">
        <f>IF(Migrationsartikel!AE177="ja","true",FALSE)</f>
        <v>true</v>
      </c>
      <c r="AL178" s="51" t="str">
        <f>IF(Migrationsartikel!AF177="ja","Denner Partner","")</f>
        <v/>
      </c>
      <c r="AM178" s="51" t="str">
        <f>IF(Migrationsartikel!AG177="ja","true","false")</f>
        <v>false</v>
      </c>
      <c r="AN178" s="51" t="str">
        <f t="shared" si="3"/>
        <v>Kassentastenbelegung (ohne GTIN/PLU)</v>
      </c>
      <c r="AO178" s="63" t="s">
        <v>219</v>
      </c>
      <c r="AP178" s="62" t="s">
        <v>2605</v>
      </c>
      <c r="AQ178" s="63" t="s">
        <v>217</v>
      </c>
      <c r="AR178" s="30" t="s">
        <v>219</v>
      </c>
    </row>
    <row r="179" spans="2:44" ht="21.75" customHeight="1" x14ac:dyDescent="0.45">
      <c r="B179" s="51" t="s">
        <v>99</v>
      </c>
      <c r="E179" s="52" t="s">
        <v>87</v>
      </c>
      <c r="F179" s="51" t="str">
        <f>"Warengruppe&gt;&gt;"&amp;_xlfn.TEXTJOIN("&gt;&gt;",TRUE,Migrationsartikel!V178:X178)</f>
        <v>Warengruppe&gt;&gt;Früchte und Gemüse&gt;&gt;Früchte und Gemüse&gt;&gt;Gemüse</v>
      </c>
      <c r="H179" s="52" t="s">
        <v>109</v>
      </c>
      <c r="J179" s="51" t="str">
        <f>_xlfn.TEXTJOIN(" ",TRUE,Migrationsartikel!B178,Migrationsartikel!E178)</f>
        <v>2284731000005</v>
      </c>
      <c r="L179" s="51" t="str">
        <f>_xlfn.TEXTJOIN(" ",TRUE,Migrationsartikel!F178:H178)</f>
        <v>Eschalotten Netz 250g</v>
      </c>
      <c r="M179" s="51" t="str">
        <f>_xlfn.TEXTJOIN(" ",TRUE,Migrationsartikel!J178:L178)</f>
        <v>Échalotes Filet 250g</v>
      </c>
      <c r="N179" s="51" t="str">
        <f>_xlfn.TEXTJOIN(" ",TRUE,Migrationsartikel!N178:P178)</f>
        <v>Scalogno retina 250g</v>
      </c>
      <c r="O179" s="51" t="str">
        <f>Migrationsartikel!F178</f>
        <v>Eschalotten</v>
      </c>
      <c r="P179" s="51" t="str">
        <f>Migrationsartikel!J178</f>
        <v>Échalotes</v>
      </c>
      <c r="Q179" s="51" t="str">
        <f>Migrationsartikel!N178</f>
        <v>Scalogno</v>
      </c>
      <c r="R179" s="51" t="str">
        <f>_xlfn.TEXTJOIN(" ",TRUE,Migrationsartikel!G178)</f>
        <v>Netz</v>
      </c>
      <c r="S179" s="51" t="str">
        <f>_xlfn.TEXTJOIN(" ",TRUE,Migrationsartikel!K178)</f>
        <v>Filet</v>
      </c>
      <c r="T179" s="51" t="str">
        <f>_xlfn.TEXTJOIN(" ",TRUE,Migrationsartikel!O178)</f>
        <v>retina</v>
      </c>
      <c r="U179" s="51" t="str">
        <f>_xlfn.TEXTJOIN(" ",TRUE,Migrationsartikel!H178)</f>
        <v>250g</v>
      </c>
      <c r="V179" s="51" t="str">
        <f>_xlfn.TEXTJOIN(" ",TRUE,Migrationsartikel!L178)</f>
        <v>250g</v>
      </c>
      <c r="W179" s="51" t="str">
        <f>_xlfn.TEXTJOIN(" ",TRUE,Migrationsartikel!P178)</f>
        <v>250g</v>
      </c>
      <c r="X179" s="51" t="str">
        <f>Migrationsartikel!I178</f>
        <v>Eschalotten Netz 250g</v>
      </c>
      <c r="Y179" s="51" t="str">
        <f>Migrationsartikel!M178</f>
        <v>Echalots filet 250g</v>
      </c>
      <c r="Z179" s="51" t="str">
        <f>Migrationsartikel!Q178</f>
        <v>Scalogno retina 250g</v>
      </c>
      <c r="AA179" s="60">
        <f>Migrationsartikel!R178</f>
        <v>0.25</v>
      </c>
      <c r="AB179" s="51" t="str">
        <f>Migrationsartikel!T178</f>
        <v>Gramm</v>
      </c>
      <c r="AC179" s="62">
        <f>Migrationsartikel!S178</f>
        <v>100</v>
      </c>
      <c r="AD179" s="51" t="str">
        <f>Migrationsartikel!U178</f>
        <v>(PCE) Stück</v>
      </c>
      <c r="AE179" s="95" t="str">
        <f>Migrationsartikel!Y178</f>
        <v>3 - Reduzierter Satz</v>
      </c>
      <c r="AF179" s="64" t="str">
        <f>IF(Migrationsartikel!AA178="Kein Depotartikel","",Migrationsartikel!AA178)</f>
        <v/>
      </c>
      <c r="AG179" s="95" t="str">
        <f>Migrationsartikel!Z178</f>
        <v>Keine</v>
      </c>
      <c r="AH179" s="51" t="str">
        <f>IF(Migrationsartikel!AB178="ja","true",FALSE)</f>
        <v>true</v>
      </c>
      <c r="AI179" s="51" t="str">
        <f>IF(Migrationsartikel!AC178="ja","true",FALSE)</f>
        <v>true</v>
      </c>
      <c r="AJ179" s="51" t="str">
        <f>IF(Migrationsartikel!AD178="ja","true",FALSE)</f>
        <v>true</v>
      </c>
      <c r="AK179" s="51" t="str">
        <f>IF(Migrationsartikel!AE178="ja","true",FALSE)</f>
        <v>true</v>
      </c>
      <c r="AL179" s="51" t="str">
        <f>IF(Migrationsartikel!AF178="ja","Denner Partner","")</f>
        <v/>
      </c>
      <c r="AM179" s="51" t="str">
        <f>IF(Migrationsartikel!AG178="ja","true","false")</f>
        <v>false</v>
      </c>
      <c r="AN179" s="51" t="str">
        <f t="shared" si="3"/>
        <v>Kassentastenbelegung (ohne GTIN/PLU)</v>
      </c>
      <c r="AO179" s="63" t="s">
        <v>219</v>
      </c>
      <c r="AP179" s="62" t="s">
        <v>2606</v>
      </c>
      <c r="AQ179" s="63" t="s">
        <v>217</v>
      </c>
      <c r="AR179" s="30" t="s">
        <v>219</v>
      </c>
    </row>
    <row r="180" spans="2:44" ht="21.75" customHeight="1" x14ac:dyDescent="0.45">
      <c r="B180" s="51" t="s">
        <v>99</v>
      </c>
      <c r="E180" s="52" t="s">
        <v>87</v>
      </c>
      <c r="F180" s="51" t="str">
        <f>"Warengruppe&gt;&gt;"&amp;_xlfn.TEXTJOIN("&gt;&gt;",TRUE,Migrationsartikel!V179:X179)</f>
        <v>Warengruppe&gt;&gt;Früchte und Gemüse&gt;&gt;Früchte und Gemüse&gt;&gt;Gemüse</v>
      </c>
      <c r="H180" s="52" t="s">
        <v>109</v>
      </c>
      <c r="J180" s="51" t="str">
        <f>_xlfn.TEXTJOIN(" ",TRUE,Migrationsartikel!B179,Migrationsartikel!E179)</f>
        <v/>
      </c>
      <c r="L180" s="51" t="str">
        <f>_xlfn.TEXTJOIN(" ",TRUE,Migrationsartikel!F179:H179)</f>
        <v>Eichblattsalat grün gepackt 1Stk</v>
      </c>
      <c r="M180" s="51" t="str">
        <f>_xlfn.TEXTJOIN(" ",TRUE,Migrationsartikel!J179:L179)</f>
        <v>Feuille de chêne vert 1pce</v>
      </c>
      <c r="N180" s="51" t="str">
        <f>_xlfn.TEXTJOIN(" ",TRUE,Migrationsartikel!N179:P179)</f>
        <v>Lattughino verde 1pz</v>
      </c>
      <c r="O180" s="51" t="str">
        <f>Migrationsartikel!F179</f>
        <v>Eichblattsalat grün</v>
      </c>
      <c r="P180" s="51" t="str">
        <f>Migrationsartikel!J179</f>
        <v>Feuille de chêne vert</v>
      </c>
      <c r="Q180" s="51" t="str">
        <f>Migrationsartikel!N179</f>
        <v>Lattughino verde</v>
      </c>
      <c r="R180" s="51" t="str">
        <f>_xlfn.TEXTJOIN(" ",TRUE,Migrationsartikel!G179)</f>
        <v>gepackt</v>
      </c>
      <c r="S180" s="51" t="str">
        <f>_xlfn.TEXTJOIN(" ",TRUE,Migrationsartikel!K179)</f>
        <v/>
      </c>
      <c r="T180" s="51" t="str">
        <f>_xlfn.TEXTJOIN(" ",TRUE,Migrationsartikel!O179)</f>
        <v/>
      </c>
      <c r="U180" s="51" t="str">
        <f>_xlfn.TEXTJOIN(" ",TRUE,Migrationsartikel!H179)</f>
        <v>1Stk</v>
      </c>
      <c r="V180" s="51" t="str">
        <f>_xlfn.TEXTJOIN(" ",TRUE,Migrationsartikel!L179)</f>
        <v>1pce</v>
      </c>
      <c r="W180" s="51" t="str">
        <f>_xlfn.TEXTJOIN(" ",TRUE,Migrationsartikel!P179)</f>
        <v>1pz</v>
      </c>
      <c r="X180" s="51" t="str">
        <f>Migrationsartikel!I179</f>
        <v>Eichblattsalat grün 1 Stk</v>
      </c>
      <c r="Y180" s="51" t="str">
        <f>Migrationsartikel!M179</f>
        <v>Feuille de chêne vert 1 pce</v>
      </c>
      <c r="Z180" s="51" t="str">
        <f>Migrationsartikel!Q179</f>
        <v>Lattughino verde 1 pz</v>
      </c>
      <c r="AA180" s="60">
        <f>Migrationsartikel!R179</f>
        <v>1</v>
      </c>
      <c r="AB180" s="51" t="str">
        <f>Migrationsartikel!T179</f>
        <v>Stück</v>
      </c>
      <c r="AC180" s="62">
        <f>Migrationsartikel!S179</f>
        <v>1</v>
      </c>
      <c r="AD180" s="51" t="str">
        <f>Migrationsartikel!U179</f>
        <v>(PCE) Stück</v>
      </c>
      <c r="AE180" s="95" t="str">
        <f>Migrationsartikel!Y179</f>
        <v>3 - Reduzierter Satz</v>
      </c>
      <c r="AF180" s="64" t="str">
        <f>IF(Migrationsartikel!AA179="Kein Depotartikel","",Migrationsartikel!AA179)</f>
        <v/>
      </c>
      <c r="AG180" s="95" t="str">
        <f>Migrationsartikel!Z179</f>
        <v>Keine</v>
      </c>
      <c r="AH180" s="51" t="str">
        <f>IF(Migrationsartikel!AB179="ja","true",FALSE)</f>
        <v>true</v>
      </c>
      <c r="AI180" s="51" t="str">
        <f>IF(Migrationsartikel!AC179="ja","true",FALSE)</f>
        <v>true</v>
      </c>
      <c r="AJ180" s="51" t="str">
        <f>IF(Migrationsartikel!AD179="ja","true",FALSE)</f>
        <v>true</v>
      </c>
      <c r="AK180" s="51" t="str">
        <f>IF(Migrationsartikel!AE179="ja","true",FALSE)</f>
        <v>true</v>
      </c>
      <c r="AL180" s="51" t="str">
        <f>IF(Migrationsartikel!AF179="ja","Denner Partner","")</f>
        <v/>
      </c>
      <c r="AM180" s="51" t="str">
        <f>IF(Migrationsartikel!AG179="ja","true","false")</f>
        <v>false</v>
      </c>
      <c r="AN180" s="51" t="str">
        <f t="shared" si="3"/>
        <v>Kassentastenbelegung (ohne GTIN/PLU)</v>
      </c>
      <c r="AO180" s="63" t="s">
        <v>219</v>
      </c>
      <c r="AP180" s="62" t="s">
        <v>2607</v>
      </c>
      <c r="AQ180" s="63" t="s">
        <v>217</v>
      </c>
      <c r="AR180" s="30" t="s">
        <v>219</v>
      </c>
    </row>
    <row r="181" spans="2:44" ht="21.75" customHeight="1" x14ac:dyDescent="0.45">
      <c r="B181" s="51" t="s">
        <v>99</v>
      </c>
      <c r="E181" s="52" t="s">
        <v>87</v>
      </c>
      <c r="F181" s="51" t="str">
        <f>"Warengruppe&gt;&gt;"&amp;_xlfn.TEXTJOIN("&gt;&gt;",TRUE,Migrationsartikel!V180:X180)</f>
        <v>Warengruppe&gt;&gt;Früchte und Gemüse&gt;&gt;Früchte und Gemüse&gt;&gt;Gemüse</v>
      </c>
      <c r="H181" s="52" t="s">
        <v>109</v>
      </c>
      <c r="J181" s="51" t="str">
        <f>_xlfn.TEXTJOIN(" ",TRUE,Migrationsartikel!B180,Migrationsartikel!E180)</f>
        <v>2200152000000</v>
      </c>
      <c r="L181" s="51" t="str">
        <f>_xlfn.TEXTJOIN(" ",TRUE,Migrationsartikel!F180:H180)</f>
        <v>Eichblattsalat grün 1Stk</v>
      </c>
      <c r="M181" s="51" t="str">
        <f>_xlfn.TEXTJOIN(" ",TRUE,Migrationsartikel!J180:L180)</f>
        <v>Feuille de chêne vert 1pce</v>
      </c>
      <c r="N181" s="51" t="str">
        <f>_xlfn.TEXTJOIN(" ",TRUE,Migrationsartikel!N180:P180)</f>
        <v>Lattughino verde 1pz</v>
      </c>
      <c r="O181" s="51" t="str">
        <f>Migrationsartikel!F180</f>
        <v>Eichblattsalat grün</v>
      </c>
      <c r="P181" s="51" t="str">
        <f>Migrationsartikel!J180</f>
        <v>Feuille de chêne vert</v>
      </c>
      <c r="Q181" s="51" t="str">
        <f>Migrationsartikel!N180</f>
        <v>Lattughino verde</v>
      </c>
      <c r="R181" s="51" t="str">
        <f>_xlfn.TEXTJOIN(" ",TRUE,Migrationsartikel!G180)</f>
        <v/>
      </c>
      <c r="S181" s="51" t="str">
        <f>_xlfn.TEXTJOIN(" ",TRUE,Migrationsartikel!K180)</f>
        <v/>
      </c>
      <c r="T181" s="51" t="str">
        <f>_xlfn.TEXTJOIN(" ",TRUE,Migrationsartikel!O180)</f>
        <v/>
      </c>
      <c r="U181" s="51" t="str">
        <f>_xlfn.TEXTJOIN(" ",TRUE,Migrationsartikel!H180)</f>
        <v>1Stk</v>
      </c>
      <c r="V181" s="51" t="str">
        <f>_xlfn.TEXTJOIN(" ",TRUE,Migrationsartikel!L180)</f>
        <v>1pce</v>
      </c>
      <c r="W181" s="51" t="str">
        <f>_xlfn.TEXTJOIN(" ",TRUE,Migrationsartikel!P180)</f>
        <v>1pz</v>
      </c>
      <c r="X181" s="51" t="str">
        <f>Migrationsartikel!I180</f>
        <v>Eichblattsalat 1 Stk</v>
      </c>
      <c r="Y181" s="51" t="str">
        <f>Migrationsartikel!M180</f>
        <v>Feuille de chêne vert 1 pce</v>
      </c>
      <c r="Z181" s="51" t="str">
        <f>Migrationsartikel!Q180</f>
        <v>Lattughino verde 1 pz</v>
      </c>
      <c r="AA181" s="60">
        <f>Migrationsartikel!R180</f>
        <v>1</v>
      </c>
      <c r="AB181" s="51" t="str">
        <f>Migrationsartikel!T180</f>
        <v>Stück</v>
      </c>
      <c r="AC181" s="62">
        <f>Migrationsartikel!S180</f>
        <v>1</v>
      </c>
      <c r="AD181" s="51" t="str">
        <f>Migrationsartikel!U180</f>
        <v>(PCE) Stück</v>
      </c>
      <c r="AE181" s="95" t="str">
        <f>Migrationsartikel!Y180</f>
        <v>3 - Reduzierter Satz</v>
      </c>
      <c r="AF181" s="64" t="str">
        <f>IF(Migrationsartikel!AA180="Kein Depotartikel","",Migrationsartikel!AA180)</f>
        <v/>
      </c>
      <c r="AG181" s="95" t="str">
        <f>Migrationsartikel!Z180</f>
        <v>Keine</v>
      </c>
      <c r="AH181" s="51" t="str">
        <f>IF(Migrationsartikel!AB180="ja","true",FALSE)</f>
        <v>true</v>
      </c>
      <c r="AI181" s="51" t="str">
        <f>IF(Migrationsartikel!AC180="ja","true",FALSE)</f>
        <v>true</v>
      </c>
      <c r="AJ181" s="51" t="str">
        <f>IF(Migrationsartikel!AD180="ja","true",FALSE)</f>
        <v>true</v>
      </c>
      <c r="AK181" s="51" t="str">
        <f>IF(Migrationsartikel!AE180="ja","true",FALSE)</f>
        <v>true</v>
      </c>
      <c r="AL181" s="51" t="str">
        <f>IF(Migrationsartikel!AF180="ja","Denner Partner","")</f>
        <v/>
      </c>
      <c r="AM181" s="51" t="str">
        <f>IF(Migrationsartikel!AG180="ja","true","false")</f>
        <v>false</v>
      </c>
      <c r="AN181" s="51" t="str">
        <f t="shared" si="3"/>
        <v>Kassentastenbelegung (ohne GTIN/PLU)</v>
      </c>
      <c r="AO181" s="63" t="s">
        <v>219</v>
      </c>
      <c r="AP181" s="62" t="s">
        <v>2608</v>
      </c>
      <c r="AQ181" s="63" t="s">
        <v>217</v>
      </c>
      <c r="AR181" s="30" t="s">
        <v>219</v>
      </c>
    </row>
    <row r="182" spans="2:44" ht="21.75" customHeight="1" x14ac:dyDescent="0.45">
      <c r="B182" s="51" t="s">
        <v>99</v>
      </c>
      <c r="E182" s="52" t="s">
        <v>87</v>
      </c>
      <c r="F182" s="51" t="str">
        <f>"Warengruppe&gt;&gt;"&amp;_xlfn.TEXTJOIN("&gt;&gt;",TRUE,Migrationsartikel!V181:X181)</f>
        <v>Warengruppe&gt;&gt;Früchte und Gemüse&gt;&gt;Früchte und Gemüse&gt;&gt;Gemüse</v>
      </c>
      <c r="H182" s="52" t="s">
        <v>109</v>
      </c>
      <c r="J182" s="51" t="str">
        <f>_xlfn.TEXTJOIN(" ",TRUE,Migrationsartikel!B181,Migrationsartikel!E181)</f>
        <v/>
      </c>
      <c r="L182" s="51" t="str">
        <f>_xlfn.TEXTJOIN(" ",TRUE,Migrationsartikel!F181:H181)</f>
        <v>Eichblattsalat rot 1Stk</v>
      </c>
      <c r="M182" s="51" t="str">
        <f>_xlfn.TEXTJOIN(" ",TRUE,Migrationsartikel!J181:L181)</f>
        <v>Feuille de chêne rouge 1pce</v>
      </c>
      <c r="N182" s="51" t="str">
        <f>_xlfn.TEXTJOIN(" ",TRUE,Migrationsartikel!N181:P181)</f>
        <v>Lattughino rosso 1pz</v>
      </c>
      <c r="O182" s="51" t="str">
        <f>Migrationsartikel!F181</f>
        <v>Eichblattsalat rot</v>
      </c>
      <c r="P182" s="51" t="str">
        <f>Migrationsartikel!J181</f>
        <v>Feuille de chêne rouge</v>
      </c>
      <c r="Q182" s="51" t="str">
        <f>Migrationsartikel!N181</f>
        <v>Lattughino rosso</v>
      </c>
      <c r="R182" s="51" t="str">
        <f>_xlfn.TEXTJOIN(" ",TRUE,Migrationsartikel!G181)</f>
        <v/>
      </c>
      <c r="S182" s="51" t="str">
        <f>_xlfn.TEXTJOIN(" ",TRUE,Migrationsartikel!K181)</f>
        <v/>
      </c>
      <c r="T182" s="51" t="str">
        <f>_xlfn.TEXTJOIN(" ",TRUE,Migrationsartikel!O181)</f>
        <v/>
      </c>
      <c r="U182" s="51" t="str">
        <f>_xlfn.TEXTJOIN(" ",TRUE,Migrationsartikel!H181)</f>
        <v>1Stk</v>
      </c>
      <c r="V182" s="51" t="str">
        <f>_xlfn.TEXTJOIN(" ",TRUE,Migrationsartikel!L181)</f>
        <v>1pce</v>
      </c>
      <c r="W182" s="51" t="str">
        <f>_xlfn.TEXTJOIN(" ",TRUE,Migrationsartikel!P181)</f>
        <v>1pz</v>
      </c>
      <c r="X182" s="51" t="str">
        <f>Migrationsartikel!I181</f>
        <v>Eichblattsalat rot 1 Stk</v>
      </c>
      <c r="Y182" s="51" t="str">
        <f>Migrationsartikel!M181</f>
        <v>Feuille de chêne rouge 1 pce</v>
      </c>
      <c r="Z182" s="51" t="str">
        <f>Migrationsartikel!Q181</f>
        <v>Lattughino rosso 1 pz</v>
      </c>
      <c r="AA182" s="60">
        <f>Migrationsartikel!R181</f>
        <v>1</v>
      </c>
      <c r="AB182" s="51" t="str">
        <f>Migrationsartikel!T181</f>
        <v>Stück</v>
      </c>
      <c r="AC182" s="62">
        <f>Migrationsartikel!S181</f>
        <v>1</v>
      </c>
      <c r="AD182" s="51" t="str">
        <f>Migrationsartikel!U181</f>
        <v>(PCE) Stück</v>
      </c>
      <c r="AE182" s="95" t="str">
        <f>Migrationsartikel!Y181</f>
        <v>3 - Reduzierter Satz</v>
      </c>
      <c r="AF182" s="64" t="str">
        <f>IF(Migrationsartikel!AA181="Kein Depotartikel","",Migrationsartikel!AA181)</f>
        <v/>
      </c>
      <c r="AG182" s="95" t="str">
        <f>Migrationsartikel!Z181</f>
        <v>Keine</v>
      </c>
      <c r="AH182" s="51" t="str">
        <f>IF(Migrationsartikel!AB181="ja","true",FALSE)</f>
        <v>true</v>
      </c>
      <c r="AI182" s="51" t="str">
        <f>IF(Migrationsartikel!AC181="ja","true",FALSE)</f>
        <v>true</v>
      </c>
      <c r="AJ182" s="51" t="str">
        <f>IF(Migrationsartikel!AD181="ja","true",FALSE)</f>
        <v>true</v>
      </c>
      <c r="AK182" s="51" t="str">
        <f>IF(Migrationsartikel!AE181="ja","true",FALSE)</f>
        <v>true</v>
      </c>
      <c r="AL182" s="51" t="str">
        <f>IF(Migrationsartikel!AF181="ja","Denner Partner","")</f>
        <v/>
      </c>
      <c r="AM182" s="51" t="str">
        <f>IF(Migrationsartikel!AG181="ja","true","false")</f>
        <v>false</v>
      </c>
      <c r="AN182" s="51" t="str">
        <f t="shared" si="3"/>
        <v>Kassentastenbelegung (ohne GTIN/PLU)</v>
      </c>
      <c r="AO182" s="63" t="s">
        <v>219</v>
      </c>
      <c r="AP182" s="62" t="s">
        <v>2609</v>
      </c>
      <c r="AQ182" s="63" t="s">
        <v>217</v>
      </c>
      <c r="AR182" s="30" t="s">
        <v>219</v>
      </c>
    </row>
    <row r="183" spans="2:44" ht="21.75" customHeight="1" x14ac:dyDescent="0.45">
      <c r="B183" s="51" t="s">
        <v>99</v>
      </c>
      <c r="E183" s="52" t="s">
        <v>87</v>
      </c>
      <c r="F183" s="51" t="str">
        <f>"Warengruppe&gt;&gt;"&amp;_xlfn.TEXTJOIN("&gt;&gt;",TRUE,Migrationsartikel!V182:X182)</f>
        <v>Warengruppe&gt;&gt;Früchte und Gemüse&gt;&gt;Früchte und Gemüse&gt;&gt;Gemüse</v>
      </c>
      <c r="H183" s="52" t="s">
        <v>109</v>
      </c>
      <c r="J183" s="51" t="str">
        <f>_xlfn.TEXTJOIN(" ",TRUE,Migrationsartikel!B182,Migrationsartikel!E182)</f>
        <v>2259254000009</v>
      </c>
      <c r="L183" s="51" t="str">
        <f>_xlfn.TEXTJOIN(" ",TRUE,Migrationsartikel!F182:H182)</f>
        <v>Bio Eichblattsalat rot 1Stk</v>
      </c>
      <c r="M183" s="51" t="str">
        <f>_xlfn.TEXTJOIN(" ",TRUE,Migrationsartikel!J182:L182)</f>
        <v>Bio Feuille de chêne rouge 1pce</v>
      </c>
      <c r="N183" s="51" t="str">
        <f>_xlfn.TEXTJOIN(" ",TRUE,Migrationsartikel!N182:P182)</f>
        <v>Bio Lattughino rosso 1pz</v>
      </c>
      <c r="O183" s="51" t="str">
        <f>Migrationsartikel!F182</f>
        <v>Bio Eichblattsalat rot</v>
      </c>
      <c r="P183" s="51" t="str">
        <f>Migrationsartikel!J182</f>
        <v>Bio Feuille de chêne</v>
      </c>
      <c r="Q183" s="51" t="str">
        <f>Migrationsartikel!N182</f>
        <v>Bio Lattughino rosso</v>
      </c>
      <c r="R183" s="51" t="str">
        <f>_xlfn.TEXTJOIN(" ",TRUE,Migrationsartikel!G182)</f>
        <v/>
      </c>
      <c r="S183" s="51" t="str">
        <f>_xlfn.TEXTJOIN(" ",TRUE,Migrationsartikel!K182)</f>
        <v>rouge</v>
      </c>
      <c r="T183" s="51" t="str">
        <f>_xlfn.TEXTJOIN(" ",TRUE,Migrationsartikel!O182)</f>
        <v/>
      </c>
      <c r="U183" s="51" t="str">
        <f>_xlfn.TEXTJOIN(" ",TRUE,Migrationsartikel!H182)</f>
        <v>1Stk</v>
      </c>
      <c r="V183" s="51" t="str">
        <f>_xlfn.TEXTJOIN(" ",TRUE,Migrationsartikel!L182)</f>
        <v>1pce</v>
      </c>
      <c r="W183" s="51" t="str">
        <f>_xlfn.TEXTJOIN(" ",TRUE,Migrationsartikel!P182)</f>
        <v>1pz</v>
      </c>
      <c r="X183" s="51" t="str">
        <f>Migrationsartikel!I182</f>
        <v>Bio Eichblattsalat rot 1 Stk</v>
      </c>
      <c r="Y183" s="51" t="str">
        <f>Migrationsartikel!M182</f>
        <v>Bio F. de chêne rouge 1 pce</v>
      </c>
      <c r="Z183" s="51" t="str">
        <f>Migrationsartikel!Q182</f>
        <v>Bio Lattughino rosso 1 pz</v>
      </c>
      <c r="AA183" s="60">
        <f>Migrationsartikel!R182</f>
        <v>1</v>
      </c>
      <c r="AB183" s="51" t="str">
        <f>Migrationsartikel!T182</f>
        <v>Stück</v>
      </c>
      <c r="AC183" s="62">
        <f>Migrationsartikel!S182</f>
        <v>1</v>
      </c>
      <c r="AD183" s="51" t="str">
        <f>Migrationsartikel!U182</f>
        <v>(PCE) Stück</v>
      </c>
      <c r="AE183" s="95" t="str">
        <f>Migrationsartikel!Y182</f>
        <v>3 - Reduzierter Satz</v>
      </c>
      <c r="AF183" s="64" t="str">
        <f>IF(Migrationsartikel!AA182="Kein Depotartikel","",Migrationsartikel!AA182)</f>
        <v/>
      </c>
      <c r="AG183" s="95" t="str">
        <f>Migrationsartikel!Z182</f>
        <v>Keine</v>
      </c>
      <c r="AH183" s="51" t="str">
        <f>IF(Migrationsartikel!AB182="ja","true",FALSE)</f>
        <v>true</v>
      </c>
      <c r="AI183" s="51" t="str">
        <f>IF(Migrationsartikel!AC182="ja","true",FALSE)</f>
        <v>true</v>
      </c>
      <c r="AJ183" s="51" t="str">
        <f>IF(Migrationsartikel!AD182="ja","true",FALSE)</f>
        <v>true</v>
      </c>
      <c r="AK183" s="51" t="str">
        <f>IF(Migrationsartikel!AE182="ja","true",FALSE)</f>
        <v>true</v>
      </c>
      <c r="AL183" s="51" t="str">
        <f>IF(Migrationsartikel!AF182="ja","Denner Partner","")</f>
        <v/>
      </c>
      <c r="AM183" s="51" t="str">
        <f>IF(Migrationsartikel!AG182="ja","true","false")</f>
        <v>false</v>
      </c>
      <c r="AN183" s="51" t="str">
        <f t="shared" si="3"/>
        <v>Kassentastenbelegung (ohne GTIN/PLU)</v>
      </c>
      <c r="AO183" s="63" t="s">
        <v>219</v>
      </c>
      <c r="AP183" s="62" t="s">
        <v>2610</v>
      </c>
      <c r="AQ183" s="63" t="s">
        <v>217</v>
      </c>
      <c r="AR183" s="30" t="s">
        <v>219</v>
      </c>
    </row>
    <row r="184" spans="2:44" ht="21.75" customHeight="1" x14ac:dyDescent="0.45">
      <c r="B184" s="51" t="s">
        <v>99</v>
      </c>
      <c r="E184" s="52" t="s">
        <v>87</v>
      </c>
      <c r="F184" s="51" t="str">
        <f>"Warengruppe&gt;&gt;"&amp;_xlfn.TEXTJOIN("&gt;&gt;",TRUE,Migrationsartikel!V183:X183)</f>
        <v>Warengruppe&gt;&gt;Früchte und Gemüse&gt;&gt;Früchte und Gemüse&gt;&gt;Gemüse</v>
      </c>
      <c r="H184" s="52" t="s">
        <v>109</v>
      </c>
      <c r="J184" s="51" t="str">
        <f>_xlfn.TEXTJOIN(" ",TRUE,Migrationsartikel!B183,Migrationsartikel!E183)</f>
        <v>2200153000000</v>
      </c>
      <c r="L184" s="51" t="str">
        <f>_xlfn.TEXTJOIN(" ",TRUE,Migrationsartikel!F183:H183)</f>
        <v>Eichblattsalat rot 1Stk</v>
      </c>
      <c r="M184" s="51" t="str">
        <f>_xlfn.TEXTJOIN(" ",TRUE,Migrationsartikel!J183:L183)</f>
        <v>Feuille de chêne rouge 1pce</v>
      </c>
      <c r="N184" s="51" t="str">
        <f>_xlfn.TEXTJOIN(" ",TRUE,Migrationsartikel!N183:P183)</f>
        <v>Lattughino rosso 1pz</v>
      </c>
      <c r="O184" s="51" t="str">
        <f>Migrationsartikel!F183</f>
        <v>Eichblattsalat rot</v>
      </c>
      <c r="P184" s="51" t="str">
        <f>Migrationsartikel!J183</f>
        <v>Feuille de chêne rouge</v>
      </c>
      <c r="Q184" s="51" t="str">
        <f>Migrationsartikel!N183</f>
        <v>Lattughino rosso</v>
      </c>
      <c r="R184" s="51" t="str">
        <f>_xlfn.TEXTJOIN(" ",TRUE,Migrationsartikel!G183)</f>
        <v/>
      </c>
      <c r="S184" s="51" t="str">
        <f>_xlfn.TEXTJOIN(" ",TRUE,Migrationsartikel!K183)</f>
        <v/>
      </c>
      <c r="T184" s="51" t="str">
        <f>_xlfn.TEXTJOIN(" ",TRUE,Migrationsartikel!O183)</f>
        <v/>
      </c>
      <c r="U184" s="51" t="str">
        <f>_xlfn.TEXTJOIN(" ",TRUE,Migrationsartikel!H183)</f>
        <v>1Stk</v>
      </c>
      <c r="V184" s="51" t="str">
        <f>_xlfn.TEXTJOIN(" ",TRUE,Migrationsartikel!L183)</f>
        <v>1pce</v>
      </c>
      <c r="W184" s="51" t="str">
        <f>_xlfn.TEXTJOIN(" ",TRUE,Migrationsartikel!P183)</f>
        <v>1pz</v>
      </c>
      <c r="X184" s="51" t="str">
        <f>Migrationsartikel!I183</f>
        <v>Eichblattsalat rot 1 Stk</v>
      </c>
      <c r="Y184" s="51" t="str">
        <f>Migrationsartikel!M183</f>
        <v>Fuille de chêne rouge 1 pce</v>
      </c>
      <c r="Z184" s="51" t="str">
        <f>Migrationsartikel!Q183</f>
        <v>Lattughino rosso 1 pz</v>
      </c>
      <c r="AA184" s="60">
        <f>Migrationsartikel!R183</f>
        <v>1</v>
      </c>
      <c r="AB184" s="51" t="str">
        <f>Migrationsartikel!T183</f>
        <v>Stück</v>
      </c>
      <c r="AC184" s="62">
        <f>Migrationsartikel!S183</f>
        <v>1</v>
      </c>
      <c r="AD184" s="51" t="str">
        <f>Migrationsartikel!U183</f>
        <v>(PCE) Stück</v>
      </c>
      <c r="AE184" s="95" t="str">
        <f>Migrationsartikel!Y183</f>
        <v>3 - Reduzierter Satz</v>
      </c>
      <c r="AF184" s="64" t="str">
        <f>IF(Migrationsartikel!AA183="Kein Depotartikel","",Migrationsartikel!AA183)</f>
        <v/>
      </c>
      <c r="AG184" s="95" t="str">
        <f>Migrationsartikel!Z183</f>
        <v>Keine</v>
      </c>
      <c r="AH184" s="51" t="str">
        <f>IF(Migrationsartikel!AB183="ja","true",FALSE)</f>
        <v>true</v>
      </c>
      <c r="AI184" s="51" t="str">
        <f>IF(Migrationsartikel!AC183="ja","true",FALSE)</f>
        <v>true</v>
      </c>
      <c r="AJ184" s="51" t="str">
        <f>IF(Migrationsartikel!AD183="ja","true",FALSE)</f>
        <v>true</v>
      </c>
      <c r="AK184" s="51" t="str">
        <f>IF(Migrationsartikel!AE183="ja","true",FALSE)</f>
        <v>true</v>
      </c>
      <c r="AL184" s="51" t="str">
        <f>IF(Migrationsartikel!AF183="ja","Denner Partner","")</f>
        <v/>
      </c>
      <c r="AM184" s="51" t="str">
        <f>IF(Migrationsartikel!AG183="ja","true","false")</f>
        <v>false</v>
      </c>
      <c r="AN184" s="51" t="str">
        <f t="shared" si="3"/>
        <v>Kassentastenbelegung (ohne GTIN/PLU)</v>
      </c>
      <c r="AO184" s="63" t="s">
        <v>219</v>
      </c>
      <c r="AP184" s="62" t="s">
        <v>2611</v>
      </c>
      <c r="AQ184" s="63" t="s">
        <v>217</v>
      </c>
      <c r="AR184" s="30" t="s">
        <v>219</v>
      </c>
    </row>
    <row r="185" spans="2:44" ht="21.75" customHeight="1" x14ac:dyDescent="0.45">
      <c r="B185" s="51" t="s">
        <v>99</v>
      </c>
      <c r="E185" s="52" t="s">
        <v>87</v>
      </c>
      <c r="F185" s="51" t="str">
        <f>"Warengruppe&gt;&gt;"&amp;_xlfn.TEXTJOIN("&gt;&gt;",TRUE,Migrationsartikel!V184:X184)</f>
        <v>Warengruppe&gt;&gt;Früchte und Gemüse&gt;&gt;Früchte und Gemüse&gt;&gt;Gemüse</v>
      </c>
      <c r="H185" s="52" t="s">
        <v>109</v>
      </c>
      <c r="J185" s="51" t="str">
        <f>_xlfn.TEXTJOIN(" ",TRUE,Migrationsartikel!B184,Migrationsartikel!E184)</f>
        <v>7630178201119</v>
      </c>
      <c r="L185" s="51" t="str">
        <f>_xlfn.TEXTJOIN(" ",TRUE,Migrationsartikel!F184:H184)</f>
        <v>Eierschwämme 125g</v>
      </c>
      <c r="M185" s="51" t="str">
        <f>_xlfn.TEXTJOIN(" ",TRUE,Migrationsartikel!J184:L184)</f>
        <v>Chanterelles 125g</v>
      </c>
      <c r="N185" s="51" t="str">
        <f>_xlfn.TEXTJOIN(" ",TRUE,Migrationsartikel!N184:P184)</f>
        <v>Gallinacci 125g</v>
      </c>
      <c r="O185" s="51" t="str">
        <f>Migrationsartikel!F184</f>
        <v>Eierschwämme</v>
      </c>
      <c r="P185" s="51" t="str">
        <f>Migrationsartikel!J184</f>
        <v>Chanterelles</v>
      </c>
      <c r="Q185" s="51" t="str">
        <f>Migrationsartikel!N184</f>
        <v>Gallinacci</v>
      </c>
      <c r="R185" s="51" t="str">
        <f>_xlfn.TEXTJOIN(" ",TRUE,Migrationsartikel!G184)</f>
        <v/>
      </c>
      <c r="S185" s="51" t="str">
        <f>_xlfn.TEXTJOIN(" ",TRUE,Migrationsartikel!K184)</f>
        <v/>
      </c>
      <c r="T185" s="51" t="str">
        <f>_xlfn.TEXTJOIN(" ",TRUE,Migrationsartikel!O184)</f>
        <v/>
      </c>
      <c r="U185" s="51" t="str">
        <f>_xlfn.TEXTJOIN(" ",TRUE,Migrationsartikel!H184)</f>
        <v>125g</v>
      </c>
      <c r="V185" s="51" t="str">
        <f>_xlfn.TEXTJOIN(" ",TRUE,Migrationsartikel!L184)</f>
        <v>125g</v>
      </c>
      <c r="W185" s="51" t="str">
        <f>_xlfn.TEXTJOIN(" ",TRUE,Migrationsartikel!P184)</f>
        <v>125g</v>
      </c>
      <c r="X185" s="51" t="str">
        <f>Migrationsartikel!I184</f>
        <v>Eierschwämme 125g</v>
      </c>
      <c r="Y185" s="51" t="str">
        <f>Migrationsartikel!M184</f>
        <v>Chanterelles 125g</v>
      </c>
      <c r="Z185" s="51" t="str">
        <f>Migrationsartikel!Q184</f>
        <v>Gallinacci 125g</v>
      </c>
      <c r="AA185" s="60">
        <f>Migrationsartikel!R184</f>
        <v>0.125</v>
      </c>
      <c r="AB185" s="51" t="str">
        <f>Migrationsartikel!T184</f>
        <v>Gramm</v>
      </c>
      <c r="AC185" s="62">
        <f>Migrationsartikel!S184</f>
        <v>100</v>
      </c>
      <c r="AD185" s="51" t="str">
        <f>Migrationsartikel!U184</f>
        <v>(PCE) Stück</v>
      </c>
      <c r="AE185" s="95" t="str">
        <f>Migrationsartikel!Y184</f>
        <v>3 - Reduzierter Satz</v>
      </c>
      <c r="AF185" s="64" t="str">
        <f>IF(Migrationsartikel!AA184="Kein Depotartikel","",Migrationsartikel!AA184)</f>
        <v/>
      </c>
      <c r="AG185" s="95" t="str">
        <f>Migrationsartikel!Z184</f>
        <v>Keine</v>
      </c>
      <c r="AH185" s="51" t="str">
        <f>IF(Migrationsartikel!AB184="ja","true",FALSE)</f>
        <v>true</v>
      </c>
      <c r="AI185" s="51" t="str">
        <f>IF(Migrationsartikel!AC184="ja","true",FALSE)</f>
        <v>true</v>
      </c>
      <c r="AJ185" s="51" t="str">
        <f>IF(Migrationsartikel!AD184="ja","true",FALSE)</f>
        <v>true</v>
      </c>
      <c r="AK185" s="51" t="str">
        <f>IF(Migrationsartikel!AE184="ja","true",FALSE)</f>
        <v>true</v>
      </c>
      <c r="AL185" s="51" t="str">
        <f>IF(Migrationsartikel!AF184="ja","Denner Partner","")</f>
        <v/>
      </c>
      <c r="AM185" s="51" t="str">
        <f>IF(Migrationsartikel!AG184="ja","true","false")</f>
        <v>false</v>
      </c>
      <c r="AN185" s="51" t="str">
        <f t="shared" si="3"/>
        <v>Kassentastenbelegung (ohne GTIN/PLU)</v>
      </c>
      <c r="AO185" s="63" t="s">
        <v>219</v>
      </c>
      <c r="AP185" s="62" t="s">
        <v>2612</v>
      </c>
      <c r="AQ185" s="63" t="s">
        <v>217</v>
      </c>
      <c r="AR185" s="30" t="s">
        <v>219</v>
      </c>
    </row>
    <row r="186" spans="2:44" ht="21.75" customHeight="1" x14ac:dyDescent="0.45">
      <c r="B186" s="51" t="s">
        <v>99</v>
      </c>
      <c r="E186" s="52" t="s">
        <v>87</v>
      </c>
      <c r="F186" s="51" t="str">
        <f>"Warengruppe&gt;&gt;"&amp;_xlfn.TEXTJOIN("&gt;&gt;",TRUE,Migrationsartikel!V185:X185)</f>
        <v>Warengruppe&gt;&gt;Früchte und Gemüse&gt;&gt;Früchte und Gemüse&gt;&gt;Gemüse</v>
      </c>
      <c r="H186" s="52" t="s">
        <v>109</v>
      </c>
      <c r="J186" s="51" t="str">
        <f>_xlfn.TEXTJOIN(" ",TRUE,Migrationsartikel!B185,Migrationsartikel!E185)</f>
        <v>2292481000008</v>
      </c>
      <c r="L186" s="51" t="str">
        <f>_xlfn.TEXTJOIN(" ",TRUE,Migrationsartikel!F185:H185)</f>
        <v>Bio Eisbergsalat 1Stk</v>
      </c>
      <c r="M186" s="51" t="str">
        <f>_xlfn.TEXTJOIN(" ",TRUE,Migrationsartikel!J185:L185)</f>
        <v>Bio Laitue iceberg 1pce</v>
      </c>
      <c r="N186" s="51" t="str">
        <f>_xlfn.TEXTJOIN(" ",TRUE,Migrationsartikel!N185:P185)</f>
        <v>Bio Lattuga iceberg 1pz</v>
      </c>
      <c r="O186" s="51" t="str">
        <f>Migrationsartikel!F185</f>
        <v>Bio Eisbergsalat</v>
      </c>
      <c r="P186" s="51" t="str">
        <f>Migrationsartikel!J185</f>
        <v>Bio Laitue iceberg</v>
      </c>
      <c r="Q186" s="51" t="str">
        <f>Migrationsartikel!N185</f>
        <v>Bio Lattuga iceberg</v>
      </c>
      <c r="R186" s="51" t="str">
        <f>_xlfn.TEXTJOIN(" ",TRUE,Migrationsartikel!G185)</f>
        <v/>
      </c>
      <c r="S186" s="51" t="str">
        <f>_xlfn.TEXTJOIN(" ",TRUE,Migrationsartikel!K185)</f>
        <v/>
      </c>
      <c r="T186" s="51" t="str">
        <f>_xlfn.TEXTJOIN(" ",TRUE,Migrationsartikel!O185)</f>
        <v/>
      </c>
      <c r="U186" s="51" t="str">
        <f>_xlfn.TEXTJOIN(" ",TRUE,Migrationsartikel!H185)</f>
        <v>1Stk</v>
      </c>
      <c r="V186" s="51" t="str">
        <f>_xlfn.TEXTJOIN(" ",TRUE,Migrationsartikel!L185)</f>
        <v>1pce</v>
      </c>
      <c r="W186" s="51" t="str">
        <f>_xlfn.TEXTJOIN(" ",TRUE,Migrationsartikel!P185)</f>
        <v>1pz</v>
      </c>
      <c r="X186" s="51" t="str">
        <f>Migrationsartikel!I185</f>
        <v>Bio Eisbergsalat</v>
      </c>
      <c r="Y186" s="51" t="str">
        <f>Migrationsartikel!M185</f>
        <v>Bio Laitue iceberg 1 pce</v>
      </c>
      <c r="Z186" s="51" t="str">
        <f>Migrationsartikel!Q185</f>
        <v>Bio Lattuga iceberg 1 pz</v>
      </c>
      <c r="AA186" s="60">
        <f>Migrationsartikel!R185</f>
        <v>1</v>
      </c>
      <c r="AB186" s="51" t="str">
        <f>Migrationsartikel!T185</f>
        <v>Stück</v>
      </c>
      <c r="AC186" s="62">
        <f>Migrationsartikel!S185</f>
        <v>1</v>
      </c>
      <c r="AD186" s="51" t="str">
        <f>Migrationsartikel!U185</f>
        <v>(PCE) Stück</v>
      </c>
      <c r="AE186" s="95" t="str">
        <f>Migrationsartikel!Y185</f>
        <v>3 - Reduzierter Satz</v>
      </c>
      <c r="AF186" s="64" t="str">
        <f>IF(Migrationsartikel!AA185="Kein Depotartikel","",Migrationsartikel!AA185)</f>
        <v/>
      </c>
      <c r="AG186" s="95" t="str">
        <f>Migrationsartikel!Z185</f>
        <v>Keine</v>
      </c>
      <c r="AH186" s="51" t="str">
        <f>IF(Migrationsartikel!AB185="ja","true",FALSE)</f>
        <v>true</v>
      </c>
      <c r="AI186" s="51" t="str">
        <f>IF(Migrationsartikel!AC185="ja","true",FALSE)</f>
        <v>true</v>
      </c>
      <c r="AJ186" s="51" t="str">
        <f>IF(Migrationsartikel!AD185="ja","true",FALSE)</f>
        <v>true</v>
      </c>
      <c r="AK186" s="51" t="str">
        <f>IF(Migrationsartikel!AE185="ja","true",FALSE)</f>
        <v>true</v>
      </c>
      <c r="AL186" s="51" t="str">
        <f>IF(Migrationsartikel!AF185="ja","Denner Partner","")</f>
        <v/>
      </c>
      <c r="AM186" s="51" t="str">
        <f>IF(Migrationsartikel!AG185="ja","true","false")</f>
        <v>false</v>
      </c>
      <c r="AN186" s="51" t="str">
        <f t="shared" si="3"/>
        <v>Kassentastenbelegung (ohne GTIN/PLU)</v>
      </c>
      <c r="AO186" s="63" t="s">
        <v>219</v>
      </c>
      <c r="AP186" s="62" t="s">
        <v>2613</v>
      </c>
      <c r="AQ186" s="63" t="s">
        <v>217</v>
      </c>
      <c r="AR186" s="30" t="s">
        <v>219</v>
      </c>
    </row>
    <row r="187" spans="2:44" ht="21.75" customHeight="1" x14ac:dyDescent="0.45">
      <c r="B187" s="51" t="s">
        <v>99</v>
      </c>
      <c r="E187" s="52" t="s">
        <v>87</v>
      </c>
      <c r="F187" s="51" t="str">
        <f>"Warengruppe&gt;&gt;"&amp;_xlfn.TEXTJOIN("&gt;&gt;",TRUE,Migrationsartikel!V186:X186)</f>
        <v>Warengruppe&gt;&gt;Früchte und Gemüse&gt;&gt;Früchte und Gemüse&gt;&gt;Gemüse</v>
      </c>
      <c r="H187" s="52" t="s">
        <v>109</v>
      </c>
      <c r="J187" s="51" t="str">
        <f>_xlfn.TEXTJOIN(" ",TRUE,Migrationsartikel!B186,Migrationsartikel!E186)</f>
        <v>2203781000000</v>
      </c>
      <c r="L187" s="51" t="str">
        <f>_xlfn.TEXTJOIN(" ",TRUE,Migrationsartikel!F186:H186)</f>
        <v>Eisbergsalat 1Stk</v>
      </c>
      <c r="M187" s="51" t="str">
        <f>_xlfn.TEXTJOIN(" ",TRUE,Migrationsartikel!J186:L186)</f>
        <v>Laitue iceberg 1pce</v>
      </c>
      <c r="N187" s="51" t="str">
        <f>_xlfn.TEXTJOIN(" ",TRUE,Migrationsartikel!N186:P186)</f>
        <v>Lattuga Iceberg 1pz</v>
      </c>
      <c r="O187" s="51" t="str">
        <f>Migrationsartikel!F186</f>
        <v>Eisbergsalat</v>
      </c>
      <c r="P187" s="51" t="str">
        <f>Migrationsartikel!J186</f>
        <v>Laitue iceberg</v>
      </c>
      <c r="Q187" s="51" t="str">
        <f>Migrationsartikel!N186</f>
        <v>Lattuga Iceberg</v>
      </c>
      <c r="R187" s="51" t="str">
        <f>_xlfn.TEXTJOIN(" ",TRUE,Migrationsartikel!G186)</f>
        <v/>
      </c>
      <c r="S187" s="51" t="str">
        <f>_xlfn.TEXTJOIN(" ",TRUE,Migrationsartikel!K186)</f>
        <v/>
      </c>
      <c r="T187" s="51" t="str">
        <f>_xlfn.TEXTJOIN(" ",TRUE,Migrationsartikel!O186)</f>
        <v/>
      </c>
      <c r="U187" s="51" t="str">
        <f>_xlfn.TEXTJOIN(" ",TRUE,Migrationsartikel!H186)</f>
        <v>1Stk</v>
      </c>
      <c r="V187" s="51" t="str">
        <f>_xlfn.TEXTJOIN(" ",TRUE,Migrationsartikel!L186)</f>
        <v>1pce</v>
      </c>
      <c r="W187" s="51" t="str">
        <f>_xlfn.TEXTJOIN(" ",TRUE,Migrationsartikel!P186)</f>
        <v>1pz</v>
      </c>
      <c r="X187" s="51" t="str">
        <f>Migrationsartikel!I186</f>
        <v>Eisbergsalat 1 Stk</v>
      </c>
      <c r="Y187" s="51" t="str">
        <f>Migrationsartikel!M186</f>
        <v>Laitue iceberg 1 pce</v>
      </c>
      <c r="Z187" s="51" t="str">
        <f>Migrationsartikel!Q186</f>
        <v>Lattuga Iceberg 1 pz</v>
      </c>
      <c r="AA187" s="60">
        <f>Migrationsartikel!R186</f>
        <v>1</v>
      </c>
      <c r="AB187" s="51" t="str">
        <f>Migrationsartikel!T186</f>
        <v>Stück</v>
      </c>
      <c r="AC187" s="62">
        <f>Migrationsartikel!S186</f>
        <v>1</v>
      </c>
      <c r="AD187" s="51" t="str">
        <f>Migrationsartikel!U186</f>
        <v>(PCE) Stück</v>
      </c>
      <c r="AE187" s="95" t="str">
        <f>Migrationsartikel!Y186</f>
        <v>3 - Reduzierter Satz</v>
      </c>
      <c r="AF187" s="64" t="str">
        <f>IF(Migrationsartikel!AA186="Kein Depotartikel","",Migrationsartikel!AA186)</f>
        <v/>
      </c>
      <c r="AG187" s="95" t="str">
        <f>Migrationsartikel!Z186</f>
        <v>Keine</v>
      </c>
      <c r="AH187" s="51" t="str">
        <f>IF(Migrationsartikel!AB186="ja","true",FALSE)</f>
        <v>true</v>
      </c>
      <c r="AI187" s="51" t="str">
        <f>IF(Migrationsartikel!AC186="ja","true",FALSE)</f>
        <v>true</v>
      </c>
      <c r="AJ187" s="51" t="str">
        <f>IF(Migrationsartikel!AD186="ja","true",FALSE)</f>
        <v>true</v>
      </c>
      <c r="AK187" s="51" t="str">
        <f>IF(Migrationsartikel!AE186="ja","true",FALSE)</f>
        <v>true</v>
      </c>
      <c r="AL187" s="51" t="str">
        <f>IF(Migrationsartikel!AF186="ja","Denner Partner","")</f>
        <v/>
      </c>
      <c r="AM187" s="51" t="str">
        <f>IF(Migrationsartikel!AG186="ja","true","false")</f>
        <v>false</v>
      </c>
      <c r="AN187" s="51" t="str">
        <f t="shared" si="3"/>
        <v>Kassentastenbelegung (ohne GTIN/PLU)</v>
      </c>
      <c r="AO187" s="63" t="s">
        <v>219</v>
      </c>
      <c r="AP187" s="62" t="s">
        <v>2614</v>
      </c>
      <c r="AQ187" s="63" t="s">
        <v>217</v>
      </c>
      <c r="AR187" s="30" t="s">
        <v>219</v>
      </c>
    </row>
    <row r="188" spans="2:44" ht="21.75" customHeight="1" x14ac:dyDescent="0.45">
      <c r="B188" s="51" t="s">
        <v>99</v>
      </c>
      <c r="E188" s="52" t="s">
        <v>87</v>
      </c>
      <c r="F188" s="51" t="str">
        <f>"Warengruppe&gt;&gt;"&amp;_xlfn.TEXTJOIN("&gt;&gt;",TRUE,Migrationsartikel!V187:X187)</f>
        <v>Warengruppe&gt;&gt;Früchte und Gemüse&gt;&gt;Früchte und Gemüse&gt;&gt;Gemüse</v>
      </c>
      <c r="H188" s="52" t="s">
        <v>109</v>
      </c>
      <c r="J188" s="51" t="str">
        <f>_xlfn.TEXTJOIN(" ",TRUE,Migrationsartikel!B187,Migrationsartikel!E187)</f>
        <v>2215824000008</v>
      </c>
      <c r="L188" s="51" t="str">
        <f>_xlfn.TEXTJOIN(" ",TRUE,Migrationsartikel!F187:H187)</f>
        <v>Endiviensalat Lavata 1Stk</v>
      </c>
      <c r="M188" s="51" t="str">
        <f>_xlfn.TEXTJOIN(" ",TRUE,Migrationsartikel!J187:L187)</f>
        <v>Endives Lavata 1pce</v>
      </c>
      <c r="N188" s="51" t="str">
        <f>_xlfn.TEXTJOIN(" ",TRUE,Migrationsartikel!N187:P187)</f>
        <v>Indivia lavata 1pz</v>
      </c>
      <c r="O188" s="51" t="str">
        <f>Migrationsartikel!F187</f>
        <v>Endiviensalat</v>
      </c>
      <c r="P188" s="51" t="str">
        <f>Migrationsartikel!J187</f>
        <v>Endives</v>
      </c>
      <c r="Q188" s="51" t="str">
        <f>Migrationsartikel!N187</f>
        <v>Indivia</v>
      </c>
      <c r="R188" s="51" t="str">
        <f>_xlfn.TEXTJOIN(" ",TRUE,Migrationsartikel!G187)</f>
        <v>Lavata</v>
      </c>
      <c r="S188" s="51" t="str">
        <f>_xlfn.TEXTJOIN(" ",TRUE,Migrationsartikel!K187)</f>
        <v>Lavata</v>
      </c>
      <c r="T188" s="51" t="str">
        <f>_xlfn.TEXTJOIN(" ",TRUE,Migrationsartikel!O187)</f>
        <v>lavata</v>
      </c>
      <c r="U188" s="51" t="str">
        <f>_xlfn.TEXTJOIN(" ",TRUE,Migrationsartikel!H187)</f>
        <v>1Stk</v>
      </c>
      <c r="V188" s="51" t="str">
        <f>_xlfn.TEXTJOIN(" ",TRUE,Migrationsartikel!L187)</f>
        <v>1pce</v>
      </c>
      <c r="W188" s="51" t="str">
        <f>_xlfn.TEXTJOIN(" ",TRUE,Migrationsartikel!P187)</f>
        <v>1pz</v>
      </c>
      <c r="X188" s="51" t="str">
        <f>Migrationsartikel!I187</f>
        <v>Endiviensalat Lavata 1 Stk</v>
      </c>
      <c r="Y188" s="51" t="str">
        <f>Migrationsartikel!M187</f>
        <v>Endives Lavata 1 pce</v>
      </c>
      <c r="Z188" s="51" t="str">
        <f>Migrationsartikel!Q187</f>
        <v>Indivia lavata 1 pz</v>
      </c>
      <c r="AA188" s="60">
        <f>Migrationsartikel!R187</f>
        <v>1</v>
      </c>
      <c r="AB188" s="51" t="str">
        <f>Migrationsartikel!T187</f>
        <v>Stück</v>
      </c>
      <c r="AC188" s="62">
        <f>Migrationsartikel!S187</f>
        <v>1</v>
      </c>
      <c r="AD188" s="51" t="str">
        <f>Migrationsartikel!U187</f>
        <v>(PCE) Stück</v>
      </c>
      <c r="AE188" s="95" t="str">
        <f>Migrationsartikel!Y187</f>
        <v>3 - Reduzierter Satz</v>
      </c>
      <c r="AF188" s="64" t="str">
        <f>IF(Migrationsartikel!AA187="Kein Depotartikel","",Migrationsartikel!AA187)</f>
        <v/>
      </c>
      <c r="AG188" s="95" t="str">
        <f>Migrationsartikel!Z187</f>
        <v>Keine</v>
      </c>
      <c r="AH188" s="51" t="str">
        <f>IF(Migrationsartikel!AB187="ja","true",FALSE)</f>
        <v>true</v>
      </c>
      <c r="AI188" s="51" t="str">
        <f>IF(Migrationsartikel!AC187="ja","true",FALSE)</f>
        <v>true</v>
      </c>
      <c r="AJ188" s="51" t="str">
        <f>IF(Migrationsartikel!AD187="ja","true",FALSE)</f>
        <v>true</v>
      </c>
      <c r="AK188" s="51" t="str">
        <f>IF(Migrationsartikel!AE187="ja","true",FALSE)</f>
        <v>true</v>
      </c>
      <c r="AL188" s="51" t="str">
        <f>IF(Migrationsartikel!AF187="ja","Denner Partner","")</f>
        <v/>
      </c>
      <c r="AM188" s="51" t="str">
        <f>IF(Migrationsartikel!AG187="ja","true","false")</f>
        <v>false</v>
      </c>
      <c r="AN188" s="51" t="str">
        <f t="shared" si="3"/>
        <v>Kassentastenbelegung (ohne GTIN/PLU)</v>
      </c>
      <c r="AO188" s="63" t="s">
        <v>219</v>
      </c>
      <c r="AP188" s="62" t="s">
        <v>2615</v>
      </c>
      <c r="AQ188" s="63" t="s">
        <v>217</v>
      </c>
      <c r="AR188" s="30" t="s">
        <v>219</v>
      </c>
    </row>
    <row r="189" spans="2:44" ht="21.75" customHeight="1" x14ac:dyDescent="0.45">
      <c r="B189" s="51" t="s">
        <v>99</v>
      </c>
      <c r="E189" s="52" t="s">
        <v>87</v>
      </c>
      <c r="F189" s="51" t="str">
        <f>"Warengruppe&gt;&gt;"&amp;_xlfn.TEXTJOIN("&gt;&gt;",TRUE,Migrationsartikel!V188:X188)</f>
        <v>Warengruppe&gt;&gt;Früchte und Gemüse&gt;&gt;Früchte und Gemüse&gt;&gt;Gemüse</v>
      </c>
      <c r="H189" s="52" t="s">
        <v>109</v>
      </c>
      <c r="J189" s="51" t="str">
        <f>_xlfn.TEXTJOIN(" ",TRUE,Migrationsartikel!B188,Migrationsartikel!E188)</f>
        <v>2215821000001</v>
      </c>
      <c r="L189" s="51" t="str">
        <f>_xlfn.TEXTJOIN(" ",TRUE,Migrationsartikel!F188:H188)</f>
        <v>Endiviensalat 1Stk</v>
      </c>
      <c r="M189" s="51" t="str">
        <f>_xlfn.TEXTJOIN(" ",TRUE,Migrationsartikel!J188:L188)</f>
        <v>Endives 1pce</v>
      </c>
      <c r="N189" s="51" t="str">
        <f>_xlfn.TEXTJOIN(" ",TRUE,Migrationsartikel!N188:P188)</f>
        <v>Indivia 1pz</v>
      </c>
      <c r="O189" s="51" t="str">
        <f>Migrationsartikel!F188</f>
        <v>Endiviensalat</v>
      </c>
      <c r="P189" s="51" t="str">
        <f>Migrationsartikel!J188</f>
        <v>Endives</v>
      </c>
      <c r="Q189" s="51" t="str">
        <f>Migrationsartikel!N188</f>
        <v>Indivia</v>
      </c>
      <c r="R189" s="51" t="str">
        <f>_xlfn.TEXTJOIN(" ",TRUE,Migrationsartikel!G188)</f>
        <v/>
      </c>
      <c r="S189" s="51" t="str">
        <f>_xlfn.TEXTJOIN(" ",TRUE,Migrationsartikel!K188)</f>
        <v/>
      </c>
      <c r="T189" s="51" t="str">
        <f>_xlfn.TEXTJOIN(" ",TRUE,Migrationsartikel!O188)</f>
        <v/>
      </c>
      <c r="U189" s="51" t="str">
        <f>_xlfn.TEXTJOIN(" ",TRUE,Migrationsartikel!H188)</f>
        <v>1Stk</v>
      </c>
      <c r="V189" s="51" t="str">
        <f>_xlfn.TEXTJOIN(" ",TRUE,Migrationsartikel!L188)</f>
        <v>1pce</v>
      </c>
      <c r="W189" s="51" t="str">
        <f>_xlfn.TEXTJOIN(" ",TRUE,Migrationsartikel!P188)</f>
        <v>1pz</v>
      </c>
      <c r="X189" s="51" t="str">
        <f>Migrationsartikel!I188</f>
        <v>Endiviensalat 1 Stk</v>
      </c>
      <c r="Y189" s="51" t="str">
        <f>Migrationsartikel!M188</f>
        <v>Endives 1 pce</v>
      </c>
      <c r="Z189" s="51" t="str">
        <f>Migrationsartikel!Q188</f>
        <v>Indivia 1 pz</v>
      </c>
      <c r="AA189" s="60">
        <f>Migrationsartikel!R188</f>
        <v>1</v>
      </c>
      <c r="AB189" s="51" t="str">
        <f>Migrationsartikel!T188</f>
        <v>Stück</v>
      </c>
      <c r="AC189" s="62">
        <f>Migrationsartikel!S188</f>
        <v>1</v>
      </c>
      <c r="AD189" s="51" t="str">
        <f>Migrationsartikel!U188</f>
        <v>(PCE) Stück</v>
      </c>
      <c r="AE189" s="95" t="str">
        <f>Migrationsartikel!Y188</f>
        <v>3 - Reduzierter Satz</v>
      </c>
      <c r="AF189" s="64" t="str">
        <f>IF(Migrationsartikel!AA188="Kein Depotartikel","",Migrationsartikel!AA188)</f>
        <v/>
      </c>
      <c r="AG189" s="95" t="str">
        <f>Migrationsartikel!Z188</f>
        <v>Keine</v>
      </c>
      <c r="AH189" s="51" t="str">
        <f>IF(Migrationsartikel!AB188="ja","true",FALSE)</f>
        <v>true</v>
      </c>
      <c r="AI189" s="51" t="str">
        <f>IF(Migrationsartikel!AC188="ja","true",FALSE)</f>
        <v>true</v>
      </c>
      <c r="AJ189" s="51" t="str">
        <f>IF(Migrationsartikel!AD188="ja","true",FALSE)</f>
        <v>true</v>
      </c>
      <c r="AK189" s="51" t="str">
        <f>IF(Migrationsartikel!AE188="ja","true",FALSE)</f>
        <v>true</v>
      </c>
      <c r="AL189" s="51" t="str">
        <f>IF(Migrationsartikel!AF188="ja","Denner Partner","")</f>
        <v/>
      </c>
      <c r="AM189" s="51" t="str">
        <f>IF(Migrationsartikel!AG188="ja","true","false")</f>
        <v>false</v>
      </c>
      <c r="AN189" s="51" t="str">
        <f t="shared" si="3"/>
        <v>Kassentastenbelegung (ohne GTIN/PLU)</v>
      </c>
      <c r="AO189" s="63" t="s">
        <v>219</v>
      </c>
      <c r="AP189" s="62" t="s">
        <v>2616</v>
      </c>
      <c r="AQ189" s="63" t="s">
        <v>217</v>
      </c>
      <c r="AR189" s="30" t="s">
        <v>219</v>
      </c>
    </row>
    <row r="190" spans="2:44" ht="21.75" customHeight="1" x14ac:dyDescent="0.45">
      <c r="B190" s="51" t="s">
        <v>99</v>
      </c>
      <c r="E190" s="52" t="s">
        <v>87</v>
      </c>
      <c r="F190" s="51" t="str">
        <f>"Warengruppe&gt;&gt;"&amp;_xlfn.TEXTJOIN("&gt;&gt;",TRUE,Migrationsartikel!V189:X189)</f>
        <v>Warengruppe&gt;&gt;Früchte und Gemüse&gt;&gt;Früchte und Gemüse&gt;&gt;Gemüse</v>
      </c>
      <c r="H190" s="52" t="s">
        <v>109</v>
      </c>
      <c r="J190" s="51" t="str">
        <f>_xlfn.TEXTJOIN(" ",TRUE,Migrationsartikel!B189,Migrationsartikel!E189)</f>
        <v>7613399040729</v>
      </c>
      <c r="L190" s="51" t="str">
        <f>_xlfn.TEXTJOIN(" ",TRUE,Migrationsartikel!F189:H189)</f>
        <v>Estragon Schale 20g</v>
      </c>
      <c r="M190" s="51" t="str">
        <f>_xlfn.TEXTJOIN(" ",TRUE,Migrationsartikel!J189:L189)</f>
        <v>Estragon Barquette 20g</v>
      </c>
      <c r="N190" s="51" t="str">
        <f>_xlfn.TEXTJOIN(" ",TRUE,Migrationsartikel!N189:P189)</f>
        <v>Dragoncello vaschetta 20g</v>
      </c>
      <c r="O190" s="51" t="str">
        <f>Migrationsartikel!F189</f>
        <v>Estragon</v>
      </c>
      <c r="P190" s="51" t="str">
        <f>Migrationsartikel!J189</f>
        <v>Estragon</v>
      </c>
      <c r="Q190" s="51" t="str">
        <f>Migrationsartikel!N189</f>
        <v>Dragoncello</v>
      </c>
      <c r="R190" s="51" t="str">
        <f>_xlfn.TEXTJOIN(" ",TRUE,Migrationsartikel!G189)</f>
        <v>Schale</v>
      </c>
      <c r="S190" s="51" t="str">
        <f>_xlfn.TEXTJOIN(" ",TRUE,Migrationsartikel!K189)</f>
        <v>Barquette</v>
      </c>
      <c r="T190" s="51" t="str">
        <f>_xlfn.TEXTJOIN(" ",TRUE,Migrationsartikel!O189)</f>
        <v>vaschetta</v>
      </c>
      <c r="U190" s="51" t="str">
        <f>_xlfn.TEXTJOIN(" ",TRUE,Migrationsartikel!H189)</f>
        <v>20g</v>
      </c>
      <c r="V190" s="51" t="str">
        <f>_xlfn.TEXTJOIN(" ",TRUE,Migrationsartikel!L189)</f>
        <v>20g</v>
      </c>
      <c r="W190" s="51" t="str">
        <f>_xlfn.TEXTJOIN(" ",TRUE,Migrationsartikel!P189)</f>
        <v>20g</v>
      </c>
      <c r="X190" s="51" t="str">
        <f>Migrationsartikel!I189</f>
        <v>Estragon Schale 20g</v>
      </c>
      <c r="Y190" s="51" t="str">
        <f>Migrationsartikel!M189</f>
        <v>Estragon barquette 20g</v>
      </c>
      <c r="Z190" s="51" t="str">
        <f>Migrationsartikel!Q189</f>
        <v>Dragoncello vaschetto 20g</v>
      </c>
      <c r="AA190" s="60">
        <f>Migrationsartikel!R189</f>
        <v>0.02</v>
      </c>
      <c r="AB190" s="51" t="str">
        <f>Migrationsartikel!T189</f>
        <v>Gramm</v>
      </c>
      <c r="AC190" s="62">
        <f>Migrationsartikel!S189</f>
        <v>100</v>
      </c>
      <c r="AD190" s="51" t="str">
        <f>Migrationsartikel!U189</f>
        <v>(PCE) Stück</v>
      </c>
      <c r="AE190" s="95" t="str">
        <f>Migrationsartikel!Y189</f>
        <v>3 - Reduzierter Satz</v>
      </c>
      <c r="AF190" s="64" t="str">
        <f>IF(Migrationsartikel!AA189="Kein Depotartikel","",Migrationsartikel!AA189)</f>
        <v/>
      </c>
      <c r="AG190" s="95" t="str">
        <f>Migrationsartikel!Z189</f>
        <v>Keine</v>
      </c>
      <c r="AH190" s="51" t="str">
        <f>IF(Migrationsartikel!AB189="ja","true",FALSE)</f>
        <v>true</v>
      </c>
      <c r="AI190" s="51" t="str">
        <f>IF(Migrationsartikel!AC189="ja","true",FALSE)</f>
        <v>true</v>
      </c>
      <c r="AJ190" s="51" t="str">
        <f>IF(Migrationsartikel!AD189="ja","true",FALSE)</f>
        <v>true</v>
      </c>
      <c r="AK190" s="51" t="str">
        <f>IF(Migrationsartikel!AE189="ja","true",FALSE)</f>
        <v>true</v>
      </c>
      <c r="AL190" s="51" t="str">
        <f>IF(Migrationsartikel!AF189="ja","Denner Partner","")</f>
        <v/>
      </c>
      <c r="AM190" s="51" t="str">
        <f>IF(Migrationsartikel!AG189="ja","true","false")</f>
        <v>false</v>
      </c>
      <c r="AN190" s="51" t="str">
        <f t="shared" si="3"/>
        <v>Kassentastenbelegung (ohne GTIN/PLU)</v>
      </c>
      <c r="AO190" s="63" t="s">
        <v>219</v>
      </c>
      <c r="AP190" s="62" t="s">
        <v>2617</v>
      </c>
      <c r="AQ190" s="63" t="s">
        <v>217</v>
      </c>
      <c r="AR190" s="30" t="s">
        <v>219</v>
      </c>
    </row>
    <row r="191" spans="2:44" ht="21.75" customHeight="1" x14ac:dyDescent="0.45">
      <c r="B191" s="51" t="s">
        <v>99</v>
      </c>
      <c r="E191" s="52" t="s">
        <v>87</v>
      </c>
      <c r="F191" s="51" t="str">
        <f>"Warengruppe&gt;&gt;"&amp;_xlfn.TEXTJOIN("&gt;&gt;",TRUE,Migrationsartikel!V190:X190)</f>
        <v>Warengruppe&gt;&gt;Früchte und Gemüse&gt;&gt;Früchte und Gemüse&gt;&gt;Gemüse</v>
      </c>
      <c r="H191" s="52" t="s">
        <v>109</v>
      </c>
      <c r="J191" s="51" t="str">
        <f>_xlfn.TEXTJOIN(" ",TRUE,Migrationsartikel!B190,Migrationsartikel!E190)</f>
        <v>2213931000003</v>
      </c>
      <c r="L191" s="51" t="str">
        <f>_xlfn.TEXTJOIN(" ",TRUE,Migrationsartikel!F190:H190)</f>
        <v>Bio Federkohl Beutel ca. 300g</v>
      </c>
      <c r="M191" s="51" t="str">
        <f>_xlfn.TEXTJOIN(" ",TRUE,Migrationsartikel!J190:L190)</f>
        <v>Bio Chou frisé Sachet env. 300g</v>
      </c>
      <c r="N191" s="51" t="str">
        <f>_xlfn.TEXTJOIN(" ",TRUE,Migrationsartikel!N190:P190)</f>
        <v>Bio Cavolo riccio sacchetto ca. 300g</v>
      </c>
      <c r="O191" s="51" t="str">
        <f>Migrationsartikel!F190</f>
        <v>Bio Federkohl</v>
      </c>
      <c r="P191" s="51" t="str">
        <f>Migrationsartikel!J190</f>
        <v>Bio Chou frisé</v>
      </c>
      <c r="Q191" s="51" t="str">
        <f>Migrationsartikel!N190</f>
        <v>Bio Cavolo riccio</v>
      </c>
      <c r="R191" s="51" t="str">
        <f>_xlfn.TEXTJOIN(" ",TRUE,Migrationsartikel!G190)</f>
        <v>Beutel</v>
      </c>
      <c r="S191" s="51" t="str">
        <f>_xlfn.TEXTJOIN(" ",TRUE,Migrationsartikel!K190)</f>
        <v>Sachet</v>
      </c>
      <c r="T191" s="51" t="str">
        <f>_xlfn.TEXTJOIN(" ",TRUE,Migrationsartikel!O190)</f>
        <v>sacchetto</v>
      </c>
      <c r="U191" s="51" t="str">
        <f>_xlfn.TEXTJOIN(" ",TRUE,Migrationsartikel!H190)</f>
        <v>ca. 300g</v>
      </c>
      <c r="V191" s="51" t="str">
        <f>_xlfn.TEXTJOIN(" ",TRUE,Migrationsartikel!L190)</f>
        <v>env. 300g</v>
      </c>
      <c r="W191" s="51" t="str">
        <f>_xlfn.TEXTJOIN(" ",TRUE,Migrationsartikel!P190)</f>
        <v>ca. 300g</v>
      </c>
      <c r="X191" s="51" t="str">
        <f>Migrationsartikel!I190</f>
        <v>Bio Federkohl Beutel ca 300g</v>
      </c>
      <c r="Y191" s="51" t="str">
        <f>Migrationsartikel!M190</f>
        <v>Bio Chou frisé env. 300g</v>
      </c>
      <c r="Z191" s="51" t="str">
        <f>Migrationsartikel!Q190</f>
        <v>Bio Cavolo riccio ca. 300g</v>
      </c>
      <c r="AA191" s="60">
        <f>Migrationsartikel!R190</f>
        <v>0.3</v>
      </c>
      <c r="AB191" s="51" t="str">
        <f>Migrationsartikel!T190</f>
        <v>Kilogramm</v>
      </c>
      <c r="AC191" s="62">
        <f>Migrationsartikel!S190</f>
        <v>1</v>
      </c>
      <c r="AD191" s="51" t="str">
        <f>Migrationsartikel!U190</f>
        <v>(PCE) Stück</v>
      </c>
      <c r="AE191" s="95" t="str">
        <f>Migrationsartikel!Y190</f>
        <v>3 - Reduzierter Satz</v>
      </c>
      <c r="AF191" s="64" t="str">
        <f>IF(Migrationsartikel!AA190="Kein Depotartikel","",Migrationsartikel!AA190)</f>
        <v/>
      </c>
      <c r="AG191" s="95" t="str">
        <f>Migrationsartikel!Z190</f>
        <v>Keine</v>
      </c>
      <c r="AH191" s="51" t="str">
        <f>IF(Migrationsartikel!AB190="ja","true",FALSE)</f>
        <v>true</v>
      </c>
      <c r="AI191" s="51" t="str">
        <f>IF(Migrationsartikel!AC190="ja","true",FALSE)</f>
        <v>true</v>
      </c>
      <c r="AJ191" s="51" t="str">
        <f>IF(Migrationsartikel!AD190="ja","true",FALSE)</f>
        <v>true</v>
      </c>
      <c r="AK191" s="51" t="str">
        <f>IF(Migrationsartikel!AE190="ja","true",FALSE)</f>
        <v>true</v>
      </c>
      <c r="AL191" s="51" t="str">
        <f>IF(Migrationsartikel!AF190="ja","Denner Partner","")</f>
        <v/>
      </c>
      <c r="AM191" s="51" t="str">
        <f>IF(Migrationsartikel!AG190="ja","true","false")</f>
        <v>false</v>
      </c>
      <c r="AN191" s="51" t="str">
        <f t="shared" si="3"/>
        <v>Kassentastenbelegung (ohne GTIN/PLU)</v>
      </c>
      <c r="AO191" s="63" t="s">
        <v>219</v>
      </c>
      <c r="AP191" s="62" t="s">
        <v>2618</v>
      </c>
      <c r="AQ191" s="63" t="s">
        <v>217</v>
      </c>
      <c r="AR191" s="30" t="s">
        <v>219</v>
      </c>
    </row>
    <row r="192" spans="2:44" ht="21.75" customHeight="1" x14ac:dyDescent="0.45">
      <c r="B192" s="51" t="s">
        <v>99</v>
      </c>
      <c r="E192" s="52" t="s">
        <v>87</v>
      </c>
      <c r="F192" s="51" t="str">
        <f>"Warengruppe&gt;&gt;"&amp;_xlfn.TEXTJOIN("&gt;&gt;",TRUE,Migrationsartikel!V191:X191)</f>
        <v>Warengruppe&gt;&gt;Früchte und Gemüse&gt;&gt;Früchte und Gemüse&gt;&gt;Gemüse</v>
      </c>
      <c r="H192" s="52" t="s">
        <v>109</v>
      </c>
      <c r="J192" s="51" t="str">
        <f>_xlfn.TEXTJOIN(" ",TRUE,Migrationsartikel!B191,Migrationsartikel!E191)</f>
        <v>2292491000005</v>
      </c>
      <c r="L192" s="51" t="str">
        <f>_xlfn.TEXTJOIN(" ",TRUE,Migrationsartikel!F191:H191)</f>
        <v>Bio Fenchel gepackt</v>
      </c>
      <c r="M192" s="51" t="str">
        <f>_xlfn.TEXTJOIN(" ",TRUE,Migrationsartikel!J191:L191)</f>
        <v>Bio Fenouil Emballé</v>
      </c>
      <c r="N192" s="51" t="str">
        <f>_xlfn.TEXTJOIN(" ",TRUE,Migrationsartikel!N191:P191)</f>
        <v>Bio Finocchi confezionato</v>
      </c>
      <c r="O192" s="51" t="str">
        <f>Migrationsartikel!F191</f>
        <v>Bio Fenchel</v>
      </c>
      <c r="P192" s="51" t="str">
        <f>Migrationsartikel!J191</f>
        <v>Bio Fenouil</v>
      </c>
      <c r="Q192" s="51" t="str">
        <f>Migrationsartikel!N191</f>
        <v>Bio Finocchi</v>
      </c>
      <c r="R192" s="51" t="str">
        <f>_xlfn.TEXTJOIN(" ",TRUE,Migrationsartikel!G191)</f>
        <v>gepackt</v>
      </c>
      <c r="S192" s="51" t="str">
        <f>_xlfn.TEXTJOIN(" ",TRUE,Migrationsartikel!K191)</f>
        <v>Emballé</v>
      </c>
      <c r="T192" s="51" t="str">
        <f>_xlfn.TEXTJOIN(" ",TRUE,Migrationsartikel!O191)</f>
        <v>confezionato</v>
      </c>
      <c r="U192" s="51" t="str">
        <f>_xlfn.TEXTJOIN(" ",TRUE,Migrationsartikel!H191)</f>
        <v/>
      </c>
      <c r="V192" s="51" t="str">
        <f>_xlfn.TEXTJOIN(" ",TRUE,Migrationsartikel!L191)</f>
        <v/>
      </c>
      <c r="W192" s="51" t="str">
        <f>_xlfn.TEXTJOIN(" ",TRUE,Migrationsartikel!P191)</f>
        <v/>
      </c>
      <c r="X192" s="51" t="str">
        <f>Migrationsartikel!I191</f>
        <v>Bio Fenchel gepackt</v>
      </c>
      <c r="Y192" s="51" t="str">
        <f>Migrationsartikel!M191</f>
        <v>Bio Fenouil emballé</v>
      </c>
      <c r="Z192" s="51" t="str">
        <f>Migrationsartikel!Q191</f>
        <v>Bio Finocchi confezionato</v>
      </c>
      <c r="AA192" s="60">
        <f>Migrationsartikel!R191</f>
        <v>1</v>
      </c>
      <c r="AB192" s="51" t="str">
        <f>Migrationsartikel!T191</f>
        <v>Kilogramm</v>
      </c>
      <c r="AC192" s="62">
        <f>Migrationsartikel!S191</f>
        <v>1</v>
      </c>
      <c r="AD192" s="51" t="str">
        <f>Migrationsartikel!U191</f>
        <v>(PCE) Stück</v>
      </c>
      <c r="AE192" s="95" t="str">
        <f>Migrationsartikel!Y191</f>
        <v>3 - Reduzierter Satz</v>
      </c>
      <c r="AF192" s="64" t="str">
        <f>IF(Migrationsartikel!AA191="Kein Depotartikel","",Migrationsartikel!AA191)</f>
        <v/>
      </c>
      <c r="AG192" s="95" t="str">
        <f>Migrationsartikel!Z191</f>
        <v>Keine</v>
      </c>
      <c r="AH192" s="51" t="str">
        <f>IF(Migrationsartikel!AB191="ja","true",FALSE)</f>
        <v>true</v>
      </c>
      <c r="AI192" s="51" t="str">
        <f>IF(Migrationsartikel!AC191="ja","true",FALSE)</f>
        <v>true</v>
      </c>
      <c r="AJ192" s="51" t="str">
        <f>IF(Migrationsartikel!AD191="ja","true",FALSE)</f>
        <v>true</v>
      </c>
      <c r="AK192" s="51" t="str">
        <f>IF(Migrationsartikel!AE191="ja","true",FALSE)</f>
        <v>true</v>
      </c>
      <c r="AL192" s="51" t="str">
        <f>IF(Migrationsartikel!AF191="ja","Denner Partner","")</f>
        <v/>
      </c>
      <c r="AM192" s="51" t="str">
        <f>IF(Migrationsartikel!AG191="ja","true","false")</f>
        <v>false</v>
      </c>
      <c r="AN192" s="51" t="str">
        <f t="shared" si="3"/>
        <v>Kassentastenbelegung (ohne GTIN/PLU)</v>
      </c>
      <c r="AO192" s="63" t="s">
        <v>219</v>
      </c>
      <c r="AP192" s="62" t="s">
        <v>2619</v>
      </c>
      <c r="AQ192" s="63" t="s">
        <v>217</v>
      </c>
      <c r="AR192" s="30" t="s">
        <v>219</v>
      </c>
    </row>
    <row r="193" spans="2:44" ht="21.75" customHeight="1" x14ac:dyDescent="0.45">
      <c r="B193" s="51" t="s">
        <v>99</v>
      </c>
      <c r="E193" s="52" t="s">
        <v>87</v>
      </c>
      <c r="F193" s="51" t="str">
        <f>"Warengruppe&gt;&gt;"&amp;_xlfn.TEXTJOIN("&gt;&gt;",TRUE,Migrationsartikel!V192:X192)</f>
        <v>Warengruppe&gt;&gt;Früchte und Gemüse&gt;&gt;Früchte und Gemüse&gt;&gt;Gemüse</v>
      </c>
      <c r="H193" s="52" t="s">
        <v>109</v>
      </c>
      <c r="J193" s="51" t="str">
        <f>_xlfn.TEXTJOIN(" ",TRUE,Migrationsartikel!B192,Migrationsartikel!E192)</f>
        <v>7613399000914</v>
      </c>
      <c r="L193" s="51" t="str">
        <f>_xlfn.TEXTJOIN(" ",TRUE,Migrationsartikel!F192:H192)</f>
        <v>Fitness-Salat 200g</v>
      </c>
      <c r="M193" s="51" t="str">
        <f>_xlfn.TEXTJOIN(" ",TRUE,Migrationsartikel!J192:L192)</f>
        <v>Salade fitness 200g</v>
      </c>
      <c r="N193" s="51" t="str">
        <f>_xlfn.TEXTJOIN(" ",TRUE,Migrationsartikel!N192:P192)</f>
        <v>Insalata Fitness 200g</v>
      </c>
      <c r="O193" s="51" t="str">
        <f>Migrationsartikel!F192</f>
        <v>Fitness-Salat</v>
      </c>
      <c r="P193" s="51" t="str">
        <f>Migrationsartikel!J192</f>
        <v>Salade fitness</v>
      </c>
      <c r="Q193" s="51" t="str">
        <f>Migrationsartikel!N192</f>
        <v>Insalata Fitness</v>
      </c>
      <c r="R193" s="51" t="str">
        <f>_xlfn.TEXTJOIN(" ",TRUE,Migrationsartikel!G192)</f>
        <v/>
      </c>
      <c r="S193" s="51" t="str">
        <f>_xlfn.TEXTJOIN(" ",TRUE,Migrationsartikel!K192)</f>
        <v/>
      </c>
      <c r="T193" s="51" t="str">
        <f>_xlfn.TEXTJOIN(" ",TRUE,Migrationsartikel!O192)</f>
        <v/>
      </c>
      <c r="U193" s="51" t="str">
        <f>_xlfn.TEXTJOIN(" ",TRUE,Migrationsartikel!H192)</f>
        <v>200g</v>
      </c>
      <c r="V193" s="51" t="str">
        <f>_xlfn.TEXTJOIN(" ",TRUE,Migrationsartikel!L192)</f>
        <v>200g</v>
      </c>
      <c r="W193" s="51" t="str">
        <f>_xlfn.TEXTJOIN(" ",TRUE,Migrationsartikel!P192)</f>
        <v>200g</v>
      </c>
      <c r="X193" s="51" t="str">
        <f>Migrationsartikel!I192</f>
        <v>Fitness Salat 200g</v>
      </c>
      <c r="Y193" s="51" t="str">
        <f>Migrationsartikel!M192</f>
        <v>Salades fitness</v>
      </c>
      <c r="Z193" s="51" t="str">
        <f>Migrationsartikel!Q192</f>
        <v>Insalata Fitness 200g</v>
      </c>
      <c r="AA193" s="60">
        <f>Migrationsartikel!R192</f>
        <v>0.2</v>
      </c>
      <c r="AB193" s="51" t="str">
        <f>Migrationsartikel!T192</f>
        <v>Gramm</v>
      </c>
      <c r="AC193" s="62">
        <f>Migrationsartikel!S192</f>
        <v>100</v>
      </c>
      <c r="AD193" s="51" t="str">
        <f>Migrationsartikel!U192</f>
        <v>(PCE) Stück</v>
      </c>
      <c r="AE193" s="95" t="str">
        <f>Migrationsartikel!Y192</f>
        <v>3 - Reduzierter Satz</v>
      </c>
      <c r="AF193" s="64" t="str">
        <f>IF(Migrationsartikel!AA192="Kein Depotartikel","",Migrationsartikel!AA192)</f>
        <v/>
      </c>
      <c r="AG193" s="95" t="str">
        <f>Migrationsartikel!Z192</f>
        <v>Keine</v>
      </c>
      <c r="AH193" s="51" t="str">
        <f>IF(Migrationsartikel!AB192="ja","true",FALSE)</f>
        <v>true</v>
      </c>
      <c r="AI193" s="51" t="str">
        <f>IF(Migrationsartikel!AC192="ja","true",FALSE)</f>
        <v>true</v>
      </c>
      <c r="AJ193" s="51" t="str">
        <f>IF(Migrationsartikel!AD192="ja","true",FALSE)</f>
        <v>true</v>
      </c>
      <c r="AK193" s="51" t="str">
        <f>IF(Migrationsartikel!AE192="ja","true",FALSE)</f>
        <v>true</v>
      </c>
      <c r="AL193" s="51" t="str">
        <f>IF(Migrationsartikel!AF192="ja","Denner Partner","")</f>
        <v/>
      </c>
      <c r="AM193" s="51" t="str">
        <f>IF(Migrationsartikel!AG192="ja","true","false")</f>
        <v>false</v>
      </c>
      <c r="AN193" s="51" t="str">
        <f t="shared" si="3"/>
        <v>Kassentastenbelegung (ohne GTIN/PLU)</v>
      </c>
      <c r="AO193" s="63" t="s">
        <v>219</v>
      </c>
      <c r="AP193" s="62" t="s">
        <v>2620</v>
      </c>
      <c r="AQ193" s="63" t="s">
        <v>217</v>
      </c>
      <c r="AR193" s="30" t="s">
        <v>219</v>
      </c>
    </row>
    <row r="194" spans="2:44" ht="21.75" customHeight="1" x14ac:dyDescent="0.45">
      <c r="B194" s="51" t="s">
        <v>99</v>
      </c>
      <c r="E194" s="52" t="s">
        <v>87</v>
      </c>
      <c r="F194" s="51" t="str">
        <f>"Warengruppe&gt;&gt;"&amp;_xlfn.TEXTJOIN("&gt;&gt;",TRUE,Migrationsartikel!V193:X193)</f>
        <v>Warengruppe&gt;&gt;Früchte und Gemüse&gt;&gt;Früchte und Gemüse&gt;&gt;Gemüse</v>
      </c>
      <c r="H194" s="52" t="s">
        <v>109</v>
      </c>
      <c r="J194" s="51" t="str">
        <f>_xlfn.TEXTJOIN(" ",TRUE,Migrationsartikel!B193,Migrationsartikel!E193)</f>
        <v>2203323000000</v>
      </c>
      <c r="L194" s="51" t="str">
        <f>_xlfn.TEXTJOIN(" ",TRUE,Migrationsartikel!F193:H193)</f>
        <v>Bio Kartoffeln früh 1kg</v>
      </c>
      <c r="M194" s="51" t="str">
        <f>_xlfn.TEXTJOIN(" ",TRUE,Migrationsartikel!J193:L193)</f>
        <v>Bio Pommes de terre nouveau 1kg</v>
      </c>
      <c r="N194" s="51" t="str">
        <f>_xlfn.TEXTJOIN(" ",TRUE,Migrationsartikel!N193:P193)</f>
        <v>Bio Patate novelle 1kg</v>
      </c>
      <c r="O194" s="51" t="str">
        <f>Migrationsartikel!F193</f>
        <v>Bio Kartoffeln früh</v>
      </c>
      <c r="P194" s="51" t="str">
        <f>Migrationsartikel!J193</f>
        <v>Bio Pommes de terre</v>
      </c>
      <c r="Q194" s="51" t="str">
        <f>Migrationsartikel!N193</f>
        <v>Bio Patate novelle</v>
      </c>
      <c r="R194" s="51" t="str">
        <f>_xlfn.TEXTJOIN(" ",TRUE,Migrationsartikel!G193)</f>
        <v/>
      </c>
      <c r="S194" s="51" t="str">
        <f>_xlfn.TEXTJOIN(" ",TRUE,Migrationsartikel!K193)</f>
        <v>nouveau</v>
      </c>
      <c r="T194" s="51" t="str">
        <f>_xlfn.TEXTJOIN(" ",TRUE,Migrationsartikel!O193)</f>
        <v/>
      </c>
      <c r="U194" s="51" t="str">
        <f>_xlfn.TEXTJOIN(" ",TRUE,Migrationsartikel!H193)</f>
        <v>1kg</v>
      </c>
      <c r="V194" s="51" t="str">
        <f>_xlfn.TEXTJOIN(" ",TRUE,Migrationsartikel!L193)</f>
        <v>1kg</v>
      </c>
      <c r="W194" s="51" t="str">
        <f>_xlfn.TEXTJOIN(" ",TRUE,Migrationsartikel!P193)</f>
        <v>1kg</v>
      </c>
      <c r="X194" s="51" t="str">
        <f>Migrationsartikel!I193</f>
        <v>Bio Kartoffeln früh 1kg</v>
      </c>
      <c r="Y194" s="51" t="str">
        <f>Migrationsartikel!M193</f>
        <v>Bio P. de terre nouveau 1kg</v>
      </c>
      <c r="Z194" s="51" t="str">
        <f>Migrationsartikel!Q193</f>
        <v>Bio Patate novelle 1 kg</v>
      </c>
      <c r="AA194" s="60">
        <f>Migrationsartikel!R193</f>
        <v>1</v>
      </c>
      <c r="AB194" s="51" t="str">
        <f>Migrationsartikel!T193</f>
        <v>Kilogramm</v>
      </c>
      <c r="AC194" s="62">
        <f>Migrationsartikel!S193</f>
        <v>1</v>
      </c>
      <c r="AD194" s="51" t="str">
        <f>Migrationsartikel!U193</f>
        <v>(PCE) Stück</v>
      </c>
      <c r="AE194" s="95" t="str">
        <f>Migrationsartikel!Y193</f>
        <v>3 - Reduzierter Satz</v>
      </c>
      <c r="AF194" s="64" t="str">
        <f>IF(Migrationsartikel!AA193="Kein Depotartikel","",Migrationsartikel!AA193)</f>
        <v/>
      </c>
      <c r="AG194" s="95" t="str">
        <f>Migrationsartikel!Z193</f>
        <v>Keine</v>
      </c>
      <c r="AH194" s="51" t="str">
        <f>IF(Migrationsartikel!AB193="ja","true",FALSE)</f>
        <v>true</v>
      </c>
      <c r="AI194" s="51" t="str">
        <f>IF(Migrationsartikel!AC193="ja","true",FALSE)</f>
        <v>true</v>
      </c>
      <c r="AJ194" s="51" t="str">
        <f>IF(Migrationsartikel!AD193="ja","true",FALSE)</f>
        <v>true</v>
      </c>
      <c r="AK194" s="51" t="str">
        <f>IF(Migrationsartikel!AE193="ja","true",FALSE)</f>
        <v>true</v>
      </c>
      <c r="AL194" s="51" t="str">
        <f>IF(Migrationsartikel!AF193="ja","Denner Partner","")</f>
        <v/>
      </c>
      <c r="AM194" s="51" t="str">
        <f>IF(Migrationsartikel!AG193="ja","true","false")</f>
        <v>false</v>
      </c>
      <c r="AN194" s="51" t="str">
        <f t="shared" si="3"/>
        <v>Kassentastenbelegung (ohne GTIN/PLU)</v>
      </c>
      <c r="AO194" s="63" t="s">
        <v>219</v>
      </c>
      <c r="AP194" s="62" t="s">
        <v>2621</v>
      </c>
      <c r="AQ194" s="63" t="s">
        <v>217</v>
      </c>
      <c r="AR194" s="30" t="s">
        <v>219</v>
      </c>
    </row>
    <row r="195" spans="2:44" ht="21.75" customHeight="1" x14ac:dyDescent="0.45">
      <c r="B195" s="51" t="s">
        <v>99</v>
      </c>
      <c r="E195" s="52" t="s">
        <v>87</v>
      </c>
      <c r="F195" s="51" t="str">
        <f>"Warengruppe&gt;&gt;"&amp;_xlfn.TEXTJOIN("&gt;&gt;",TRUE,Migrationsartikel!V194:X194)</f>
        <v>Warengruppe&gt;&gt;Früchte und Gemüse&gt;&gt;Früchte und Gemüse&gt;&gt;Gemüse</v>
      </c>
      <c r="H195" s="52" t="s">
        <v>109</v>
      </c>
      <c r="J195" s="51" t="str">
        <f>_xlfn.TEXTJOIN(" ",TRUE,Migrationsartikel!B194,Migrationsartikel!E194)</f>
        <v>2217512000000</v>
      </c>
      <c r="L195" s="51" t="str">
        <f>_xlfn.TEXTJOIN(" ",TRUE,Migrationsartikel!F194:H194)</f>
        <v>Kartoffeln früh TT 2kg</v>
      </c>
      <c r="M195" s="51" t="str">
        <f>_xlfn.TEXTJOIN(" ",TRUE,Migrationsartikel!J194:L194)</f>
        <v>Pommes de terre nouv. Sac 2kg</v>
      </c>
      <c r="N195" s="51" t="str">
        <f>_xlfn.TEXTJOIN(" ",TRUE,Migrationsartikel!N194:P194)</f>
        <v>Patate novelle TT 2kg</v>
      </c>
      <c r="O195" s="51" t="str">
        <f>Migrationsartikel!F194</f>
        <v>Kartoffeln früh TT</v>
      </c>
      <c r="P195" s="51" t="str">
        <f>Migrationsartikel!J194</f>
        <v>Pommes de terre nouv.</v>
      </c>
      <c r="Q195" s="51" t="str">
        <f>Migrationsartikel!N194</f>
        <v>Patate novelle TT</v>
      </c>
      <c r="R195" s="51" t="str">
        <f>_xlfn.TEXTJOIN(" ",TRUE,Migrationsartikel!G194)</f>
        <v/>
      </c>
      <c r="S195" s="51" t="str">
        <f>_xlfn.TEXTJOIN(" ",TRUE,Migrationsartikel!K194)</f>
        <v>Sac</v>
      </c>
      <c r="T195" s="51" t="str">
        <f>_xlfn.TEXTJOIN(" ",TRUE,Migrationsartikel!O194)</f>
        <v/>
      </c>
      <c r="U195" s="51" t="str">
        <f>_xlfn.TEXTJOIN(" ",TRUE,Migrationsartikel!H194)</f>
        <v>2kg</v>
      </c>
      <c r="V195" s="51" t="str">
        <f>_xlfn.TEXTJOIN(" ",TRUE,Migrationsartikel!L194)</f>
        <v>2kg</v>
      </c>
      <c r="W195" s="51" t="str">
        <f>_xlfn.TEXTJOIN(" ",TRUE,Migrationsartikel!P194)</f>
        <v>2kg</v>
      </c>
      <c r="X195" s="51" t="str">
        <f>Migrationsartikel!I194</f>
        <v>Kartoffeln früh TT 2kg</v>
      </c>
      <c r="Y195" s="51" t="str">
        <f>Migrationsartikel!M194</f>
        <v>P. de terre nouveau sac 2kg</v>
      </c>
      <c r="Z195" s="51" t="str">
        <f>Migrationsartikel!Q194</f>
        <v>Patate novelle TT 2 kg</v>
      </c>
      <c r="AA195" s="60">
        <f>Migrationsartikel!R194</f>
        <v>2</v>
      </c>
      <c r="AB195" s="51" t="str">
        <f>Migrationsartikel!T194</f>
        <v>Kilogramm</v>
      </c>
      <c r="AC195" s="62">
        <f>Migrationsartikel!S194</f>
        <v>1</v>
      </c>
      <c r="AD195" s="51" t="str">
        <f>Migrationsartikel!U194</f>
        <v>(PCE) Stück</v>
      </c>
      <c r="AE195" s="95" t="str">
        <f>Migrationsartikel!Y194</f>
        <v>3 - Reduzierter Satz</v>
      </c>
      <c r="AF195" s="64" t="str">
        <f>IF(Migrationsartikel!AA194="Kein Depotartikel","",Migrationsartikel!AA194)</f>
        <v/>
      </c>
      <c r="AG195" s="95" t="str">
        <f>Migrationsartikel!Z194</f>
        <v>Keine</v>
      </c>
      <c r="AH195" s="51" t="str">
        <f>IF(Migrationsartikel!AB194="ja","true",FALSE)</f>
        <v>true</v>
      </c>
      <c r="AI195" s="51" t="str">
        <f>IF(Migrationsartikel!AC194="ja","true",FALSE)</f>
        <v>true</v>
      </c>
      <c r="AJ195" s="51" t="str">
        <f>IF(Migrationsartikel!AD194="ja","true",FALSE)</f>
        <v>true</v>
      </c>
      <c r="AK195" s="51" t="str">
        <f>IF(Migrationsartikel!AE194="ja","true",FALSE)</f>
        <v>true</v>
      </c>
      <c r="AL195" s="51" t="str">
        <f>IF(Migrationsartikel!AF194="ja","Denner Partner","")</f>
        <v/>
      </c>
      <c r="AM195" s="51" t="str">
        <f>IF(Migrationsartikel!AG194="ja","true","false")</f>
        <v>false</v>
      </c>
      <c r="AN195" s="51" t="str">
        <f t="shared" si="3"/>
        <v>Kassentastenbelegung (ohne GTIN/PLU)</v>
      </c>
      <c r="AO195" s="63" t="s">
        <v>219</v>
      </c>
      <c r="AP195" s="62" t="s">
        <v>2622</v>
      </c>
      <c r="AQ195" s="63" t="s">
        <v>217</v>
      </c>
      <c r="AR195" s="30" t="s">
        <v>219</v>
      </c>
    </row>
    <row r="196" spans="2:44" ht="21.75" customHeight="1" x14ac:dyDescent="0.45">
      <c r="B196" s="51" t="s">
        <v>99</v>
      </c>
      <c r="E196" s="52" t="s">
        <v>87</v>
      </c>
      <c r="F196" s="51" t="str">
        <f>"Warengruppe&gt;&gt;"&amp;_xlfn.TEXTJOIN("&gt;&gt;",TRUE,Migrationsartikel!V195:X195)</f>
        <v>Warengruppe&gt;&gt;Früchte und Gemüse&gt;&gt;Früchte und Gemüse&gt;&gt;Gemüse</v>
      </c>
      <c r="H196" s="52" t="s">
        <v>109</v>
      </c>
      <c r="J196" s="51" t="str">
        <f>_xlfn.TEXTJOIN(" ",TRUE,Migrationsartikel!B195,Migrationsartikel!E195)</f>
        <v>7613399001126</v>
      </c>
      <c r="L196" s="51" t="str">
        <f>_xlfn.TEXTJOIN(" ",TRUE,Migrationsartikel!F195:H195)</f>
        <v>Frühlingssalat 200g</v>
      </c>
      <c r="M196" s="51" t="str">
        <f>_xlfn.TEXTJOIN(" ",TRUE,Migrationsartikel!J195:L195)</f>
        <v>Salade printanière 200g</v>
      </c>
      <c r="N196" s="51" t="str">
        <f>_xlfn.TEXTJOIN(" ",TRUE,Migrationsartikel!N195:P195)</f>
        <v>Insalata Primavera 200g</v>
      </c>
      <c r="O196" s="51" t="str">
        <f>Migrationsartikel!F195</f>
        <v>Frühlingssalat</v>
      </c>
      <c r="P196" s="51" t="str">
        <f>Migrationsartikel!J195</f>
        <v>Salade printanière</v>
      </c>
      <c r="Q196" s="51" t="str">
        <f>Migrationsartikel!N195</f>
        <v>Insalata Primavera</v>
      </c>
      <c r="R196" s="51" t="str">
        <f>_xlfn.TEXTJOIN(" ",TRUE,Migrationsartikel!G195)</f>
        <v/>
      </c>
      <c r="S196" s="51" t="str">
        <f>_xlfn.TEXTJOIN(" ",TRUE,Migrationsartikel!K195)</f>
        <v/>
      </c>
      <c r="T196" s="51" t="str">
        <f>_xlfn.TEXTJOIN(" ",TRUE,Migrationsartikel!O195)</f>
        <v/>
      </c>
      <c r="U196" s="51" t="str">
        <f>_xlfn.TEXTJOIN(" ",TRUE,Migrationsartikel!H195)</f>
        <v>200g</v>
      </c>
      <c r="V196" s="51" t="str">
        <f>_xlfn.TEXTJOIN(" ",TRUE,Migrationsartikel!L195)</f>
        <v>200g</v>
      </c>
      <c r="W196" s="51" t="str">
        <f>_xlfn.TEXTJOIN(" ",TRUE,Migrationsartikel!P195)</f>
        <v>200g</v>
      </c>
      <c r="X196" s="51" t="str">
        <f>Migrationsartikel!I195</f>
        <v>Frühlingssalat 200g</v>
      </c>
      <c r="Y196" s="51" t="str">
        <f>Migrationsartikel!M195</f>
        <v>Salade printanière 200g</v>
      </c>
      <c r="Z196" s="51" t="str">
        <f>Migrationsartikel!Q195</f>
        <v>Insalata Primavera 200g</v>
      </c>
      <c r="AA196" s="60">
        <f>Migrationsartikel!R195</f>
        <v>0.2</v>
      </c>
      <c r="AB196" s="51" t="str">
        <f>Migrationsartikel!T195</f>
        <v>Gramm</v>
      </c>
      <c r="AC196" s="62">
        <f>Migrationsartikel!S195</f>
        <v>100</v>
      </c>
      <c r="AD196" s="51" t="str">
        <f>Migrationsartikel!U195</f>
        <v>(PCE) Stück</v>
      </c>
      <c r="AE196" s="95" t="str">
        <f>Migrationsartikel!Y195</f>
        <v>3 - Reduzierter Satz</v>
      </c>
      <c r="AF196" s="64" t="str">
        <f>IF(Migrationsartikel!AA195="Kein Depotartikel","",Migrationsartikel!AA195)</f>
        <v/>
      </c>
      <c r="AG196" s="95" t="str">
        <f>Migrationsartikel!Z195</f>
        <v>Keine</v>
      </c>
      <c r="AH196" s="51" t="str">
        <f>IF(Migrationsartikel!AB195="ja","true",FALSE)</f>
        <v>true</v>
      </c>
      <c r="AI196" s="51" t="str">
        <f>IF(Migrationsartikel!AC195="ja","true",FALSE)</f>
        <v>true</v>
      </c>
      <c r="AJ196" s="51" t="str">
        <f>IF(Migrationsartikel!AD195="ja","true",FALSE)</f>
        <v>true</v>
      </c>
      <c r="AK196" s="51" t="str">
        <f>IF(Migrationsartikel!AE195="ja","true",FALSE)</f>
        <v>true</v>
      </c>
      <c r="AL196" s="51" t="str">
        <f>IF(Migrationsartikel!AF195="ja","Denner Partner","")</f>
        <v/>
      </c>
      <c r="AM196" s="51" t="str">
        <f>IF(Migrationsartikel!AG195="ja","true","false")</f>
        <v>false</v>
      </c>
      <c r="AN196" s="51" t="str">
        <f t="shared" ref="AN196:AN259" si="4">IF(AND(ISNUMBER(J196),J196&gt;=100,J196&lt;=999),"PLU",IF(AND(ISNUMBER(J196),J196&gt;999),"GTIN","Kassentastenbelegung (ohne GTIN/PLU)"))</f>
        <v>Kassentastenbelegung (ohne GTIN/PLU)</v>
      </c>
      <c r="AO196" s="63" t="s">
        <v>219</v>
      </c>
      <c r="AP196" s="62" t="s">
        <v>2623</v>
      </c>
      <c r="AQ196" s="63" t="s">
        <v>217</v>
      </c>
      <c r="AR196" s="30" t="s">
        <v>219</v>
      </c>
    </row>
    <row r="197" spans="2:44" ht="21.75" customHeight="1" x14ac:dyDescent="0.45">
      <c r="B197" s="51" t="s">
        <v>99</v>
      </c>
      <c r="E197" s="52" t="s">
        <v>87</v>
      </c>
      <c r="F197" s="51" t="str">
        <f>"Warengruppe&gt;&gt;"&amp;_xlfn.TEXTJOIN("&gt;&gt;",TRUE,Migrationsartikel!V196:X196)</f>
        <v>Warengruppe&gt;&gt;Früchte und Gemüse&gt;&gt;Früchte und Gemüse&gt;&gt;Gemüse</v>
      </c>
      <c r="H197" s="52" t="s">
        <v>109</v>
      </c>
      <c r="J197" s="51" t="str">
        <f>_xlfn.TEXTJOIN(" ",TRUE,Migrationsartikel!B196,Migrationsartikel!E196)</f>
        <v>7613399000921</v>
      </c>
      <c r="L197" s="51" t="str">
        <f>_xlfn.TEXTJOIN(" ",TRUE,Migrationsartikel!F196:H196)</f>
        <v>Gärtnersalat 200g</v>
      </c>
      <c r="M197" s="51" t="str">
        <f>_xlfn.TEXTJOIN(" ",TRUE,Migrationsartikel!J196:L196)</f>
        <v>Salade du jardinier 200g</v>
      </c>
      <c r="N197" s="51" t="str">
        <f>_xlfn.TEXTJOIN(" ",TRUE,Migrationsartikel!N196:P196)</f>
        <v>Insalata Giardiniera 200g</v>
      </c>
      <c r="O197" s="51" t="str">
        <f>Migrationsartikel!F196</f>
        <v>Gärtnersalat</v>
      </c>
      <c r="P197" s="51" t="str">
        <f>Migrationsartikel!J196</f>
        <v>Salade du jardinier</v>
      </c>
      <c r="Q197" s="51" t="str">
        <f>Migrationsartikel!N196</f>
        <v>Insalata Giardiniera</v>
      </c>
      <c r="R197" s="51" t="str">
        <f>_xlfn.TEXTJOIN(" ",TRUE,Migrationsartikel!G196)</f>
        <v/>
      </c>
      <c r="S197" s="51" t="str">
        <f>_xlfn.TEXTJOIN(" ",TRUE,Migrationsartikel!K196)</f>
        <v/>
      </c>
      <c r="T197" s="51" t="str">
        <f>_xlfn.TEXTJOIN(" ",TRUE,Migrationsartikel!O196)</f>
        <v/>
      </c>
      <c r="U197" s="51" t="str">
        <f>_xlfn.TEXTJOIN(" ",TRUE,Migrationsartikel!H196)</f>
        <v>200g</v>
      </c>
      <c r="V197" s="51" t="str">
        <f>_xlfn.TEXTJOIN(" ",TRUE,Migrationsartikel!L196)</f>
        <v>200g</v>
      </c>
      <c r="W197" s="51" t="str">
        <f>_xlfn.TEXTJOIN(" ",TRUE,Migrationsartikel!P196)</f>
        <v>200g</v>
      </c>
      <c r="X197" s="51" t="str">
        <f>Migrationsartikel!I196</f>
        <v>Gärtnersalat 200g</v>
      </c>
      <c r="Y197" s="51" t="str">
        <f>Migrationsartikel!M196</f>
        <v>Salade du jardinier 200g</v>
      </c>
      <c r="Z197" s="51" t="str">
        <f>Migrationsartikel!Q196</f>
        <v>Insalata Giardiniera 200g</v>
      </c>
      <c r="AA197" s="60">
        <f>Migrationsartikel!R196</f>
        <v>0.2</v>
      </c>
      <c r="AB197" s="51" t="str">
        <f>Migrationsartikel!T196</f>
        <v>Gramm</v>
      </c>
      <c r="AC197" s="62">
        <f>Migrationsartikel!S196</f>
        <v>100</v>
      </c>
      <c r="AD197" s="51" t="str">
        <f>Migrationsartikel!U196</f>
        <v>(PCE) Stück</v>
      </c>
      <c r="AE197" s="95" t="str">
        <f>Migrationsartikel!Y196</f>
        <v>3 - Reduzierter Satz</v>
      </c>
      <c r="AF197" s="64" t="str">
        <f>IF(Migrationsartikel!AA196="Kein Depotartikel","",Migrationsartikel!AA196)</f>
        <v/>
      </c>
      <c r="AG197" s="95" t="str">
        <f>Migrationsartikel!Z196</f>
        <v>Keine</v>
      </c>
      <c r="AH197" s="51" t="str">
        <f>IF(Migrationsartikel!AB196="ja","true",FALSE)</f>
        <v>true</v>
      </c>
      <c r="AI197" s="51" t="str">
        <f>IF(Migrationsartikel!AC196="ja","true",FALSE)</f>
        <v>true</v>
      </c>
      <c r="AJ197" s="51" t="str">
        <f>IF(Migrationsartikel!AD196="ja","true",FALSE)</f>
        <v>true</v>
      </c>
      <c r="AK197" s="51" t="str">
        <f>IF(Migrationsartikel!AE196="ja","true",FALSE)</f>
        <v>true</v>
      </c>
      <c r="AL197" s="51" t="str">
        <f>IF(Migrationsartikel!AF196="ja","Denner Partner","")</f>
        <v/>
      </c>
      <c r="AM197" s="51" t="str">
        <f>IF(Migrationsartikel!AG196="ja","true","false")</f>
        <v>false</v>
      </c>
      <c r="AN197" s="51" t="str">
        <f t="shared" si="4"/>
        <v>Kassentastenbelegung (ohne GTIN/PLU)</v>
      </c>
      <c r="AO197" s="63" t="s">
        <v>219</v>
      </c>
      <c r="AP197" s="62" t="s">
        <v>2624</v>
      </c>
      <c r="AQ197" s="63" t="s">
        <v>217</v>
      </c>
      <c r="AR197" s="30" t="s">
        <v>219</v>
      </c>
    </row>
    <row r="198" spans="2:44" ht="21.75" customHeight="1" x14ac:dyDescent="0.45">
      <c r="B198" s="51" t="s">
        <v>99</v>
      </c>
      <c r="E198" s="52" t="s">
        <v>87</v>
      </c>
      <c r="F198" s="51" t="str">
        <f>"Warengruppe&gt;&gt;"&amp;_xlfn.TEXTJOIN("&gt;&gt;",TRUE,Migrationsartikel!V197:X197)</f>
        <v>Warengruppe&gt;&gt;Früchte und Gemüse&gt;&gt;Früchte und Gemüse&gt;&gt;Gemüse</v>
      </c>
      <c r="H198" s="52" t="s">
        <v>109</v>
      </c>
      <c r="J198" s="51" t="str">
        <f>_xlfn.TEXTJOIN(" ",TRUE,Migrationsartikel!B197,Migrationsartikel!E197)</f>
        <v>2203831000000</v>
      </c>
      <c r="L198" s="51" t="str">
        <f>_xlfn.TEXTJOIN(" ",TRUE,Migrationsartikel!F197:H197)</f>
        <v>Gurken 1Stk</v>
      </c>
      <c r="M198" s="51" t="str">
        <f>_xlfn.TEXTJOIN(" ",TRUE,Migrationsartikel!J197:L197)</f>
        <v>Concombres 1pce</v>
      </c>
      <c r="N198" s="51" t="str">
        <f>_xlfn.TEXTJOIN(" ",TRUE,Migrationsartikel!N197:P197)</f>
        <v>Cetrioli 1pz</v>
      </c>
      <c r="O198" s="51" t="str">
        <f>Migrationsartikel!F197</f>
        <v>Gurken</v>
      </c>
      <c r="P198" s="51" t="str">
        <f>Migrationsartikel!J197</f>
        <v>Concombres</v>
      </c>
      <c r="Q198" s="51" t="str">
        <f>Migrationsartikel!N197</f>
        <v>Cetrioli</v>
      </c>
      <c r="R198" s="51" t="str">
        <f>_xlfn.TEXTJOIN(" ",TRUE,Migrationsartikel!G197)</f>
        <v/>
      </c>
      <c r="S198" s="51" t="str">
        <f>_xlfn.TEXTJOIN(" ",TRUE,Migrationsartikel!K197)</f>
        <v/>
      </c>
      <c r="T198" s="51" t="str">
        <f>_xlfn.TEXTJOIN(" ",TRUE,Migrationsartikel!O197)</f>
        <v/>
      </c>
      <c r="U198" s="51" t="str">
        <f>_xlfn.TEXTJOIN(" ",TRUE,Migrationsartikel!H197)</f>
        <v>1Stk</v>
      </c>
      <c r="V198" s="51" t="str">
        <f>_xlfn.TEXTJOIN(" ",TRUE,Migrationsartikel!L197)</f>
        <v>1pce</v>
      </c>
      <c r="W198" s="51" t="str">
        <f>_xlfn.TEXTJOIN(" ",TRUE,Migrationsartikel!P197)</f>
        <v>1pz</v>
      </c>
      <c r="X198" s="51" t="str">
        <f>Migrationsartikel!I197</f>
        <v>Gurken 1 Stk</v>
      </c>
      <c r="Y198" s="51" t="str">
        <f>Migrationsartikel!M197</f>
        <v>Concombres 1 pce</v>
      </c>
      <c r="Z198" s="51" t="str">
        <f>Migrationsartikel!Q197</f>
        <v>Cetrioli 1 pz</v>
      </c>
      <c r="AA198" s="60">
        <f>Migrationsartikel!R197</f>
        <v>1</v>
      </c>
      <c r="AB198" s="51" t="str">
        <f>Migrationsartikel!T197</f>
        <v>Stück</v>
      </c>
      <c r="AC198" s="62">
        <f>Migrationsartikel!S197</f>
        <v>1</v>
      </c>
      <c r="AD198" s="51" t="str">
        <f>Migrationsartikel!U197</f>
        <v>(PCE) Stück</v>
      </c>
      <c r="AE198" s="95" t="str">
        <f>Migrationsartikel!Y197</f>
        <v>3 - Reduzierter Satz</v>
      </c>
      <c r="AF198" s="64" t="str">
        <f>IF(Migrationsartikel!AA197="Kein Depotartikel","",Migrationsartikel!AA197)</f>
        <v/>
      </c>
      <c r="AG198" s="95" t="str">
        <f>Migrationsartikel!Z197</f>
        <v>Keine</v>
      </c>
      <c r="AH198" s="51" t="str">
        <f>IF(Migrationsartikel!AB197="ja","true",FALSE)</f>
        <v>true</v>
      </c>
      <c r="AI198" s="51" t="str">
        <f>IF(Migrationsartikel!AC197="ja","true",FALSE)</f>
        <v>true</v>
      </c>
      <c r="AJ198" s="51" t="str">
        <f>IF(Migrationsartikel!AD197="ja","true",FALSE)</f>
        <v>true</v>
      </c>
      <c r="AK198" s="51" t="str">
        <f>IF(Migrationsartikel!AE197="ja","true",FALSE)</f>
        <v>true</v>
      </c>
      <c r="AL198" s="51" t="str">
        <f>IF(Migrationsartikel!AF197="ja","Denner Partner","")</f>
        <v/>
      </c>
      <c r="AM198" s="51" t="str">
        <f>IF(Migrationsartikel!AG197="ja","true","false")</f>
        <v>false</v>
      </c>
      <c r="AN198" s="51" t="str">
        <f t="shared" si="4"/>
        <v>Kassentastenbelegung (ohne GTIN/PLU)</v>
      </c>
      <c r="AO198" s="63" t="s">
        <v>219</v>
      </c>
      <c r="AP198" s="62" t="s">
        <v>2625</v>
      </c>
      <c r="AQ198" s="63" t="s">
        <v>217</v>
      </c>
      <c r="AR198" s="30" t="s">
        <v>219</v>
      </c>
    </row>
    <row r="199" spans="2:44" ht="21.75" customHeight="1" x14ac:dyDescent="0.45">
      <c r="B199" s="51" t="s">
        <v>99</v>
      </c>
      <c r="E199" s="52" t="s">
        <v>87</v>
      </c>
      <c r="F199" s="51" t="str">
        <f>"Warengruppe&gt;&gt;"&amp;_xlfn.TEXTJOIN("&gt;&gt;",TRUE,Migrationsartikel!V198:X198)</f>
        <v>Warengruppe&gt;&gt;Früchte und Gemüse&gt;&gt;Früchte und Gemüse&gt;&gt;Gemüse</v>
      </c>
      <c r="H199" s="52" t="s">
        <v>109</v>
      </c>
      <c r="J199" s="51" t="str">
        <f>_xlfn.TEXTJOIN(" ",TRUE,Migrationsartikel!B198,Migrationsartikel!E198)</f>
        <v>2209736000003</v>
      </c>
      <c r="L199" s="51" t="str">
        <f>_xlfn.TEXTJOIN(" ",TRUE,Migrationsartikel!F198:H198)</f>
        <v>Bio Gurken 1Stk</v>
      </c>
      <c r="M199" s="51" t="str">
        <f>_xlfn.TEXTJOIN(" ",TRUE,Migrationsartikel!J198:L198)</f>
        <v>Bio Concombres 1pce</v>
      </c>
      <c r="N199" s="51" t="str">
        <f>_xlfn.TEXTJOIN(" ",TRUE,Migrationsartikel!N198:P198)</f>
        <v>Bio Cetrioli 1pz</v>
      </c>
      <c r="O199" s="51" t="str">
        <f>Migrationsartikel!F198</f>
        <v>Bio Gurken</v>
      </c>
      <c r="P199" s="51" t="str">
        <f>Migrationsartikel!J198</f>
        <v>Bio Concombres</v>
      </c>
      <c r="Q199" s="51" t="str">
        <f>Migrationsartikel!N198</f>
        <v>Bio Cetrioli</v>
      </c>
      <c r="R199" s="51" t="str">
        <f>_xlfn.TEXTJOIN(" ",TRUE,Migrationsartikel!G198)</f>
        <v/>
      </c>
      <c r="S199" s="51" t="str">
        <f>_xlfn.TEXTJOIN(" ",TRUE,Migrationsartikel!K198)</f>
        <v/>
      </c>
      <c r="T199" s="51" t="str">
        <f>_xlfn.TEXTJOIN(" ",TRUE,Migrationsartikel!O198)</f>
        <v/>
      </c>
      <c r="U199" s="51" t="str">
        <f>_xlfn.TEXTJOIN(" ",TRUE,Migrationsartikel!H198)</f>
        <v>1Stk</v>
      </c>
      <c r="V199" s="51" t="str">
        <f>_xlfn.TEXTJOIN(" ",TRUE,Migrationsartikel!L198)</f>
        <v>1pce</v>
      </c>
      <c r="W199" s="51" t="str">
        <f>_xlfn.TEXTJOIN(" ",TRUE,Migrationsartikel!P198)</f>
        <v>1pz</v>
      </c>
      <c r="X199" s="51" t="str">
        <f>Migrationsartikel!I198</f>
        <v>Bio Gurken 1 Stik</v>
      </c>
      <c r="Y199" s="51" t="str">
        <f>Migrationsartikel!M198</f>
        <v>Bio Concombres 1 pce</v>
      </c>
      <c r="Z199" s="51" t="str">
        <f>Migrationsartikel!Q198</f>
        <v>Bio Cetrioli 1 pz</v>
      </c>
      <c r="AA199" s="60">
        <f>Migrationsartikel!R198</f>
        <v>1</v>
      </c>
      <c r="AB199" s="51" t="str">
        <f>Migrationsartikel!T198</f>
        <v>Stück</v>
      </c>
      <c r="AC199" s="62">
        <f>Migrationsartikel!S198</f>
        <v>1</v>
      </c>
      <c r="AD199" s="51" t="str">
        <f>Migrationsartikel!U198</f>
        <v>(PCE) Stück</v>
      </c>
      <c r="AE199" s="95" t="str">
        <f>Migrationsartikel!Y198</f>
        <v>3 - Reduzierter Satz</v>
      </c>
      <c r="AF199" s="64" t="str">
        <f>IF(Migrationsartikel!AA198="Kein Depotartikel","",Migrationsartikel!AA198)</f>
        <v/>
      </c>
      <c r="AG199" s="95" t="str">
        <f>Migrationsartikel!Z198</f>
        <v>Keine</v>
      </c>
      <c r="AH199" s="51" t="str">
        <f>IF(Migrationsartikel!AB198="ja","true",FALSE)</f>
        <v>true</v>
      </c>
      <c r="AI199" s="51" t="str">
        <f>IF(Migrationsartikel!AC198="ja","true",FALSE)</f>
        <v>true</v>
      </c>
      <c r="AJ199" s="51" t="str">
        <f>IF(Migrationsartikel!AD198="ja","true",FALSE)</f>
        <v>true</v>
      </c>
      <c r="AK199" s="51" t="str">
        <f>IF(Migrationsartikel!AE198="ja","true",FALSE)</f>
        <v>true</v>
      </c>
      <c r="AL199" s="51" t="str">
        <f>IF(Migrationsartikel!AF198="ja","Denner Partner","")</f>
        <v/>
      </c>
      <c r="AM199" s="51" t="str">
        <f>IF(Migrationsartikel!AG198="ja","true","false")</f>
        <v>false</v>
      </c>
      <c r="AN199" s="51" t="str">
        <f t="shared" si="4"/>
        <v>Kassentastenbelegung (ohne GTIN/PLU)</v>
      </c>
      <c r="AO199" s="63" t="s">
        <v>219</v>
      </c>
      <c r="AP199" s="62" t="s">
        <v>2626</v>
      </c>
      <c r="AQ199" s="63" t="s">
        <v>217</v>
      </c>
      <c r="AR199" s="30" t="s">
        <v>219</v>
      </c>
    </row>
    <row r="200" spans="2:44" ht="21.75" customHeight="1" x14ac:dyDescent="0.45">
      <c r="B200" s="51" t="s">
        <v>99</v>
      </c>
      <c r="E200" s="52" t="s">
        <v>87</v>
      </c>
      <c r="F200" s="51" t="str">
        <f>"Warengruppe&gt;&gt;"&amp;_xlfn.TEXTJOIN("&gt;&gt;",TRUE,Migrationsartikel!V199:X199)</f>
        <v>Warengruppe&gt;&gt;Früchte und Gemüse&gt;&gt;Früchte und Gemüse&gt;&gt;Gemüse</v>
      </c>
      <c r="H200" s="52" t="s">
        <v>109</v>
      </c>
      <c r="J200" s="51" t="str">
        <f>_xlfn.TEXTJOIN(" ",TRUE,Migrationsartikel!B199,Migrationsartikel!E199)</f>
        <v>2205674000000</v>
      </c>
      <c r="L200" s="51" t="str">
        <f>_xlfn.TEXTJOIN(" ",TRUE,Migrationsartikel!F199:H199)</f>
        <v>Bio Gurken Nostrano 2Stk</v>
      </c>
      <c r="M200" s="51" t="str">
        <f>_xlfn.TEXTJOIN(" ",TRUE,Migrationsartikel!J199:L199)</f>
        <v>Bio Concombres Nostrano 2pces</v>
      </c>
      <c r="N200" s="51" t="str">
        <f>_xlfn.TEXTJOIN(" ",TRUE,Migrationsartikel!N199:P199)</f>
        <v>Bio Cetrioli Nostrano 2pz</v>
      </c>
      <c r="O200" s="51" t="str">
        <f>Migrationsartikel!F199</f>
        <v>Bio Gurken Nostrano</v>
      </c>
      <c r="P200" s="51" t="str">
        <f>Migrationsartikel!J199</f>
        <v>Bio Concombres</v>
      </c>
      <c r="Q200" s="51" t="str">
        <f>Migrationsartikel!N199</f>
        <v>Bio Cetrioli Nostrano</v>
      </c>
      <c r="R200" s="51" t="str">
        <f>_xlfn.TEXTJOIN(" ",TRUE,Migrationsartikel!G199)</f>
        <v/>
      </c>
      <c r="S200" s="51" t="str">
        <f>_xlfn.TEXTJOIN(" ",TRUE,Migrationsartikel!K199)</f>
        <v>Nostrano</v>
      </c>
      <c r="T200" s="51" t="str">
        <f>_xlfn.TEXTJOIN(" ",TRUE,Migrationsartikel!O199)</f>
        <v/>
      </c>
      <c r="U200" s="51" t="str">
        <f>_xlfn.TEXTJOIN(" ",TRUE,Migrationsartikel!H199)</f>
        <v>2Stk</v>
      </c>
      <c r="V200" s="51" t="str">
        <f>_xlfn.TEXTJOIN(" ",TRUE,Migrationsartikel!L199)</f>
        <v>2pces</v>
      </c>
      <c r="W200" s="51" t="str">
        <f>_xlfn.TEXTJOIN(" ",TRUE,Migrationsartikel!P199)</f>
        <v>2pz</v>
      </c>
      <c r="X200" s="51" t="str">
        <f>Migrationsartikel!I199</f>
        <v>Bio Gurken Nostrano 2 Stk</v>
      </c>
      <c r="Y200" s="51" t="str">
        <f>Migrationsartikel!M199</f>
        <v>Bio Concombres Nost. 2 pcs</v>
      </c>
      <c r="Z200" s="51" t="str">
        <f>Migrationsartikel!Q199</f>
        <v>Bio Cetrioli Nostrano 2 pz</v>
      </c>
      <c r="AA200" s="60">
        <f>Migrationsartikel!R199</f>
        <v>2</v>
      </c>
      <c r="AB200" s="51" t="str">
        <f>Migrationsartikel!T199</f>
        <v>Stück</v>
      </c>
      <c r="AC200" s="62">
        <f>Migrationsartikel!S199</f>
        <v>1</v>
      </c>
      <c r="AD200" s="51" t="str">
        <f>Migrationsartikel!U199</f>
        <v>(PCE) Stück</v>
      </c>
      <c r="AE200" s="95" t="str">
        <f>Migrationsartikel!Y199</f>
        <v>3 - Reduzierter Satz</v>
      </c>
      <c r="AF200" s="64" t="str">
        <f>IF(Migrationsartikel!AA199="Kein Depotartikel","",Migrationsartikel!AA199)</f>
        <v/>
      </c>
      <c r="AG200" s="95" t="str">
        <f>Migrationsartikel!Z199</f>
        <v>Keine</v>
      </c>
      <c r="AH200" s="51" t="str">
        <f>IF(Migrationsartikel!AB199="ja","true",FALSE)</f>
        <v>true</v>
      </c>
      <c r="AI200" s="51" t="str">
        <f>IF(Migrationsartikel!AC199="ja","true",FALSE)</f>
        <v>true</v>
      </c>
      <c r="AJ200" s="51" t="str">
        <f>IF(Migrationsartikel!AD199="ja","true",FALSE)</f>
        <v>true</v>
      </c>
      <c r="AK200" s="51" t="str">
        <f>IF(Migrationsartikel!AE199="ja","true",FALSE)</f>
        <v>true</v>
      </c>
      <c r="AL200" s="51" t="str">
        <f>IF(Migrationsartikel!AF199="ja","Denner Partner","")</f>
        <v/>
      </c>
      <c r="AM200" s="51" t="str">
        <f>IF(Migrationsartikel!AG199="ja","true","false")</f>
        <v>false</v>
      </c>
      <c r="AN200" s="51" t="str">
        <f t="shared" si="4"/>
        <v>Kassentastenbelegung (ohne GTIN/PLU)</v>
      </c>
      <c r="AO200" s="63" t="s">
        <v>219</v>
      </c>
      <c r="AP200" s="62" t="s">
        <v>2627</v>
      </c>
      <c r="AQ200" s="63" t="s">
        <v>217</v>
      </c>
      <c r="AR200" s="30" t="s">
        <v>219</v>
      </c>
    </row>
    <row r="201" spans="2:44" ht="21.75" customHeight="1" x14ac:dyDescent="0.45">
      <c r="B201" s="51" t="s">
        <v>99</v>
      </c>
      <c r="E201" s="52" t="s">
        <v>87</v>
      </c>
      <c r="F201" s="51" t="str">
        <f>"Warengruppe&gt;&gt;"&amp;_xlfn.TEXTJOIN("&gt;&gt;",TRUE,Migrationsartikel!V200:X200)</f>
        <v>Warengruppe&gt;&gt;Früchte und Gemüse&gt;&gt;Früchte und Gemüse&gt;&gt;Gemüse</v>
      </c>
      <c r="H201" s="52" t="s">
        <v>109</v>
      </c>
      <c r="J201" s="51" t="str">
        <f>_xlfn.TEXTJOIN(" ",TRUE,Migrationsartikel!B200,Migrationsartikel!E200)</f>
        <v>2203831000005</v>
      </c>
      <c r="L201" s="51" t="str">
        <f>_xlfn.TEXTJOIN(" ",TRUE,Migrationsartikel!F200:H200)</f>
        <v>Gurken Nostrano 2Stk</v>
      </c>
      <c r="M201" s="51" t="str">
        <f>_xlfn.TEXTJOIN(" ",TRUE,Migrationsartikel!J200:L200)</f>
        <v>Concombres Nostrano 2pces</v>
      </c>
      <c r="N201" s="51" t="str">
        <f>_xlfn.TEXTJOIN(" ",TRUE,Migrationsartikel!N200:P200)</f>
        <v>Cetrioli Nostrano 2pz</v>
      </c>
      <c r="O201" s="51" t="str">
        <f>Migrationsartikel!F200</f>
        <v>Gurken Nostrano</v>
      </c>
      <c r="P201" s="51" t="str">
        <f>Migrationsartikel!J200</f>
        <v>Concombres Nostrano</v>
      </c>
      <c r="Q201" s="51" t="str">
        <f>Migrationsartikel!N200</f>
        <v>Cetrioli Nostrano</v>
      </c>
      <c r="R201" s="51" t="str">
        <f>_xlfn.TEXTJOIN(" ",TRUE,Migrationsartikel!G200)</f>
        <v/>
      </c>
      <c r="S201" s="51" t="str">
        <f>_xlfn.TEXTJOIN(" ",TRUE,Migrationsartikel!K200)</f>
        <v/>
      </c>
      <c r="T201" s="51" t="str">
        <f>_xlfn.TEXTJOIN(" ",TRUE,Migrationsartikel!O200)</f>
        <v/>
      </c>
      <c r="U201" s="51" t="str">
        <f>_xlfn.TEXTJOIN(" ",TRUE,Migrationsartikel!H200)</f>
        <v>2Stk</v>
      </c>
      <c r="V201" s="51" t="str">
        <f>_xlfn.TEXTJOIN(" ",TRUE,Migrationsartikel!L200)</f>
        <v>2pces</v>
      </c>
      <c r="W201" s="51" t="str">
        <f>_xlfn.TEXTJOIN(" ",TRUE,Migrationsartikel!P200)</f>
        <v>2pz</v>
      </c>
      <c r="X201" s="51" t="str">
        <f>Migrationsartikel!I200</f>
        <v>Gurken Nostrano 2 Stk</v>
      </c>
      <c r="Y201" s="51" t="str">
        <f>Migrationsartikel!M200</f>
        <v>Concombres Nostrano 2 pces</v>
      </c>
      <c r="Z201" s="51" t="str">
        <f>Migrationsartikel!Q200</f>
        <v>Cetrioli Nostrano 2 pz</v>
      </c>
      <c r="AA201" s="60">
        <f>Migrationsartikel!R200</f>
        <v>2</v>
      </c>
      <c r="AB201" s="51" t="str">
        <f>Migrationsartikel!T200</f>
        <v>Stück</v>
      </c>
      <c r="AC201" s="62">
        <f>Migrationsartikel!S200</f>
        <v>1</v>
      </c>
      <c r="AD201" s="51" t="str">
        <f>Migrationsartikel!U200</f>
        <v>(PCE) Stück</v>
      </c>
      <c r="AE201" s="95" t="str">
        <f>Migrationsartikel!Y200</f>
        <v>3 - Reduzierter Satz</v>
      </c>
      <c r="AF201" s="64" t="str">
        <f>IF(Migrationsartikel!AA200="Kein Depotartikel","",Migrationsartikel!AA200)</f>
        <v/>
      </c>
      <c r="AG201" s="95" t="str">
        <f>Migrationsartikel!Z200</f>
        <v>Keine</v>
      </c>
      <c r="AH201" s="51" t="str">
        <f>IF(Migrationsartikel!AB200="ja","true",FALSE)</f>
        <v>true</v>
      </c>
      <c r="AI201" s="51" t="str">
        <f>IF(Migrationsartikel!AC200="ja","true",FALSE)</f>
        <v>true</v>
      </c>
      <c r="AJ201" s="51" t="str">
        <f>IF(Migrationsartikel!AD200="ja","true",FALSE)</f>
        <v>true</v>
      </c>
      <c r="AK201" s="51" t="str">
        <f>IF(Migrationsartikel!AE200="ja","true",FALSE)</f>
        <v>true</v>
      </c>
      <c r="AL201" s="51" t="str">
        <f>IF(Migrationsartikel!AF200="ja","Denner Partner","")</f>
        <v/>
      </c>
      <c r="AM201" s="51" t="str">
        <f>IF(Migrationsartikel!AG200="ja","true","false")</f>
        <v>false</v>
      </c>
      <c r="AN201" s="51" t="str">
        <f t="shared" si="4"/>
        <v>Kassentastenbelegung (ohne GTIN/PLU)</v>
      </c>
      <c r="AO201" s="63" t="s">
        <v>219</v>
      </c>
      <c r="AP201" s="62" t="s">
        <v>2628</v>
      </c>
      <c r="AQ201" s="63" t="s">
        <v>217</v>
      </c>
      <c r="AR201" s="30" t="s">
        <v>219</v>
      </c>
    </row>
    <row r="202" spans="2:44" ht="21.75" customHeight="1" x14ac:dyDescent="0.45">
      <c r="B202" s="51" t="s">
        <v>99</v>
      </c>
      <c r="E202" s="52" t="s">
        <v>87</v>
      </c>
      <c r="F202" s="51" t="str">
        <f>"Warengruppe&gt;&gt;"&amp;_xlfn.TEXTJOIN("&gt;&gt;",TRUE,Migrationsartikel!V201:X201)</f>
        <v>Warengruppe&gt;&gt;Früchte und Gemüse&gt;&gt;Früchte und Gemüse&gt;&gt;Gemüse</v>
      </c>
      <c r="H202" s="52" t="s">
        <v>109</v>
      </c>
      <c r="J202" s="51" t="str">
        <f>_xlfn.TEXTJOIN(" ",TRUE,Migrationsartikel!B201,Migrationsartikel!E201)</f>
        <v>7613399001133</v>
      </c>
      <c r="L202" s="51" t="str">
        <f>_xlfn.TEXTJOIN(" ",TRUE,Migrationsartikel!F201:H201)</f>
        <v>Herbstsalat 200g</v>
      </c>
      <c r="M202" s="51" t="str">
        <f>_xlfn.TEXTJOIN(" ",TRUE,Migrationsartikel!J201:L201)</f>
        <v>Salade automnale 200g</v>
      </c>
      <c r="N202" s="51" t="str">
        <f>_xlfn.TEXTJOIN(" ",TRUE,Migrationsartikel!N201:P201)</f>
        <v>Insalata Autunno 200g</v>
      </c>
      <c r="O202" s="51" t="str">
        <f>Migrationsartikel!F201</f>
        <v>Herbstsalat</v>
      </c>
      <c r="P202" s="51" t="str">
        <f>Migrationsartikel!J201</f>
        <v>Salade automnale</v>
      </c>
      <c r="Q202" s="51" t="str">
        <f>Migrationsartikel!N201</f>
        <v>Insalata Autunno</v>
      </c>
      <c r="R202" s="51" t="str">
        <f>_xlfn.TEXTJOIN(" ",TRUE,Migrationsartikel!G201)</f>
        <v/>
      </c>
      <c r="S202" s="51" t="str">
        <f>_xlfn.TEXTJOIN(" ",TRUE,Migrationsartikel!K201)</f>
        <v/>
      </c>
      <c r="T202" s="51" t="str">
        <f>_xlfn.TEXTJOIN(" ",TRUE,Migrationsartikel!O201)</f>
        <v/>
      </c>
      <c r="U202" s="51" t="str">
        <f>_xlfn.TEXTJOIN(" ",TRUE,Migrationsartikel!H201)</f>
        <v>200g</v>
      </c>
      <c r="V202" s="51" t="str">
        <f>_xlfn.TEXTJOIN(" ",TRUE,Migrationsartikel!L201)</f>
        <v>200g</v>
      </c>
      <c r="W202" s="51" t="str">
        <f>_xlfn.TEXTJOIN(" ",TRUE,Migrationsartikel!P201)</f>
        <v>200g</v>
      </c>
      <c r="X202" s="51" t="str">
        <f>Migrationsartikel!I201</f>
        <v>Herbstsalat 200g</v>
      </c>
      <c r="Y202" s="51" t="str">
        <f>Migrationsartikel!M201</f>
        <v>Salade automnale 200g</v>
      </c>
      <c r="Z202" s="51" t="str">
        <f>Migrationsartikel!Q201</f>
        <v>Insalata Autunno 200g</v>
      </c>
      <c r="AA202" s="60">
        <f>Migrationsartikel!R201</f>
        <v>0.2</v>
      </c>
      <c r="AB202" s="51" t="str">
        <f>Migrationsartikel!T201</f>
        <v>Gramm</v>
      </c>
      <c r="AC202" s="62">
        <f>Migrationsartikel!S201</f>
        <v>100</v>
      </c>
      <c r="AD202" s="51" t="str">
        <f>Migrationsartikel!U201</f>
        <v>(PCE) Stück</v>
      </c>
      <c r="AE202" s="95" t="str">
        <f>Migrationsartikel!Y201</f>
        <v>3 - Reduzierter Satz</v>
      </c>
      <c r="AF202" s="64" t="str">
        <f>IF(Migrationsartikel!AA201="Kein Depotartikel","",Migrationsartikel!AA201)</f>
        <v/>
      </c>
      <c r="AG202" s="95" t="str">
        <f>Migrationsartikel!Z201</f>
        <v>Keine</v>
      </c>
      <c r="AH202" s="51" t="str">
        <f>IF(Migrationsartikel!AB201="ja","true",FALSE)</f>
        <v>true</v>
      </c>
      <c r="AI202" s="51" t="str">
        <f>IF(Migrationsartikel!AC201="ja","true",FALSE)</f>
        <v>true</v>
      </c>
      <c r="AJ202" s="51" t="str">
        <f>IF(Migrationsartikel!AD201="ja","true",FALSE)</f>
        <v>true</v>
      </c>
      <c r="AK202" s="51" t="str">
        <f>IF(Migrationsartikel!AE201="ja","true",FALSE)</f>
        <v>true</v>
      </c>
      <c r="AL202" s="51" t="str">
        <f>IF(Migrationsartikel!AF201="ja","Denner Partner","")</f>
        <v/>
      </c>
      <c r="AM202" s="51" t="str">
        <f>IF(Migrationsartikel!AG201="ja","true","false")</f>
        <v>false</v>
      </c>
      <c r="AN202" s="51" t="str">
        <f t="shared" si="4"/>
        <v>Kassentastenbelegung (ohne GTIN/PLU)</v>
      </c>
      <c r="AO202" s="63" t="s">
        <v>219</v>
      </c>
      <c r="AP202" s="62" t="s">
        <v>2629</v>
      </c>
      <c r="AQ202" s="63" t="s">
        <v>217</v>
      </c>
      <c r="AR202" s="30" t="s">
        <v>219</v>
      </c>
    </row>
    <row r="203" spans="2:44" ht="21.75" customHeight="1" x14ac:dyDescent="0.45">
      <c r="B203" s="51" t="s">
        <v>99</v>
      </c>
      <c r="E203" s="52" t="s">
        <v>87</v>
      </c>
      <c r="F203" s="51" t="str">
        <f>"Warengruppe&gt;&gt;"&amp;_xlfn.TEXTJOIN("&gt;&gt;",TRUE,Migrationsartikel!V202:X202)</f>
        <v>Warengruppe&gt;&gt;Früchte und Gemüse&gt;&gt;Früchte und Gemüse&gt;&gt;Gemüse</v>
      </c>
      <c r="H203" s="52" t="s">
        <v>109</v>
      </c>
      <c r="J203" s="51" t="str">
        <f>_xlfn.TEXTJOIN(" ",TRUE,Migrationsartikel!B202,Migrationsartikel!E202)</f>
        <v>2204591000007</v>
      </c>
      <c r="L203" s="51" t="str">
        <f>_xlfn.TEXTJOIN(" ",TRUE,Migrationsartikel!F202:H202)</f>
        <v>Ingwer ca. 200g</v>
      </c>
      <c r="M203" s="51" t="str">
        <f>_xlfn.TEXTJOIN(" ",TRUE,Migrationsartikel!J202:L202)</f>
        <v>Gingembre env. 200g</v>
      </c>
      <c r="N203" s="51" t="str">
        <f>_xlfn.TEXTJOIN(" ",TRUE,Migrationsartikel!N202:P202)</f>
        <v>Zenzero ca. 200g</v>
      </c>
      <c r="O203" s="51" t="str">
        <f>Migrationsartikel!F202</f>
        <v>Ingwer</v>
      </c>
      <c r="P203" s="51" t="str">
        <f>Migrationsartikel!J202</f>
        <v>Gingembre</v>
      </c>
      <c r="Q203" s="51" t="str">
        <f>Migrationsartikel!N202</f>
        <v>Zenzero</v>
      </c>
      <c r="R203" s="51" t="str">
        <f>_xlfn.TEXTJOIN(" ",TRUE,Migrationsartikel!G202)</f>
        <v/>
      </c>
      <c r="S203" s="51" t="str">
        <f>_xlfn.TEXTJOIN(" ",TRUE,Migrationsartikel!K202)</f>
        <v/>
      </c>
      <c r="T203" s="51" t="str">
        <f>_xlfn.TEXTJOIN(" ",TRUE,Migrationsartikel!O202)</f>
        <v/>
      </c>
      <c r="U203" s="51" t="str">
        <f>_xlfn.TEXTJOIN(" ",TRUE,Migrationsartikel!H202)</f>
        <v>ca. 200g</v>
      </c>
      <c r="V203" s="51" t="str">
        <f>_xlfn.TEXTJOIN(" ",TRUE,Migrationsartikel!L202)</f>
        <v>env. 200g</v>
      </c>
      <c r="W203" s="51" t="str">
        <f>_xlfn.TEXTJOIN(" ",TRUE,Migrationsartikel!P202)</f>
        <v>ca. 200g</v>
      </c>
      <c r="X203" s="51" t="str">
        <f>Migrationsartikel!I202</f>
        <v>Ingwer ca. 200g</v>
      </c>
      <c r="Y203" s="51" t="str">
        <f>Migrationsartikel!M202</f>
        <v>Gingembre env. 200g</v>
      </c>
      <c r="Z203" s="51" t="str">
        <f>Migrationsartikel!Q202</f>
        <v>Zenzero ca. 200g</v>
      </c>
      <c r="AA203" s="60">
        <f>Migrationsartikel!R202</f>
        <v>0.2</v>
      </c>
      <c r="AB203" s="51" t="str">
        <f>Migrationsartikel!T202</f>
        <v>Gramm</v>
      </c>
      <c r="AC203" s="62">
        <f>Migrationsartikel!S202</f>
        <v>100</v>
      </c>
      <c r="AD203" s="51" t="str">
        <f>Migrationsartikel!U202</f>
        <v>(PCE) Stück</v>
      </c>
      <c r="AE203" s="95" t="str">
        <f>Migrationsartikel!Y202</f>
        <v>3 - Reduzierter Satz</v>
      </c>
      <c r="AF203" s="64" t="str">
        <f>IF(Migrationsartikel!AA202="Kein Depotartikel","",Migrationsartikel!AA202)</f>
        <v/>
      </c>
      <c r="AG203" s="95" t="str">
        <f>Migrationsartikel!Z202</f>
        <v>Keine</v>
      </c>
      <c r="AH203" s="51" t="str">
        <f>IF(Migrationsartikel!AB202="ja","true",FALSE)</f>
        <v>true</v>
      </c>
      <c r="AI203" s="51" t="str">
        <f>IF(Migrationsartikel!AC202="ja","true",FALSE)</f>
        <v>true</v>
      </c>
      <c r="AJ203" s="51" t="str">
        <f>IF(Migrationsartikel!AD202="ja","true",FALSE)</f>
        <v>true</v>
      </c>
      <c r="AK203" s="51" t="str">
        <f>IF(Migrationsartikel!AE202="ja","true",FALSE)</f>
        <v>true</v>
      </c>
      <c r="AL203" s="51" t="str">
        <f>IF(Migrationsartikel!AF202="ja","Denner Partner","")</f>
        <v/>
      </c>
      <c r="AM203" s="51" t="str">
        <f>IF(Migrationsartikel!AG202="ja","true","false")</f>
        <v>false</v>
      </c>
      <c r="AN203" s="51" t="str">
        <f t="shared" si="4"/>
        <v>Kassentastenbelegung (ohne GTIN/PLU)</v>
      </c>
      <c r="AO203" s="63" t="s">
        <v>219</v>
      </c>
      <c r="AP203" s="62" t="s">
        <v>2630</v>
      </c>
      <c r="AQ203" s="63" t="s">
        <v>217</v>
      </c>
      <c r="AR203" s="30" t="s">
        <v>219</v>
      </c>
    </row>
    <row r="204" spans="2:44" ht="21.75" customHeight="1" x14ac:dyDescent="0.45">
      <c r="B204" s="51" t="s">
        <v>99</v>
      </c>
      <c r="E204" s="52" t="s">
        <v>87</v>
      </c>
      <c r="F204" s="51" t="str">
        <f>"Warengruppe&gt;&gt;"&amp;_xlfn.TEXTJOIN("&gt;&gt;",TRUE,Migrationsartikel!V203:X203)</f>
        <v>Warengruppe&gt;&gt;Früchte und Gemüse&gt;&gt;Früchte und Gemüse&gt;&gt;Gemüse</v>
      </c>
      <c r="H204" s="52" t="s">
        <v>109</v>
      </c>
      <c r="J204" s="51" t="str">
        <f>_xlfn.TEXTJOIN(" ",TRUE,Migrationsartikel!B203,Migrationsartikel!E203)</f>
        <v>225</v>
      </c>
      <c r="L204" s="51" t="str">
        <f>_xlfn.TEXTJOIN(" ",TRUE,Migrationsartikel!F203:H203)</f>
        <v>Fenchel offen</v>
      </c>
      <c r="M204" s="51" t="str">
        <f>_xlfn.TEXTJOIN(" ",TRUE,Migrationsartikel!J203:L203)</f>
        <v>Fenouil en vrac</v>
      </c>
      <c r="N204" s="51" t="str">
        <f>_xlfn.TEXTJOIN(" ",TRUE,Migrationsartikel!N203:P203)</f>
        <v>Finocchi Vendita sfusa</v>
      </c>
      <c r="O204" s="51" t="str">
        <f>Migrationsartikel!F203</f>
        <v>Fenchel offen</v>
      </c>
      <c r="P204" s="51" t="str">
        <f>Migrationsartikel!J203</f>
        <v>Fenouil en vrac</v>
      </c>
      <c r="Q204" s="51" t="str">
        <f>Migrationsartikel!N203</f>
        <v>Finocchi</v>
      </c>
      <c r="R204" s="51" t="str">
        <f>_xlfn.TEXTJOIN(" ",TRUE,Migrationsartikel!G203)</f>
        <v/>
      </c>
      <c r="S204" s="51" t="str">
        <f>_xlfn.TEXTJOIN(" ",TRUE,Migrationsartikel!K203)</f>
        <v/>
      </c>
      <c r="T204" s="51" t="str">
        <f>_xlfn.TEXTJOIN(" ",TRUE,Migrationsartikel!O203)</f>
        <v>Vendita sfusa</v>
      </c>
      <c r="U204" s="51" t="str">
        <f>_xlfn.TEXTJOIN(" ",TRUE,Migrationsartikel!H203)</f>
        <v/>
      </c>
      <c r="V204" s="51" t="str">
        <f>_xlfn.TEXTJOIN(" ",TRUE,Migrationsartikel!L203)</f>
        <v/>
      </c>
      <c r="W204" s="51" t="str">
        <f>_xlfn.TEXTJOIN(" ",TRUE,Migrationsartikel!P203)</f>
        <v/>
      </c>
      <c r="X204" s="51" t="str">
        <f>Migrationsartikel!I203</f>
        <v>Fenchel offen</v>
      </c>
      <c r="Y204" s="51" t="str">
        <f>Migrationsartikel!M203</f>
        <v>Fenouil en vrac</v>
      </c>
      <c r="Z204" s="51" t="str">
        <f>Migrationsartikel!Q203</f>
        <v>Finocchi vendita sfusa</v>
      </c>
      <c r="AA204" s="60">
        <f>Migrationsartikel!R203</f>
        <v>1</v>
      </c>
      <c r="AB204" s="51" t="str">
        <f>Migrationsartikel!T203</f>
        <v>Kilogramm</v>
      </c>
      <c r="AC204" s="62">
        <f>Migrationsartikel!S203</f>
        <v>1</v>
      </c>
      <c r="AD204" s="51" t="str">
        <f>Migrationsartikel!U203</f>
        <v>(KGM) KG</v>
      </c>
      <c r="AE204" s="95" t="str">
        <f>Migrationsartikel!Y203</f>
        <v>3 - Reduzierter Satz</v>
      </c>
      <c r="AF204" s="64" t="str">
        <f>IF(Migrationsartikel!AA203="Kein Depotartikel","",Migrationsartikel!AA203)</f>
        <v/>
      </c>
      <c r="AG204" s="95" t="str">
        <f>Migrationsartikel!Z203</f>
        <v>Keine</v>
      </c>
      <c r="AH204" s="51" t="str">
        <f>IF(Migrationsartikel!AB203="ja","true",FALSE)</f>
        <v>true</v>
      </c>
      <c r="AI204" s="51" t="str">
        <f>IF(Migrationsartikel!AC203="ja","true",FALSE)</f>
        <v>true</v>
      </c>
      <c r="AJ204" s="51" t="str">
        <f>IF(Migrationsartikel!AD203="ja","true",FALSE)</f>
        <v>true</v>
      </c>
      <c r="AK204" s="51" t="str">
        <f>IF(Migrationsartikel!AE203="ja","true",FALSE)</f>
        <v>true</v>
      </c>
      <c r="AL204" s="51" t="str">
        <f>IF(Migrationsartikel!AF203="ja","Denner Partner","")</f>
        <v/>
      </c>
      <c r="AM204" s="51" t="str">
        <f>IF(Migrationsartikel!AG203="ja","true","false")</f>
        <v>false</v>
      </c>
      <c r="AN204" s="51" t="str">
        <f t="shared" si="4"/>
        <v>Kassentastenbelegung (ohne GTIN/PLU)</v>
      </c>
      <c r="AO204" s="63" t="s">
        <v>219</v>
      </c>
      <c r="AP204" s="62" t="s">
        <v>2631</v>
      </c>
      <c r="AQ204" s="63" t="s">
        <v>217</v>
      </c>
      <c r="AR204" s="30" t="s">
        <v>219</v>
      </c>
    </row>
    <row r="205" spans="2:44" ht="21.75" customHeight="1" x14ac:dyDescent="0.45">
      <c r="B205" s="51" t="s">
        <v>99</v>
      </c>
      <c r="E205" s="52" t="s">
        <v>87</v>
      </c>
      <c r="F205" s="51" t="str">
        <f>"Warengruppe&gt;&gt;"&amp;_xlfn.TEXTJOIN("&gt;&gt;",TRUE,Migrationsartikel!V204:X204)</f>
        <v>Warengruppe&gt;&gt;Früchte und Gemüse&gt;&gt;Früchte und Gemüse&gt;&gt;Gemüse</v>
      </c>
      <c r="H205" s="52" t="s">
        <v>109</v>
      </c>
      <c r="J205" s="51" t="str">
        <f>_xlfn.TEXTJOIN(" ",TRUE,Migrationsartikel!B204,Migrationsartikel!E204)</f>
        <v>226</v>
      </c>
      <c r="L205" s="51" t="str">
        <f>_xlfn.TEXTJOIN(" ",TRUE,Migrationsartikel!F204:H204)</f>
        <v>Kohlraben offen</v>
      </c>
      <c r="M205" s="51" t="str">
        <f>_xlfn.TEXTJOIN(" ",TRUE,Migrationsartikel!J204:L204)</f>
        <v>Choux-raves En vrac</v>
      </c>
      <c r="N205" s="51" t="str">
        <f>_xlfn.TEXTJOIN(" ",TRUE,Migrationsartikel!N204:P204)</f>
        <v>Cavolo rapa Vendita sfusa</v>
      </c>
      <c r="O205" s="51" t="str">
        <f>Migrationsartikel!F204</f>
        <v>Kohlraben offen</v>
      </c>
      <c r="P205" s="51" t="str">
        <f>Migrationsartikel!J204</f>
        <v>Choux-raves</v>
      </c>
      <c r="Q205" s="51" t="str">
        <f>Migrationsartikel!N204</f>
        <v>Cavolo rapa</v>
      </c>
      <c r="R205" s="51" t="str">
        <f>_xlfn.TEXTJOIN(" ",TRUE,Migrationsartikel!G204)</f>
        <v/>
      </c>
      <c r="S205" s="51" t="str">
        <f>_xlfn.TEXTJOIN(" ",TRUE,Migrationsartikel!K204)</f>
        <v>En vrac</v>
      </c>
      <c r="T205" s="51" t="str">
        <f>_xlfn.TEXTJOIN(" ",TRUE,Migrationsartikel!O204)</f>
        <v>Vendita sfusa</v>
      </c>
      <c r="U205" s="51" t="str">
        <f>_xlfn.TEXTJOIN(" ",TRUE,Migrationsartikel!H204)</f>
        <v/>
      </c>
      <c r="V205" s="51" t="str">
        <f>_xlfn.TEXTJOIN(" ",TRUE,Migrationsartikel!L204)</f>
        <v/>
      </c>
      <c r="W205" s="51" t="str">
        <f>_xlfn.TEXTJOIN(" ",TRUE,Migrationsartikel!P204)</f>
        <v/>
      </c>
      <c r="X205" s="51" t="str">
        <f>Migrationsartikel!I204</f>
        <v>Kohlraben offen</v>
      </c>
      <c r="Y205" s="51" t="str">
        <f>Migrationsartikel!M204</f>
        <v>Choux-raves en vrac</v>
      </c>
      <c r="Z205" s="51" t="str">
        <f>Migrationsartikel!Q204</f>
        <v>Cavolo rapa vendita sfusa</v>
      </c>
      <c r="AA205" s="60">
        <f>Migrationsartikel!R204</f>
        <v>1</v>
      </c>
      <c r="AB205" s="51" t="str">
        <f>Migrationsartikel!T204</f>
        <v>Kilogramm</v>
      </c>
      <c r="AC205" s="62">
        <f>Migrationsartikel!S204</f>
        <v>1</v>
      </c>
      <c r="AD205" s="51" t="str">
        <f>Migrationsartikel!U204</f>
        <v>(KGM) KG</v>
      </c>
      <c r="AE205" s="95" t="str">
        <f>Migrationsartikel!Y204</f>
        <v>3 - Reduzierter Satz</v>
      </c>
      <c r="AF205" s="64" t="str">
        <f>IF(Migrationsartikel!AA204="Kein Depotartikel","",Migrationsartikel!AA204)</f>
        <v/>
      </c>
      <c r="AG205" s="95" t="str">
        <f>Migrationsartikel!Z204</f>
        <v>Keine</v>
      </c>
      <c r="AH205" s="51" t="str">
        <f>IF(Migrationsartikel!AB204="ja","true",FALSE)</f>
        <v>true</v>
      </c>
      <c r="AI205" s="51" t="str">
        <f>IF(Migrationsartikel!AC204="ja","true",FALSE)</f>
        <v>true</v>
      </c>
      <c r="AJ205" s="51" t="str">
        <f>IF(Migrationsartikel!AD204="ja","true",FALSE)</f>
        <v>true</v>
      </c>
      <c r="AK205" s="51" t="str">
        <f>IF(Migrationsartikel!AE204="ja","true",FALSE)</f>
        <v>true</v>
      </c>
      <c r="AL205" s="51" t="str">
        <f>IF(Migrationsartikel!AF204="ja","Denner Partner","")</f>
        <v/>
      </c>
      <c r="AM205" s="51" t="str">
        <f>IF(Migrationsartikel!AG204="ja","true","false")</f>
        <v>false</v>
      </c>
      <c r="AN205" s="51" t="str">
        <f t="shared" si="4"/>
        <v>Kassentastenbelegung (ohne GTIN/PLU)</v>
      </c>
      <c r="AO205" s="63" t="s">
        <v>219</v>
      </c>
      <c r="AP205" s="62" t="s">
        <v>2632</v>
      </c>
      <c r="AQ205" s="63" t="s">
        <v>217</v>
      </c>
      <c r="AR205" s="30" t="s">
        <v>219</v>
      </c>
    </row>
    <row r="206" spans="2:44" ht="21.75" customHeight="1" x14ac:dyDescent="0.45">
      <c r="B206" s="51" t="s">
        <v>99</v>
      </c>
      <c r="E206" s="52" t="s">
        <v>87</v>
      </c>
      <c r="F206" s="51" t="str">
        <f>"Warengruppe&gt;&gt;"&amp;_xlfn.TEXTJOIN("&gt;&gt;",TRUE,Migrationsartikel!V205:X205)</f>
        <v>Warengruppe&gt;&gt;Früchte und Gemüse&gt;&gt;Früchte und Gemüse&gt;&gt;Gemüse</v>
      </c>
      <c r="H206" s="52" t="s">
        <v>109</v>
      </c>
      <c r="J206" s="51" t="str">
        <f>_xlfn.TEXTJOIN(" ",TRUE,Migrationsartikel!B205,Migrationsartikel!E205)</f>
        <v>223</v>
      </c>
      <c r="L206" s="51" t="str">
        <f>_xlfn.TEXTJOIN(" ",TRUE,Migrationsartikel!F205:H205)</f>
        <v>Lauch offen</v>
      </c>
      <c r="M206" s="51" t="str">
        <f>_xlfn.TEXTJOIN(" ",TRUE,Migrationsartikel!J205:L205)</f>
        <v>Poireau En vrac</v>
      </c>
      <c r="N206" s="51" t="str">
        <f>_xlfn.TEXTJOIN(" ",TRUE,Migrationsartikel!N205:P205)</f>
        <v>Porro Vendita sfusa</v>
      </c>
      <c r="O206" s="51" t="str">
        <f>Migrationsartikel!F205</f>
        <v>Lauch offen</v>
      </c>
      <c r="P206" s="51" t="str">
        <f>Migrationsartikel!J205</f>
        <v>Poireau</v>
      </c>
      <c r="Q206" s="51" t="str">
        <f>Migrationsartikel!N205</f>
        <v>Porro</v>
      </c>
      <c r="R206" s="51" t="str">
        <f>_xlfn.TEXTJOIN(" ",TRUE,Migrationsartikel!G205)</f>
        <v/>
      </c>
      <c r="S206" s="51" t="str">
        <f>_xlfn.TEXTJOIN(" ",TRUE,Migrationsartikel!K205)</f>
        <v>En vrac</v>
      </c>
      <c r="T206" s="51" t="str">
        <f>_xlfn.TEXTJOIN(" ",TRUE,Migrationsartikel!O205)</f>
        <v>Vendita sfusa</v>
      </c>
      <c r="U206" s="51" t="str">
        <f>_xlfn.TEXTJOIN(" ",TRUE,Migrationsartikel!H205)</f>
        <v/>
      </c>
      <c r="V206" s="51" t="str">
        <f>_xlfn.TEXTJOIN(" ",TRUE,Migrationsartikel!L205)</f>
        <v/>
      </c>
      <c r="W206" s="51" t="str">
        <f>_xlfn.TEXTJOIN(" ",TRUE,Migrationsartikel!P205)</f>
        <v/>
      </c>
      <c r="X206" s="51" t="str">
        <f>Migrationsartikel!I205</f>
        <v>Lauch offen</v>
      </c>
      <c r="Y206" s="51" t="str">
        <f>Migrationsartikel!M205</f>
        <v>Poireau en vrac</v>
      </c>
      <c r="Z206" s="51" t="str">
        <f>Migrationsartikel!Q205</f>
        <v>Porro vendita sfusa</v>
      </c>
      <c r="AA206" s="60">
        <f>Migrationsartikel!R205</f>
        <v>1</v>
      </c>
      <c r="AB206" s="51" t="str">
        <f>Migrationsartikel!T205</f>
        <v>Kilogramm</v>
      </c>
      <c r="AC206" s="62">
        <f>Migrationsartikel!S205</f>
        <v>1</v>
      </c>
      <c r="AD206" s="51" t="str">
        <f>Migrationsartikel!U205</f>
        <v>(KGM) KG</v>
      </c>
      <c r="AE206" s="95" t="str">
        <f>Migrationsartikel!Y205</f>
        <v>3 - Reduzierter Satz</v>
      </c>
      <c r="AF206" s="64" t="str">
        <f>IF(Migrationsartikel!AA205="Kein Depotartikel","",Migrationsartikel!AA205)</f>
        <v/>
      </c>
      <c r="AG206" s="95" t="str">
        <f>Migrationsartikel!Z205</f>
        <v>Keine</v>
      </c>
      <c r="AH206" s="51" t="str">
        <f>IF(Migrationsartikel!AB205="ja","true",FALSE)</f>
        <v>true</v>
      </c>
      <c r="AI206" s="51" t="str">
        <f>IF(Migrationsartikel!AC205="ja","true",FALSE)</f>
        <v>true</v>
      </c>
      <c r="AJ206" s="51" t="str">
        <f>IF(Migrationsartikel!AD205="ja","true",FALSE)</f>
        <v>true</v>
      </c>
      <c r="AK206" s="51" t="str">
        <f>IF(Migrationsartikel!AE205="ja","true",FALSE)</f>
        <v>true</v>
      </c>
      <c r="AL206" s="51" t="str">
        <f>IF(Migrationsartikel!AF205="ja","Denner Partner","")</f>
        <v/>
      </c>
      <c r="AM206" s="51" t="str">
        <f>IF(Migrationsartikel!AG205="ja","true","false")</f>
        <v>false</v>
      </c>
      <c r="AN206" s="51" t="str">
        <f t="shared" si="4"/>
        <v>Kassentastenbelegung (ohne GTIN/PLU)</v>
      </c>
      <c r="AO206" s="63" t="s">
        <v>219</v>
      </c>
      <c r="AP206" s="62" t="s">
        <v>2633</v>
      </c>
      <c r="AQ206" s="63" t="s">
        <v>217</v>
      </c>
      <c r="AR206" s="30" t="s">
        <v>219</v>
      </c>
    </row>
    <row r="207" spans="2:44" ht="21.75" customHeight="1" x14ac:dyDescent="0.45">
      <c r="B207" s="51" t="s">
        <v>99</v>
      </c>
      <c r="E207" s="52" t="s">
        <v>87</v>
      </c>
      <c r="F207" s="51" t="str">
        <f>"Warengruppe&gt;&gt;"&amp;_xlfn.TEXTJOIN("&gt;&gt;",TRUE,Migrationsartikel!V206:X206)</f>
        <v>Warengruppe&gt;&gt;Früchte und Gemüse&gt;&gt;Früchte und Gemüse&gt;&gt;Gemüse</v>
      </c>
      <c r="H207" s="52" t="s">
        <v>109</v>
      </c>
      <c r="J207" s="51" t="str">
        <f>_xlfn.TEXTJOIN(" ",TRUE,Migrationsartikel!B206,Migrationsartikel!E206)</f>
        <v>221</v>
      </c>
      <c r="L207" s="51" t="str">
        <f>_xlfn.TEXTJOIN(" ",TRUE,Migrationsartikel!F206:H206)</f>
        <v>Kabis Einschneide Offen</v>
      </c>
      <c r="M207" s="51" t="str">
        <f>_xlfn.TEXTJOIN(" ",TRUE,Migrationsartikel!J206:L206)</f>
        <v>Choux à choucroute En vrac</v>
      </c>
      <c r="N207" s="51" t="str">
        <f>_xlfn.TEXTJOIN(" ",TRUE,Migrationsartikel!N206:P206)</f>
        <v>Cavolo cappuccio vendita sfusa</v>
      </c>
      <c r="O207" s="51" t="str">
        <f>Migrationsartikel!F206</f>
        <v>Kabis Einschneide</v>
      </c>
      <c r="P207" s="51" t="str">
        <f>Migrationsartikel!J206</f>
        <v>Choux à choucroute</v>
      </c>
      <c r="Q207" s="51" t="str">
        <f>Migrationsartikel!N206</f>
        <v>Cavolo cappuccio</v>
      </c>
      <c r="R207" s="51" t="str">
        <f>_xlfn.TEXTJOIN(" ",TRUE,Migrationsartikel!G206)</f>
        <v>Offen</v>
      </c>
      <c r="S207" s="51" t="str">
        <f>_xlfn.TEXTJOIN(" ",TRUE,Migrationsartikel!K206)</f>
        <v>En vrac</v>
      </c>
      <c r="T207" s="51" t="str">
        <f>_xlfn.TEXTJOIN(" ",TRUE,Migrationsartikel!O206)</f>
        <v>vendita sfusa</v>
      </c>
      <c r="U207" s="51" t="str">
        <f>_xlfn.TEXTJOIN(" ",TRUE,Migrationsartikel!H206)</f>
        <v/>
      </c>
      <c r="V207" s="51" t="str">
        <f>_xlfn.TEXTJOIN(" ",TRUE,Migrationsartikel!L206)</f>
        <v/>
      </c>
      <c r="W207" s="51" t="str">
        <f>_xlfn.TEXTJOIN(" ",TRUE,Migrationsartikel!P206)</f>
        <v/>
      </c>
      <c r="X207" s="51" t="str">
        <f>Migrationsartikel!I206</f>
        <v>Kabis Einschneide Offen</v>
      </c>
      <c r="Y207" s="51" t="str">
        <f>Migrationsartikel!M206</f>
        <v>Choux à choucroute en vrac</v>
      </c>
      <c r="Z207" s="51" t="str">
        <f>Migrationsartikel!Q206</f>
        <v>Cavolo cappuccio v. sfusa</v>
      </c>
      <c r="AA207" s="60">
        <f>Migrationsartikel!R206</f>
        <v>1</v>
      </c>
      <c r="AB207" s="51" t="str">
        <f>Migrationsartikel!T206</f>
        <v>Kilogramm</v>
      </c>
      <c r="AC207" s="62">
        <f>Migrationsartikel!S206</f>
        <v>1</v>
      </c>
      <c r="AD207" s="51" t="str">
        <f>Migrationsartikel!U206</f>
        <v>(KGM) KG</v>
      </c>
      <c r="AE207" s="95" t="str">
        <f>Migrationsartikel!Y206</f>
        <v>3 - Reduzierter Satz</v>
      </c>
      <c r="AF207" s="64" t="str">
        <f>IF(Migrationsartikel!AA206="Kein Depotartikel","",Migrationsartikel!AA206)</f>
        <v/>
      </c>
      <c r="AG207" s="95" t="str">
        <f>Migrationsartikel!Z206</f>
        <v>Keine</v>
      </c>
      <c r="AH207" s="51" t="str">
        <f>IF(Migrationsartikel!AB206="ja","true",FALSE)</f>
        <v>true</v>
      </c>
      <c r="AI207" s="51" t="str">
        <f>IF(Migrationsartikel!AC206="ja","true",FALSE)</f>
        <v>true</v>
      </c>
      <c r="AJ207" s="51" t="str">
        <f>IF(Migrationsartikel!AD206="ja","true",FALSE)</f>
        <v>true</v>
      </c>
      <c r="AK207" s="51" t="str">
        <f>IF(Migrationsartikel!AE206="ja","true",FALSE)</f>
        <v>true</v>
      </c>
      <c r="AL207" s="51" t="str">
        <f>IF(Migrationsartikel!AF206="ja","Denner Partner","")</f>
        <v/>
      </c>
      <c r="AM207" s="51" t="str">
        <f>IF(Migrationsartikel!AG206="ja","true","false")</f>
        <v>false</v>
      </c>
      <c r="AN207" s="51" t="str">
        <f t="shared" si="4"/>
        <v>Kassentastenbelegung (ohne GTIN/PLU)</v>
      </c>
      <c r="AO207" s="63" t="s">
        <v>219</v>
      </c>
      <c r="AP207" s="62" t="s">
        <v>2634</v>
      </c>
      <c r="AQ207" s="63" t="s">
        <v>217</v>
      </c>
      <c r="AR207" s="30" t="s">
        <v>219</v>
      </c>
    </row>
    <row r="208" spans="2:44" ht="21.75" customHeight="1" x14ac:dyDescent="0.45">
      <c r="B208" s="51" t="s">
        <v>99</v>
      </c>
      <c r="E208" s="52" t="s">
        <v>87</v>
      </c>
      <c r="F208" s="51" t="str">
        <f>"Warengruppe&gt;&gt;"&amp;_xlfn.TEXTJOIN("&gt;&gt;",TRUE,Migrationsartikel!V207:X207)</f>
        <v>Warengruppe&gt;&gt;Früchte und Gemüse&gt;&gt;Früchte und Gemüse&gt;&gt;Gemüse</v>
      </c>
      <c r="H208" s="52" t="s">
        <v>109</v>
      </c>
      <c r="J208" s="51" t="str">
        <f>_xlfn.TEXTJOIN(" ",TRUE,Migrationsartikel!B207,Migrationsartikel!E207)</f>
        <v>2204742000000</v>
      </c>
      <c r="L208" s="51" t="str">
        <f>_xlfn.TEXTJOIN(" ",TRUE,Migrationsartikel!F207:H207)</f>
        <v>Kabis rot Offen</v>
      </c>
      <c r="M208" s="51" t="str">
        <f>_xlfn.TEXTJOIN(" ",TRUE,Migrationsartikel!J207:L207)</f>
        <v>Choux rouge En vrac</v>
      </c>
      <c r="N208" s="51" t="str">
        <f>_xlfn.TEXTJOIN(" ",TRUE,Migrationsartikel!N207:P207)</f>
        <v>Cavolo rosso vendita sfusa</v>
      </c>
      <c r="O208" s="51" t="str">
        <f>Migrationsartikel!F207</f>
        <v>Kabis rot</v>
      </c>
      <c r="P208" s="51" t="str">
        <f>Migrationsartikel!J207</f>
        <v>Choux rouge</v>
      </c>
      <c r="Q208" s="51" t="str">
        <f>Migrationsartikel!N207</f>
        <v>Cavolo rosso</v>
      </c>
      <c r="R208" s="51" t="str">
        <f>_xlfn.TEXTJOIN(" ",TRUE,Migrationsartikel!G207)</f>
        <v>Offen</v>
      </c>
      <c r="S208" s="51" t="str">
        <f>_xlfn.TEXTJOIN(" ",TRUE,Migrationsartikel!K207)</f>
        <v>En vrac</v>
      </c>
      <c r="T208" s="51" t="str">
        <f>_xlfn.TEXTJOIN(" ",TRUE,Migrationsartikel!O207)</f>
        <v>vendita sfusa</v>
      </c>
      <c r="U208" s="51" t="str">
        <f>_xlfn.TEXTJOIN(" ",TRUE,Migrationsartikel!H207)</f>
        <v/>
      </c>
      <c r="V208" s="51" t="str">
        <f>_xlfn.TEXTJOIN(" ",TRUE,Migrationsartikel!L207)</f>
        <v/>
      </c>
      <c r="W208" s="51" t="str">
        <f>_xlfn.TEXTJOIN(" ",TRUE,Migrationsartikel!P207)</f>
        <v/>
      </c>
      <c r="X208" s="51" t="str">
        <f>Migrationsartikel!I207</f>
        <v>Kabis rot Offen</v>
      </c>
      <c r="Y208" s="51" t="str">
        <f>Migrationsartikel!M207</f>
        <v>Choux rouge en vrac</v>
      </c>
      <c r="Z208" s="51" t="str">
        <f>Migrationsartikel!Q207</f>
        <v>Cavolo rosso vendita sfusa</v>
      </c>
      <c r="AA208" s="60">
        <f>Migrationsartikel!R207</f>
        <v>1</v>
      </c>
      <c r="AB208" s="51" t="str">
        <f>Migrationsartikel!T207</f>
        <v>Kilogramm</v>
      </c>
      <c r="AC208" s="62">
        <f>Migrationsartikel!S207</f>
        <v>1</v>
      </c>
      <c r="AD208" s="51" t="str">
        <f>Migrationsartikel!U207</f>
        <v>(KGM) KG</v>
      </c>
      <c r="AE208" s="95" t="str">
        <f>Migrationsartikel!Y207</f>
        <v>3 - Reduzierter Satz</v>
      </c>
      <c r="AF208" s="64" t="str">
        <f>IF(Migrationsartikel!AA207="Kein Depotartikel","",Migrationsartikel!AA207)</f>
        <v/>
      </c>
      <c r="AG208" s="95" t="str">
        <f>Migrationsartikel!Z207</f>
        <v>Keine</v>
      </c>
      <c r="AH208" s="51" t="str">
        <f>IF(Migrationsartikel!AB207="ja","true",FALSE)</f>
        <v>true</v>
      </c>
      <c r="AI208" s="51" t="str">
        <f>IF(Migrationsartikel!AC207="ja","true",FALSE)</f>
        <v>true</v>
      </c>
      <c r="AJ208" s="51" t="str">
        <f>IF(Migrationsartikel!AD207="ja","true",FALSE)</f>
        <v>true</v>
      </c>
      <c r="AK208" s="51" t="str">
        <f>IF(Migrationsartikel!AE207="ja","true",FALSE)</f>
        <v>true</v>
      </c>
      <c r="AL208" s="51" t="str">
        <f>IF(Migrationsartikel!AF207="ja","Denner Partner","")</f>
        <v/>
      </c>
      <c r="AM208" s="51" t="str">
        <f>IF(Migrationsartikel!AG207="ja","true","false")</f>
        <v>false</v>
      </c>
      <c r="AN208" s="51" t="str">
        <f t="shared" si="4"/>
        <v>Kassentastenbelegung (ohne GTIN/PLU)</v>
      </c>
      <c r="AO208" s="63" t="s">
        <v>219</v>
      </c>
      <c r="AP208" s="62" t="s">
        <v>2635</v>
      </c>
      <c r="AQ208" s="63" t="s">
        <v>217</v>
      </c>
      <c r="AR208" s="30" t="s">
        <v>219</v>
      </c>
    </row>
    <row r="209" spans="2:44" ht="21.75" customHeight="1" x14ac:dyDescent="0.45">
      <c r="B209" s="51" t="s">
        <v>99</v>
      </c>
      <c r="E209" s="52" t="s">
        <v>87</v>
      </c>
      <c r="F209" s="51" t="str">
        <f>"Warengruppe&gt;&gt;"&amp;_xlfn.TEXTJOIN("&gt;&gt;",TRUE,Migrationsartikel!V208:X208)</f>
        <v>Warengruppe&gt;&gt;Früchte und Gemüse&gt;&gt;Früchte und Gemüse&gt;&gt;Gemüse</v>
      </c>
      <c r="H209" s="52" t="s">
        <v>109</v>
      </c>
      <c r="J209" s="51" t="str">
        <f>_xlfn.TEXTJOIN(" ",TRUE,Migrationsartikel!B208,Migrationsartikel!E208)</f>
        <v>2204741000000</v>
      </c>
      <c r="L209" s="51" t="str">
        <f>_xlfn.TEXTJOIN(" ",TRUE,Migrationsartikel!F208:H208)</f>
        <v>Kabis rot</v>
      </c>
      <c r="M209" s="51" t="str">
        <f>_xlfn.TEXTJOIN(" ",TRUE,Migrationsartikel!J208:L208)</f>
        <v>Choux rouge</v>
      </c>
      <c r="N209" s="51" t="str">
        <f>_xlfn.TEXTJOIN(" ",TRUE,Migrationsartikel!N208:P208)</f>
        <v>Cavolo rosso</v>
      </c>
      <c r="O209" s="51" t="str">
        <f>Migrationsartikel!F208</f>
        <v>Kabis rot</v>
      </c>
      <c r="P209" s="51" t="str">
        <f>Migrationsartikel!J208</f>
        <v>Choux rouge</v>
      </c>
      <c r="Q209" s="51" t="str">
        <f>Migrationsartikel!N208</f>
        <v>Cavolo rosso</v>
      </c>
      <c r="R209" s="51" t="str">
        <f>_xlfn.TEXTJOIN(" ",TRUE,Migrationsartikel!G208)</f>
        <v/>
      </c>
      <c r="S209" s="51" t="str">
        <f>_xlfn.TEXTJOIN(" ",TRUE,Migrationsartikel!K208)</f>
        <v/>
      </c>
      <c r="T209" s="51" t="str">
        <f>_xlfn.TEXTJOIN(" ",TRUE,Migrationsartikel!O208)</f>
        <v/>
      </c>
      <c r="U209" s="51" t="str">
        <f>_xlfn.TEXTJOIN(" ",TRUE,Migrationsartikel!H208)</f>
        <v/>
      </c>
      <c r="V209" s="51" t="str">
        <f>_xlfn.TEXTJOIN(" ",TRUE,Migrationsartikel!L208)</f>
        <v/>
      </c>
      <c r="W209" s="51" t="str">
        <f>_xlfn.TEXTJOIN(" ",TRUE,Migrationsartikel!P208)</f>
        <v/>
      </c>
      <c r="X209" s="51" t="str">
        <f>Migrationsartikel!I208</f>
        <v>Kabis</v>
      </c>
      <c r="Y209" s="51" t="str">
        <f>Migrationsartikel!M208</f>
        <v>Choux rouge</v>
      </c>
      <c r="Z209" s="51" t="str">
        <f>Migrationsartikel!Q208</f>
        <v>Cavolo rosso</v>
      </c>
      <c r="AA209" s="60">
        <f>Migrationsartikel!R208</f>
        <v>1</v>
      </c>
      <c r="AB209" s="51" t="str">
        <f>Migrationsartikel!T208</f>
        <v>Kilogramm</v>
      </c>
      <c r="AC209" s="62">
        <f>Migrationsartikel!S208</f>
        <v>1</v>
      </c>
      <c r="AD209" s="51" t="str">
        <f>Migrationsartikel!U208</f>
        <v>(PCE) Stück</v>
      </c>
      <c r="AE209" s="95" t="str">
        <f>Migrationsartikel!Y208</f>
        <v>3 - Reduzierter Satz</v>
      </c>
      <c r="AF209" s="64" t="str">
        <f>IF(Migrationsartikel!AA208="Kein Depotartikel","",Migrationsartikel!AA208)</f>
        <v/>
      </c>
      <c r="AG209" s="95" t="str">
        <f>Migrationsartikel!Z208</f>
        <v>Keine</v>
      </c>
      <c r="AH209" s="51" t="str">
        <f>IF(Migrationsartikel!AB208="ja","true",FALSE)</f>
        <v>true</v>
      </c>
      <c r="AI209" s="51" t="str">
        <f>IF(Migrationsartikel!AC208="ja","true",FALSE)</f>
        <v>true</v>
      </c>
      <c r="AJ209" s="51" t="str">
        <f>IF(Migrationsartikel!AD208="ja","true",FALSE)</f>
        <v>true</v>
      </c>
      <c r="AK209" s="51" t="str">
        <f>IF(Migrationsartikel!AE208="ja","true",FALSE)</f>
        <v>true</v>
      </c>
      <c r="AL209" s="51" t="str">
        <f>IF(Migrationsartikel!AF208="ja","Denner Partner","")</f>
        <v/>
      </c>
      <c r="AM209" s="51" t="str">
        <f>IF(Migrationsartikel!AG208="ja","true","false")</f>
        <v>false</v>
      </c>
      <c r="AN209" s="51" t="str">
        <f t="shared" si="4"/>
        <v>Kassentastenbelegung (ohne GTIN/PLU)</v>
      </c>
      <c r="AO209" s="63" t="s">
        <v>219</v>
      </c>
      <c r="AP209" s="62" t="s">
        <v>2636</v>
      </c>
      <c r="AQ209" s="63" t="s">
        <v>217</v>
      </c>
      <c r="AR209" s="30" t="s">
        <v>219</v>
      </c>
    </row>
    <row r="210" spans="2:44" ht="21.75" customHeight="1" x14ac:dyDescent="0.45">
      <c r="B210" s="51" t="s">
        <v>99</v>
      </c>
      <c r="E210" s="52" t="s">
        <v>87</v>
      </c>
      <c r="F210" s="51" t="str">
        <f>"Warengruppe&gt;&gt;"&amp;_xlfn.TEXTJOIN("&gt;&gt;",TRUE,Migrationsartikel!V209:X209)</f>
        <v>Warengruppe&gt;&gt;Früchte und Gemüse&gt;&gt;Früchte und Gemüse&gt;&gt;Gemüse</v>
      </c>
      <c r="H210" s="52" t="s">
        <v>109</v>
      </c>
      <c r="J210" s="51" t="str">
        <f>_xlfn.TEXTJOIN(" ",TRUE,Migrationsartikel!B209,Migrationsartikel!E209)</f>
        <v>2203268000000</v>
      </c>
      <c r="L210" s="51" t="str">
        <f>_xlfn.TEXTJOIN(" ",TRUE,Migrationsartikel!F209:H209)</f>
        <v>Bio Kabis rot 1Stk</v>
      </c>
      <c r="M210" s="51" t="str">
        <f>_xlfn.TEXTJOIN(" ",TRUE,Migrationsartikel!J209:L209)</f>
        <v>Bio Choux rouge 1pce</v>
      </c>
      <c r="N210" s="51" t="str">
        <f>_xlfn.TEXTJOIN(" ",TRUE,Migrationsartikel!N209:P209)</f>
        <v>Bio Cavolo rosso 1pz</v>
      </c>
      <c r="O210" s="51" t="str">
        <f>Migrationsartikel!F209</f>
        <v>Bio Kabis rot</v>
      </c>
      <c r="P210" s="51" t="str">
        <f>Migrationsartikel!J209</f>
        <v>Bio Choux rouge</v>
      </c>
      <c r="Q210" s="51" t="str">
        <f>Migrationsartikel!N209</f>
        <v>Bio Cavolo rosso</v>
      </c>
      <c r="R210" s="51" t="str">
        <f>_xlfn.TEXTJOIN(" ",TRUE,Migrationsartikel!G209)</f>
        <v/>
      </c>
      <c r="S210" s="51" t="str">
        <f>_xlfn.TEXTJOIN(" ",TRUE,Migrationsartikel!K209)</f>
        <v/>
      </c>
      <c r="T210" s="51" t="str">
        <f>_xlfn.TEXTJOIN(" ",TRUE,Migrationsartikel!O209)</f>
        <v/>
      </c>
      <c r="U210" s="51" t="str">
        <f>_xlfn.TEXTJOIN(" ",TRUE,Migrationsartikel!H209)</f>
        <v>1Stk</v>
      </c>
      <c r="V210" s="51" t="str">
        <f>_xlfn.TEXTJOIN(" ",TRUE,Migrationsartikel!L209)</f>
        <v>1pce</v>
      </c>
      <c r="W210" s="51" t="str">
        <f>_xlfn.TEXTJOIN(" ",TRUE,Migrationsartikel!P209)</f>
        <v>1pz</v>
      </c>
      <c r="X210" s="51" t="str">
        <f>Migrationsartikel!I209</f>
        <v>Bio Kabis rot 1 Stk</v>
      </c>
      <c r="Y210" s="51" t="str">
        <f>Migrationsartikel!M209</f>
        <v>Bio Choux rouge</v>
      </c>
      <c r="Z210" s="51" t="str">
        <f>Migrationsartikel!Q209</f>
        <v>Bio Cavolo rosso 1 pz</v>
      </c>
      <c r="AA210" s="60">
        <f>Migrationsartikel!R209</f>
        <v>1</v>
      </c>
      <c r="AB210" s="51" t="str">
        <f>Migrationsartikel!T209</f>
        <v>Kilogramm</v>
      </c>
      <c r="AC210" s="62">
        <f>Migrationsartikel!S209</f>
        <v>1</v>
      </c>
      <c r="AD210" s="51" t="str">
        <f>Migrationsartikel!U209</f>
        <v>(PCE) Stück</v>
      </c>
      <c r="AE210" s="95" t="str">
        <f>Migrationsartikel!Y209</f>
        <v>3 - Reduzierter Satz</v>
      </c>
      <c r="AF210" s="64" t="str">
        <f>IF(Migrationsartikel!AA209="Kein Depotartikel","",Migrationsartikel!AA209)</f>
        <v/>
      </c>
      <c r="AG210" s="95" t="str">
        <f>Migrationsartikel!Z209</f>
        <v>Keine</v>
      </c>
      <c r="AH210" s="51" t="str">
        <f>IF(Migrationsartikel!AB209="ja","true",FALSE)</f>
        <v>true</v>
      </c>
      <c r="AI210" s="51" t="str">
        <f>IF(Migrationsartikel!AC209="ja","true",FALSE)</f>
        <v>true</v>
      </c>
      <c r="AJ210" s="51" t="str">
        <f>IF(Migrationsartikel!AD209="ja","true",FALSE)</f>
        <v>true</v>
      </c>
      <c r="AK210" s="51" t="str">
        <f>IF(Migrationsartikel!AE209="ja","true",FALSE)</f>
        <v>true</v>
      </c>
      <c r="AL210" s="51" t="str">
        <f>IF(Migrationsartikel!AF209="ja","Denner Partner","")</f>
        <v/>
      </c>
      <c r="AM210" s="51" t="str">
        <f>IF(Migrationsartikel!AG209="ja","true","false")</f>
        <v>false</v>
      </c>
      <c r="AN210" s="51" t="str">
        <f t="shared" si="4"/>
        <v>Kassentastenbelegung (ohne GTIN/PLU)</v>
      </c>
      <c r="AO210" s="63" t="s">
        <v>219</v>
      </c>
      <c r="AP210" s="62" t="s">
        <v>2637</v>
      </c>
      <c r="AQ210" s="63" t="s">
        <v>217</v>
      </c>
      <c r="AR210" s="30" t="s">
        <v>219</v>
      </c>
    </row>
    <row r="211" spans="2:44" ht="21.75" customHeight="1" x14ac:dyDescent="0.45">
      <c r="B211" s="51" t="s">
        <v>99</v>
      </c>
      <c r="E211" s="52" t="s">
        <v>87</v>
      </c>
      <c r="F211" s="51" t="str">
        <f>"Warengruppe&gt;&gt;"&amp;_xlfn.TEXTJOIN("&gt;&gt;",TRUE,Migrationsartikel!V210:X210)</f>
        <v>Warengruppe&gt;&gt;Früchte und Gemüse&gt;&gt;Früchte und Gemüse&gt;&gt;Gemüse</v>
      </c>
      <c r="H211" s="52" t="s">
        <v>109</v>
      </c>
      <c r="J211" s="51" t="str">
        <f>_xlfn.TEXTJOIN(" ",TRUE,Migrationsartikel!B210,Migrationsartikel!E210)</f>
        <v>2204691000006</v>
      </c>
      <c r="L211" s="51" t="str">
        <f>_xlfn.TEXTJOIN(" ",TRUE,Migrationsartikel!F210:H210)</f>
        <v>Kabis weiss</v>
      </c>
      <c r="M211" s="51" t="str">
        <f>_xlfn.TEXTJOIN(" ",TRUE,Migrationsartikel!J210:L210)</f>
        <v>Choux blanc</v>
      </c>
      <c r="N211" s="51" t="str">
        <f>_xlfn.TEXTJOIN(" ",TRUE,Migrationsartikel!N210:P210)</f>
        <v>Cavolo bianco</v>
      </c>
      <c r="O211" s="51" t="str">
        <f>Migrationsartikel!F210</f>
        <v>Kabis weiss</v>
      </c>
      <c r="P211" s="51" t="str">
        <f>Migrationsartikel!J210</f>
        <v>Choux blanc</v>
      </c>
      <c r="Q211" s="51" t="str">
        <f>Migrationsartikel!N210</f>
        <v>Cavolo bianco</v>
      </c>
      <c r="R211" s="51" t="str">
        <f>_xlfn.TEXTJOIN(" ",TRUE,Migrationsartikel!G210)</f>
        <v/>
      </c>
      <c r="S211" s="51" t="str">
        <f>_xlfn.TEXTJOIN(" ",TRUE,Migrationsartikel!K210)</f>
        <v/>
      </c>
      <c r="T211" s="51" t="str">
        <f>_xlfn.TEXTJOIN(" ",TRUE,Migrationsartikel!O210)</f>
        <v/>
      </c>
      <c r="U211" s="51" t="str">
        <f>_xlfn.TEXTJOIN(" ",TRUE,Migrationsartikel!H210)</f>
        <v/>
      </c>
      <c r="V211" s="51" t="str">
        <f>_xlfn.TEXTJOIN(" ",TRUE,Migrationsartikel!L210)</f>
        <v/>
      </c>
      <c r="W211" s="51" t="str">
        <f>_xlfn.TEXTJOIN(" ",TRUE,Migrationsartikel!P210)</f>
        <v/>
      </c>
      <c r="X211" s="51" t="str">
        <f>Migrationsartikel!I210</f>
        <v>Kabis weiss</v>
      </c>
      <c r="Y211" s="51" t="str">
        <f>Migrationsartikel!M210</f>
        <v>Choux blanc</v>
      </c>
      <c r="Z211" s="51" t="str">
        <f>Migrationsartikel!Q210</f>
        <v>Cavolo bianco</v>
      </c>
      <c r="AA211" s="60">
        <f>Migrationsartikel!R210</f>
        <v>1</v>
      </c>
      <c r="AB211" s="51" t="str">
        <f>Migrationsartikel!T210</f>
        <v>Kilogramm</v>
      </c>
      <c r="AC211" s="62">
        <f>Migrationsartikel!S210</f>
        <v>1</v>
      </c>
      <c r="AD211" s="51" t="str">
        <f>Migrationsartikel!U210</f>
        <v>(PCE) Stück</v>
      </c>
      <c r="AE211" s="95" t="str">
        <f>Migrationsartikel!Y210</f>
        <v>3 - Reduzierter Satz</v>
      </c>
      <c r="AF211" s="64" t="str">
        <f>IF(Migrationsartikel!AA210="Kein Depotartikel","",Migrationsartikel!AA210)</f>
        <v/>
      </c>
      <c r="AG211" s="95" t="str">
        <f>Migrationsartikel!Z210</f>
        <v>Keine</v>
      </c>
      <c r="AH211" s="51" t="str">
        <f>IF(Migrationsartikel!AB210="ja","true",FALSE)</f>
        <v>true</v>
      </c>
      <c r="AI211" s="51" t="str">
        <f>IF(Migrationsartikel!AC210="ja","true",FALSE)</f>
        <v>true</v>
      </c>
      <c r="AJ211" s="51" t="str">
        <f>IF(Migrationsartikel!AD210="ja","true",FALSE)</f>
        <v>true</v>
      </c>
      <c r="AK211" s="51" t="str">
        <f>IF(Migrationsartikel!AE210="ja","true",FALSE)</f>
        <v>true</v>
      </c>
      <c r="AL211" s="51" t="str">
        <f>IF(Migrationsartikel!AF210="ja","Denner Partner","")</f>
        <v/>
      </c>
      <c r="AM211" s="51" t="str">
        <f>IF(Migrationsartikel!AG210="ja","true","false")</f>
        <v>false</v>
      </c>
      <c r="AN211" s="51" t="str">
        <f t="shared" si="4"/>
        <v>Kassentastenbelegung (ohne GTIN/PLU)</v>
      </c>
      <c r="AO211" s="63" t="s">
        <v>219</v>
      </c>
      <c r="AP211" s="62" t="s">
        <v>2638</v>
      </c>
      <c r="AQ211" s="63" t="s">
        <v>217</v>
      </c>
      <c r="AR211" s="30" t="s">
        <v>219</v>
      </c>
    </row>
    <row r="212" spans="2:44" ht="21.75" customHeight="1" x14ac:dyDescent="0.45">
      <c r="B212" s="51" t="s">
        <v>99</v>
      </c>
      <c r="E212" s="52" t="s">
        <v>87</v>
      </c>
      <c r="F212" s="51" t="str">
        <f>"Warengruppe&gt;&gt;"&amp;_xlfn.TEXTJOIN("&gt;&gt;",TRUE,Migrationsartikel!V211:X211)</f>
        <v>Warengruppe&gt;&gt;Früchte und Gemüse&gt;&gt;Früchte und Gemüse&gt;&gt;Gemüse</v>
      </c>
      <c r="H212" s="52" t="s">
        <v>109</v>
      </c>
      <c r="J212" s="51" t="str">
        <f>_xlfn.TEXTJOIN(" ",TRUE,Migrationsartikel!B211,Migrationsartikel!E211)</f>
        <v>2203273000000</v>
      </c>
      <c r="L212" s="51" t="str">
        <f>_xlfn.TEXTJOIN(" ",TRUE,Migrationsartikel!F211:H211)</f>
        <v>Bio Kabis weiss 1Stk</v>
      </c>
      <c r="M212" s="51" t="str">
        <f>_xlfn.TEXTJOIN(" ",TRUE,Migrationsartikel!J211:L211)</f>
        <v>Bio Choux blanc 1pce</v>
      </c>
      <c r="N212" s="51" t="str">
        <f>_xlfn.TEXTJOIN(" ",TRUE,Migrationsartikel!N211:P211)</f>
        <v>Bio Cavolo bianco 1pz</v>
      </c>
      <c r="O212" s="51" t="str">
        <f>Migrationsartikel!F211</f>
        <v>Bio Kabis weiss</v>
      </c>
      <c r="P212" s="51" t="str">
        <f>Migrationsartikel!J211</f>
        <v>Bio Choux blanc</v>
      </c>
      <c r="Q212" s="51" t="str">
        <f>Migrationsartikel!N211</f>
        <v>Bio Cavolo bianco</v>
      </c>
      <c r="R212" s="51" t="str">
        <f>_xlfn.TEXTJOIN(" ",TRUE,Migrationsartikel!G211)</f>
        <v/>
      </c>
      <c r="S212" s="51" t="str">
        <f>_xlfn.TEXTJOIN(" ",TRUE,Migrationsartikel!K211)</f>
        <v/>
      </c>
      <c r="T212" s="51" t="str">
        <f>_xlfn.TEXTJOIN(" ",TRUE,Migrationsartikel!O211)</f>
        <v/>
      </c>
      <c r="U212" s="51" t="str">
        <f>_xlfn.TEXTJOIN(" ",TRUE,Migrationsartikel!H211)</f>
        <v>1Stk</v>
      </c>
      <c r="V212" s="51" t="str">
        <f>_xlfn.TEXTJOIN(" ",TRUE,Migrationsartikel!L211)</f>
        <v>1pce</v>
      </c>
      <c r="W212" s="51" t="str">
        <f>_xlfn.TEXTJOIN(" ",TRUE,Migrationsartikel!P211)</f>
        <v>1pz</v>
      </c>
      <c r="X212" s="51" t="str">
        <f>Migrationsartikel!I211</f>
        <v>Bio Kabis weiss 1 Stk</v>
      </c>
      <c r="Y212" s="51" t="str">
        <f>Migrationsartikel!M211</f>
        <v>Bio Choux blanc</v>
      </c>
      <c r="Z212" s="51" t="str">
        <f>Migrationsartikel!Q211</f>
        <v>Bio Cavolo bianco 1 pz</v>
      </c>
      <c r="AA212" s="60">
        <f>Migrationsartikel!R211</f>
        <v>1</v>
      </c>
      <c r="AB212" s="51" t="str">
        <f>Migrationsartikel!T211</f>
        <v>Stück</v>
      </c>
      <c r="AC212" s="62">
        <f>Migrationsartikel!S211</f>
        <v>1</v>
      </c>
      <c r="AD212" s="51" t="str">
        <f>Migrationsartikel!U211</f>
        <v>(PCE) Stück</v>
      </c>
      <c r="AE212" s="95" t="str">
        <f>Migrationsartikel!Y211</f>
        <v>3 - Reduzierter Satz</v>
      </c>
      <c r="AF212" s="64" t="str">
        <f>IF(Migrationsartikel!AA211="Kein Depotartikel","",Migrationsartikel!AA211)</f>
        <v/>
      </c>
      <c r="AG212" s="95" t="str">
        <f>Migrationsartikel!Z211</f>
        <v>Keine</v>
      </c>
      <c r="AH212" s="51" t="str">
        <f>IF(Migrationsartikel!AB211="ja","true",FALSE)</f>
        <v>true</v>
      </c>
      <c r="AI212" s="51" t="str">
        <f>IF(Migrationsartikel!AC211="ja","true",FALSE)</f>
        <v>true</v>
      </c>
      <c r="AJ212" s="51" t="str">
        <f>IF(Migrationsartikel!AD211="ja","true",FALSE)</f>
        <v>true</v>
      </c>
      <c r="AK212" s="51" t="str">
        <f>IF(Migrationsartikel!AE211="ja","true",FALSE)</f>
        <v>true</v>
      </c>
      <c r="AL212" s="51" t="str">
        <f>IF(Migrationsartikel!AF211="ja","Denner Partner","")</f>
        <v/>
      </c>
      <c r="AM212" s="51" t="str">
        <f>IF(Migrationsartikel!AG211="ja","true","false")</f>
        <v>false</v>
      </c>
      <c r="AN212" s="51" t="str">
        <f t="shared" si="4"/>
        <v>Kassentastenbelegung (ohne GTIN/PLU)</v>
      </c>
      <c r="AO212" s="63" t="s">
        <v>219</v>
      </c>
      <c r="AP212" s="62" t="s">
        <v>2639</v>
      </c>
      <c r="AQ212" s="63" t="s">
        <v>217</v>
      </c>
      <c r="AR212" s="30" t="s">
        <v>219</v>
      </c>
    </row>
    <row r="213" spans="2:44" ht="21.75" customHeight="1" x14ac:dyDescent="0.45">
      <c r="B213" s="51" t="s">
        <v>99</v>
      </c>
      <c r="E213" s="52" t="s">
        <v>87</v>
      </c>
      <c r="F213" s="51" t="str">
        <f>"Warengruppe&gt;&gt;"&amp;_xlfn.TEXTJOIN("&gt;&gt;",TRUE,Migrationsartikel!V212:X212)</f>
        <v>Warengruppe&gt;&gt;Früchte und Gemüse&gt;&gt;Früchte und Gemüse&gt;&gt;Gemüse</v>
      </c>
      <c r="H213" s="52" t="s">
        <v>109</v>
      </c>
      <c r="J213" s="51" t="str">
        <f>_xlfn.TEXTJOIN(" ",TRUE,Migrationsartikel!B212,Migrationsartikel!E212)</f>
        <v/>
      </c>
      <c r="L213" s="51" t="str">
        <f>_xlfn.TEXTJOIN(" ",TRUE,Migrationsartikel!F212:H212)</f>
        <v>Kabis weiss mittel Offen</v>
      </c>
      <c r="M213" s="51" t="str">
        <f>_xlfn.TEXTJOIN(" ",TRUE,Migrationsartikel!J212:L212)</f>
        <v>Choux blanc moyen En vrac</v>
      </c>
      <c r="N213" s="51" t="str">
        <f>_xlfn.TEXTJOIN(" ",TRUE,Migrationsartikel!N212:P212)</f>
        <v>Cavolo bianco medio vendita sfusa</v>
      </c>
      <c r="O213" s="51" t="str">
        <f>Migrationsartikel!F212</f>
        <v>Kabis weiss mittel</v>
      </c>
      <c r="P213" s="51" t="str">
        <f>Migrationsartikel!J212</f>
        <v>Choux blanc moyen</v>
      </c>
      <c r="Q213" s="51" t="str">
        <f>Migrationsartikel!N212</f>
        <v>Cavolo bianco medio</v>
      </c>
      <c r="R213" s="51" t="str">
        <f>_xlfn.TEXTJOIN(" ",TRUE,Migrationsartikel!G212)</f>
        <v>Offen</v>
      </c>
      <c r="S213" s="51" t="str">
        <f>_xlfn.TEXTJOIN(" ",TRUE,Migrationsartikel!K212)</f>
        <v>En vrac</v>
      </c>
      <c r="T213" s="51" t="str">
        <f>_xlfn.TEXTJOIN(" ",TRUE,Migrationsartikel!O212)</f>
        <v>vendita sfusa</v>
      </c>
      <c r="U213" s="51" t="str">
        <f>_xlfn.TEXTJOIN(" ",TRUE,Migrationsartikel!H212)</f>
        <v/>
      </c>
      <c r="V213" s="51" t="str">
        <f>_xlfn.TEXTJOIN(" ",TRUE,Migrationsartikel!L212)</f>
        <v/>
      </c>
      <c r="W213" s="51" t="str">
        <f>_xlfn.TEXTJOIN(" ",TRUE,Migrationsartikel!P212)</f>
        <v/>
      </c>
      <c r="X213" s="51" t="str">
        <f>Migrationsartikel!I212</f>
        <v>Kabis weiss mittel</v>
      </c>
      <c r="Y213" s="51" t="str">
        <f>Migrationsartikel!M212</f>
        <v>Choux blanc moyen en vrac</v>
      </c>
      <c r="Z213" s="51" t="str">
        <f>Migrationsartikel!Q212</f>
        <v>Cavolo bianco medio v. sfusa</v>
      </c>
      <c r="AA213" s="60">
        <f>Migrationsartikel!R212</f>
        <v>1</v>
      </c>
      <c r="AB213" s="51" t="str">
        <f>Migrationsartikel!T212</f>
        <v>Kilogramm</v>
      </c>
      <c r="AC213" s="62">
        <f>Migrationsartikel!S212</f>
        <v>1</v>
      </c>
      <c r="AD213" s="51" t="str">
        <f>Migrationsartikel!U212</f>
        <v>(PCE) Stück</v>
      </c>
      <c r="AE213" s="95" t="str">
        <f>Migrationsartikel!Y212</f>
        <v>3 - Reduzierter Satz</v>
      </c>
      <c r="AF213" s="64" t="str">
        <f>IF(Migrationsartikel!AA212="Kein Depotartikel","",Migrationsartikel!AA212)</f>
        <v/>
      </c>
      <c r="AG213" s="95" t="str">
        <f>Migrationsartikel!Z212</f>
        <v>Keine</v>
      </c>
      <c r="AH213" s="51" t="str">
        <f>IF(Migrationsartikel!AB212="ja","true",FALSE)</f>
        <v>true</v>
      </c>
      <c r="AI213" s="51" t="str">
        <f>IF(Migrationsartikel!AC212="ja","true",FALSE)</f>
        <v>true</v>
      </c>
      <c r="AJ213" s="51" t="str">
        <f>IF(Migrationsartikel!AD212="ja","true",FALSE)</f>
        <v>true</v>
      </c>
      <c r="AK213" s="51" t="str">
        <f>IF(Migrationsartikel!AE212="ja","true",FALSE)</f>
        <v>true</v>
      </c>
      <c r="AL213" s="51" t="str">
        <f>IF(Migrationsartikel!AF212="ja","Denner Partner","")</f>
        <v/>
      </c>
      <c r="AM213" s="51" t="str">
        <f>IF(Migrationsartikel!AG212="ja","true","false")</f>
        <v>false</v>
      </c>
      <c r="AN213" s="51" t="str">
        <f t="shared" si="4"/>
        <v>Kassentastenbelegung (ohne GTIN/PLU)</v>
      </c>
      <c r="AO213" s="63" t="s">
        <v>219</v>
      </c>
      <c r="AP213" s="62" t="s">
        <v>2640</v>
      </c>
      <c r="AQ213" s="63" t="s">
        <v>217</v>
      </c>
      <c r="AR213" s="30" t="s">
        <v>219</v>
      </c>
    </row>
    <row r="214" spans="2:44" ht="21.75" customHeight="1" x14ac:dyDescent="0.45">
      <c r="B214" s="51" t="s">
        <v>99</v>
      </c>
      <c r="E214" s="52" t="s">
        <v>87</v>
      </c>
      <c r="F214" s="51" t="str">
        <f>"Warengruppe&gt;&gt;"&amp;_xlfn.TEXTJOIN("&gt;&gt;",TRUE,Migrationsartikel!V213:X213)</f>
        <v>Warengruppe&gt;&gt;Früchte und Gemüse&gt;&gt;Früchte und Gemüse&gt;&gt;Gemüse</v>
      </c>
      <c r="H214" s="52" t="s">
        <v>109</v>
      </c>
      <c r="J214" s="51" t="str">
        <f>_xlfn.TEXTJOIN(" ",TRUE,Migrationsartikel!B213,Migrationsartikel!E213)</f>
        <v>2209258000000</v>
      </c>
      <c r="L214" s="51" t="str">
        <f>_xlfn.TEXTJOIN(" ",TRUE,Migrationsartikel!F213:H213)</f>
        <v>Bio Karotten Beutel 1kg</v>
      </c>
      <c r="M214" s="51" t="str">
        <f>_xlfn.TEXTJOIN(" ",TRUE,Migrationsartikel!J213:L213)</f>
        <v>Bio Carottes Sachet 1kg</v>
      </c>
      <c r="N214" s="51" t="str">
        <f>_xlfn.TEXTJOIN(" ",TRUE,Migrationsartikel!N213:P213)</f>
        <v>Bio Carote sacchetto 1kg</v>
      </c>
      <c r="O214" s="51" t="str">
        <f>Migrationsartikel!F213</f>
        <v>Bio Karotten</v>
      </c>
      <c r="P214" s="51" t="str">
        <f>Migrationsartikel!J213</f>
        <v>Bio Carottes</v>
      </c>
      <c r="Q214" s="51" t="str">
        <f>Migrationsartikel!N213</f>
        <v>Bio Carote</v>
      </c>
      <c r="R214" s="51" t="str">
        <f>_xlfn.TEXTJOIN(" ",TRUE,Migrationsartikel!G213)</f>
        <v>Beutel</v>
      </c>
      <c r="S214" s="51" t="str">
        <f>_xlfn.TEXTJOIN(" ",TRUE,Migrationsartikel!K213)</f>
        <v>Sachet</v>
      </c>
      <c r="T214" s="51" t="str">
        <f>_xlfn.TEXTJOIN(" ",TRUE,Migrationsartikel!O213)</f>
        <v>sacchetto</v>
      </c>
      <c r="U214" s="51" t="str">
        <f>_xlfn.TEXTJOIN(" ",TRUE,Migrationsartikel!H213)</f>
        <v>1kg</v>
      </c>
      <c r="V214" s="51" t="str">
        <f>_xlfn.TEXTJOIN(" ",TRUE,Migrationsartikel!L213)</f>
        <v>1kg</v>
      </c>
      <c r="W214" s="51" t="str">
        <f>_xlfn.TEXTJOIN(" ",TRUE,Migrationsartikel!P213)</f>
        <v>1kg</v>
      </c>
      <c r="X214" s="51" t="str">
        <f>Migrationsartikel!I213</f>
        <v>Bio Karotten Beutel 1 kg</v>
      </c>
      <c r="Y214" s="51" t="str">
        <f>Migrationsartikel!M213</f>
        <v>Bio Carottes sachet 1kg</v>
      </c>
      <c r="Z214" s="51" t="str">
        <f>Migrationsartikel!Q213</f>
        <v>Bio Carote sachetto 1kg</v>
      </c>
      <c r="AA214" s="60">
        <f>Migrationsartikel!R213</f>
        <v>1</v>
      </c>
      <c r="AB214" s="51" t="str">
        <f>Migrationsartikel!T213</f>
        <v>Kilogramm</v>
      </c>
      <c r="AC214" s="62">
        <f>Migrationsartikel!S213</f>
        <v>1</v>
      </c>
      <c r="AD214" s="51" t="str">
        <f>Migrationsartikel!U213</f>
        <v>(PCE) Stück</v>
      </c>
      <c r="AE214" s="95" t="str">
        <f>Migrationsartikel!Y213</f>
        <v>3 - Reduzierter Satz</v>
      </c>
      <c r="AF214" s="64" t="str">
        <f>IF(Migrationsartikel!AA213="Kein Depotartikel","",Migrationsartikel!AA213)</f>
        <v/>
      </c>
      <c r="AG214" s="95" t="str">
        <f>Migrationsartikel!Z213</f>
        <v>Keine</v>
      </c>
      <c r="AH214" s="51" t="str">
        <f>IF(Migrationsartikel!AB213="ja","true",FALSE)</f>
        <v>true</v>
      </c>
      <c r="AI214" s="51" t="str">
        <f>IF(Migrationsartikel!AC213="ja","true",FALSE)</f>
        <v>true</v>
      </c>
      <c r="AJ214" s="51" t="str">
        <f>IF(Migrationsartikel!AD213="ja","true",FALSE)</f>
        <v>true</v>
      </c>
      <c r="AK214" s="51" t="str">
        <f>IF(Migrationsartikel!AE213="ja","true",FALSE)</f>
        <v>true</v>
      </c>
      <c r="AL214" s="51" t="str">
        <f>IF(Migrationsartikel!AF213="ja","Denner Partner","")</f>
        <v/>
      </c>
      <c r="AM214" s="51" t="str">
        <f>IF(Migrationsartikel!AG213="ja","true","false")</f>
        <v>false</v>
      </c>
      <c r="AN214" s="51" t="str">
        <f t="shared" si="4"/>
        <v>Kassentastenbelegung (ohne GTIN/PLU)</v>
      </c>
      <c r="AO214" s="63" t="s">
        <v>219</v>
      </c>
      <c r="AP214" s="62" t="s">
        <v>2641</v>
      </c>
      <c r="AQ214" s="63" t="s">
        <v>217</v>
      </c>
      <c r="AR214" s="30" t="s">
        <v>219</v>
      </c>
    </row>
    <row r="215" spans="2:44" ht="21.75" customHeight="1" x14ac:dyDescent="0.45">
      <c r="B215" s="51" t="s">
        <v>99</v>
      </c>
      <c r="E215" s="52" t="s">
        <v>87</v>
      </c>
      <c r="F215" s="51" t="str">
        <f>"Warengruppe&gt;&gt;"&amp;_xlfn.TEXTJOIN("&gt;&gt;",TRUE,Migrationsartikel!V214:X214)</f>
        <v>Warengruppe&gt;&gt;Früchte und Gemüse&gt;&gt;Früchte und Gemüse&gt;&gt;Gemüse</v>
      </c>
      <c r="H215" s="52" t="s">
        <v>109</v>
      </c>
      <c r="J215" s="51" t="str">
        <f>_xlfn.TEXTJOIN(" ",TRUE,Migrationsartikel!B214,Migrationsartikel!E214)</f>
        <v>2203841000002</v>
      </c>
      <c r="L215" s="51" t="str">
        <f>_xlfn.TEXTJOIN(" ",TRUE,Migrationsartikel!F214:H214)</f>
        <v>Karotten mittel Beutel 1.5kg</v>
      </c>
      <c r="M215" s="51" t="str">
        <f>_xlfn.TEXTJOIN(" ",TRUE,Migrationsartikel!J214:L214)</f>
        <v>Carottes moyennes Sachet 1.5kg</v>
      </c>
      <c r="N215" s="51" t="str">
        <f>_xlfn.TEXTJOIN(" ",TRUE,Migrationsartikel!N214:P214)</f>
        <v>Carote medie sacchetto 1.5kg</v>
      </c>
      <c r="O215" s="51" t="str">
        <f>Migrationsartikel!F214</f>
        <v>Karotten mittel</v>
      </c>
      <c r="P215" s="51" t="str">
        <f>Migrationsartikel!J214</f>
        <v>Carottes moyennes</v>
      </c>
      <c r="Q215" s="51" t="str">
        <f>Migrationsartikel!N214</f>
        <v>Carote medie</v>
      </c>
      <c r="R215" s="51" t="str">
        <f>_xlfn.TEXTJOIN(" ",TRUE,Migrationsartikel!G214)</f>
        <v>Beutel</v>
      </c>
      <c r="S215" s="51" t="str">
        <f>_xlfn.TEXTJOIN(" ",TRUE,Migrationsartikel!K214)</f>
        <v>Sachet</v>
      </c>
      <c r="T215" s="51" t="str">
        <f>_xlfn.TEXTJOIN(" ",TRUE,Migrationsartikel!O214)</f>
        <v>sacchetto</v>
      </c>
      <c r="U215" s="51" t="str">
        <f>_xlfn.TEXTJOIN(" ",TRUE,Migrationsartikel!H214)</f>
        <v>1.5kg</v>
      </c>
      <c r="V215" s="51" t="str">
        <f>_xlfn.TEXTJOIN(" ",TRUE,Migrationsartikel!L214)</f>
        <v>1.5kg</v>
      </c>
      <c r="W215" s="51" t="str">
        <f>_xlfn.TEXTJOIN(" ",TRUE,Migrationsartikel!P214)</f>
        <v>1.5kg</v>
      </c>
      <c r="X215" s="51" t="str">
        <f>Migrationsartikel!I214</f>
        <v>Karotten mittel Beutel 1.5kg</v>
      </c>
      <c r="Y215" s="51" t="str">
        <f>Migrationsartikel!M214</f>
        <v>Carottes moyennes 1.5kg</v>
      </c>
      <c r="Z215" s="51" t="str">
        <f>Migrationsartikel!Q214</f>
        <v>Carote med. sacchetto 1.5kg</v>
      </c>
      <c r="AA215" s="60">
        <f>Migrationsartikel!R214</f>
        <v>1.5</v>
      </c>
      <c r="AB215" s="51" t="str">
        <f>Migrationsartikel!T214</f>
        <v>Kilogramm</v>
      </c>
      <c r="AC215" s="62">
        <f>Migrationsartikel!S214</f>
        <v>1</v>
      </c>
      <c r="AD215" s="51" t="str">
        <f>Migrationsartikel!U214</f>
        <v>(PCE) Stück</v>
      </c>
      <c r="AE215" s="95" t="str">
        <f>Migrationsartikel!Y214</f>
        <v>3 - Reduzierter Satz</v>
      </c>
      <c r="AF215" s="64" t="str">
        <f>IF(Migrationsartikel!AA214="Kein Depotartikel","",Migrationsartikel!AA214)</f>
        <v/>
      </c>
      <c r="AG215" s="95" t="str">
        <f>Migrationsartikel!Z214</f>
        <v>Keine</v>
      </c>
      <c r="AH215" s="51" t="str">
        <f>IF(Migrationsartikel!AB214="ja","true",FALSE)</f>
        <v>true</v>
      </c>
      <c r="AI215" s="51" t="str">
        <f>IF(Migrationsartikel!AC214="ja","true",FALSE)</f>
        <v>true</v>
      </c>
      <c r="AJ215" s="51" t="str">
        <f>IF(Migrationsartikel!AD214="ja","true",FALSE)</f>
        <v>true</v>
      </c>
      <c r="AK215" s="51" t="str">
        <f>IF(Migrationsartikel!AE214="ja","true",FALSE)</f>
        <v>true</v>
      </c>
      <c r="AL215" s="51" t="str">
        <f>IF(Migrationsartikel!AF214="ja","Denner Partner","")</f>
        <v/>
      </c>
      <c r="AM215" s="51" t="str">
        <f>IF(Migrationsartikel!AG214="ja","true","false")</f>
        <v>false</v>
      </c>
      <c r="AN215" s="51" t="str">
        <f t="shared" si="4"/>
        <v>Kassentastenbelegung (ohne GTIN/PLU)</v>
      </c>
      <c r="AO215" s="63" t="s">
        <v>219</v>
      </c>
      <c r="AP215" s="62" t="s">
        <v>2642</v>
      </c>
      <c r="AQ215" s="63" t="s">
        <v>217</v>
      </c>
      <c r="AR215" s="30" t="s">
        <v>219</v>
      </c>
    </row>
    <row r="216" spans="2:44" ht="21.75" customHeight="1" x14ac:dyDescent="0.45">
      <c r="B216" s="51" t="s">
        <v>99</v>
      </c>
      <c r="E216" s="52" t="s">
        <v>87</v>
      </c>
      <c r="F216" s="51" t="str">
        <f>"Warengruppe&gt;&gt;"&amp;_xlfn.TEXTJOIN("&gt;&gt;",TRUE,Migrationsartikel!V215:X215)</f>
        <v>Warengruppe&gt;&gt;Früchte und Gemüse&gt;&gt;Früchte und Gemüse&gt;&gt;Gemüse</v>
      </c>
      <c r="H216" s="52" t="s">
        <v>109</v>
      </c>
      <c r="J216" s="51" t="str">
        <f>_xlfn.TEXTJOIN(" ",TRUE,Migrationsartikel!B215,Migrationsartikel!E215)</f>
        <v>2204627000000</v>
      </c>
      <c r="L216" s="51" t="str">
        <f>_xlfn.TEXTJOIN(" ",TRUE,Migrationsartikel!F215:H215)</f>
        <v>Karotten mittel</v>
      </c>
      <c r="M216" s="51" t="str">
        <f>_xlfn.TEXTJOIN(" ",TRUE,Migrationsartikel!J215:L215)</f>
        <v>Carottes moyennes</v>
      </c>
      <c r="N216" s="51" t="str">
        <f>_xlfn.TEXTJOIN(" ",TRUE,Migrationsartikel!N215:P215)</f>
        <v>Carote medie</v>
      </c>
      <c r="O216" s="51" t="str">
        <f>Migrationsartikel!F215</f>
        <v>Karotten mittel</v>
      </c>
      <c r="P216" s="51" t="str">
        <f>Migrationsartikel!J215</f>
        <v>Carottes moyennes</v>
      </c>
      <c r="Q216" s="51" t="str">
        <f>Migrationsartikel!N215</f>
        <v>Carote medie</v>
      </c>
      <c r="R216" s="51" t="str">
        <f>_xlfn.TEXTJOIN(" ",TRUE,Migrationsartikel!G215)</f>
        <v/>
      </c>
      <c r="S216" s="51" t="str">
        <f>_xlfn.TEXTJOIN(" ",TRUE,Migrationsartikel!K215)</f>
        <v/>
      </c>
      <c r="T216" s="51" t="str">
        <f>_xlfn.TEXTJOIN(" ",TRUE,Migrationsartikel!O215)</f>
        <v/>
      </c>
      <c r="U216" s="51" t="str">
        <f>_xlfn.TEXTJOIN(" ",TRUE,Migrationsartikel!H215)</f>
        <v/>
      </c>
      <c r="V216" s="51" t="str">
        <f>_xlfn.TEXTJOIN(" ",TRUE,Migrationsartikel!L215)</f>
        <v/>
      </c>
      <c r="W216" s="51" t="str">
        <f>_xlfn.TEXTJOIN(" ",TRUE,Migrationsartikel!P215)</f>
        <v/>
      </c>
      <c r="X216" s="51" t="str">
        <f>Migrationsartikel!I215</f>
        <v>Karotten mittel</v>
      </c>
      <c r="Y216" s="51" t="str">
        <f>Migrationsartikel!M215</f>
        <v>Carottes moyennes</v>
      </c>
      <c r="Z216" s="51" t="str">
        <f>Migrationsartikel!Q215</f>
        <v>Carote medie</v>
      </c>
      <c r="AA216" s="60">
        <f>Migrationsartikel!R215</f>
        <v>1</v>
      </c>
      <c r="AB216" s="51" t="str">
        <f>Migrationsartikel!T215</f>
        <v>Kilogramm</v>
      </c>
      <c r="AC216" s="62">
        <f>Migrationsartikel!S215</f>
        <v>1</v>
      </c>
      <c r="AD216" s="51" t="str">
        <f>Migrationsartikel!U215</f>
        <v>(PCE) Stück</v>
      </c>
      <c r="AE216" s="95" t="str">
        <f>Migrationsartikel!Y215</f>
        <v>3 - Reduzierter Satz</v>
      </c>
      <c r="AF216" s="64" t="str">
        <f>IF(Migrationsartikel!AA215="Kein Depotartikel","",Migrationsartikel!AA215)</f>
        <v/>
      </c>
      <c r="AG216" s="95" t="str">
        <f>Migrationsartikel!Z215</f>
        <v>Keine</v>
      </c>
      <c r="AH216" s="51" t="str">
        <f>IF(Migrationsartikel!AB215="ja","true",FALSE)</f>
        <v>true</v>
      </c>
      <c r="AI216" s="51" t="str">
        <f>IF(Migrationsartikel!AC215="ja","true",FALSE)</f>
        <v>true</v>
      </c>
      <c r="AJ216" s="51" t="str">
        <f>IF(Migrationsartikel!AD215="ja","true",FALSE)</f>
        <v>true</v>
      </c>
      <c r="AK216" s="51" t="str">
        <f>IF(Migrationsartikel!AE215="ja","true",FALSE)</f>
        <v>true</v>
      </c>
      <c r="AL216" s="51" t="str">
        <f>IF(Migrationsartikel!AF215="ja","Denner Partner","")</f>
        <v/>
      </c>
      <c r="AM216" s="51" t="str">
        <f>IF(Migrationsartikel!AG215="ja","true","false")</f>
        <v>false</v>
      </c>
      <c r="AN216" s="51" t="str">
        <f t="shared" si="4"/>
        <v>Kassentastenbelegung (ohne GTIN/PLU)</v>
      </c>
      <c r="AO216" s="63" t="s">
        <v>219</v>
      </c>
      <c r="AP216" s="62" t="s">
        <v>2643</v>
      </c>
      <c r="AQ216" s="63" t="s">
        <v>217</v>
      </c>
      <c r="AR216" s="30" t="s">
        <v>219</v>
      </c>
    </row>
    <row r="217" spans="2:44" ht="21.75" customHeight="1" x14ac:dyDescent="0.45">
      <c r="B217" s="51" t="s">
        <v>99</v>
      </c>
      <c r="E217" s="52" t="s">
        <v>87</v>
      </c>
      <c r="F217" s="51" t="str">
        <f>"Warengruppe&gt;&gt;"&amp;_xlfn.TEXTJOIN("&gt;&gt;",TRUE,Migrationsartikel!V216:X216)</f>
        <v>Warengruppe&gt;&gt;Früchte und Gemüse&gt;&gt;Früchte und Gemüse&gt;&gt;Gemüse</v>
      </c>
      <c r="H217" s="52" t="s">
        <v>109</v>
      </c>
      <c r="J217" s="51" t="str">
        <f>_xlfn.TEXTJOIN(" ",TRUE,Migrationsartikel!B216,Migrationsartikel!E216)</f>
        <v>224</v>
      </c>
      <c r="L217" s="51" t="str">
        <f>_xlfn.TEXTJOIN(" ",TRUE,Migrationsartikel!F216:H216)</f>
        <v>Karotten Pfälzer Offen</v>
      </c>
      <c r="M217" s="51" t="str">
        <f>_xlfn.TEXTJOIN(" ",TRUE,Migrationsartikel!J216:L216)</f>
        <v>Carottes jaunes En vrac</v>
      </c>
      <c r="N217" s="51" t="str">
        <f>_xlfn.TEXTJOIN(" ",TRUE,Migrationsartikel!N216:P216)</f>
        <v>Carote Palatine vendita sfusa</v>
      </c>
      <c r="O217" s="51" t="str">
        <f>Migrationsartikel!F216</f>
        <v>Karotten Pfälzer</v>
      </c>
      <c r="P217" s="51" t="str">
        <f>Migrationsartikel!J216</f>
        <v>Carottes jaunes</v>
      </c>
      <c r="Q217" s="51" t="str">
        <f>Migrationsartikel!N216</f>
        <v>Carote Palatine</v>
      </c>
      <c r="R217" s="51" t="str">
        <f>_xlfn.TEXTJOIN(" ",TRUE,Migrationsartikel!G216)</f>
        <v>Offen</v>
      </c>
      <c r="S217" s="51" t="str">
        <f>_xlfn.TEXTJOIN(" ",TRUE,Migrationsartikel!K216)</f>
        <v>En vrac</v>
      </c>
      <c r="T217" s="51" t="str">
        <f>_xlfn.TEXTJOIN(" ",TRUE,Migrationsartikel!O216)</f>
        <v>vendita sfusa</v>
      </c>
      <c r="U217" s="51" t="str">
        <f>_xlfn.TEXTJOIN(" ",TRUE,Migrationsartikel!H216)</f>
        <v/>
      </c>
      <c r="V217" s="51" t="str">
        <f>_xlfn.TEXTJOIN(" ",TRUE,Migrationsartikel!L216)</f>
        <v/>
      </c>
      <c r="W217" s="51" t="str">
        <f>_xlfn.TEXTJOIN(" ",TRUE,Migrationsartikel!P216)</f>
        <v/>
      </c>
      <c r="X217" s="51" t="str">
        <f>Migrationsartikel!I216</f>
        <v>Karotten Pfälzer Offen</v>
      </c>
      <c r="Y217" s="51" t="str">
        <f>Migrationsartikel!M216</f>
        <v>Carottes jaunes en vrac</v>
      </c>
      <c r="Z217" s="51" t="str">
        <f>Migrationsartikel!Q216</f>
        <v>Carote Palatine vend. sfusa</v>
      </c>
      <c r="AA217" s="60">
        <f>Migrationsartikel!R216</f>
        <v>1</v>
      </c>
      <c r="AB217" s="51" t="str">
        <f>Migrationsartikel!T216</f>
        <v>Kilogramm</v>
      </c>
      <c r="AC217" s="62">
        <f>Migrationsartikel!S216</f>
        <v>1</v>
      </c>
      <c r="AD217" s="51" t="str">
        <f>Migrationsartikel!U216</f>
        <v>(KGM) KG</v>
      </c>
      <c r="AE217" s="95" t="str">
        <f>Migrationsartikel!Y216</f>
        <v>3 - Reduzierter Satz</v>
      </c>
      <c r="AF217" s="64" t="str">
        <f>IF(Migrationsartikel!AA216="Kein Depotartikel","",Migrationsartikel!AA216)</f>
        <v/>
      </c>
      <c r="AG217" s="95" t="str">
        <f>Migrationsartikel!Z216</f>
        <v>Keine</v>
      </c>
      <c r="AH217" s="51" t="str">
        <f>IF(Migrationsartikel!AB216="ja","true",FALSE)</f>
        <v>true</v>
      </c>
      <c r="AI217" s="51" t="str">
        <f>IF(Migrationsartikel!AC216="ja","true",FALSE)</f>
        <v>true</v>
      </c>
      <c r="AJ217" s="51" t="str">
        <f>IF(Migrationsartikel!AD216="ja","true",FALSE)</f>
        <v>true</v>
      </c>
      <c r="AK217" s="51" t="str">
        <f>IF(Migrationsartikel!AE216="ja","true",FALSE)</f>
        <v>true</v>
      </c>
      <c r="AL217" s="51" t="str">
        <f>IF(Migrationsartikel!AF216="ja","Denner Partner","")</f>
        <v/>
      </c>
      <c r="AM217" s="51" t="str">
        <f>IF(Migrationsartikel!AG216="ja","true","false")</f>
        <v>false</v>
      </c>
      <c r="AN217" s="51" t="str">
        <f t="shared" si="4"/>
        <v>Kassentastenbelegung (ohne GTIN/PLU)</v>
      </c>
      <c r="AO217" s="63" t="s">
        <v>219</v>
      </c>
      <c r="AP217" s="62" t="s">
        <v>2644</v>
      </c>
      <c r="AQ217" s="63" t="s">
        <v>217</v>
      </c>
      <c r="AR217" s="30" t="s">
        <v>219</v>
      </c>
    </row>
    <row r="218" spans="2:44" ht="21.75" customHeight="1" x14ac:dyDescent="0.45">
      <c r="B218" s="51" t="s">
        <v>99</v>
      </c>
      <c r="E218" s="52" t="s">
        <v>87</v>
      </c>
      <c r="F218" s="51" t="str">
        <f>"Warengruppe&gt;&gt;"&amp;_xlfn.TEXTJOIN("&gt;&gt;",TRUE,Migrationsartikel!V217:X217)</f>
        <v>Warengruppe&gt;&gt;Früchte und Gemüse&gt;&gt;Früchte und Gemüse&gt;&gt;Gemüse</v>
      </c>
      <c r="H218" s="52" t="s">
        <v>109</v>
      </c>
      <c r="J218" s="51" t="str">
        <f>_xlfn.TEXTJOIN(" ",TRUE,Migrationsartikel!B217,Migrationsartikel!E217)</f>
        <v>2204811000008</v>
      </c>
      <c r="L218" s="51" t="str">
        <f>_xlfn.TEXTJOIN(" ",TRUE,Migrationsartikel!F217:H217)</f>
        <v>Karotten Pfälzer ca. 500g</v>
      </c>
      <c r="M218" s="51" t="str">
        <f>_xlfn.TEXTJOIN(" ",TRUE,Migrationsartikel!J217:L217)</f>
        <v>Carottes jaunes env. 500g</v>
      </c>
      <c r="N218" s="51" t="str">
        <f>_xlfn.TEXTJOIN(" ",TRUE,Migrationsartikel!N217:P217)</f>
        <v>Carote Palatine ca. 500g</v>
      </c>
      <c r="O218" s="51" t="str">
        <f>Migrationsartikel!F217</f>
        <v>Karotten Pfälzer</v>
      </c>
      <c r="P218" s="51" t="str">
        <f>Migrationsartikel!J217</f>
        <v>Carottes jaunes</v>
      </c>
      <c r="Q218" s="51" t="str">
        <f>Migrationsartikel!N217</f>
        <v>Carote Palatine</v>
      </c>
      <c r="R218" s="51" t="str">
        <f>_xlfn.TEXTJOIN(" ",TRUE,Migrationsartikel!G217)</f>
        <v/>
      </c>
      <c r="S218" s="51" t="str">
        <f>_xlfn.TEXTJOIN(" ",TRUE,Migrationsartikel!K217)</f>
        <v/>
      </c>
      <c r="T218" s="51" t="str">
        <f>_xlfn.TEXTJOIN(" ",TRUE,Migrationsartikel!O217)</f>
        <v/>
      </c>
      <c r="U218" s="51" t="str">
        <f>_xlfn.TEXTJOIN(" ",TRUE,Migrationsartikel!H217)</f>
        <v>ca. 500g</v>
      </c>
      <c r="V218" s="51" t="str">
        <f>_xlfn.TEXTJOIN(" ",TRUE,Migrationsartikel!L217)</f>
        <v>env. 500g</v>
      </c>
      <c r="W218" s="51" t="str">
        <f>_xlfn.TEXTJOIN(" ",TRUE,Migrationsartikel!P217)</f>
        <v>ca. 500g</v>
      </c>
      <c r="X218" s="51" t="str">
        <f>Migrationsartikel!I217</f>
        <v>Karotten Pfälzer ca. 500g</v>
      </c>
      <c r="Y218" s="51" t="str">
        <f>Migrationsartikel!M217</f>
        <v>Carottes jaunes env. 500g</v>
      </c>
      <c r="Z218" s="51" t="str">
        <f>Migrationsartikel!Q217</f>
        <v>Carote Palatine ca. 500g</v>
      </c>
      <c r="AA218" s="60">
        <f>Migrationsartikel!R217</f>
        <v>0.5</v>
      </c>
      <c r="AB218" s="51" t="str">
        <f>Migrationsartikel!T217</f>
        <v>Kilogramm</v>
      </c>
      <c r="AC218" s="62">
        <f>Migrationsartikel!S217</f>
        <v>1</v>
      </c>
      <c r="AD218" s="51" t="str">
        <f>Migrationsartikel!U217</f>
        <v>(PCE) Stück</v>
      </c>
      <c r="AE218" s="95" t="str">
        <f>Migrationsartikel!Y217</f>
        <v>3 - Reduzierter Satz</v>
      </c>
      <c r="AF218" s="64" t="str">
        <f>IF(Migrationsartikel!AA217="Kein Depotartikel","",Migrationsartikel!AA217)</f>
        <v/>
      </c>
      <c r="AG218" s="95" t="str">
        <f>Migrationsartikel!Z217</f>
        <v>Keine</v>
      </c>
      <c r="AH218" s="51" t="str">
        <f>IF(Migrationsartikel!AB217="ja","true",FALSE)</f>
        <v>true</v>
      </c>
      <c r="AI218" s="51" t="str">
        <f>IF(Migrationsartikel!AC217="ja","true",FALSE)</f>
        <v>true</v>
      </c>
      <c r="AJ218" s="51" t="str">
        <f>IF(Migrationsartikel!AD217="ja","true",FALSE)</f>
        <v>true</v>
      </c>
      <c r="AK218" s="51" t="str">
        <f>IF(Migrationsartikel!AE217="ja","true",FALSE)</f>
        <v>true</v>
      </c>
      <c r="AL218" s="51" t="str">
        <f>IF(Migrationsartikel!AF217="ja","Denner Partner","")</f>
        <v/>
      </c>
      <c r="AM218" s="51" t="str">
        <f>IF(Migrationsartikel!AG217="ja","true","false")</f>
        <v>false</v>
      </c>
      <c r="AN218" s="51" t="str">
        <f t="shared" si="4"/>
        <v>Kassentastenbelegung (ohne GTIN/PLU)</v>
      </c>
      <c r="AO218" s="63" t="s">
        <v>219</v>
      </c>
      <c r="AP218" s="62" t="s">
        <v>2645</v>
      </c>
      <c r="AQ218" s="63" t="s">
        <v>217</v>
      </c>
      <c r="AR218" s="30" t="s">
        <v>219</v>
      </c>
    </row>
    <row r="219" spans="2:44" ht="21.75" customHeight="1" x14ac:dyDescent="0.45">
      <c r="B219" s="51" t="s">
        <v>99</v>
      </c>
      <c r="E219" s="52" t="s">
        <v>87</v>
      </c>
      <c r="F219" s="51" t="str">
        <f>"Warengruppe&gt;&gt;"&amp;_xlfn.TEXTJOIN("&gt;&gt;",TRUE,Migrationsartikel!V218:X218)</f>
        <v>Warengruppe&gt;&gt;Früchte und Gemüse&gt;&gt;Früchte und Gemüse&gt;&gt;Gemüse</v>
      </c>
      <c r="H219" s="52" t="s">
        <v>109</v>
      </c>
      <c r="J219" s="51" t="str">
        <f>_xlfn.TEXTJOIN(" ",TRUE,Migrationsartikel!B218,Migrationsartikel!E218)</f>
        <v>231</v>
      </c>
      <c r="L219" s="51" t="str">
        <f>_xlfn.TEXTJOIN(" ",TRUE,Migrationsartikel!F218:H218)</f>
        <v>Kartoffeln Brätler Offen</v>
      </c>
      <c r="M219" s="51" t="str">
        <f>_xlfn.TEXTJOIN(" ",TRUE,Migrationsartikel!J218:L218)</f>
        <v>P. de terre Brätler En vrac</v>
      </c>
      <c r="N219" s="51" t="str">
        <f>_xlfn.TEXTJOIN(" ",TRUE,Migrationsartikel!N218:P218)</f>
        <v>Patate Brätler vendita sfusa</v>
      </c>
      <c r="O219" s="51" t="str">
        <f>Migrationsartikel!F218</f>
        <v>Kartoffeln Brätler</v>
      </c>
      <c r="P219" s="51" t="str">
        <f>Migrationsartikel!J218</f>
        <v>P. de terre Brätler</v>
      </c>
      <c r="Q219" s="51" t="str">
        <f>Migrationsartikel!N218</f>
        <v>Patate Brätler</v>
      </c>
      <c r="R219" s="51" t="str">
        <f>_xlfn.TEXTJOIN(" ",TRUE,Migrationsartikel!G218)</f>
        <v>Offen</v>
      </c>
      <c r="S219" s="51" t="str">
        <f>_xlfn.TEXTJOIN(" ",TRUE,Migrationsartikel!K218)</f>
        <v>En vrac</v>
      </c>
      <c r="T219" s="51" t="str">
        <f>_xlfn.TEXTJOIN(" ",TRUE,Migrationsartikel!O218)</f>
        <v>vendita sfusa</v>
      </c>
      <c r="U219" s="51" t="str">
        <f>_xlfn.TEXTJOIN(" ",TRUE,Migrationsartikel!H218)</f>
        <v/>
      </c>
      <c r="V219" s="51" t="str">
        <f>_xlfn.TEXTJOIN(" ",TRUE,Migrationsartikel!L218)</f>
        <v/>
      </c>
      <c r="W219" s="51" t="str">
        <f>_xlfn.TEXTJOIN(" ",TRUE,Migrationsartikel!P218)</f>
        <v/>
      </c>
      <c r="X219" s="51" t="str">
        <f>Migrationsartikel!I218</f>
        <v>Kartoffeln Brätler Offen</v>
      </c>
      <c r="Y219" s="51" t="str">
        <f>Migrationsartikel!M218</f>
        <v>Carottes Brätler en vrac</v>
      </c>
      <c r="Z219" s="51" t="str">
        <f>Migrationsartikel!Q218</f>
        <v>Patate Brätler vendita sfusa</v>
      </c>
      <c r="AA219" s="60">
        <f>Migrationsartikel!R218</f>
        <v>1</v>
      </c>
      <c r="AB219" s="51" t="str">
        <f>Migrationsartikel!T218</f>
        <v>Kilogramm</v>
      </c>
      <c r="AC219" s="62">
        <f>Migrationsartikel!S218</f>
        <v>1</v>
      </c>
      <c r="AD219" s="51" t="str">
        <f>Migrationsartikel!U218</f>
        <v>(KGM) KG</v>
      </c>
      <c r="AE219" s="95" t="str">
        <f>Migrationsartikel!Y218</f>
        <v>3 - Reduzierter Satz</v>
      </c>
      <c r="AF219" s="64" t="str">
        <f>IF(Migrationsartikel!AA218="Kein Depotartikel","",Migrationsartikel!AA218)</f>
        <v/>
      </c>
      <c r="AG219" s="95" t="str">
        <f>Migrationsartikel!Z218</f>
        <v>Keine</v>
      </c>
      <c r="AH219" s="51" t="str">
        <f>IF(Migrationsartikel!AB218="ja","true",FALSE)</f>
        <v>true</v>
      </c>
      <c r="AI219" s="51" t="str">
        <f>IF(Migrationsartikel!AC218="ja","true",FALSE)</f>
        <v>true</v>
      </c>
      <c r="AJ219" s="51" t="str">
        <f>IF(Migrationsartikel!AD218="ja","true",FALSE)</f>
        <v>true</v>
      </c>
      <c r="AK219" s="51" t="str">
        <f>IF(Migrationsartikel!AE218="ja","true",FALSE)</f>
        <v>true</v>
      </c>
      <c r="AL219" s="51" t="str">
        <f>IF(Migrationsartikel!AF218="ja","Denner Partner","")</f>
        <v/>
      </c>
      <c r="AM219" s="51" t="str">
        <f>IF(Migrationsartikel!AG218="ja","true","false")</f>
        <v>false</v>
      </c>
      <c r="AN219" s="51" t="str">
        <f t="shared" si="4"/>
        <v>Kassentastenbelegung (ohne GTIN/PLU)</v>
      </c>
      <c r="AO219" s="63" t="s">
        <v>219</v>
      </c>
      <c r="AP219" s="62" t="s">
        <v>2646</v>
      </c>
      <c r="AQ219" s="63" t="s">
        <v>217</v>
      </c>
      <c r="AR219" s="30" t="s">
        <v>219</v>
      </c>
    </row>
    <row r="220" spans="2:44" ht="21.75" customHeight="1" x14ac:dyDescent="0.45">
      <c r="B220" s="51" t="s">
        <v>99</v>
      </c>
      <c r="E220" s="52" t="s">
        <v>87</v>
      </c>
      <c r="F220" s="51" t="str">
        <f>"Warengruppe&gt;&gt;"&amp;_xlfn.TEXTJOIN("&gt;&gt;",TRUE,Migrationsartikel!V219:X219)</f>
        <v>Warengruppe&gt;&gt;Früchte und Gemüse&gt;&gt;Früchte und Gemüse&gt;&gt;Gemüse</v>
      </c>
      <c r="H220" s="52" t="s">
        <v>109</v>
      </c>
      <c r="J220" s="51" t="str">
        <f>_xlfn.TEXTJOIN(" ",TRUE,Migrationsartikel!B219,Migrationsartikel!E219)</f>
        <v>232</v>
      </c>
      <c r="L220" s="51" t="str">
        <f>_xlfn.TEXTJOIN(" ",TRUE,Migrationsartikel!F219:H219)</f>
        <v>Kartoffeln festkochend Offen</v>
      </c>
      <c r="M220" s="51" t="str">
        <f>_xlfn.TEXTJOIN(" ",TRUE,Migrationsartikel!J219:L219)</f>
        <v>P. de terre fermes En vrac</v>
      </c>
      <c r="N220" s="51" t="str">
        <f>_xlfn.TEXTJOIN(" ",TRUE,Migrationsartikel!N219:P219)</f>
        <v>Pat. resist alla cott. vendita sfusa</v>
      </c>
      <c r="O220" s="51" t="str">
        <f>Migrationsartikel!F219</f>
        <v>Kartoffeln festkochend</v>
      </c>
      <c r="P220" s="51" t="str">
        <f>Migrationsartikel!J219</f>
        <v>P. de terre fermes</v>
      </c>
      <c r="Q220" s="51" t="str">
        <f>Migrationsartikel!N219</f>
        <v>Pat. resist alla cott.</v>
      </c>
      <c r="R220" s="51" t="str">
        <f>_xlfn.TEXTJOIN(" ",TRUE,Migrationsartikel!G219)</f>
        <v>Offen</v>
      </c>
      <c r="S220" s="51" t="str">
        <f>_xlfn.TEXTJOIN(" ",TRUE,Migrationsartikel!K219)</f>
        <v>En vrac</v>
      </c>
      <c r="T220" s="51" t="str">
        <f>_xlfn.TEXTJOIN(" ",TRUE,Migrationsartikel!O219)</f>
        <v>vendita sfusa</v>
      </c>
      <c r="U220" s="51" t="str">
        <f>_xlfn.TEXTJOIN(" ",TRUE,Migrationsartikel!H219)</f>
        <v/>
      </c>
      <c r="V220" s="51" t="str">
        <f>_xlfn.TEXTJOIN(" ",TRUE,Migrationsartikel!L219)</f>
        <v/>
      </c>
      <c r="W220" s="51" t="str">
        <f>_xlfn.TEXTJOIN(" ",TRUE,Migrationsartikel!P219)</f>
        <v/>
      </c>
      <c r="X220" s="51" t="str">
        <f>Migrationsartikel!I219</f>
        <v>Kartoffeln festkochend Offen</v>
      </c>
      <c r="Y220" s="51" t="str">
        <f>Migrationsartikel!M219</f>
        <v>P. de terres fermes en vrac</v>
      </c>
      <c r="Z220" s="51" t="str">
        <f>Migrationsartikel!Q219</f>
        <v>Pat. res. alla cottura v.s.</v>
      </c>
      <c r="AA220" s="60">
        <f>Migrationsartikel!R219</f>
        <v>1</v>
      </c>
      <c r="AB220" s="51" t="str">
        <f>Migrationsartikel!T219</f>
        <v>Kilogramm</v>
      </c>
      <c r="AC220" s="62">
        <f>Migrationsartikel!S219</f>
        <v>1</v>
      </c>
      <c r="AD220" s="51" t="str">
        <f>Migrationsartikel!U219</f>
        <v>(KGM) KG</v>
      </c>
      <c r="AE220" s="95" t="str">
        <f>Migrationsartikel!Y219</f>
        <v>3 - Reduzierter Satz</v>
      </c>
      <c r="AF220" s="64" t="str">
        <f>IF(Migrationsartikel!AA219="Kein Depotartikel","",Migrationsartikel!AA219)</f>
        <v/>
      </c>
      <c r="AG220" s="95" t="str">
        <f>Migrationsartikel!Z219</f>
        <v>Keine</v>
      </c>
      <c r="AH220" s="51" t="str">
        <f>IF(Migrationsartikel!AB219="ja","true",FALSE)</f>
        <v>true</v>
      </c>
      <c r="AI220" s="51" t="str">
        <f>IF(Migrationsartikel!AC219="ja","true",FALSE)</f>
        <v>true</v>
      </c>
      <c r="AJ220" s="51" t="str">
        <f>IF(Migrationsartikel!AD219="ja","true",FALSE)</f>
        <v>true</v>
      </c>
      <c r="AK220" s="51" t="str">
        <f>IF(Migrationsartikel!AE219="ja","true",FALSE)</f>
        <v>true</v>
      </c>
      <c r="AL220" s="51" t="str">
        <f>IF(Migrationsartikel!AF219="ja","Denner Partner","")</f>
        <v/>
      </c>
      <c r="AM220" s="51" t="str">
        <f>IF(Migrationsartikel!AG219="ja","true","false")</f>
        <v>false</v>
      </c>
      <c r="AN220" s="51" t="str">
        <f t="shared" si="4"/>
        <v>Kassentastenbelegung (ohne GTIN/PLU)</v>
      </c>
      <c r="AO220" s="63" t="s">
        <v>219</v>
      </c>
      <c r="AP220" s="62" t="s">
        <v>2647</v>
      </c>
      <c r="AQ220" s="63" t="s">
        <v>217</v>
      </c>
      <c r="AR220" s="30" t="s">
        <v>219</v>
      </c>
    </row>
    <row r="221" spans="2:44" ht="21.75" customHeight="1" x14ac:dyDescent="0.45">
      <c r="B221" s="51" t="s">
        <v>99</v>
      </c>
      <c r="E221" s="52" t="s">
        <v>87</v>
      </c>
      <c r="F221" s="51" t="str">
        <f>"Warengruppe&gt;&gt;"&amp;_xlfn.TEXTJOIN("&gt;&gt;",TRUE,Migrationsartikel!V220:X220)</f>
        <v>Warengruppe&gt;&gt;Früchte und Gemüse&gt;&gt;Früchte und Gemüse&gt;&gt;Gemüse</v>
      </c>
      <c r="H221" s="52" t="s">
        <v>109</v>
      </c>
      <c r="J221" s="51" t="str">
        <f>_xlfn.TEXTJOIN(" ",TRUE,Migrationsartikel!B220,Migrationsartikel!E220)</f>
        <v>2205016000000</v>
      </c>
      <c r="L221" s="51" t="str">
        <f>_xlfn.TEXTJOIN(" ",TRUE,Migrationsartikel!F220:H220)</f>
        <v>Bio Kartoffeln Beutel 1kg</v>
      </c>
      <c r="M221" s="51" t="str">
        <f>_xlfn.TEXTJOIN(" ",TRUE,Migrationsartikel!J220:L220)</f>
        <v>Bio Pommes de terre Sachet 1kg</v>
      </c>
      <c r="N221" s="51" t="str">
        <f>_xlfn.TEXTJOIN(" ",TRUE,Migrationsartikel!N220:P220)</f>
        <v>Bio Patate sacchetto 1kg</v>
      </c>
      <c r="O221" s="51" t="str">
        <f>Migrationsartikel!F220</f>
        <v>Bio Kartoffeln</v>
      </c>
      <c r="P221" s="51" t="str">
        <f>Migrationsartikel!J220</f>
        <v>Bio Pommes de terre</v>
      </c>
      <c r="Q221" s="51" t="str">
        <f>Migrationsartikel!N220</f>
        <v>Bio Patate</v>
      </c>
      <c r="R221" s="51" t="str">
        <f>_xlfn.TEXTJOIN(" ",TRUE,Migrationsartikel!G220)</f>
        <v>Beutel</v>
      </c>
      <c r="S221" s="51" t="str">
        <f>_xlfn.TEXTJOIN(" ",TRUE,Migrationsartikel!K220)</f>
        <v>Sachet</v>
      </c>
      <c r="T221" s="51" t="str">
        <f>_xlfn.TEXTJOIN(" ",TRUE,Migrationsartikel!O220)</f>
        <v>sacchetto</v>
      </c>
      <c r="U221" s="51" t="str">
        <f>_xlfn.TEXTJOIN(" ",TRUE,Migrationsartikel!H220)</f>
        <v>1kg</v>
      </c>
      <c r="V221" s="51" t="str">
        <f>_xlfn.TEXTJOIN(" ",TRUE,Migrationsartikel!L220)</f>
        <v>1kg</v>
      </c>
      <c r="W221" s="51" t="str">
        <f>_xlfn.TEXTJOIN(" ",TRUE,Migrationsartikel!P220)</f>
        <v>1kg</v>
      </c>
      <c r="X221" s="51" t="str">
        <f>Migrationsartikel!I220</f>
        <v>Bio Kartoffeln Beutel 1kg</v>
      </c>
      <c r="Y221" s="51" t="str">
        <f>Migrationsartikel!M220</f>
        <v>Bio Pommes de terre</v>
      </c>
      <c r="Z221" s="51" t="str">
        <f>Migrationsartikel!Q220</f>
        <v>Bio Patate sacchetto 1kg</v>
      </c>
      <c r="AA221" s="60">
        <f>Migrationsartikel!R220</f>
        <v>1</v>
      </c>
      <c r="AB221" s="51" t="str">
        <f>Migrationsartikel!T220</f>
        <v>Kilogramm</v>
      </c>
      <c r="AC221" s="62">
        <f>Migrationsartikel!S220</f>
        <v>1</v>
      </c>
      <c r="AD221" s="51" t="str">
        <f>Migrationsartikel!U220</f>
        <v>(PCE) Stück</v>
      </c>
      <c r="AE221" s="95" t="str">
        <f>Migrationsartikel!Y220</f>
        <v>3 - Reduzierter Satz</v>
      </c>
      <c r="AF221" s="64" t="str">
        <f>IF(Migrationsartikel!AA220="Kein Depotartikel","",Migrationsartikel!AA220)</f>
        <v/>
      </c>
      <c r="AG221" s="95" t="str">
        <f>Migrationsartikel!Z220</f>
        <v>Keine</v>
      </c>
      <c r="AH221" s="51" t="str">
        <f>IF(Migrationsartikel!AB220="ja","true",FALSE)</f>
        <v>true</v>
      </c>
      <c r="AI221" s="51" t="str">
        <f>IF(Migrationsartikel!AC220="ja","true",FALSE)</f>
        <v>true</v>
      </c>
      <c r="AJ221" s="51" t="str">
        <f>IF(Migrationsartikel!AD220="ja","true",FALSE)</f>
        <v>true</v>
      </c>
      <c r="AK221" s="51" t="str">
        <f>IF(Migrationsartikel!AE220="ja","true",FALSE)</f>
        <v>true</v>
      </c>
      <c r="AL221" s="51" t="str">
        <f>IF(Migrationsartikel!AF220="ja","Denner Partner","")</f>
        <v/>
      </c>
      <c r="AM221" s="51" t="str">
        <f>IF(Migrationsartikel!AG220="ja","true","false")</f>
        <v>false</v>
      </c>
      <c r="AN221" s="51" t="str">
        <f t="shared" si="4"/>
        <v>Kassentastenbelegung (ohne GTIN/PLU)</v>
      </c>
      <c r="AO221" s="63" t="s">
        <v>219</v>
      </c>
      <c r="AP221" s="62" t="s">
        <v>2648</v>
      </c>
      <c r="AQ221" s="63" t="s">
        <v>217</v>
      </c>
      <c r="AR221" s="30" t="s">
        <v>219</v>
      </c>
    </row>
    <row r="222" spans="2:44" ht="21.75" customHeight="1" x14ac:dyDescent="0.45">
      <c r="B222" s="51" t="s">
        <v>99</v>
      </c>
      <c r="E222" s="52" t="s">
        <v>87</v>
      </c>
      <c r="F222" s="51" t="str">
        <f>"Warengruppe&gt;&gt;"&amp;_xlfn.TEXTJOIN("&gt;&gt;",TRUE,Migrationsartikel!V221:X221)</f>
        <v>Warengruppe&gt;&gt;Früchte und Gemüse&gt;&gt;Früchte und Gemüse&gt;&gt;Gemüse</v>
      </c>
      <c r="H222" s="52" t="s">
        <v>109</v>
      </c>
      <c r="J222" s="51" t="str">
        <f>_xlfn.TEXTJOIN(" ",TRUE,Migrationsartikel!B221,Migrationsartikel!E221)</f>
        <v>2205506000000</v>
      </c>
      <c r="L222" s="51" t="str">
        <f>_xlfn.TEXTJOIN(" ",TRUE,Migrationsartikel!F221:H221)</f>
        <v>Kartoffeln festkochend 1kg</v>
      </c>
      <c r="M222" s="51" t="str">
        <f>_xlfn.TEXTJOIN(" ",TRUE,Migrationsartikel!J221:L221)</f>
        <v>P. de terre fermes 1kg</v>
      </c>
      <c r="N222" s="51" t="str">
        <f>_xlfn.TEXTJOIN(" ",TRUE,Migrationsartikel!N221:P221)</f>
        <v>Patate resistenti alla cottura 1kg</v>
      </c>
      <c r="O222" s="51" t="str">
        <f>Migrationsartikel!F221</f>
        <v>Kartoffeln festkochend</v>
      </c>
      <c r="P222" s="51" t="str">
        <f>Migrationsartikel!J221</f>
        <v>P. de terre fermes</v>
      </c>
      <c r="Q222" s="51" t="str">
        <f>Migrationsartikel!N221</f>
        <v>Patate resistenti</v>
      </c>
      <c r="R222" s="51" t="str">
        <f>_xlfn.TEXTJOIN(" ",TRUE,Migrationsartikel!G221)</f>
        <v/>
      </c>
      <c r="S222" s="51" t="str">
        <f>_xlfn.TEXTJOIN(" ",TRUE,Migrationsartikel!K221)</f>
        <v/>
      </c>
      <c r="T222" s="51" t="str">
        <f>_xlfn.TEXTJOIN(" ",TRUE,Migrationsartikel!O221)</f>
        <v>alla cottura</v>
      </c>
      <c r="U222" s="51" t="str">
        <f>_xlfn.TEXTJOIN(" ",TRUE,Migrationsartikel!H221)</f>
        <v>1kg</v>
      </c>
      <c r="V222" s="51" t="str">
        <f>_xlfn.TEXTJOIN(" ",TRUE,Migrationsartikel!L221)</f>
        <v>1kg</v>
      </c>
      <c r="W222" s="51" t="str">
        <f>_xlfn.TEXTJOIN(" ",TRUE,Migrationsartikel!P221)</f>
        <v>1kg</v>
      </c>
      <c r="X222" s="51" t="str">
        <f>Migrationsartikel!I221</f>
        <v>Kartoffeln festkochend 1kg</v>
      </c>
      <c r="Y222" s="51" t="str">
        <f>Migrationsartikel!M221</f>
        <v>P. de terre fermes 1kg</v>
      </c>
      <c r="Z222" s="51" t="str">
        <f>Migrationsartikel!Q221</f>
        <v>Pat. resist. alla cott. 1kg</v>
      </c>
      <c r="AA222" s="60">
        <f>Migrationsartikel!R221</f>
        <v>1</v>
      </c>
      <c r="AB222" s="51" t="str">
        <f>Migrationsartikel!T221</f>
        <v>Kilogramm</v>
      </c>
      <c r="AC222" s="62">
        <f>Migrationsartikel!S221</f>
        <v>1</v>
      </c>
      <c r="AD222" s="51" t="str">
        <f>Migrationsartikel!U221</f>
        <v>(PCE) Stück</v>
      </c>
      <c r="AE222" s="95" t="str">
        <f>Migrationsartikel!Y221</f>
        <v>3 - Reduzierter Satz</v>
      </c>
      <c r="AF222" s="64" t="str">
        <f>IF(Migrationsartikel!AA221="Kein Depotartikel","",Migrationsartikel!AA221)</f>
        <v/>
      </c>
      <c r="AG222" s="95" t="str">
        <f>Migrationsartikel!Z221</f>
        <v>Keine</v>
      </c>
      <c r="AH222" s="51" t="str">
        <f>IF(Migrationsartikel!AB221="ja","true",FALSE)</f>
        <v>true</v>
      </c>
      <c r="AI222" s="51" t="str">
        <f>IF(Migrationsartikel!AC221="ja","true",FALSE)</f>
        <v>true</v>
      </c>
      <c r="AJ222" s="51" t="str">
        <f>IF(Migrationsartikel!AD221="ja","true",FALSE)</f>
        <v>true</v>
      </c>
      <c r="AK222" s="51" t="str">
        <f>IF(Migrationsartikel!AE221="ja","true",FALSE)</f>
        <v>true</v>
      </c>
      <c r="AL222" s="51" t="str">
        <f>IF(Migrationsartikel!AF221="ja","Denner Partner","")</f>
        <v/>
      </c>
      <c r="AM222" s="51" t="str">
        <f>IF(Migrationsartikel!AG221="ja","true","false")</f>
        <v>false</v>
      </c>
      <c r="AN222" s="51" t="str">
        <f t="shared" si="4"/>
        <v>Kassentastenbelegung (ohne GTIN/PLU)</v>
      </c>
      <c r="AO222" s="63" t="s">
        <v>219</v>
      </c>
      <c r="AP222" s="62" t="s">
        <v>2649</v>
      </c>
      <c r="AQ222" s="63" t="s">
        <v>217</v>
      </c>
      <c r="AR222" s="30" t="s">
        <v>219</v>
      </c>
    </row>
    <row r="223" spans="2:44" ht="21.75" customHeight="1" x14ac:dyDescent="0.45">
      <c r="B223" s="51" t="s">
        <v>99</v>
      </c>
      <c r="E223" s="52" t="s">
        <v>87</v>
      </c>
      <c r="F223" s="51" t="str">
        <f>"Warengruppe&gt;&gt;"&amp;_xlfn.TEXTJOIN("&gt;&gt;",TRUE,Migrationsartikel!V222:X222)</f>
        <v>Warengruppe&gt;&gt;Früchte und Gemüse&gt;&gt;Früchte und Gemüse&gt;&gt;Gemüse</v>
      </c>
      <c r="H223" s="52" t="s">
        <v>109</v>
      </c>
      <c r="J223" s="51" t="str">
        <f>_xlfn.TEXTJOIN(" ",TRUE,Migrationsartikel!B222,Migrationsartikel!E222)</f>
        <v>2204991000003</v>
      </c>
      <c r="L223" s="51" t="str">
        <f>_xlfn.TEXTJOIN(" ",TRUE,Migrationsartikel!F222:H222)</f>
        <v>Kartoffeln festkochend TT 2.5kg</v>
      </c>
      <c r="M223" s="51" t="str">
        <f>_xlfn.TEXTJOIN(" ",TRUE,Migrationsartikel!J222:L222)</f>
        <v>P. de terre fermes Sachet 2.5kg</v>
      </c>
      <c r="N223" s="51" t="str">
        <f>_xlfn.TEXTJOIN(" ",TRUE,Migrationsartikel!N222:P222)</f>
        <v>Patate resistenti alla cottura TT 2.5kg</v>
      </c>
      <c r="O223" s="51" t="str">
        <f>Migrationsartikel!F222</f>
        <v>Kartoffeln festkochend</v>
      </c>
      <c r="P223" s="51" t="str">
        <f>Migrationsartikel!J222</f>
        <v>P. de terre fermes</v>
      </c>
      <c r="Q223" s="51" t="str">
        <f>Migrationsartikel!N222</f>
        <v>Patate resistenti</v>
      </c>
      <c r="R223" s="51" t="str">
        <f>_xlfn.TEXTJOIN(" ",TRUE,Migrationsartikel!G222)</f>
        <v>TT</v>
      </c>
      <c r="S223" s="51" t="str">
        <f>_xlfn.TEXTJOIN(" ",TRUE,Migrationsartikel!K222)</f>
        <v>Sachet</v>
      </c>
      <c r="T223" s="51" t="str">
        <f>_xlfn.TEXTJOIN(" ",TRUE,Migrationsartikel!O222)</f>
        <v>alla cottura TT</v>
      </c>
      <c r="U223" s="51" t="str">
        <f>_xlfn.TEXTJOIN(" ",TRUE,Migrationsartikel!H222)</f>
        <v>2.5kg</v>
      </c>
      <c r="V223" s="51" t="str">
        <f>_xlfn.TEXTJOIN(" ",TRUE,Migrationsartikel!L222)</f>
        <v>2.5kg</v>
      </c>
      <c r="W223" s="51" t="str">
        <f>_xlfn.TEXTJOIN(" ",TRUE,Migrationsartikel!P222)</f>
        <v>2.5kg</v>
      </c>
      <c r="X223" s="51" t="str">
        <f>Migrationsartikel!I222</f>
        <v>Kartoffeln festkoch TT 2.5kg</v>
      </c>
      <c r="Y223" s="51" t="str">
        <f>Migrationsartikel!M222</f>
        <v>P. de terres fermes 2.5kg</v>
      </c>
      <c r="Z223" s="51" t="str">
        <f>Migrationsartikel!Q222</f>
        <v>Pat. resist alla cott. 2.5kg</v>
      </c>
      <c r="AA223" s="60">
        <f>Migrationsartikel!R222</f>
        <v>2.5</v>
      </c>
      <c r="AB223" s="51" t="str">
        <f>Migrationsartikel!T222</f>
        <v>Kilogramm</v>
      </c>
      <c r="AC223" s="62">
        <f>Migrationsartikel!S222</f>
        <v>1</v>
      </c>
      <c r="AD223" s="51" t="str">
        <f>Migrationsartikel!U222</f>
        <v>(PCE) Stück</v>
      </c>
      <c r="AE223" s="95" t="str">
        <f>Migrationsartikel!Y222</f>
        <v>3 - Reduzierter Satz</v>
      </c>
      <c r="AF223" s="64" t="str">
        <f>IF(Migrationsartikel!AA222="Kein Depotartikel","",Migrationsartikel!AA222)</f>
        <v/>
      </c>
      <c r="AG223" s="95" t="str">
        <f>Migrationsartikel!Z222</f>
        <v>Keine</v>
      </c>
      <c r="AH223" s="51" t="str">
        <f>IF(Migrationsartikel!AB222="ja","true",FALSE)</f>
        <v>true</v>
      </c>
      <c r="AI223" s="51" t="str">
        <f>IF(Migrationsartikel!AC222="ja","true",FALSE)</f>
        <v>true</v>
      </c>
      <c r="AJ223" s="51" t="str">
        <f>IF(Migrationsartikel!AD222="ja","true",FALSE)</f>
        <v>true</v>
      </c>
      <c r="AK223" s="51" t="str">
        <f>IF(Migrationsartikel!AE222="ja","true",FALSE)</f>
        <v>true</v>
      </c>
      <c r="AL223" s="51" t="str">
        <f>IF(Migrationsartikel!AF222="ja","Denner Partner","")</f>
        <v/>
      </c>
      <c r="AM223" s="51" t="str">
        <f>IF(Migrationsartikel!AG222="ja","true","false")</f>
        <v>false</v>
      </c>
      <c r="AN223" s="51" t="str">
        <f t="shared" si="4"/>
        <v>Kassentastenbelegung (ohne GTIN/PLU)</v>
      </c>
      <c r="AO223" s="63" t="s">
        <v>219</v>
      </c>
      <c r="AP223" s="62" t="s">
        <v>2650</v>
      </c>
      <c r="AQ223" s="63" t="s">
        <v>217</v>
      </c>
      <c r="AR223" s="30" t="s">
        <v>219</v>
      </c>
    </row>
    <row r="224" spans="2:44" ht="21.75" customHeight="1" x14ac:dyDescent="0.45">
      <c r="B224" s="51" t="s">
        <v>99</v>
      </c>
      <c r="E224" s="52" t="s">
        <v>87</v>
      </c>
      <c r="F224" s="51" t="str">
        <f>"Warengruppe&gt;&gt;"&amp;_xlfn.TEXTJOIN("&gt;&gt;",TRUE,Migrationsartikel!V223:X223)</f>
        <v>Warengruppe&gt;&gt;Früchte und Gemüse&gt;&gt;Früchte und Gemüse&gt;&gt;Gemüse</v>
      </c>
      <c r="H224" s="52" t="s">
        <v>109</v>
      </c>
      <c r="J224" s="51" t="str">
        <f>_xlfn.TEXTJOIN(" ",TRUE,Migrationsartikel!B223,Migrationsartikel!E223)</f>
        <v>229</v>
      </c>
      <c r="L224" s="51" t="str">
        <f>_xlfn.TEXTJOIN(" ",TRUE,Migrationsartikel!F223:H223)</f>
        <v>Kartoffel mehligkoch. ungewaschen, offen</v>
      </c>
      <c r="M224" s="51" t="str">
        <f>_xlfn.TEXTJOIN(" ",TRUE,Migrationsartikel!J223:L223)</f>
        <v>P. de terre farineuses Non lavées, en vrac</v>
      </c>
      <c r="N224" s="51" t="str">
        <f>_xlfn.TEXTJOIN(" ",TRUE,Migrationsartikel!N223:P223)</f>
        <v>Patate farinose non lavate ven. sfusa</v>
      </c>
      <c r="O224" s="51" t="str">
        <f>Migrationsartikel!F223</f>
        <v>Kartoffel mehligkoch.</v>
      </c>
      <c r="P224" s="51" t="str">
        <f>Migrationsartikel!J223</f>
        <v>P. de terre farineuses</v>
      </c>
      <c r="Q224" s="51" t="str">
        <f>Migrationsartikel!N223</f>
        <v>Patate farinose</v>
      </c>
      <c r="R224" s="51" t="str">
        <f>_xlfn.TEXTJOIN(" ",TRUE,Migrationsartikel!G223)</f>
        <v>ungewaschen, offen</v>
      </c>
      <c r="S224" s="51" t="str">
        <f>_xlfn.TEXTJOIN(" ",TRUE,Migrationsartikel!K223)</f>
        <v>Non lavées, en vrac</v>
      </c>
      <c r="T224" s="51" t="str">
        <f>_xlfn.TEXTJOIN(" ",TRUE,Migrationsartikel!O223)</f>
        <v>non lavate ven. sfusa</v>
      </c>
      <c r="U224" s="51" t="str">
        <f>_xlfn.TEXTJOIN(" ",TRUE,Migrationsartikel!H223)</f>
        <v/>
      </c>
      <c r="V224" s="51" t="str">
        <f>_xlfn.TEXTJOIN(" ",TRUE,Migrationsartikel!L223)</f>
        <v/>
      </c>
      <c r="W224" s="51" t="str">
        <f>_xlfn.TEXTJOIN(" ",TRUE,Migrationsartikel!P223)</f>
        <v/>
      </c>
      <c r="X224" s="51" t="str">
        <f>Migrationsartikel!I223</f>
        <v>Kartoffeln mehligkoch. ungew</v>
      </c>
      <c r="Y224" s="51" t="str">
        <f>Migrationsartikel!M223</f>
        <v>P. de terre farin non lavées</v>
      </c>
      <c r="Z224" s="51" t="str">
        <f>Migrationsartikel!Q223</f>
        <v>Patate far. non lavate v.s.</v>
      </c>
      <c r="AA224" s="60">
        <f>Migrationsartikel!R223</f>
        <v>1</v>
      </c>
      <c r="AB224" s="51" t="str">
        <f>Migrationsartikel!T223</f>
        <v>Kilogramm</v>
      </c>
      <c r="AC224" s="62">
        <f>Migrationsartikel!S223</f>
        <v>1</v>
      </c>
      <c r="AD224" s="51" t="str">
        <f>Migrationsartikel!U223</f>
        <v>(KGM) KG</v>
      </c>
      <c r="AE224" s="95" t="str">
        <f>Migrationsartikel!Y223</f>
        <v>3 - Reduzierter Satz</v>
      </c>
      <c r="AF224" s="64" t="str">
        <f>IF(Migrationsartikel!AA223="Kein Depotartikel","",Migrationsartikel!AA223)</f>
        <v/>
      </c>
      <c r="AG224" s="95" t="str">
        <f>Migrationsartikel!Z223</f>
        <v>Keine</v>
      </c>
      <c r="AH224" s="51" t="str">
        <f>IF(Migrationsartikel!AB223="ja","true",FALSE)</f>
        <v>true</v>
      </c>
      <c r="AI224" s="51" t="str">
        <f>IF(Migrationsartikel!AC223="ja","true",FALSE)</f>
        <v>true</v>
      </c>
      <c r="AJ224" s="51" t="str">
        <f>IF(Migrationsartikel!AD223="ja","true",FALSE)</f>
        <v>true</v>
      </c>
      <c r="AK224" s="51" t="str">
        <f>IF(Migrationsartikel!AE223="ja","true",FALSE)</f>
        <v>true</v>
      </c>
      <c r="AL224" s="51" t="str">
        <f>IF(Migrationsartikel!AF223="ja","Denner Partner","")</f>
        <v/>
      </c>
      <c r="AM224" s="51" t="str">
        <f>IF(Migrationsartikel!AG223="ja","true","false")</f>
        <v>false</v>
      </c>
      <c r="AN224" s="51" t="str">
        <f t="shared" si="4"/>
        <v>Kassentastenbelegung (ohne GTIN/PLU)</v>
      </c>
      <c r="AO224" s="63" t="s">
        <v>219</v>
      </c>
      <c r="AP224" s="62" t="s">
        <v>2651</v>
      </c>
      <c r="AQ224" s="63" t="s">
        <v>217</v>
      </c>
      <c r="AR224" s="30" t="s">
        <v>219</v>
      </c>
    </row>
    <row r="225" spans="2:44" ht="21.75" customHeight="1" x14ac:dyDescent="0.45">
      <c r="B225" s="51" t="s">
        <v>99</v>
      </c>
      <c r="E225" s="52" t="s">
        <v>87</v>
      </c>
      <c r="F225" s="51" t="str">
        <f>"Warengruppe&gt;&gt;"&amp;_xlfn.TEXTJOIN("&gt;&gt;",TRUE,Migrationsartikel!V224:X224)</f>
        <v>Warengruppe&gt;&gt;Früchte und Gemüse&gt;&gt;Früchte und Gemüse&gt;&gt;Gemüse</v>
      </c>
      <c r="H225" s="52" t="s">
        <v>109</v>
      </c>
      <c r="J225" s="51" t="str">
        <f>_xlfn.TEXTJOIN(" ",TRUE,Migrationsartikel!B224,Migrationsartikel!E224)</f>
        <v>2205020000000</v>
      </c>
      <c r="L225" s="51" t="str">
        <f>_xlfn.TEXTJOIN(" ",TRUE,Migrationsartikel!F224:H224)</f>
        <v>Bio Kartoffeln mehlig kochend</v>
      </c>
      <c r="M225" s="51" t="str">
        <f>_xlfn.TEXTJOIN(" ",TRUE,Migrationsartikel!J224:L224)</f>
        <v>Bio Pommes de terre Farineuses</v>
      </c>
      <c r="N225" s="51" t="str">
        <f>_xlfn.TEXTJOIN(" ",TRUE,Migrationsartikel!N224:P224)</f>
        <v>Bio Patate farinose</v>
      </c>
      <c r="O225" s="51" t="str">
        <f>Migrationsartikel!F224</f>
        <v>Bio Kartoffeln</v>
      </c>
      <c r="P225" s="51" t="str">
        <f>Migrationsartikel!J224</f>
        <v>Bio Pommes de terre</v>
      </c>
      <c r="Q225" s="51" t="str">
        <f>Migrationsartikel!N224</f>
        <v>Bio Patate</v>
      </c>
      <c r="R225" s="51" t="str">
        <f>_xlfn.TEXTJOIN(" ",TRUE,Migrationsartikel!G224)</f>
        <v>mehlig kochend</v>
      </c>
      <c r="S225" s="51" t="str">
        <f>_xlfn.TEXTJOIN(" ",TRUE,Migrationsartikel!K224)</f>
        <v>Farineuses</v>
      </c>
      <c r="T225" s="51" t="str">
        <f>_xlfn.TEXTJOIN(" ",TRUE,Migrationsartikel!O224)</f>
        <v>farinose</v>
      </c>
      <c r="U225" s="51" t="str">
        <f>_xlfn.TEXTJOIN(" ",TRUE,Migrationsartikel!H224)</f>
        <v/>
      </c>
      <c r="V225" s="51" t="str">
        <f>_xlfn.TEXTJOIN(" ",TRUE,Migrationsartikel!L224)</f>
        <v/>
      </c>
      <c r="W225" s="51" t="str">
        <f>_xlfn.TEXTJOIN(" ",TRUE,Migrationsartikel!P224)</f>
        <v/>
      </c>
      <c r="X225" s="51" t="str">
        <f>Migrationsartikel!I224</f>
        <v>Bio Kartoffeln mehlig koch.</v>
      </c>
      <c r="Y225" s="51" t="str">
        <f>Migrationsartikel!M224</f>
        <v>Bio Pommes de terre Farin.</v>
      </c>
      <c r="Z225" s="51" t="str">
        <f>Migrationsartikel!Q224</f>
        <v>Bio Patate farinose</v>
      </c>
      <c r="AA225" s="60">
        <f>Migrationsartikel!R224</f>
        <v>1</v>
      </c>
      <c r="AB225" s="51" t="str">
        <f>Migrationsartikel!T224</f>
        <v>Kilogramm</v>
      </c>
      <c r="AC225" s="62">
        <f>Migrationsartikel!S224</f>
        <v>1</v>
      </c>
      <c r="AD225" s="51" t="str">
        <f>Migrationsartikel!U224</f>
        <v>(PCE) Stück</v>
      </c>
      <c r="AE225" s="95" t="str">
        <f>Migrationsartikel!Y224</f>
        <v>3 - Reduzierter Satz</v>
      </c>
      <c r="AF225" s="64" t="str">
        <f>IF(Migrationsartikel!AA224="Kein Depotartikel","",Migrationsartikel!AA224)</f>
        <v/>
      </c>
      <c r="AG225" s="95" t="str">
        <f>Migrationsartikel!Z224</f>
        <v>Keine</v>
      </c>
      <c r="AH225" s="51" t="str">
        <f>IF(Migrationsartikel!AB224="ja","true",FALSE)</f>
        <v>true</v>
      </c>
      <c r="AI225" s="51" t="str">
        <f>IF(Migrationsartikel!AC224="ja","true",FALSE)</f>
        <v>true</v>
      </c>
      <c r="AJ225" s="51" t="str">
        <f>IF(Migrationsartikel!AD224="ja","true",FALSE)</f>
        <v>true</v>
      </c>
      <c r="AK225" s="51" t="str">
        <f>IF(Migrationsartikel!AE224="ja","true",FALSE)</f>
        <v>true</v>
      </c>
      <c r="AL225" s="51" t="str">
        <f>IF(Migrationsartikel!AF224="ja","Denner Partner","")</f>
        <v/>
      </c>
      <c r="AM225" s="51" t="str">
        <f>IF(Migrationsartikel!AG224="ja","true","false")</f>
        <v>false</v>
      </c>
      <c r="AN225" s="51" t="str">
        <f t="shared" si="4"/>
        <v>Kassentastenbelegung (ohne GTIN/PLU)</v>
      </c>
      <c r="AO225" s="63" t="s">
        <v>219</v>
      </c>
      <c r="AP225" s="62" t="s">
        <v>2652</v>
      </c>
      <c r="AQ225" s="63" t="s">
        <v>217</v>
      </c>
      <c r="AR225" s="30" t="s">
        <v>219</v>
      </c>
    </row>
    <row r="226" spans="2:44" ht="21.75" customHeight="1" x14ac:dyDescent="0.45">
      <c r="B226" s="51" t="s">
        <v>99</v>
      </c>
      <c r="E226" s="52" t="s">
        <v>87</v>
      </c>
      <c r="F226" s="51" t="str">
        <f>"Warengruppe&gt;&gt;"&amp;_xlfn.TEXTJOIN("&gt;&gt;",TRUE,Migrationsartikel!V225:X225)</f>
        <v>Warengruppe&gt;&gt;Früchte und Gemüse&gt;&gt;Früchte und Gemüse&gt;&gt;Gemüse</v>
      </c>
      <c r="H226" s="52" t="s">
        <v>109</v>
      </c>
      <c r="J226" s="51" t="str">
        <f>_xlfn.TEXTJOIN(" ",TRUE,Migrationsartikel!B225,Migrationsartikel!E225)</f>
        <v>2296021000008</v>
      </c>
      <c r="L226" s="51" t="str">
        <f>_xlfn.TEXTJOIN(" ",TRUE,Migrationsartikel!F225:H225)</f>
        <v>Kartoffeln mehlig kochend 2.5kg</v>
      </c>
      <c r="M226" s="51" t="str">
        <f>_xlfn.TEXTJOIN(" ",TRUE,Migrationsartikel!J225:L225)</f>
        <v>Pommes de terre Farineuses 2.5kg</v>
      </c>
      <c r="N226" s="51" t="str">
        <f>_xlfn.TEXTJOIN(" ",TRUE,Migrationsartikel!N225:P225)</f>
        <v>Patate farinose 2.5kg</v>
      </c>
      <c r="O226" s="51" t="str">
        <f>Migrationsartikel!F225</f>
        <v>Kartoffeln</v>
      </c>
      <c r="P226" s="51" t="str">
        <f>Migrationsartikel!J225</f>
        <v>Pommes de terre</v>
      </c>
      <c r="Q226" s="51" t="str">
        <f>Migrationsartikel!N225</f>
        <v>Patate</v>
      </c>
      <c r="R226" s="51" t="str">
        <f>_xlfn.TEXTJOIN(" ",TRUE,Migrationsartikel!G225)</f>
        <v>mehlig kochend</v>
      </c>
      <c r="S226" s="51" t="str">
        <f>_xlfn.TEXTJOIN(" ",TRUE,Migrationsartikel!K225)</f>
        <v>Farineuses</v>
      </c>
      <c r="T226" s="51" t="str">
        <f>_xlfn.TEXTJOIN(" ",TRUE,Migrationsartikel!O225)</f>
        <v>farinose</v>
      </c>
      <c r="U226" s="51" t="str">
        <f>_xlfn.TEXTJOIN(" ",TRUE,Migrationsartikel!H225)</f>
        <v>2.5kg</v>
      </c>
      <c r="V226" s="51" t="str">
        <f>_xlfn.TEXTJOIN(" ",TRUE,Migrationsartikel!L225)</f>
        <v>2.5kg</v>
      </c>
      <c r="W226" s="51" t="str">
        <f>_xlfn.TEXTJOIN(" ",TRUE,Migrationsartikel!P225)</f>
        <v>2.5kg</v>
      </c>
      <c r="X226" s="51" t="str">
        <f>Migrationsartikel!I225</f>
        <v>Kartoffeln mehligkoch. 2.5kg</v>
      </c>
      <c r="Y226" s="51" t="str">
        <f>Migrationsartikel!M225</f>
        <v>Pommes de terre farin. 2.5kg</v>
      </c>
      <c r="Z226" s="51" t="str">
        <f>Migrationsartikel!Q225</f>
        <v>Patate farionose 2.5kg</v>
      </c>
      <c r="AA226" s="60">
        <f>Migrationsartikel!R225</f>
        <v>2.5</v>
      </c>
      <c r="AB226" s="51" t="str">
        <f>Migrationsartikel!T225</f>
        <v>Kilogramm</v>
      </c>
      <c r="AC226" s="62">
        <f>Migrationsartikel!S225</f>
        <v>1</v>
      </c>
      <c r="AD226" s="51" t="str">
        <f>Migrationsartikel!U225</f>
        <v>(PCE) Stück</v>
      </c>
      <c r="AE226" s="95" t="str">
        <f>Migrationsartikel!Y225</f>
        <v>3 - Reduzierter Satz</v>
      </c>
      <c r="AF226" s="64" t="str">
        <f>IF(Migrationsartikel!AA225="Kein Depotartikel","",Migrationsartikel!AA225)</f>
        <v/>
      </c>
      <c r="AG226" s="95" t="str">
        <f>Migrationsartikel!Z225</f>
        <v>Keine</v>
      </c>
      <c r="AH226" s="51" t="str">
        <f>IF(Migrationsartikel!AB225="ja","true",FALSE)</f>
        <v>true</v>
      </c>
      <c r="AI226" s="51" t="str">
        <f>IF(Migrationsartikel!AC225="ja","true",FALSE)</f>
        <v>true</v>
      </c>
      <c r="AJ226" s="51" t="str">
        <f>IF(Migrationsartikel!AD225="ja","true",FALSE)</f>
        <v>true</v>
      </c>
      <c r="AK226" s="51" t="str">
        <f>IF(Migrationsartikel!AE225="ja","true",FALSE)</f>
        <v>true</v>
      </c>
      <c r="AL226" s="51" t="str">
        <f>IF(Migrationsartikel!AF225="ja","Denner Partner","")</f>
        <v/>
      </c>
      <c r="AM226" s="51" t="str">
        <f>IF(Migrationsartikel!AG225="ja","true","false")</f>
        <v>false</v>
      </c>
      <c r="AN226" s="51" t="str">
        <f t="shared" si="4"/>
        <v>Kassentastenbelegung (ohne GTIN/PLU)</v>
      </c>
      <c r="AO226" s="63" t="s">
        <v>219</v>
      </c>
      <c r="AP226" s="62" t="s">
        <v>2653</v>
      </c>
      <c r="AQ226" s="63" t="s">
        <v>217</v>
      </c>
      <c r="AR226" s="30" t="s">
        <v>219</v>
      </c>
    </row>
    <row r="227" spans="2:44" ht="21.75" customHeight="1" x14ac:dyDescent="0.45">
      <c r="B227" s="51" t="s">
        <v>99</v>
      </c>
      <c r="E227" s="52" t="s">
        <v>87</v>
      </c>
      <c r="F227" s="51" t="str">
        <f>"Warengruppe&gt;&gt;"&amp;_xlfn.TEXTJOIN("&gt;&gt;",TRUE,Migrationsartikel!V226:X226)</f>
        <v>Warengruppe&gt;&gt;Früchte und Gemüse&gt;&gt;Früchte und Gemüse&gt;&gt;Gemüse</v>
      </c>
      <c r="H227" s="52" t="s">
        <v>109</v>
      </c>
      <c r="J227" s="51" t="str">
        <f>_xlfn.TEXTJOIN(" ",TRUE,Migrationsartikel!B226,Migrationsartikel!E226)</f>
        <v>236</v>
      </c>
      <c r="L227" s="51" t="str">
        <f>_xlfn.TEXTJOIN(" ",TRUE,Migrationsartikel!F226:H226)</f>
        <v>Knoblauch Offen</v>
      </c>
      <c r="M227" s="51" t="str">
        <f>_xlfn.TEXTJOIN(" ",TRUE,Migrationsartikel!J226:L226)</f>
        <v>Ail En vrac</v>
      </c>
      <c r="N227" s="51" t="str">
        <f>_xlfn.TEXTJOIN(" ",TRUE,Migrationsartikel!N226:P226)</f>
        <v>Aglio vendita sfusa</v>
      </c>
      <c r="O227" s="51" t="str">
        <f>Migrationsartikel!F226</f>
        <v>Knoblauch</v>
      </c>
      <c r="P227" s="51" t="str">
        <f>Migrationsartikel!J226</f>
        <v>Ail</v>
      </c>
      <c r="Q227" s="51" t="str">
        <f>Migrationsartikel!N226</f>
        <v>Aglio</v>
      </c>
      <c r="R227" s="51" t="str">
        <f>_xlfn.TEXTJOIN(" ",TRUE,Migrationsartikel!G226)</f>
        <v>Offen</v>
      </c>
      <c r="S227" s="51" t="str">
        <f>_xlfn.TEXTJOIN(" ",TRUE,Migrationsartikel!K226)</f>
        <v>En vrac</v>
      </c>
      <c r="T227" s="51" t="str">
        <f>_xlfn.TEXTJOIN(" ",TRUE,Migrationsartikel!O226)</f>
        <v>vendita sfusa</v>
      </c>
      <c r="U227" s="51" t="str">
        <f>_xlfn.TEXTJOIN(" ",TRUE,Migrationsartikel!H226)</f>
        <v/>
      </c>
      <c r="V227" s="51" t="str">
        <f>_xlfn.TEXTJOIN(" ",TRUE,Migrationsartikel!L226)</f>
        <v/>
      </c>
      <c r="W227" s="51" t="str">
        <f>_xlfn.TEXTJOIN(" ",TRUE,Migrationsartikel!P226)</f>
        <v/>
      </c>
      <c r="X227" s="51" t="str">
        <f>Migrationsartikel!I226</f>
        <v>Knoblauch Offen</v>
      </c>
      <c r="Y227" s="51" t="str">
        <f>Migrationsartikel!M226</f>
        <v>Ail en vrac</v>
      </c>
      <c r="Z227" s="51" t="str">
        <f>Migrationsartikel!Q226</f>
        <v>Aglio vendita sfusa</v>
      </c>
      <c r="AA227" s="60">
        <f>Migrationsartikel!R226</f>
        <v>1</v>
      </c>
      <c r="AB227" s="51" t="str">
        <f>Migrationsartikel!T226</f>
        <v>Kilogramm</v>
      </c>
      <c r="AC227" s="62">
        <f>Migrationsartikel!S226</f>
        <v>1</v>
      </c>
      <c r="AD227" s="51" t="str">
        <f>Migrationsartikel!U226</f>
        <v>(KGM) KG</v>
      </c>
      <c r="AE227" s="95" t="str">
        <f>Migrationsartikel!Y226</f>
        <v>3 - Reduzierter Satz</v>
      </c>
      <c r="AF227" s="64" t="str">
        <f>IF(Migrationsartikel!AA226="Kein Depotartikel","",Migrationsartikel!AA226)</f>
        <v/>
      </c>
      <c r="AG227" s="95" t="str">
        <f>Migrationsartikel!Z226</f>
        <v>Keine</v>
      </c>
      <c r="AH227" s="51" t="str">
        <f>IF(Migrationsartikel!AB226="ja","true",FALSE)</f>
        <v>true</v>
      </c>
      <c r="AI227" s="51" t="str">
        <f>IF(Migrationsartikel!AC226="ja","true",FALSE)</f>
        <v>true</v>
      </c>
      <c r="AJ227" s="51" t="str">
        <f>IF(Migrationsartikel!AD226="ja","true",FALSE)</f>
        <v>true</v>
      </c>
      <c r="AK227" s="51" t="str">
        <f>IF(Migrationsartikel!AE226="ja","true",FALSE)</f>
        <v>true</v>
      </c>
      <c r="AL227" s="51" t="str">
        <f>IF(Migrationsartikel!AF226="ja","Denner Partner","")</f>
        <v/>
      </c>
      <c r="AM227" s="51" t="str">
        <f>IF(Migrationsartikel!AG226="ja","true","false")</f>
        <v>false</v>
      </c>
      <c r="AN227" s="51" t="str">
        <f t="shared" si="4"/>
        <v>Kassentastenbelegung (ohne GTIN/PLU)</v>
      </c>
      <c r="AO227" s="63" t="s">
        <v>219</v>
      </c>
      <c r="AP227" s="62" t="s">
        <v>2654</v>
      </c>
      <c r="AQ227" s="63" t="s">
        <v>217</v>
      </c>
      <c r="AR227" s="30" t="s">
        <v>219</v>
      </c>
    </row>
    <row r="228" spans="2:44" ht="21.75" customHeight="1" x14ac:dyDescent="0.45">
      <c r="B228" s="51" t="s">
        <v>99</v>
      </c>
      <c r="E228" s="52" t="s">
        <v>87</v>
      </c>
      <c r="F228" s="51" t="str">
        <f>"Warengruppe&gt;&gt;"&amp;_xlfn.TEXTJOIN("&gt;&gt;",TRUE,Migrationsartikel!V227:X227)</f>
        <v>Warengruppe&gt;&gt;Früchte und Gemüse&gt;&gt;Früchte und Gemüse&gt;&gt;Gemüse</v>
      </c>
      <c r="H228" s="52" t="s">
        <v>109</v>
      </c>
      <c r="J228" s="51" t="str">
        <f>_xlfn.TEXTJOIN(" ",TRUE,Migrationsartikel!B227,Migrationsartikel!E227)</f>
        <v>2204821000050</v>
      </c>
      <c r="L228" s="51" t="str">
        <f>_xlfn.TEXTJOIN(" ",TRUE,Migrationsartikel!F227:H227)</f>
        <v>Knoblauch 1Stk</v>
      </c>
      <c r="M228" s="51" t="str">
        <f>_xlfn.TEXTJOIN(" ",TRUE,Migrationsartikel!J227:L227)</f>
        <v>Ail 1pce</v>
      </c>
      <c r="N228" s="51" t="str">
        <f>_xlfn.TEXTJOIN(" ",TRUE,Migrationsartikel!N227:P227)</f>
        <v>Aglio 1pz</v>
      </c>
      <c r="O228" s="51" t="str">
        <f>Migrationsartikel!F227</f>
        <v>Knoblauch</v>
      </c>
      <c r="P228" s="51" t="str">
        <f>Migrationsartikel!J227</f>
        <v>Ail</v>
      </c>
      <c r="Q228" s="51" t="str">
        <f>Migrationsartikel!N227</f>
        <v>Aglio</v>
      </c>
      <c r="R228" s="51" t="str">
        <f>_xlfn.TEXTJOIN(" ",TRUE,Migrationsartikel!G227)</f>
        <v/>
      </c>
      <c r="S228" s="51" t="str">
        <f>_xlfn.TEXTJOIN(" ",TRUE,Migrationsartikel!K227)</f>
        <v/>
      </c>
      <c r="T228" s="51" t="str">
        <f>_xlfn.TEXTJOIN(" ",TRUE,Migrationsartikel!O227)</f>
        <v/>
      </c>
      <c r="U228" s="51" t="str">
        <f>_xlfn.TEXTJOIN(" ",TRUE,Migrationsartikel!H227)</f>
        <v>1Stk</v>
      </c>
      <c r="V228" s="51" t="str">
        <f>_xlfn.TEXTJOIN(" ",TRUE,Migrationsartikel!L227)</f>
        <v>1pce</v>
      </c>
      <c r="W228" s="51" t="str">
        <f>_xlfn.TEXTJOIN(" ",TRUE,Migrationsartikel!P227)</f>
        <v>1pz</v>
      </c>
      <c r="X228" s="51" t="str">
        <f>Migrationsartikel!I227</f>
        <v>Knoblauch 1 Stk</v>
      </c>
      <c r="Y228" s="51" t="str">
        <f>Migrationsartikel!M227</f>
        <v>Ail 1 pce</v>
      </c>
      <c r="Z228" s="51" t="str">
        <f>Migrationsartikel!Q227</f>
        <v>Aglio 1 pz</v>
      </c>
      <c r="AA228" s="60">
        <f>Migrationsartikel!R227</f>
        <v>1</v>
      </c>
      <c r="AB228" s="51" t="str">
        <f>Migrationsartikel!T227</f>
        <v>Stück</v>
      </c>
      <c r="AC228" s="62">
        <f>Migrationsartikel!S227</f>
        <v>1</v>
      </c>
      <c r="AD228" s="51" t="str">
        <f>Migrationsartikel!U227</f>
        <v>(PCE) Stück</v>
      </c>
      <c r="AE228" s="95" t="str">
        <f>Migrationsartikel!Y227</f>
        <v>3 - Reduzierter Satz</v>
      </c>
      <c r="AF228" s="64" t="str">
        <f>IF(Migrationsartikel!AA227="Kein Depotartikel","",Migrationsartikel!AA227)</f>
        <v/>
      </c>
      <c r="AG228" s="95" t="str">
        <f>Migrationsartikel!Z227</f>
        <v>Keine</v>
      </c>
      <c r="AH228" s="51" t="str">
        <f>IF(Migrationsartikel!AB227="ja","true",FALSE)</f>
        <v>true</v>
      </c>
      <c r="AI228" s="51" t="str">
        <f>IF(Migrationsartikel!AC227="ja","true",FALSE)</f>
        <v>true</v>
      </c>
      <c r="AJ228" s="51" t="str">
        <f>IF(Migrationsartikel!AD227="ja","true",FALSE)</f>
        <v>true</v>
      </c>
      <c r="AK228" s="51" t="str">
        <f>IF(Migrationsartikel!AE227="ja","true",FALSE)</f>
        <v>true</v>
      </c>
      <c r="AL228" s="51" t="str">
        <f>IF(Migrationsartikel!AF227="ja","Denner Partner","")</f>
        <v/>
      </c>
      <c r="AM228" s="51" t="str">
        <f>IF(Migrationsartikel!AG227="ja","true","false")</f>
        <v>false</v>
      </c>
      <c r="AN228" s="51" t="str">
        <f t="shared" si="4"/>
        <v>Kassentastenbelegung (ohne GTIN/PLU)</v>
      </c>
      <c r="AO228" s="63" t="s">
        <v>219</v>
      </c>
      <c r="AP228" s="62" t="s">
        <v>2655</v>
      </c>
      <c r="AQ228" s="63" t="s">
        <v>217</v>
      </c>
      <c r="AR228" s="30" t="s">
        <v>219</v>
      </c>
    </row>
    <row r="229" spans="2:44" ht="21.75" customHeight="1" x14ac:dyDescent="0.45">
      <c r="B229" s="51" t="s">
        <v>99</v>
      </c>
      <c r="E229" s="52" t="s">
        <v>87</v>
      </c>
      <c r="F229" s="51" t="str">
        <f>"Warengruppe&gt;&gt;"&amp;_xlfn.TEXTJOIN("&gt;&gt;",TRUE,Migrationsartikel!V228:X228)</f>
        <v>Warengruppe&gt;&gt;Früchte und Gemüse&gt;&gt;Früchte und Gemüse&gt;&gt;Gemüse</v>
      </c>
      <c r="H229" s="52" t="s">
        <v>109</v>
      </c>
      <c r="J229" s="51" t="str">
        <f>_xlfn.TEXTJOIN(" ",TRUE,Migrationsartikel!B228,Migrationsartikel!E228)</f>
        <v>2204821000005</v>
      </c>
      <c r="L229" s="51" t="str">
        <f>_xlfn.TEXTJOIN(" ",TRUE,Migrationsartikel!F228:H228)</f>
        <v>Knoblauch 3Stk</v>
      </c>
      <c r="M229" s="51" t="str">
        <f>_xlfn.TEXTJOIN(" ",TRUE,Migrationsartikel!J228:L228)</f>
        <v>Ail 3pces</v>
      </c>
      <c r="N229" s="51" t="str">
        <f>_xlfn.TEXTJOIN(" ",TRUE,Migrationsartikel!N228:P228)</f>
        <v>Aglio 3pz</v>
      </c>
      <c r="O229" s="51" t="str">
        <f>Migrationsartikel!F228</f>
        <v>Knoblauch</v>
      </c>
      <c r="P229" s="51" t="str">
        <f>Migrationsartikel!J228</f>
        <v>Ail</v>
      </c>
      <c r="Q229" s="51" t="str">
        <f>Migrationsartikel!N228</f>
        <v>Aglio</v>
      </c>
      <c r="R229" s="51" t="str">
        <f>_xlfn.TEXTJOIN(" ",TRUE,Migrationsartikel!G228)</f>
        <v/>
      </c>
      <c r="S229" s="51" t="str">
        <f>_xlfn.TEXTJOIN(" ",TRUE,Migrationsartikel!K228)</f>
        <v/>
      </c>
      <c r="T229" s="51" t="str">
        <f>_xlfn.TEXTJOIN(" ",TRUE,Migrationsartikel!O228)</f>
        <v/>
      </c>
      <c r="U229" s="51" t="str">
        <f>_xlfn.TEXTJOIN(" ",TRUE,Migrationsartikel!H228)</f>
        <v>3Stk</v>
      </c>
      <c r="V229" s="51" t="str">
        <f>_xlfn.TEXTJOIN(" ",TRUE,Migrationsartikel!L228)</f>
        <v>3pces</v>
      </c>
      <c r="W229" s="51" t="str">
        <f>_xlfn.TEXTJOIN(" ",TRUE,Migrationsartikel!P228)</f>
        <v>3pz</v>
      </c>
      <c r="X229" s="51" t="str">
        <f>Migrationsartikel!I228</f>
        <v>Knoblauch 3 Stk</v>
      </c>
      <c r="Y229" s="51" t="str">
        <f>Migrationsartikel!M228</f>
        <v>Ail 3 pces</v>
      </c>
      <c r="Z229" s="51" t="str">
        <f>Migrationsartikel!Q228</f>
        <v>Aglio 3 pz</v>
      </c>
      <c r="AA229" s="60">
        <f>Migrationsartikel!R228</f>
        <v>3</v>
      </c>
      <c r="AB229" s="51" t="str">
        <f>Migrationsartikel!T228</f>
        <v>Stück</v>
      </c>
      <c r="AC229" s="62">
        <f>Migrationsartikel!S228</f>
        <v>1</v>
      </c>
      <c r="AD229" s="51" t="str">
        <f>Migrationsartikel!U228</f>
        <v>(PCE) Stück</v>
      </c>
      <c r="AE229" s="95" t="str">
        <f>Migrationsartikel!Y228</f>
        <v>3 - Reduzierter Satz</v>
      </c>
      <c r="AF229" s="64" t="str">
        <f>IF(Migrationsartikel!AA228="Kein Depotartikel","",Migrationsartikel!AA228)</f>
        <v/>
      </c>
      <c r="AG229" s="95" t="str">
        <f>Migrationsartikel!Z228</f>
        <v>Keine</v>
      </c>
      <c r="AH229" s="51" t="str">
        <f>IF(Migrationsartikel!AB228="ja","true",FALSE)</f>
        <v>true</v>
      </c>
      <c r="AI229" s="51" t="str">
        <f>IF(Migrationsartikel!AC228="ja","true",FALSE)</f>
        <v>true</v>
      </c>
      <c r="AJ229" s="51" t="str">
        <f>IF(Migrationsartikel!AD228="ja","true",FALSE)</f>
        <v>true</v>
      </c>
      <c r="AK229" s="51" t="str">
        <f>IF(Migrationsartikel!AE228="ja","true",FALSE)</f>
        <v>true</v>
      </c>
      <c r="AL229" s="51" t="str">
        <f>IF(Migrationsartikel!AF228="ja","Denner Partner","")</f>
        <v/>
      </c>
      <c r="AM229" s="51" t="str">
        <f>IF(Migrationsartikel!AG228="ja","true","false")</f>
        <v>false</v>
      </c>
      <c r="AN229" s="51" t="str">
        <f t="shared" si="4"/>
        <v>Kassentastenbelegung (ohne GTIN/PLU)</v>
      </c>
      <c r="AO229" s="63" t="s">
        <v>219</v>
      </c>
      <c r="AP229" s="62" t="s">
        <v>2656</v>
      </c>
      <c r="AQ229" s="63" t="s">
        <v>217</v>
      </c>
      <c r="AR229" s="30" t="s">
        <v>219</v>
      </c>
    </row>
    <row r="230" spans="2:44" ht="21.75" customHeight="1" x14ac:dyDescent="0.45">
      <c r="B230" s="51" t="s">
        <v>99</v>
      </c>
      <c r="E230" s="52" t="s">
        <v>87</v>
      </c>
      <c r="F230" s="51" t="str">
        <f>"Warengruppe&gt;&gt;"&amp;_xlfn.TEXTJOIN("&gt;&gt;",TRUE,Migrationsartikel!V229:X229)</f>
        <v>Warengruppe&gt;&gt;Früchte und Gemüse&gt;&gt;Früchte und Gemüse&gt;&gt;Gemüse</v>
      </c>
      <c r="H230" s="52" t="s">
        <v>109</v>
      </c>
      <c r="J230" s="51" t="str">
        <f>_xlfn.TEXTJOIN(" ",TRUE,Migrationsartikel!B229,Migrationsartikel!E229)</f>
        <v>2209256000002</v>
      </c>
      <c r="L230" s="51" t="str">
        <f>_xlfn.TEXTJOIN(" ",TRUE,Migrationsartikel!F229:H229)</f>
        <v>Bio Kopfsalat 1Stk</v>
      </c>
      <c r="M230" s="51" t="str">
        <f>_xlfn.TEXTJOIN(" ",TRUE,Migrationsartikel!J229:L229)</f>
        <v>Bio Laitue pommée 1pce</v>
      </c>
      <c r="N230" s="51" t="str">
        <f>_xlfn.TEXTJOIN(" ",TRUE,Migrationsartikel!N229:P229)</f>
        <v>Bio Lattuga 1pz</v>
      </c>
      <c r="O230" s="51" t="str">
        <f>Migrationsartikel!F229</f>
        <v>Bio Kopfsalat</v>
      </c>
      <c r="P230" s="51" t="str">
        <f>Migrationsartikel!J229</f>
        <v>Bio Laitue pommée</v>
      </c>
      <c r="Q230" s="51" t="str">
        <f>Migrationsartikel!N229</f>
        <v>Bio Lattuga</v>
      </c>
      <c r="R230" s="51" t="str">
        <f>_xlfn.TEXTJOIN(" ",TRUE,Migrationsartikel!G229)</f>
        <v/>
      </c>
      <c r="S230" s="51" t="str">
        <f>_xlfn.TEXTJOIN(" ",TRUE,Migrationsartikel!K229)</f>
        <v/>
      </c>
      <c r="T230" s="51" t="str">
        <f>_xlfn.TEXTJOIN(" ",TRUE,Migrationsartikel!O229)</f>
        <v/>
      </c>
      <c r="U230" s="51" t="str">
        <f>_xlfn.TEXTJOIN(" ",TRUE,Migrationsartikel!H229)</f>
        <v>1Stk</v>
      </c>
      <c r="V230" s="51" t="str">
        <f>_xlfn.TEXTJOIN(" ",TRUE,Migrationsartikel!L229)</f>
        <v>1pce</v>
      </c>
      <c r="W230" s="51" t="str">
        <f>_xlfn.TEXTJOIN(" ",TRUE,Migrationsartikel!P229)</f>
        <v>1pz</v>
      </c>
      <c r="X230" s="51" t="str">
        <f>Migrationsartikel!I229</f>
        <v>Bio Kopfsalat 1 Stk</v>
      </c>
      <c r="Y230" s="51" t="str">
        <f>Migrationsartikel!M229</f>
        <v>Bio Laitue pommée 1 pce</v>
      </c>
      <c r="Z230" s="51" t="str">
        <f>Migrationsartikel!Q229</f>
        <v>Bio Lattuga 1 pz</v>
      </c>
      <c r="AA230" s="60">
        <f>Migrationsartikel!R229</f>
        <v>1</v>
      </c>
      <c r="AB230" s="51" t="str">
        <f>Migrationsartikel!T229</f>
        <v>Stück</v>
      </c>
      <c r="AC230" s="62">
        <f>Migrationsartikel!S229</f>
        <v>1</v>
      </c>
      <c r="AD230" s="51" t="str">
        <f>Migrationsartikel!U229</f>
        <v>(PCE) Stück</v>
      </c>
      <c r="AE230" s="95" t="str">
        <f>Migrationsartikel!Y229</f>
        <v>3 - Reduzierter Satz</v>
      </c>
      <c r="AF230" s="64" t="str">
        <f>IF(Migrationsartikel!AA229="Kein Depotartikel","",Migrationsartikel!AA229)</f>
        <v/>
      </c>
      <c r="AG230" s="95" t="str">
        <f>Migrationsartikel!Z229</f>
        <v>Keine</v>
      </c>
      <c r="AH230" s="51" t="str">
        <f>IF(Migrationsartikel!AB229="ja","true",FALSE)</f>
        <v>true</v>
      </c>
      <c r="AI230" s="51" t="str">
        <f>IF(Migrationsartikel!AC229="ja","true",FALSE)</f>
        <v>true</v>
      </c>
      <c r="AJ230" s="51" t="str">
        <f>IF(Migrationsartikel!AD229="ja","true",FALSE)</f>
        <v>true</v>
      </c>
      <c r="AK230" s="51" t="str">
        <f>IF(Migrationsartikel!AE229="ja","true",FALSE)</f>
        <v>true</v>
      </c>
      <c r="AL230" s="51" t="str">
        <f>IF(Migrationsartikel!AF229="ja","Denner Partner","")</f>
        <v/>
      </c>
      <c r="AM230" s="51" t="str">
        <f>IF(Migrationsartikel!AG229="ja","true","false")</f>
        <v>false</v>
      </c>
      <c r="AN230" s="51" t="str">
        <f t="shared" si="4"/>
        <v>Kassentastenbelegung (ohne GTIN/PLU)</v>
      </c>
      <c r="AO230" s="63" t="s">
        <v>219</v>
      </c>
      <c r="AP230" s="62" t="s">
        <v>2657</v>
      </c>
      <c r="AQ230" s="63" t="s">
        <v>217</v>
      </c>
      <c r="AR230" s="30" t="s">
        <v>219</v>
      </c>
    </row>
    <row r="231" spans="2:44" ht="21.75" customHeight="1" x14ac:dyDescent="0.45">
      <c r="B231" s="51" t="s">
        <v>99</v>
      </c>
      <c r="E231" s="52" t="s">
        <v>87</v>
      </c>
      <c r="F231" s="51" t="str">
        <f>"Warengruppe&gt;&gt;"&amp;_xlfn.TEXTJOIN("&gt;&gt;",TRUE,Migrationsartikel!V230:X230)</f>
        <v>Warengruppe&gt;&gt;Früchte und Gemüse&gt;&gt;Früchte und Gemüse&gt;&gt;Gemüse</v>
      </c>
      <c r="H231" s="52" t="s">
        <v>109</v>
      </c>
      <c r="J231" s="51" t="str">
        <f>_xlfn.TEXTJOIN(" ",TRUE,Migrationsartikel!B230,Migrationsartikel!E230)</f>
        <v>7613399002574</v>
      </c>
      <c r="L231" s="51" t="str">
        <f>_xlfn.TEXTJOIN(" ",TRUE,Migrationsartikel!F230:H230)</f>
        <v>Kopfsalat geschnitten 120g</v>
      </c>
      <c r="M231" s="51" t="str">
        <f>_xlfn.TEXTJOIN(" ",TRUE,Migrationsartikel!J230:L230)</f>
        <v>Laitue pommée Coupée 120g</v>
      </c>
      <c r="N231" s="51" t="str">
        <f>_xlfn.TEXTJOIN(" ",TRUE,Migrationsartikel!N230:P230)</f>
        <v>Lattuga tagliata 120g</v>
      </c>
      <c r="O231" s="51" t="str">
        <f>Migrationsartikel!F230</f>
        <v>Kopfsalat</v>
      </c>
      <c r="P231" s="51" t="str">
        <f>Migrationsartikel!J230</f>
        <v>Laitue pommée</v>
      </c>
      <c r="Q231" s="51" t="str">
        <f>Migrationsartikel!N230</f>
        <v>Lattuga</v>
      </c>
      <c r="R231" s="51" t="str">
        <f>_xlfn.TEXTJOIN(" ",TRUE,Migrationsartikel!G230)</f>
        <v>geschnitten</v>
      </c>
      <c r="S231" s="51" t="str">
        <f>_xlfn.TEXTJOIN(" ",TRUE,Migrationsartikel!K230)</f>
        <v>Coupée</v>
      </c>
      <c r="T231" s="51" t="str">
        <f>_xlfn.TEXTJOIN(" ",TRUE,Migrationsartikel!O230)</f>
        <v>tagliata</v>
      </c>
      <c r="U231" s="51" t="str">
        <f>_xlfn.TEXTJOIN(" ",TRUE,Migrationsartikel!H230)</f>
        <v>120g</v>
      </c>
      <c r="V231" s="51" t="str">
        <f>_xlfn.TEXTJOIN(" ",TRUE,Migrationsartikel!L230)</f>
        <v>120g</v>
      </c>
      <c r="W231" s="51" t="str">
        <f>_xlfn.TEXTJOIN(" ",TRUE,Migrationsartikel!P230)</f>
        <v>120g</v>
      </c>
      <c r="X231" s="51" t="str">
        <f>Migrationsartikel!I230</f>
        <v>Kopfsalat geschnitt. 120g</v>
      </c>
      <c r="Y231" s="51" t="str">
        <f>Migrationsartikel!M230</f>
        <v>Laitue pommée coupée 120g</v>
      </c>
      <c r="Z231" s="51" t="str">
        <f>Migrationsartikel!Q230</f>
        <v>Lattuga tagliata 120</v>
      </c>
      <c r="AA231" s="60">
        <f>Migrationsartikel!R230</f>
        <v>0.12</v>
      </c>
      <c r="AB231" s="51" t="str">
        <f>Migrationsartikel!T230</f>
        <v>Gramm</v>
      </c>
      <c r="AC231" s="62">
        <f>Migrationsartikel!S230</f>
        <v>100</v>
      </c>
      <c r="AD231" s="51" t="str">
        <f>Migrationsartikel!U230</f>
        <v>(PCE) Stück</v>
      </c>
      <c r="AE231" s="95" t="str">
        <f>Migrationsartikel!Y230</f>
        <v>3 - Reduzierter Satz</v>
      </c>
      <c r="AF231" s="64" t="str">
        <f>IF(Migrationsartikel!AA230="Kein Depotartikel","",Migrationsartikel!AA230)</f>
        <v/>
      </c>
      <c r="AG231" s="95" t="str">
        <f>Migrationsartikel!Z230</f>
        <v>Keine</v>
      </c>
      <c r="AH231" s="51" t="str">
        <f>IF(Migrationsartikel!AB230="ja","true",FALSE)</f>
        <v>true</v>
      </c>
      <c r="AI231" s="51" t="str">
        <f>IF(Migrationsartikel!AC230="ja","true",FALSE)</f>
        <v>true</v>
      </c>
      <c r="AJ231" s="51" t="str">
        <f>IF(Migrationsartikel!AD230="ja","true",FALSE)</f>
        <v>true</v>
      </c>
      <c r="AK231" s="51" t="str">
        <f>IF(Migrationsartikel!AE230="ja","true",FALSE)</f>
        <v>true</v>
      </c>
      <c r="AL231" s="51" t="str">
        <f>IF(Migrationsartikel!AF230="ja","Denner Partner","")</f>
        <v/>
      </c>
      <c r="AM231" s="51" t="str">
        <f>IF(Migrationsartikel!AG230="ja","true","false")</f>
        <v>false</v>
      </c>
      <c r="AN231" s="51" t="str">
        <f t="shared" si="4"/>
        <v>Kassentastenbelegung (ohne GTIN/PLU)</v>
      </c>
      <c r="AO231" s="63" t="s">
        <v>219</v>
      </c>
      <c r="AP231" s="62" t="s">
        <v>2658</v>
      </c>
      <c r="AQ231" s="63" t="s">
        <v>217</v>
      </c>
      <c r="AR231" s="30" t="s">
        <v>219</v>
      </c>
    </row>
    <row r="232" spans="2:44" ht="21.75" customHeight="1" x14ac:dyDescent="0.45">
      <c r="B232" s="51" t="s">
        <v>99</v>
      </c>
      <c r="E232" s="52" t="s">
        <v>87</v>
      </c>
      <c r="F232" s="51" t="str">
        <f>"Warengruppe&gt;&gt;"&amp;_xlfn.TEXTJOIN("&gt;&gt;",TRUE,Migrationsartikel!V231:X231)</f>
        <v>Warengruppe&gt;&gt;Früchte und Gemüse&gt;&gt;Früchte und Gemüse&gt;&gt;Gemüse</v>
      </c>
      <c r="H232" s="52" t="s">
        <v>109</v>
      </c>
      <c r="J232" s="51" t="str">
        <f>_xlfn.TEXTJOIN(" ",TRUE,Migrationsartikel!B231,Migrationsartikel!E231)</f>
        <v/>
      </c>
      <c r="L232" s="51" t="str">
        <f>_xlfn.TEXTJOIN(" ",TRUE,Migrationsartikel!F231:H231)</f>
        <v>Kopfsalat grün 1Stk</v>
      </c>
      <c r="M232" s="51" t="str">
        <f>_xlfn.TEXTJOIN(" ",TRUE,Migrationsartikel!J231:L231)</f>
        <v>Laitue pommée verte 1pce</v>
      </c>
      <c r="N232" s="51" t="str">
        <f>_xlfn.TEXTJOIN(" ",TRUE,Migrationsartikel!N231:P231)</f>
        <v>Lattuga verde 1pz</v>
      </c>
      <c r="O232" s="51" t="str">
        <f>Migrationsartikel!F231</f>
        <v>Kopfsalat grün</v>
      </c>
      <c r="P232" s="51" t="str">
        <f>Migrationsartikel!J231</f>
        <v>Laitue pommée verte</v>
      </c>
      <c r="Q232" s="51" t="str">
        <f>Migrationsartikel!N231</f>
        <v>Lattuga verde</v>
      </c>
      <c r="R232" s="51" t="str">
        <f>_xlfn.TEXTJOIN(" ",TRUE,Migrationsartikel!G231)</f>
        <v/>
      </c>
      <c r="S232" s="51" t="str">
        <f>_xlfn.TEXTJOIN(" ",TRUE,Migrationsartikel!K231)</f>
        <v/>
      </c>
      <c r="T232" s="51" t="str">
        <f>_xlfn.TEXTJOIN(" ",TRUE,Migrationsartikel!O231)</f>
        <v/>
      </c>
      <c r="U232" s="51" t="str">
        <f>_xlfn.TEXTJOIN(" ",TRUE,Migrationsartikel!H231)</f>
        <v>1Stk</v>
      </c>
      <c r="V232" s="51" t="str">
        <f>_xlfn.TEXTJOIN(" ",TRUE,Migrationsartikel!L231)</f>
        <v>1pce</v>
      </c>
      <c r="W232" s="51" t="str">
        <f>_xlfn.TEXTJOIN(" ",TRUE,Migrationsartikel!P231)</f>
        <v>1pz</v>
      </c>
      <c r="X232" s="51" t="str">
        <f>Migrationsartikel!I231</f>
        <v>Kopfsalat grün 1 Stk</v>
      </c>
      <c r="Y232" s="51" t="str">
        <f>Migrationsartikel!M231</f>
        <v>Laiture pommée verte 1 pce</v>
      </c>
      <c r="Z232" s="51" t="str">
        <f>Migrationsartikel!Q231</f>
        <v>Lattuga verde 1 pz</v>
      </c>
      <c r="AA232" s="60">
        <f>Migrationsartikel!R231</f>
        <v>1</v>
      </c>
      <c r="AB232" s="51" t="str">
        <f>Migrationsartikel!T231</f>
        <v>Stück</v>
      </c>
      <c r="AC232" s="62">
        <f>Migrationsartikel!S231</f>
        <v>1</v>
      </c>
      <c r="AD232" s="51" t="str">
        <f>Migrationsartikel!U231</f>
        <v>(PCE) Stück</v>
      </c>
      <c r="AE232" s="95" t="str">
        <f>Migrationsartikel!Y231</f>
        <v>3 - Reduzierter Satz</v>
      </c>
      <c r="AF232" s="64" t="str">
        <f>IF(Migrationsartikel!AA231="Kein Depotartikel","",Migrationsartikel!AA231)</f>
        <v/>
      </c>
      <c r="AG232" s="95" t="str">
        <f>Migrationsartikel!Z231</f>
        <v>Keine</v>
      </c>
      <c r="AH232" s="51" t="str">
        <f>IF(Migrationsartikel!AB231="ja","true",FALSE)</f>
        <v>true</v>
      </c>
      <c r="AI232" s="51" t="str">
        <f>IF(Migrationsartikel!AC231="ja","true",FALSE)</f>
        <v>true</v>
      </c>
      <c r="AJ232" s="51" t="str">
        <f>IF(Migrationsartikel!AD231="ja","true",FALSE)</f>
        <v>true</v>
      </c>
      <c r="AK232" s="51" t="str">
        <f>IF(Migrationsartikel!AE231="ja","true",FALSE)</f>
        <v>true</v>
      </c>
      <c r="AL232" s="51" t="str">
        <f>IF(Migrationsartikel!AF231="ja","Denner Partner","")</f>
        <v/>
      </c>
      <c r="AM232" s="51" t="str">
        <f>IF(Migrationsartikel!AG231="ja","true","false")</f>
        <v>false</v>
      </c>
      <c r="AN232" s="51" t="str">
        <f t="shared" si="4"/>
        <v>Kassentastenbelegung (ohne GTIN/PLU)</v>
      </c>
      <c r="AO232" s="63" t="s">
        <v>219</v>
      </c>
      <c r="AP232" s="62" t="s">
        <v>2659</v>
      </c>
      <c r="AQ232" s="63" t="s">
        <v>217</v>
      </c>
      <c r="AR232" s="30" t="s">
        <v>219</v>
      </c>
    </row>
    <row r="233" spans="2:44" ht="21.75" customHeight="1" x14ac:dyDescent="0.45">
      <c r="B233" s="51" t="s">
        <v>99</v>
      </c>
      <c r="E233" s="52" t="s">
        <v>87</v>
      </c>
      <c r="F233" s="51" t="str">
        <f>"Warengruppe&gt;&gt;"&amp;_xlfn.TEXTJOIN("&gt;&gt;",TRUE,Migrationsartikel!V232:X232)</f>
        <v>Warengruppe&gt;&gt;Früchte und Gemüse&gt;&gt;Früchte und Gemüse&gt;&gt;Gemüse</v>
      </c>
      <c r="H233" s="52" t="s">
        <v>109</v>
      </c>
      <c r="J233" s="51" t="str">
        <f>_xlfn.TEXTJOIN(" ",TRUE,Migrationsartikel!B232,Migrationsartikel!E232)</f>
        <v>2203871000003</v>
      </c>
      <c r="L233" s="51" t="str">
        <f>_xlfn.TEXTJOIN(" ",TRUE,Migrationsartikel!F232:H232)</f>
        <v>Kopfsalat 1Stk</v>
      </c>
      <c r="M233" s="51" t="str">
        <f>_xlfn.TEXTJOIN(" ",TRUE,Migrationsartikel!J232:L232)</f>
        <v>Laitue pommée 1pce</v>
      </c>
      <c r="N233" s="51" t="str">
        <f>_xlfn.TEXTJOIN(" ",TRUE,Migrationsartikel!N232:P232)</f>
        <v>Lattuga 1pz</v>
      </c>
      <c r="O233" s="51" t="str">
        <f>Migrationsartikel!F232</f>
        <v>Kopfsalat</v>
      </c>
      <c r="P233" s="51" t="str">
        <f>Migrationsartikel!J232</f>
        <v>Laitue pommée</v>
      </c>
      <c r="Q233" s="51" t="str">
        <f>Migrationsartikel!N232</f>
        <v>Lattuga</v>
      </c>
      <c r="R233" s="51" t="str">
        <f>_xlfn.TEXTJOIN(" ",TRUE,Migrationsartikel!G232)</f>
        <v/>
      </c>
      <c r="S233" s="51" t="str">
        <f>_xlfn.TEXTJOIN(" ",TRUE,Migrationsartikel!K232)</f>
        <v/>
      </c>
      <c r="T233" s="51" t="str">
        <f>_xlfn.TEXTJOIN(" ",TRUE,Migrationsartikel!O232)</f>
        <v/>
      </c>
      <c r="U233" s="51" t="str">
        <f>_xlfn.TEXTJOIN(" ",TRUE,Migrationsartikel!H232)</f>
        <v>1Stk</v>
      </c>
      <c r="V233" s="51" t="str">
        <f>_xlfn.TEXTJOIN(" ",TRUE,Migrationsartikel!L232)</f>
        <v>1pce</v>
      </c>
      <c r="W233" s="51" t="str">
        <f>_xlfn.TEXTJOIN(" ",TRUE,Migrationsartikel!P232)</f>
        <v>1pz</v>
      </c>
      <c r="X233" s="51" t="str">
        <f>Migrationsartikel!I232</f>
        <v>Kopfsalat 1 Stk</v>
      </c>
      <c r="Y233" s="51" t="str">
        <f>Migrationsartikel!M232</f>
        <v>Laitue pommée 1 pce</v>
      </c>
      <c r="Z233" s="51" t="str">
        <f>Migrationsartikel!Q232</f>
        <v>Lattuga 1 pz</v>
      </c>
      <c r="AA233" s="60">
        <f>Migrationsartikel!R232</f>
        <v>1</v>
      </c>
      <c r="AB233" s="51" t="str">
        <f>Migrationsartikel!T232</f>
        <v>Stück</v>
      </c>
      <c r="AC233" s="62">
        <f>Migrationsartikel!S232</f>
        <v>1</v>
      </c>
      <c r="AD233" s="51" t="str">
        <f>Migrationsartikel!U232</f>
        <v>(PCE) Stück</v>
      </c>
      <c r="AE233" s="95" t="str">
        <f>Migrationsartikel!Y232</f>
        <v>3 - Reduzierter Satz</v>
      </c>
      <c r="AF233" s="64" t="str">
        <f>IF(Migrationsartikel!AA232="Kein Depotartikel","",Migrationsartikel!AA232)</f>
        <v/>
      </c>
      <c r="AG233" s="95" t="str">
        <f>Migrationsartikel!Z232</f>
        <v>Keine</v>
      </c>
      <c r="AH233" s="51" t="str">
        <f>IF(Migrationsartikel!AB232="ja","true",FALSE)</f>
        <v>true</v>
      </c>
      <c r="AI233" s="51" t="str">
        <f>IF(Migrationsartikel!AC232="ja","true",FALSE)</f>
        <v>true</v>
      </c>
      <c r="AJ233" s="51" t="str">
        <f>IF(Migrationsartikel!AD232="ja","true",FALSE)</f>
        <v>true</v>
      </c>
      <c r="AK233" s="51" t="str">
        <f>IF(Migrationsartikel!AE232="ja","true",FALSE)</f>
        <v>true</v>
      </c>
      <c r="AL233" s="51" t="str">
        <f>IF(Migrationsartikel!AF232="ja","Denner Partner","")</f>
        <v/>
      </c>
      <c r="AM233" s="51" t="str">
        <f>IF(Migrationsartikel!AG232="ja","true","false")</f>
        <v>false</v>
      </c>
      <c r="AN233" s="51" t="str">
        <f t="shared" si="4"/>
        <v>Kassentastenbelegung (ohne GTIN/PLU)</v>
      </c>
      <c r="AO233" s="63" t="s">
        <v>219</v>
      </c>
      <c r="AP233" s="62" t="s">
        <v>2660</v>
      </c>
      <c r="AQ233" s="63" t="s">
        <v>217</v>
      </c>
      <c r="AR233" s="30" t="s">
        <v>219</v>
      </c>
    </row>
    <row r="234" spans="2:44" ht="21.75" customHeight="1" x14ac:dyDescent="0.45">
      <c r="B234" s="51" t="s">
        <v>99</v>
      </c>
      <c r="E234" s="52" t="s">
        <v>87</v>
      </c>
      <c r="F234" s="51" t="str">
        <f>"Warengruppe&gt;&gt;"&amp;_xlfn.TEXTJOIN("&gt;&gt;",TRUE,Migrationsartikel!V233:X233)</f>
        <v>Warengruppe&gt;&gt;Früchte und Gemüse&gt;&gt;Früchte und Gemüse&gt;&gt;Gemüse</v>
      </c>
      <c r="H234" s="52" t="s">
        <v>109</v>
      </c>
      <c r="J234" s="51" t="str">
        <f>_xlfn.TEXTJOIN(" ",TRUE,Migrationsartikel!B233,Migrationsartikel!E233)</f>
        <v/>
      </c>
      <c r="L234" s="51" t="str">
        <f>_xlfn.TEXTJOIN(" ",TRUE,Migrationsartikel!F233:H233)</f>
        <v>Kopfsalat rot 1Stk</v>
      </c>
      <c r="M234" s="51" t="str">
        <f>_xlfn.TEXTJOIN(" ",TRUE,Migrationsartikel!J233:L233)</f>
        <v>Laitue pommée rouge 1pce</v>
      </c>
      <c r="N234" s="51" t="str">
        <f>_xlfn.TEXTJOIN(" ",TRUE,Migrationsartikel!N233:P233)</f>
        <v>Lattuga cappuccio rossa 1pz</v>
      </c>
      <c r="O234" s="51" t="str">
        <f>Migrationsartikel!F233</f>
        <v>Kopfsalat rot</v>
      </c>
      <c r="P234" s="51" t="str">
        <f>Migrationsartikel!J233</f>
        <v>Laitue pommée rouge</v>
      </c>
      <c r="Q234" s="51" t="str">
        <f>Migrationsartikel!N233</f>
        <v>Lattuga cappuccio</v>
      </c>
      <c r="R234" s="51" t="str">
        <f>_xlfn.TEXTJOIN(" ",TRUE,Migrationsartikel!G233)</f>
        <v/>
      </c>
      <c r="S234" s="51" t="str">
        <f>_xlfn.TEXTJOIN(" ",TRUE,Migrationsartikel!K233)</f>
        <v/>
      </c>
      <c r="T234" s="51" t="str">
        <f>_xlfn.TEXTJOIN(" ",TRUE,Migrationsartikel!O233)</f>
        <v>rossa</v>
      </c>
      <c r="U234" s="51" t="str">
        <f>_xlfn.TEXTJOIN(" ",TRUE,Migrationsartikel!H233)</f>
        <v>1Stk</v>
      </c>
      <c r="V234" s="51" t="str">
        <f>_xlfn.TEXTJOIN(" ",TRUE,Migrationsartikel!L233)</f>
        <v>1pce</v>
      </c>
      <c r="W234" s="51" t="str">
        <f>_xlfn.TEXTJOIN(" ",TRUE,Migrationsartikel!P233)</f>
        <v>1pz</v>
      </c>
      <c r="X234" s="51" t="str">
        <f>Migrationsartikel!I233</f>
        <v>Kopfsalat rot 1 Stk</v>
      </c>
      <c r="Y234" s="51" t="str">
        <f>Migrationsartikel!M233</f>
        <v>Laitue pommée rouge 1 pce</v>
      </c>
      <c r="Z234" s="51" t="str">
        <f>Migrationsartikel!Q233</f>
        <v>Lattuga cappuccio rossa 1 pz</v>
      </c>
      <c r="AA234" s="60">
        <f>Migrationsartikel!R233</f>
        <v>1</v>
      </c>
      <c r="AB234" s="51" t="str">
        <f>Migrationsartikel!T233</f>
        <v>Stück</v>
      </c>
      <c r="AC234" s="62">
        <f>Migrationsartikel!S233</f>
        <v>1</v>
      </c>
      <c r="AD234" s="51" t="str">
        <f>Migrationsartikel!U233</f>
        <v>(PCE) Stück</v>
      </c>
      <c r="AE234" s="95" t="str">
        <f>Migrationsartikel!Y233</f>
        <v>3 - Reduzierter Satz</v>
      </c>
      <c r="AF234" s="64" t="str">
        <f>IF(Migrationsartikel!AA233="Kein Depotartikel","",Migrationsartikel!AA233)</f>
        <v/>
      </c>
      <c r="AG234" s="95" t="str">
        <f>Migrationsartikel!Z233</f>
        <v>Keine</v>
      </c>
      <c r="AH234" s="51" t="str">
        <f>IF(Migrationsartikel!AB233="ja","true",FALSE)</f>
        <v>true</v>
      </c>
      <c r="AI234" s="51" t="str">
        <f>IF(Migrationsartikel!AC233="ja","true",FALSE)</f>
        <v>true</v>
      </c>
      <c r="AJ234" s="51" t="str">
        <f>IF(Migrationsartikel!AD233="ja","true",FALSE)</f>
        <v>true</v>
      </c>
      <c r="AK234" s="51" t="str">
        <f>IF(Migrationsartikel!AE233="ja","true",FALSE)</f>
        <v>true</v>
      </c>
      <c r="AL234" s="51" t="str">
        <f>IF(Migrationsartikel!AF233="ja","Denner Partner","")</f>
        <v/>
      </c>
      <c r="AM234" s="51" t="str">
        <f>IF(Migrationsartikel!AG233="ja","true","false")</f>
        <v>false</v>
      </c>
      <c r="AN234" s="51" t="str">
        <f t="shared" si="4"/>
        <v>Kassentastenbelegung (ohne GTIN/PLU)</v>
      </c>
      <c r="AO234" s="63" t="s">
        <v>219</v>
      </c>
      <c r="AP234" s="62" t="s">
        <v>2661</v>
      </c>
      <c r="AQ234" s="63" t="s">
        <v>217</v>
      </c>
      <c r="AR234" s="30" t="s">
        <v>219</v>
      </c>
    </row>
    <row r="235" spans="2:44" ht="21.75" customHeight="1" x14ac:dyDescent="0.45">
      <c r="B235" s="51" t="s">
        <v>99</v>
      </c>
      <c r="E235" s="52" t="s">
        <v>87</v>
      </c>
      <c r="F235" s="51" t="str">
        <f>"Warengruppe&gt;&gt;"&amp;_xlfn.TEXTJOIN("&gt;&gt;",TRUE,Migrationsartikel!V234:X234)</f>
        <v>Warengruppe&gt;&gt;Früchte und Gemüse&gt;&gt;Früchte und Gemüse&gt;&gt;Gemüse</v>
      </c>
      <c r="H235" s="52" t="s">
        <v>109</v>
      </c>
      <c r="J235" s="51" t="str">
        <f>_xlfn.TEXTJOIN(" ",TRUE,Migrationsartikel!B234,Migrationsartikel!E234)</f>
        <v>2273811000004</v>
      </c>
      <c r="L235" s="51" t="str">
        <f>_xlfn.TEXTJOIN(" ",TRUE,Migrationsartikel!F234:H234)</f>
        <v>Kopfsalat rot 1Stk</v>
      </c>
      <c r="M235" s="51" t="str">
        <f>_xlfn.TEXTJOIN(" ",TRUE,Migrationsartikel!J234:L234)</f>
        <v>Laitue pommée rouge 1pce</v>
      </c>
      <c r="N235" s="51" t="str">
        <f>_xlfn.TEXTJOIN(" ",TRUE,Migrationsartikel!N234:P234)</f>
        <v>Lattuga cappuccio rossa 1pz</v>
      </c>
      <c r="O235" s="51" t="str">
        <f>Migrationsartikel!F234</f>
        <v>Kopfsalat rot</v>
      </c>
      <c r="P235" s="51" t="str">
        <f>Migrationsartikel!J234</f>
        <v>Laitue pommée rouge</v>
      </c>
      <c r="Q235" s="51" t="str">
        <f>Migrationsartikel!N234</f>
        <v>Lattuga cappuccio</v>
      </c>
      <c r="R235" s="51" t="str">
        <f>_xlfn.TEXTJOIN(" ",TRUE,Migrationsartikel!G234)</f>
        <v/>
      </c>
      <c r="S235" s="51" t="str">
        <f>_xlfn.TEXTJOIN(" ",TRUE,Migrationsartikel!K234)</f>
        <v/>
      </c>
      <c r="T235" s="51" t="str">
        <f>_xlfn.TEXTJOIN(" ",TRUE,Migrationsartikel!O234)</f>
        <v>rossa</v>
      </c>
      <c r="U235" s="51" t="str">
        <f>_xlfn.TEXTJOIN(" ",TRUE,Migrationsartikel!H234)</f>
        <v>1Stk</v>
      </c>
      <c r="V235" s="51" t="str">
        <f>_xlfn.TEXTJOIN(" ",TRUE,Migrationsartikel!L234)</f>
        <v>1pce</v>
      </c>
      <c r="W235" s="51" t="str">
        <f>_xlfn.TEXTJOIN(" ",TRUE,Migrationsartikel!P234)</f>
        <v>1pz</v>
      </c>
      <c r="X235" s="51" t="str">
        <f>Migrationsartikel!I234</f>
        <v>Kopfsalat rot 1 Stk</v>
      </c>
      <c r="Y235" s="51" t="str">
        <f>Migrationsartikel!M234</f>
        <v>Laitue pommée rouge 1 pce</v>
      </c>
      <c r="Z235" s="51" t="str">
        <f>Migrationsartikel!Q234</f>
        <v>Lattuga cappuccio rossa 1 pz</v>
      </c>
      <c r="AA235" s="60">
        <f>Migrationsartikel!R234</f>
        <v>1</v>
      </c>
      <c r="AB235" s="51" t="str">
        <f>Migrationsartikel!T234</f>
        <v>Stück</v>
      </c>
      <c r="AC235" s="62">
        <f>Migrationsartikel!S234</f>
        <v>1</v>
      </c>
      <c r="AD235" s="51" t="str">
        <f>Migrationsartikel!U234</f>
        <v>(PCE) Stück</v>
      </c>
      <c r="AE235" s="95" t="str">
        <f>Migrationsartikel!Y234</f>
        <v>3 - Reduzierter Satz</v>
      </c>
      <c r="AF235" s="64" t="str">
        <f>IF(Migrationsartikel!AA234="Kein Depotartikel","",Migrationsartikel!AA234)</f>
        <v/>
      </c>
      <c r="AG235" s="95" t="str">
        <f>Migrationsartikel!Z234</f>
        <v>Keine</v>
      </c>
      <c r="AH235" s="51" t="str">
        <f>IF(Migrationsartikel!AB234="ja","true",FALSE)</f>
        <v>true</v>
      </c>
      <c r="AI235" s="51" t="str">
        <f>IF(Migrationsartikel!AC234="ja","true",FALSE)</f>
        <v>true</v>
      </c>
      <c r="AJ235" s="51" t="str">
        <f>IF(Migrationsartikel!AD234="ja","true",FALSE)</f>
        <v>true</v>
      </c>
      <c r="AK235" s="51" t="str">
        <f>IF(Migrationsartikel!AE234="ja","true",FALSE)</f>
        <v>true</v>
      </c>
      <c r="AL235" s="51" t="str">
        <f>IF(Migrationsartikel!AF234="ja","Denner Partner","")</f>
        <v/>
      </c>
      <c r="AM235" s="51" t="str">
        <f>IF(Migrationsartikel!AG234="ja","true","false")</f>
        <v>false</v>
      </c>
      <c r="AN235" s="51" t="str">
        <f t="shared" si="4"/>
        <v>Kassentastenbelegung (ohne GTIN/PLU)</v>
      </c>
      <c r="AO235" s="63" t="s">
        <v>219</v>
      </c>
      <c r="AP235" s="62" t="s">
        <v>2662</v>
      </c>
      <c r="AQ235" s="63" t="s">
        <v>217</v>
      </c>
      <c r="AR235" s="30" t="s">
        <v>219</v>
      </c>
    </row>
    <row r="236" spans="2:44" ht="21.75" customHeight="1" x14ac:dyDescent="0.45">
      <c r="B236" s="51" t="s">
        <v>99</v>
      </c>
      <c r="E236" s="52" t="s">
        <v>87</v>
      </c>
      <c r="F236" s="51" t="str">
        <f>"Warengruppe&gt;&gt;"&amp;_xlfn.TEXTJOIN("&gt;&gt;",TRUE,Migrationsartikel!V235:X235)</f>
        <v>Warengruppe&gt;&gt;Früchte und Gemüse&gt;&gt;Früchte und Gemüse&gt;&gt;Gemüse</v>
      </c>
      <c r="H236" s="52" t="s">
        <v>109</v>
      </c>
      <c r="J236" s="51" t="str">
        <f>_xlfn.TEXTJOIN(" ",TRUE,Migrationsartikel!B235,Migrationsartikel!E235)</f>
        <v/>
      </c>
      <c r="L236" s="51" t="str">
        <f>_xlfn.TEXTJOIN(" ",TRUE,Migrationsartikel!F235:H235)</f>
        <v>Koriander im Topf 1Stk</v>
      </c>
      <c r="M236" s="51" t="str">
        <f>_xlfn.TEXTJOIN(" ",TRUE,Migrationsartikel!J235:L235)</f>
        <v>Coriandre en pot 1pce</v>
      </c>
      <c r="N236" s="51" t="str">
        <f>_xlfn.TEXTJOIN(" ",TRUE,Migrationsartikel!N235:P235)</f>
        <v>Coriandolo in vaso 1pz</v>
      </c>
      <c r="O236" s="51" t="str">
        <f>Migrationsartikel!F235</f>
        <v>Koriander im Topf</v>
      </c>
      <c r="P236" s="51" t="str">
        <f>Migrationsartikel!J235</f>
        <v>Coriandre en pot</v>
      </c>
      <c r="Q236" s="51" t="str">
        <f>Migrationsartikel!N235</f>
        <v>Coriandolo in vaso</v>
      </c>
      <c r="R236" s="51" t="str">
        <f>_xlfn.TEXTJOIN(" ",TRUE,Migrationsartikel!G235)</f>
        <v/>
      </c>
      <c r="S236" s="51" t="str">
        <f>_xlfn.TEXTJOIN(" ",TRUE,Migrationsartikel!K235)</f>
        <v/>
      </c>
      <c r="T236" s="51" t="str">
        <f>_xlfn.TEXTJOIN(" ",TRUE,Migrationsartikel!O235)</f>
        <v/>
      </c>
      <c r="U236" s="51" t="str">
        <f>_xlfn.TEXTJOIN(" ",TRUE,Migrationsartikel!H235)</f>
        <v>1Stk</v>
      </c>
      <c r="V236" s="51" t="str">
        <f>_xlfn.TEXTJOIN(" ",TRUE,Migrationsartikel!L235)</f>
        <v>1pce</v>
      </c>
      <c r="W236" s="51" t="str">
        <f>_xlfn.TEXTJOIN(" ",TRUE,Migrationsartikel!P235)</f>
        <v>1pz</v>
      </c>
      <c r="X236" s="51" t="str">
        <f>Migrationsartikel!I235</f>
        <v>Koriander im Topf 1 Stk</v>
      </c>
      <c r="Y236" s="51" t="str">
        <f>Migrationsartikel!M235</f>
        <v>Coriandre en pot 1 pce</v>
      </c>
      <c r="Z236" s="51" t="str">
        <f>Migrationsartikel!Q235</f>
        <v>Coriandolo in vaso 1 pz</v>
      </c>
      <c r="AA236" s="60">
        <f>Migrationsartikel!R235</f>
        <v>1</v>
      </c>
      <c r="AB236" s="51" t="str">
        <f>Migrationsartikel!T235</f>
        <v>Stück</v>
      </c>
      <c r="AC236" s="62">
        <f>Migrationsartikel!S235</f>
        <v>1</v>
      </c>
      <c r="AD236" s="51" t="str">
        <f>Migrationsartikel!U235</f>
        <v>(PCE) Stück</v>
      </c>
      <c r="AE236" s="95" t="str">
        <f>Migrationsartikel!Y235</f>
        <v>3 - Reduzierter Satz</v>
      </c>
      <c r="AF236" s="64" t="str">
        <f>IF(Migrationsartikel!AA235="Kein Depotartikel","",Migrationsartikel!AA235)</f>
        <v/>
      </c>
      <c r="AG236" s="95" t="str">
        <f>Migrationsartikel!Z235</f>
        <v>Keine</v>
      </c>
      <c r="AH236" s="51" t="str">
        <f>IF(Migrationsartikel!AB235="ja","true",FALSE)</f>
        <v>true</v>
      </c>
      <c r="AI236" s="51" t="str">
        <f>IF(Migrationsartikel!AC235="ja","true",FALSE)</f>
        <v>true</v>
      </c>
      <c r="AJ236" s="51" t="str">
        <f>IF(Migrationsartikel!AD235="ja","true",FALSE)</f>
        <v>true</v>
      </c>
      <c r="AK236" s="51" t="str">
        <f>IF(Migrationsartikel!AE235="ja","true",FALSE)</f>
        <v>true</v>
      </c>
      <c r="AL236" s="51" t="str">
        <f>IF(Migrationsartikel!AF235="ja","Denner Partner","")</f>
        <v/>
      </c>
      <c r="AM236" s="51" t="str">
        <f>IF(Migrationsartikel!AG235="ja","true","false")</f>
        <v>false</v>
      </c>
      <c r="AN236" s="51" t="str">
        <f t="shared" si="4"/>
        <v>Kassentastenbelegung (ohne GTIN/PLU)</v>
      </c>
      <c r="AO236" s="63" t="s">
        <v>219</v>
      </c>
      <c r="AP236" s="62" t="s">
        <v>2663</v>
      </c>
      <c r="AQ236" s="63" t="s">
        <v>217</v>
      </c>
      <c r="AR236" s="30" t="s">
        <v>219</v>
      </c>
    </row>
    <row r="237" spans="2:44" ht="21.75" customHeight="1" x14ac:dyDescent="0.45">
      <c r="B237" s="51" t="s">
        <v>99</v>
      </c>
      <c r="E237" s="52" t="s">
        <v>87</v>
      </c>
      <c r="F237" s="51" t="str">
        <f>"Warengruppe&gt;&gt;"&amp;_xlfn.TEXTJOIN("&gt;&gt;",TRUE,Migrationsartikel!V236:X236)</f>
        <v>Warengruppe&gt;&gt;Früchte und Gemüse&gt;&gt;Früchte und Gemüse&gt;&gt;Gemüse</v>
      </c>
      <c r="H237" s="52" t="s">
        <v>109</v>
      </c>
      <c r="J237" s="51" t="str">
        <f>_xlfn.TEXTJOIN(" ",TRUE,Migrationsartikel!B236,Migrationsartikel!E236)</f>
        <v>7613399040880</v>
      </c>
      <c r="L237" s="51" t="str">
        <f>_xlfn.TEXTJOIN(" ",TRUE,Migrationsartikel!F236:H236)</f>
        <v>Koriander Schale 20g</v>
      </c>
      <c r="M237" s="51" t="str">
        <f>_xlfn.TEXTJOIN(" ",TRUE,Migrationsartikel!J236:L236)</f>
        <v>Coriandre Barquette 20g</v>
      </c>
      <c r="N237" s="51" t="str">
        <f>_xlfn.TEXTJOIN(" ",TRUE,Migrationsartikel!N236:P236)</f>
        <v>Coriandolo vaschetta 20g</v>
      </c>
      <c r="O237" s="51" t="str">
        <f>Migrationsartikel!F236</f>
        <v>Koriander</v>
      </c>
      <c r="P237" s="51" t="str">
        <f>Migrationsartikel!J236</f>
        <v>Coriandre</v>
      </c>
      <c r="Q237" s="51" t="str">
        <f>Migrationsartikel!N236</f>
        <v>Coriandolo</v>
      </c>
      <c r="R237" s="51" t="str">
        <f>_xlfn.TEXTJOIN(" ",TRUE,Migrationsartikel!G236)</f>
        <v>Schale</v>
      </c>
      <c r="S237" s="51" t="str">
        <f>_xlfn.TEXTJOIN(" ",TRUE,Migrationsartikel!K236)</f>
        <v>Barquette</v>
      </c>
      <c r="T237" s="51" t="str">
        <f>_xlfn.TEXTJOIN(" ",TRUE,Migrationsartikel!O236)</f>
        <v>vaschetta</v>
      </c>
      <c r="U237" s="51" t="str">
        <f>_xlfn.TEXTJOIN(" ",TRUE,Migrationsartikel!H236)</f>
        <v>20g</v>
      </c>
      <c r="V237" s="51" t="str">
        <f>_xlfn.TEXTJOIN(" ",TRUE,Migrationsartikel!L236)</f>
        <v>20g</v>
      </c>
      <c r="W237" s="51" t="str">
        <f>_xlfn.TEXTJOIN(" ",TRUE,Migrationsartikel!P236)</f>
        <v>20g</v>
      </c>
      <c r="X237" s="51" t="str">
        <f>Migrationsartikel!I236</f>
        <v>Koriander Schale 20g</v>
      </c>
      <c r="Y237" s="51" t="str">
        <f>Migrationsartikel!M236</f>
        <v>Coriandre barquette 20g</v>
      </c>
      <c r="Z237" s="51" t="str">
        <f>Migrationsartikel!Q236</f>
        <v>Coriandolo vaschetta 20g</v>
      </c>
      <c r="AA237" s="60">
        <f>Migrationsartikel!R236</f>
        <v>0.02</v>
      </c>
      <c r="AB237" s="51" t="str">
        <f>Migrationsartikel!T236</f>
        <v>Gramm</v>
      </c>
      <c r="AC237" s="62">
        <f>Migrationsartikel!S236</f>
        <v>100</v>
      </c>
      <c r="AD237" s="51" t="str">
        <f>Migrationsartikel!U236</f>
        <v>(PCE) Stück</v>
      </c>
      <c r="AE237" s="95" t="str">
        <f>Migrationsartikel!Y236</f>
        <v>3 - Reduzierter Satz</v>
      </c>
      <c r="AF237" s="64" t="str">
        <f>IF(Migrationsartikel!AA236="Kein Depotartikel","",Migrationsartikel!AA236)</f>
        <v/>
      </c>
      <c r="AG237" s="95" t="str">
        <f>Migrationsartikel!Z236</f>
        <v>Keine</v>
      </c>
      <c r="AH237" s="51" t="str">
        <f>IF(Migrationsartikel!AB236="ja","true",FALSE)</f>
        <v>true</v>
      </c>
      <c r="AI237" s="51" t="str">
        <f>IF(Migrationsartikel!AC236="ja","true",FALSE)</f>
        <v>true</v>
      </c>
      <c r="AJ237" s="51" t="str">
        <f>IF(Migrationsartikel!AD236="ja","true",FALSE)</f>
        <v>true</v>
      </c>
      <c r="AK237" s="51" t="str">
        <f>IF(Migrationsartikel!AE236="ja","true",FALSE)</f>
        <v>true</v>
      </c>
      <c r="AL237" s="51" t="str">
        <f>IF(Migrationsartikel!AF236="ja","Denner Partner","")</f>
        <v/>
      </c>
      <c r="AM237" s="51" t="str">
        <f>IF(Migrationsartikel!AG236="ja","true","false")</f>
        <v>false</v>
      </c>
      <c r="AN237" s="51" t="str">
        <f t="shared" si="4"/>
        <v>Kassentastenbelegung (ohne GTIN/PLU)</v>
      </c>
      <c r="AO237" s="63" t="s">
        <v>219</v>
      </c>
      <c r="AP237" s="62" t="s">
        <v>2664</v>
      </c>
      <c r="AQ237" s="63" t="s">
        <v>217</v>
      </c>
      <c r="AR237" s="30" t="s">
        <v>219</v>
      </c>
    </row>
    <row r="238" spans="2:44" ht="21.75" customHeight="1" x14ac:dyDescent="0.45">
      <c r="B238" s="51" t="s">
        <v>99</v>
      </c>
      <c r="E238" s="52" t="s">
        <v>87</v>
      </c>
      <c r="F238" s="51" t="str">
        <f>"Warengruppe&gt;&gt;"&amp;_xlfn.TEXTJOIN("&gt;&gt;",TRUE,Migrationsartikel!V237:X237)</f>
        <v>Warengruppe&gt;&gt;Früchte und Gemüse&gt;&gt;Früchte und Gemüse&gt;&gt;Gemüse</v>
      </c>
      <c r="H238" s="52" t="s">
        <v>109</v>
      </c>
      <c r="J238" s="51" t="str">
        <f>_xlfn.TEXTJOIN(" ",TRUE,Migrationsartikel!B237,Migrationsartikel!E237)</f>
        <v>2203881000000</v>
      </c>
      <c r="L238" s="51" t="str">
        <f>_xlfn.TEXTJOIN(" ",TRUE,Migrationsartikel!F237:H237)</f>
        <v>Krautstiel</v>
      </c>
      <c r="M238" s="51" t="str">
        <f>_xlfn.TEXTJOIN(" ",TRUE,Migrationsartikel!J237:L237)</f>
        <v>Côtes de bette</v>
      </c>
      <c r="N238" s="51" t="str">
        <f>_xlfn.TEXTJOIN(" ",TRUE,Migrationsartikel!N237:P237)</f>
        <v>Coste</v>
      </c>
      <c r="O238" s="51" t="str">
        <f>Migrationsartikel!F237</f>
        <v>Krautstiel</v>
      </c>
      <c r="P238" s="51" t="str">
        <f>Migrationsartikel!J237</f>
        <v>Côtes de bette</v>
      </c>
      <c r="Q238" s="51" t="str">
        <f>Migrationsartikel!N237</f>
        <v>Coste</v>
      </c>
      <c r="R238" s="51" t="str">
        <f>_xlfn.TEXTJOIN(" ",TRUE,Migrationsartikel!G237)</f>
        <v/>
      </c>
      <c r="S238" s="51" t="str">
        <f>_xlfn.TEXTJOIN(" ",TRUE,Migrationsartikel!K237)</f>
        <v/>
      </c>
      <c r="T238" s="51" t="str">
        <f>_xlfn.TEXTJOIN(" ",TRUE,Migrationsartikel!O237)</f>
        <v/>
      </c>
      <c r="U238" s="51" t="str">
        <f>_xlfn.TEXTJOIN(" ",TRUE,Migrationsartikel!H237)</f>
        <v/>
      </c>
      <c r="V238" s="51" t="str">
        <f>_xlfn.TEXTJOIN(" ",TRUE,Migrationsartikel!L237)</f>
        <v/>
      </c>
      <c r="W238" s="51" t="str">
        <f>_xlfn.TEXTJOIN(" ",TRUE,Migrationsartikel!P237)</f>
        <v/>
      </c>
      <c r="X238" s="51" t="str">
        <f>Migrationsartikel!I237</f>
        <v>Krautstiel</v>
      </c>
      <c r="Y238" s="51" t="str">
        <f>Migrationsartikel!M237</f>
        <v>Côtes de bette</v>
      </c>
      <c r="Z238" s="51" t="str">
        <f>Migrationsartikel!Q237</f>
        <v>Coste</v>
      </c>
      <c r="AA238" s="60">
        <f>Migrationsartikel!R237</f>
        <v>1</v>
      </c>
      <c r="AB238" s="51" t="str">
        <f>Migrationsartikel!T237</f>
        <v>Kilogramm</v>
      </c>
      <c r="AC238" s="62">
        <f>Migrationsartikel!S237</f>
        <v>1</v>
      </c>
      <c r="AD238" s="51" t="str">
        <f>Migrationsartikel!U237</f>
        <v>(PCE) Stück</v>
      </c>
      <c r="AE238" s="95" t="str">
        <f>Migrationsartikel!Y237</f>
        <v>3 - Reduzierter Satz</v>
      </c>
      <c r="AF238" s="64" t="str">
        <f>IF(Migrationsartikel!AA237="Kein Depotartikel","",Migrationsartikel!AA237)</f>
        <v/>
      </c>
      <c r="AG238" s="95" t="str">
        <f>Migrationsartikel!Z237</f>
        <v>Keine</v>
      </c>
      <c r="AH238" s="51" t="str">
        <f>IF(Migrationsartikel!AB237="ja","true",FALSE)</f>
        <v>true</v>
      </c>
      <c r="AI238" s="51" t="str">
        <f>IF(Migrationsartikel!AC237="ja","true",FALSE)</f>
        <v>true</v>
      </c>
      <c r="AJ238" s="51" t="str">
        <f>IF(Migrationsartikel!AD237="ja","true",FALSE)</f>
        <v>true</v>
      </c>
      <c r="AK238" s="51" t="str">
        <f>IF(Migrationsartikel!AE237="ja","true",FALSE)</f>
        <v>true</v>
      </c>
      <c r="AL238" s="51" t="str">
        <f>IF(Migrationsartikel!AF237="ja","Denner Partner","")</f>
        <v/>
      </c>
      <c r="AM238" s="51" t="str">
        <f>IF(Migrationsartikel!AG237="ja","true","false")</f>
        <v>false</v>
      </c>
      <c r="AN238" s="51" t="str">
        <f t="shared" si="4"/>
        <v>Kassentastenbelegung (ohne GTIN/PLU)</v>
      </c>
      <c r="AO238" s="63" t="s">
        <v>219</v>
      </c>
      <c r="AP238" s="62" t="s">
        <v>2665</v>
      </c>
      <c r="AQ238" s="63" t="s">
        <v>217</v>
      </c>
      <c r="AR238" s="30" t="s">
        <v>219</v>
      </c>
    </row>
    <row r="239" spans="2:44" ht="21.75" customHeight="1" x14ac:dyDescent="0.45">
      <c r="B239" s="51" t="s">
        <v>99</v>
      </c>
      <c r="E239" s="52" t="s">
        <v>87</v>
      </c>
      <c r="F239" s="51" t="str">
        <f>"Warengruppe&gt;&gt;"&amp;_xlfn.TEXTJOIN("&gt;&gt;",TRUE,Migrationsartikel!V238:X238)</f>
        <v>Warengruppe&gt;&gt;Früchte und Gemüse&gt;&gt;Früchte und Gemüse&gt;&gt;Gemüse</v>
      </c>
      <c r="H239" s="52" t="s">
        <v>109</v>
      </c>
      <c r="J239" s="51" t="str">
        <f>_xlfn.TEXTJOIN(" ",TRUE,Migrationsartikel!B238,Migrationsartikel!E238)</f>
        <v>2201231000000</v>
      </c>
      <c r="L239" s="51" t="str">
        <f>_xlfn.TEXTJOIN(" ",TRUE,Migrationsartikel!F238:H238)</f>
        <v>Krautstiel Strünke kg</v>
      </c>
      <c r="M239" s="51" t="str">
        <f>_xlfn.TEXTJOIN(" ",TRUE,Migrationsartikel!J238:L238)</f>
        <v>Côtes de bette, tiges kg</v>
      </c>
      <c r="N239" s="51" t="str">
        <f>_xlfn.TEXTJOIN(" ",TRUE,Migrationsartikel!N238:P238)</f>
        <v>Coste con gambo kg</v>
      </c>
      <c r="O239" s="51" t="str">
        <f>Migrationsartikel!F238</f>
        <v>Krautstiel Strünke</v>
      </c>
      <c r="P239" s="51" t="str">
        <f>Migrationsartikel!J238</f>
        <v>Côtes de bette, tiges</v>
      </c>
      <c r="Q239" s="51" t="str">
        <f>Migrationsartikel!N238</f>
        <v>Coste con gambo</v>
      </c>
      <c r="R239" s="51" t="str">
        <f>_xlfn.TEXTJOIN(" ",TRUE,Migrationsartikel!G238)</f>
        <v/>
      </c>
      <c r="S239" s="51" t="str">
        <f>_xlfn.TEXTJOIN(" ",TRUE,Migrationsartikel!K238)</f>
        <v/>
      </c>
      <c r="T239" s="51" t="str">
        <f>_xlfn.TEXTJOIN(" ",TRUE,Migrationsartikel!O238)</f>
        <v/>
      </c>
      <c r="U239" s="51" t="str">
        <f>_xlfn.TEXTJOIN(" ",TRUE,Migrationsartikel!H238)</f>
        <v>kg</v>
      </c>
      <c r="V239" s="51" t="str">
        <f>_xlfn.TEXTJOIN(" ",TRUE,Migrationsartikel!L238)</f>
        <v>kg</v>
      </c>
      <c r="W239" s="51" t="str">
        <f>_xlfn.TEXTJOIN(" ",TRUE,Migrationsartikel!P238)</f>
        <v>kg</v>
      </c>
      <c r="X239" s="51" t="str">
        <f>Migrationsartikel!I238</f>
        <v>Krautstiel Strünke</v>
      </c>
      <c r="Y239" s="51" t="str">
        <f>Migrationsartikel!M238</f>
        <v>Côtes de bette, pelliculé</v>
      </c>
      <c r="Z239" s="51" t="str">
        <f>Migrationsartikel!Q238</f>
        <v>Coste con gambo</v>
      </c>
      <c r="AA239" s="60">
        <f>Migrationsartikel!R238</f>
        <v>1</v>
      </c>
      <c r="AB239" s="51" t="str">
        <f>Migrationsartikel!T238</f>
        <v>Kilogramm</v>
      </c>
      <c r="AC239" s="62">
        <f>Migrationsartikel!S238</f>
        <v>1</v>
      </c>
      <c r="AD239" s="51" t="str">
        <f>Migrationsartikel!U238</f>
        <v>(PCE) Stück</v>
      </c>
      <c r="AE239" s="95" t="str">
        <f>Migrationsartikel!Y238</f>
        <v>3 - Reduzierter Satz</v>
      </c>
      <c r="AF239" s="64" t="str">
        <f>IF(Migrationsartikel!AA238="Kein Depotartikel","",Migrationsartikel!AA238)</f>
        <v/>
      </c>
      <c r="AG239" s="95" t="str">
        <f>Migrationsartikel!Z238</f>
        <v>Keine</v>
      </c>
      <c r="AH239" s="51" t="str">
        <f>IF(Migrationsartikel!AB238="ja","true",FALSE)</f>
        <v>true</v>
      </c>
      <c r="AI239" s="51" t="str">
        <f>IF(Migrationsartikel!AC238="ja","true",FALSE)</f>
        <v>true</v>
      </c>
      <c r="AJ239" s="51" t="str">
        <f>IF(Migrationsartikel!AD238="ja","true",FALSE)</f>
        <v>true</v>
      </c>
      <c r="AK239" s="51" t="str">
        <f>IF(Migrationsartikel!AE238="ja","true",FALSE)</f>
        <v>true</v>
      </c>
      <c r="AL239" s="51" t="str">
        <f>IF(Migrationsartikel!AF238="ja","Denner Partner","")</f>
        <v/>
      </c>
      <c r="AM239" s="51" t="str">
        <f>IF(Migrationsartikel!AG238="ja","true","false")</f>
        <v>false</v>
      </c>
      <c r="AN239" s="51" t="str">
        <f t="shared" si="4"/>
        <v>Kassentastenbelegung (ohne GTIN/PLU)</v>
      </c>
      <c r="AO239" s="63" t="s">
        <v>219</v>
      </c>
      <c r="AP239" s="62" t="s">
        <v>2666</v>
      </c>
      <c r="AQ239" s="63" t="s">
        <v>217</v>
      </c>
      <c r="AR239" s="30" t="s">
        <v>219</v>
      </c>
    </row>
    <row r="240" spans="2:44" ht="21.75" customHeight="1" x14ac:dyDescent="0.45">
      <c r="B240" s="51" t="s">
        <v>99</v>
      </c>
      <c r="E240" s="52" t="s">
        <v>87</v>
      </c>
      <c r="F240" s="51" t="str">
        <f>"Warengruppe&gt;&gt;"&amp;_xlfn.TEXTJOIN("&gt;&gt;",TRUE,Migrationsartikel!V239:X239)</f>
        <v>Warengruppe&gt;&gt;Früchte und Gemüse&gt;&gt;Früchte und Gemüse&gt;&gt;Gemüse</v>
      </c>
      <c r="H240" s="52" t="s">
        <v>109</v>
      </c>
      <c r="J240" s="51" t="str">
        <f>_xlfn.TEXTJOIN(" ",TRUE,Migrationsartikel!B239,Migrationsartikel!E239)</f>
        <v>2202091000000</v>
      </c>
      <c r="L240" s="51" t="str">
        <f>_xlfn.TEXTJOIN(" ",TRUE,Migrationsartikel!F239:H239)</f>
        <v>Kürbis Muscat mit Petersilie</v>
      </c>
      <c r="M240" s="51" t="str">
        <f>_xlfn.TEXTJOIN(" ",TRUE,Migrationsartikel!J239:L239)</f>
        <v>Courge Muscat Avec persil</v>
      </c>
      <c r="N240" s="51" t="str">
        <f>_xlfn.TEXTJOIN(" ",TRUE,Migrationsartikel!N239:P239)</f>
        <v>Zucca Muscat con prezzemolo</v>
      </c>
      <c r="O240" s="51" t="str">
        <f>Migrationsartikel!F239</f>
        <v>Kürbis Muscat</v>
      </c>
      <c r="P240" s="51" t="str">
        <f>Migrationsartikel!J239</f>
        <v>Courge Muscat</v>
      </c>
      <c r="Q240" s="51" t="str">
        <f>Migrationsartikel!N239</f>
        <v>Zucca Muscat</v>
      </c>
      <c r="R240" s="51" t="str">
        <f>_xlfn.TEXTJOIN(" ",TRUE,Migrationsartikel!G239)</f>
        <v>mit Petersilie</v>
      </c>
      <c r="S240" s="51" t="str">
        <f>_xlfn.TEXTJOIN(" ",TRUE,Migrationsartikel!K239)</f>
        <v>Avec persil</v>
      </c>
      <c r="T240" s="51" t="str">
        <f>_xlfn.TEXTJOIN(" ",TRUE,Migrationsartikel!O239)</f>
        <v>con prezzemolo</v>
      </c>
      <c r="U240" s="51" t="str">
        <f>_xlfn.TEXTJOIN(" ",TRUE,Migrationsartikel!H239)</f>
        <v/>
      </c>
      <c r="V240" s="51" t="str">
        <f>_xlfn.TEXTJOIN(" ",TRUE,Migrationsartikel!L239)</f>
        <v/>
      </c>
      <c r="W240" s="51" t="str">
        <f>_xlfn.TEXTJOIN(" ",TRUE,Migrationsartikel!P239)</f>
        <v/>
      </c>
      <c r="X240" s="51" t="str">
        <f>Migrationsartikel!I239</f>
        <v>Kürbis Muscat mit Petersilie</v>
      </c>
      <c r="Y240" s="51" t="str">
        <f>Migrationsartikel!M239</f>
        <v>Courge Muscat avec persil</v>
      </c>
      <c r="Z240" s="51" t="str">
        <f>Migrationsartikel!Q239</f>
        <v>Zucca Muscat con prezzemolo</v>
      </c>
      <c r="AA240" s="60">
        <f>Migrationsartikel!R239</f>
        <v>1</v>
      </c>
      <c r="AB240" s="51" t="str">
        <f>Migrationsartikel!T239</f>
        <v>Kilogramm</v>
      </c>
      <c r="AC240" s="62">
        <f>Migrationsartikel!S239</f>
        <v>1</v>
      </c>
      <c r="AD240" s="51" t="str">
        <f>Migrationsartikel!U239</f>
        <v>(PCE) Stück</v>
      </c>
      <c r="AE240" s="95" t="str">
        <f>Migrationsartikel!Y239</f>
        <v>3 - Reduzierter Satz</v>
      </c>
      <c r="AF240" s="64" t="str">
        <f>IF(Migrationsartikel!AA239="Kein Depotartikel","",Migrationsartikel!AA239)</f>
        <v/>
      </c>
      <c r="AG240" s="95" t="str">
        <f>Migrationsartikel!Z239</f>
        <v>Keine</v>
      </c>
      <c r="AH240" s="51" t="str">
        <f>IF(Migrationsartikel!AB239="ja","true",FALSE)</f>
        <v>true</v>
      </c>
      <c r="AI240" s="51" t="str">
        <f>IF(Migrationsartikel!AC239="ja","true",FALSE)</f>
        <v>true</v>
      </c>
      <c r="AJ240" s="51" t="str">
        <f>IF(Migrationsartikel!AD239="ja","true",FALSE)</f>
        <v>true</v>
      </c>
      <c r="AK240" s="51" t="str">
        <f>IF(Migrationsartikel!AE239="ja","true",FALSE)</f>
        <v>true</v>
      </c>
      <c r="AL240" s="51" t="str">
        <f>IF(Migrationsartikel!AF239="ja","Denner Partner","")</f>
        <v/>
      </c>
      <c r="AM240" s="51" t="str">
        <f>IF(Migrationsartikel!AG239="ja","true","false")</f>
        <v>false</v>
      </c>
      <c r="AN240" s="51" t="str">
        <f t="shared" si="4"/>
        <v>Kassentastenbelegung (ohne GTIN/PLU)</v>
      </c>
      <c r="AO240" s="63" t="s">
        <v>219</v>
      </c>
      <c r="AP240" s="62" t="s">
        <v>2667</v>
      </c>
      <c r="AQ240" s="63" t="s">
        <v>217</v>
      </c>
      <c r="AR240" s="30" t="s">
        <v>219</v>
      </c>
    </row>
    <row r="241" spans="2:44" ht="21.75" customHeight="1" x14ac:dyDescent="0.45">
      <c r="B241" s="51" t="s">
        <v>99</v>
      </c>
      <c r="E241" s="52" t="s">
        <v>87</v>
      </c>
      <c r="F241" s="51" t="str">
        <f>"Warengruppe&gt;&gt;"&amp;_xlfn.TEXTJOIN("&gt;&gt;",TRUE,Migrationsartikel!V240:X240)</f>
        <v>Warengruppe&gt;&gt;Früchte und Gemüse&gt;&gt;Früchte und Gemüse&gt;&gt;Gemüse</v>
      </c>
      <c r="H241" s="52" t="s">
        <v>109</v>
      </c>
      <c r="J241" s="51" t="str">
        <f>_xlfn.TEXTJOIN(" ",TRUE,Migrationsartikel!B240,Migrationsartikel!E240)</f>
        <v>2205044000000</v>
      </c>
      <c r="L241" s="51" t="str">
        <f>_xlfn.TEXTJOIN(" ",TRUE,Migrationsartikel!F240:H240)</f>
        <v>Kürbis Muscat Schnitz ca. 700g</v>
      </c>
      <c r="M241" s="51" t="str">
        <f>_xlfn.TEXTJOIN(" ",TRUE,Migrationsartikel!J240:L240)</f>
        <v>Courge Muscat Tranche env. 700g</v>
      </c>
      <c r="N241" s="51" t="str">
        <f>_xlfn.TEXTJOIN(" ",TRUE,Migrationsartikel!N240:P240)</f>
        <v>Zucca Muscat fetta ca. 700g</v>
      </c>
      <c r="O241" s="51" t="str">
        <f>Migrationsartikel!F240</f>
        <v>Kürbis Muscat</v>
      </c>
      <c r="P241" s="51" t="str">
        <f>Migrationsartikel!J240</f>
        <v>Courge Muscat</v>
      </c>
      <c r="Q241" s="51" t="str">
        <f>Migrationsartikel!N240</f>
        <v>Zucca Muscat</v>
      </c>
      <c r="R241" s="51" t="str">
        <f>_xlfn.TEXTJOIN(" ",TRUE,Migrationsartikel!G240)</f>
        <v>Schnitz</v>
      </c>
      <c r="S241" s="51" t="str">
        <f>_xlfn.TEXTJOIN(" ",TRUE,Migrationsartikel!K240)</f>
        <v>Tranche</v>
      </c>
      <c r="T241" s="51" t="str">
        <f>_xlfn.TEXTJOIN(" ",TRUE,Migrationsartikel!O240)</f>
        <v>fetta</v>
      </c>
      <c r="U241" s="51" t="str">
        <f>_xlfn.TEXTJOIN(" ",TRUE,Migrationsartikel!H240)</f>
        <v>ca. 700g</v>
      </c>
      <c r="V241" s="51" t="str">
        <f>_xlfn.TEXTJOIN(" ",TRUE,Migrationsartikel!L240)</f>
        <v>env. 700g</v>
      </c>
      <c r="W241" s="51" t="str">
        <f>_xlfn.TEXTJOIN(" ",TRUE,Migrationsartikel!P240)</f>
        <v>ca. 700g</v>
      </c>
      <c r="X241" s="51" t="str">
        <f>Migrationsartikel!I240</f>
        <v>Kürbis Muscat Schn. ca. 700g</v>
      </c>
      <c r="Y241" s="51" t="str">
        <f>Migrationsartikel!M240</f>
        <v>Courge Mus. Tranche env 700g</v>
      </c>
      <c r="Z241" s="51" t="str">
        <f>Migrationsartikel!Q240</f>
        <v>Zucca Muscat fetta ca. 700g</v>
      </c>
      <c r="AA241" s="60">
        <f>Migrationsartikel!R240</f>
        <v>0.7</v>
      </c>
      <c r="AB241" s="51" t="str">
        <f>Migrationsartikel!T240</f>
        <v>Kilogramm</v>
      </c>
      <c r="AC241" s="62">
        <f>Migrationsartikel!S240</f>
        <v>1</v>
      </c>
      <c r="AD241" s="51" t="str">
        <f>Migrationsartikel!U240</f>
        <v>(PCE) Stück</v>
      </c>
      <c r="AE241" s="95" t="str">
        <f>Migrationsartikel!Y240</f>
        <v>3 - Reduzierter Satz</v>
      </c>
      <c r="AF241" s="64" t="str">
        <f>IF(Migrationsartikel!AA240="Kein Depotartikel","",Migrationsartikel!AA240)</f>
        <v/>
      </c>
      <c r="AG241" s="95" t="str">
        <f>Migrationsartikel!Z240</f>
        <v>Keine</v>
      </c>
      <c r="AH241" s="51" t="str">
        <f>IF(Migrationsartikel!AB240="ja","true",FALSE)</f>
        <v>true</v>
      </c>
      <c r="AI241" s="51" t="str">
        <f>IF(Migrationsartikel!AC240="ja","true",FALSE)</f>
        <v>true</v>
      </c>
      <c r="AJ241" s="51" t="str">
        <f>IF(Migrationsartikel!AD240="ja","true",FALSE)</f>
        <v>true</v>
      </c>
      <c r="AK241" s="51" t="str">
        <f>IF(Migrationsartikel!AE240="ja","true",FALSE)</f>
        <v>true</v>
      </c>
      <c r="AL241" s="51" t="str">
        <f>IF(Migrationsartikel!AF240="ja","Denner Partner","")</f>
        <v/>
      </c>
      <c r="AM241" s="51" t="str">
        <f>IF(Migrationsartikel!AG240="ja","true","false")</f>
        <v>false</v>
      </c>
      <c r="AN241" s="51" t="str">
        <f t="shared" si="4"/>
        <v>Kassentastenbelegung (ohne GTIN/PLU)</v>
      </c>
      <c r="AO241" s="63" t="s">
        <v>219</v>
      </c>
      <c r="AP241" s="62" t="s">
        <v>2668</v>
      </c>
      <c r="AQ241" s="63" t="s">
        <v>217</v>
      </c>
      <c r="AR241" s="30" t="s">
        <v>219</v>
      </c>
    </row>
    <row r="242" spans="2:44" ht="21.75" customHeight="1" x14ac:dyDescent="0.45">
      <c r="B242" s="51" t="s">
        <v>99</v>
      </c>
      <c r="E242" s="52" t="s">
        <v>87</v>
      </c>
      <c r="F242" s="51" t="str">
        <f>"Warengruppe&gt;&gt;"&amp;_xlfn.TEXTJOIN("&gt;&gt;",TRUE,Migrationsartikel!V241:X241)</f>
        <v>Warengruppe&gt;&gt;Früchte und Gemüse&gt;&gt;Früchte und Gemüse&gt;&gt;Gemüse</v>
      </c>
      <c r="H242" s="52" t="s">
        <v>109</v>
      </c>
      <c r="J242" s="51" t="str">
        <f>_xlfn.TEXTJOIN(" ",TRUE,Migrationsartikel!B241,Migrationsartikel!E241)</f>
        <v>2203901000003</v>
      </c>
      <c r="L242" s="51" t="str">
        <f>_xlfn.TEXTJOIN(" ",TRUE,Migrationsartikel!F241:H241)</f>
        <v>Lattich</v>
      </c>
      <c r="M242" s="51" t="str">
        <f>_xlfn.TEXTJOIN(" ",TRUE,Migrationsartikel!J241:L241)</f>
        <v>Laitue romaine</v>
      </c>
      <c r="N242" s="51" t="str">
        <f>_xlfn.TEXTJOIN(" ",TRUE,Migrationsartikel!N241:P241)</f>
        <v>Lattuga romana</v>
      </c>
      <c r="O242" s="51" t="str">
        <f>Migrationsartikel!F241</f>
        <v>Lattich</v>
      </c>
      <c r="P242" s="51" t="str">
        <f>Migrationsartikel!J241</f>
        <v>Laitue romaine</v>
      </c>
      <c r="Q242" s="51" t="str">
        <f>Migrationsartikel!N241</f>
        <v>Lattuga romana</v>
      </c>
      <c r="R242" s="51" t="str">
        <f>_xlfn.TEXTJOIN(" ",TRUE,Migrationsartikel!G241)</f>
        <v/>
      </c>
      <c r="S242" s="51" t="str">
        <f>_xlfn.TEXTJOIN(" ",TRUE,Migrationsartikel!K241)</f>
        <v/>
      </c>
      <c r="T242" s="51" t="str">
        <f>_xlfn.TEXTJOIN(" ",TRUE,Migrationsartikel!O241)</f>
        <v/>
      </c>
      <c r="U242" s="51" t="str">
        <f>_xlfn.TEXTJOIN(" ",TRUE,Migrationsartikel!H241)</f>
        <v/>
      </c>
      <c r="V242" s="51" t="str">
        <f>_xlfn.TEXTJOIN(" ",TRUE,Migrationsartikel!L241)</f>
        <v/>
      </c>
      <c r="W242" s="51" t="str">
        <f>_xlfn.TEXTJOIN(" ",TRUE,Migrationsartikel!P241)</f>
        <v/>
      </c>
      <c r="X242" s="51" t="str">
        <f>Migrationsartikel!I241</f>
        <v>Lattich</v>
      </c>
      <c r="Y242" s="51" t="str">
        <f>Migrationsartikel!M241</f>
        <v>Laitue romaine</v>
      </c>
      <c r="Z242" s="51" t="str">
        <f>Migrationsartikel!Q241</f>
        <v>Lattuga romana</v>
      </c>
      <c r="AA242" s="60">
        <f>Migrationsartikel!R241</f>
        <v>1</v>
      </c>
      <c r="AB242" s="51" t="str">
        <f>Migrationsartikel!T241</f>
        <v>Kilogramm</v>
      </c>
      <c r="AC242" s="62">
        <f>Migrationsartikel!S241</f>
        <v>1</v>
      </c>
      <c r="AD242" s="51" t="str">
        <f>Migrationsartikel!U241</f>
        <v>(PCE) Stück</v>
      </c>
      <c r="AE242" s="95" t="str">
        <f>Migrationsartikel!Y241</f>
        <v>3 - Reduzierter Satz</v>
      </c>
      <c r="AF242" s="64" t="str">
        <f>IF(Migrationsartikel!AA241="Kein Depotartikel","",Migrationsartikel!AA241)</f>
        <v/>
      </c>
      <c r="AG242" s="95" t="str">
        <f>Migrationsartikel!Z241</f>
        <v>Keine</v>
      </c>
      <c r="AH242" s="51" t="str">
        <f>IF(Migrationsartikel!AB241="ja","true",FALSE)</f>
        <v>true</v>
      </c>
      <c r="AI242" s="51" t="str">
        <f>IF(Migrationsartikel!AC241="ja","true",FALSE)</f>
        <v>true</v>
      </c>
      <c r="AJ242" s="51" t="str">
        <f>IF(Migrationsartikel!AD241="ja","true",FALSE)</f>
        <v>true</v>
      </c>
      <c r="AK242" s="51" t="str">
        <f>IF(Migrationsartikel!AE241="ja","true",FALSE)</f>
        <v>true</v>
      </c>
      <c r="AL242" s="51" t="str">
        <f>IF(Migrationsartikel!AF241="ja","Denner Partner","")</f>
        <v/>
      </c>
      <c r="AM242" s="51" t="str">
        <f>IF(Migrationsartikel!AG241="ja","true","false")</f>
        <v>false</v>
      </c>
      <c r="AN242" s="51" t="str">
        <f t="shared" si="4"/>
        <v>Kassentastenbelegung (ohne GTIN/PLU)</v>
      </c>
      <c r="AO242" s="63" t="s">
        <v>219</v>
      </c>
      <c r="AP242" s="62" t="s">
        <v>2669</v>
      </c>
      <c r="AQ242" s="63" t="s">
        <v>217</v>
      </c>
      <c r="AR242" s="30" t="s">
        <v>219</v>
      </c>
    </row>
    <row r="243" spans="2:44" ht="21.75" customHeight="1" x14ac:dyDescent="0.45">
      <c r="B243" s="51" t="s">
        <v>99</v>
      </c>
      <c r="E243" s="52" t="s">
        <v>87</v>
      </c>
      <c r="F243" s="51" t="str">
        <f>"Warengruppe&gt;&gt;"&amp;_xlfn.TEXTJOIN("&gt;&gt;",TRUE,Migrationsartikel!V242:X242)</f>
        <v>Warengruppe&gt;&gt;Früchte und Gemüse&gt;&gt;Früchte und Gemüse&gt;&gt;Gemüse</v>
      </c>
      <c r="H243" s="52" t="s">
        <v>109</v>
      </c>
      <c r="J243" s="51" t="str">
        <f>_xlfn.TEXTJOIN(" ",TRUE,Migrationsartikel!B242,Migrationsartikel!E242)</f>
        <v>2201896000000</v>
      </c>
      <c r="L243" s="51" t="str">
        <f>_xlfn.TEXTJOIN(" ",TRUE,Migrationsartikel!F242:H242)</f>
        <v>Bio Lauch grün 2Stk</v>
      </c>
      <c r="M243" s="51" t="str">
        <f>_xlfn.TEXTJOIN(" ",TRUE,Migrationsartikel!J242:L242)</f>
        <v>Bio Poireau vert 2pces</v>
      </c>
      <c r="N243" s="51" t="str">
        <f>_xlfn.TEXTJOIN(" ",TRUE,Migrationsartikel!N242:P242)</f>
        <v>Bio Porro verde 2pz</v>
      </c>
      <c r="O243" s="51" t="str">
        <f>Migrationsartikel!F242</f>
        <v>Bio Lauch grün</v>
      </c>
      <c r="P243" s="51" t="str">
        <f>Migrationsartikel!J242</f>
        <v>Bio Poireau vert</v>
      </c>
      <c r="Q243" s="51" t="str">
        <f>Migrationsartikel!N242</f>
        <v>Bio Porro verde</v>
      </c>
      <c r="R243" s="51" t="str">
        <f>_xlfn.TEXTJOIN(" ",TRUE,Migrationsartikel!G242)</f>
        <v/>
      </c>
      <c r="S243" s="51" t="str">
        <f>_xlfn.TEXTJOIN(" ",TRUE,Migrationsartikel!K242)</f>
        <v/>
      </c>
      <c r="T243" s="51" t="str">
        <f>_xlfn.TEXTJOIN(" ",TRUE,Migrationsartikel!O242)</f>
        <v/>
      </c>
      <c r="U243" s="51" t="str">
        <f>_xlfn.TEXTJOIN(" ",TRUE,Migrationsartikel!H242)</f>
        <v>2Stk</v>
      </c>
      <c r="V243" s="51" t="str">
        <f>_xlfn.TEXTJOIN(" ",TRUE,Migrationsartikel!L242)</f>
        <v>2pces</v>
      </c>
      <c r="W243" s="51" t="str">
        <f>_xlfn.TEXTJOIN(" ",TRUE,Migrationsartikel!P242)</f>
        <v>2pz</v>
      </c>
      <c r="X243" s="51" t="str">
        <f>Migrationsartikel!I242</f>
        <v>Bio Lauch grün 2 Stk</v>
      </c>
      <c r="Y243" s="51" t="str">
        <f>Migrationsartikel!M242</f>
        <v>Bio Poireau vert 2 pces</v>
      </c>
      <c r="Z243" s="51" t="str">
        <f>Migrationsartikel!Q242</f>
        <v>Bio Porro verde 2 pz</v>
      </c>
      <c r="AA243" s="60">
        <f>Migrationsartikel!R242</f>
        <v>2</v>
      </c>
      <c r="AB243" s="51" t="str">
        <f>Migrationsartikel!T242</f>
        <v>Kilogramm</v>
      </c>
      <c r="AC243" s="62">
        <f>Migrationsartikel!S242</f>
        <v>1</v>
      </c>
      <c r="AD243" s="51" t="str">
        <f>Migrationsartikel!U242</f>
        <v>(PCE) Stück</v>
      </c>
      <c r="AE243" s="95" t="str">
        <f>Migrationsartikel!Y242</f>
        <v>3 - Reduzierter Satz</v>
      </c>
      <c r="AF243" s="64" t="str">
        <f>IF(Migrationsartikel!AA242="Kein Depotartikel","",Migrationsartikel!AA242)</f>
        <v/>
      </c>
      <c r="AG243" s="95" t="str">
        <f>Migrationsartikel!Z242</f>
        <v>Keine</v>
      </c>
      <c r="AH243" s="51" t="str">
        <f>IF(Migrationsartikel!AB242="ja","true",FALSE)</f>
        <v>true</v>
      </c>
      <c r="AI243" s="51" t="str">
        <f>IF(Migrationsartikel!AC242="ja","true",FALSE)</f>
        <v>true</v>
      </c>
      <c r="AJ243" s="51" t="str">
        <f>IF(Migrationsartikel!AD242="ja","true",FALSE)</f>
        <v>true</v>
      </c>
      <c r="AK243" s="51" t="str">
        <f>IF(Migrationsartikel!AE242="ja","true",FALSE)</f>
        <v>true</v>
      </c>
      <c r="AL243" s="51" t="str">
        <f>IF(Migrationsartikel!AF242="ja","Denner Partner","")</f>
        <v/>
      </c>
      <c r="AM243" s="51" t="str">
        <f>IF(Migrationsartikel!AG242="ja","true","false")</f>
        <v>false</v>
      </c>
      <c r="AN243" s="51" t="str">
        <f t="shared" si="4"/>
        <v>Kassentastenbelegung (ohne GTIN/PLU)</v>
      </c>
      <c r="AO243" s="63" t="s">
        <v>219</v>
      </c>
      <c r="AP243" s="62" t="s">
        <v>2670</v>
      </c>
      <c r="AQ243" s="63" t="s">
        <v>217</v>
      </c>
      <c r="AR243" s="30" t="s">
        <v>219</v>
      </c>
    </row>
    <row r="244" spans="2:44" ht="21.75" customHeight="1" x14ac:dyDescent="0.45">
      <c r="B244" s="51" t="s">
        <v>99</v>
      </c>
      <c r="E244" s="52" t="s">
        <v>87</v>
      </c>
      <c r="F244" s="51" t="str">
        <f>"Warengruppe&gt;&gt;"&amp;_xlfn.TEXTJOIN("&gt;&gt;",TRUE,Migrationsartikel!V243:X243)</f>
        <v>Warengruppe&gt;&gt;Früchte und Gemüse&gt;&gt;Früchte und Gemüse&gt;&gt;Gemüse</v>
      </c>
      <c r="H244" s="52" t="s">
        <v>109</v>
      </c>
      <c r="J244" s="51" t="str">
        <f>_xlfn.TEXTJOIN(" ",TRUE,Migrationsartikel!B243,Migrationsartikel!E243)</f>
        <v>2200202000000</v>
      </c>
      <c r="L244" s="51" t="str">
        <f>_xlfn.TEXTJOIN(" ",TRUE,Migrationsartikel!F243:H243)</f>
        <v>Bio Lauch grün ca. 600g</v>
      </c>
      <c r="M244" s="51" t="str">
        <f>_xlfn.TEXTJOIN(" ",TRUE,Migrationsartikel!J243:L243)</f>
        <v>Bio Poireau vert env. 600g</v>
      </c>
      <c r="N244" s="51" t="str">
        <f>_xlfn.TEXTJOIN(" ",TRUE,Migrationsartikel!N243:P243)</f>
        <v>Bio Porro verde ca. 600g</v>
      </c>
      <c r="O244" s="51" t="str">
        <f>Migrationsartikel!F243</f>
        <v>Bio Lauch grün</v>
      </c>
      <c r="P244" s="51" t="str">
        <f>Migrationsartikel!J243</f>
        <v>Bio Poireau vert</v>
      </c>
      <c r="Q244" s="51" t="str">
        <f>Migrationsartikel!N243</f>
        <v>Bio Porro verde</v>
      </c>
      <c r="R244" s="51" t="str">
        <f>_xlfn.TEXTJOIN(" ",TRUE,Migrationsartikel!G243)</f>
        <v/>
      </c>
      <c r="S244" s="51" t="str">
        <f>_xlfn.TEXTJOIN(" ",TRUE,Migrationsartikel!K243)</f>
        <v/>
      </c>
      <c r="T244" s="51" t="str">
        <f>_xlfn.TEXTJOIN(" ",TRUE,Migrationsartikel!O243)</f>
        <v/>
      </c>
      <c r="U244" s="51" t="str">
        <f>_xlfn.TEXTJOIN(" ",TRUE,Migrationsartikel!H243)</f>
        <v>ca. 600g</v>
      </c>
      <c r="V244" s="51" t="str">
        <f>_xlfn.TEXTJOIN(" ",TRUE,Migrationsartikel!L243)</f>
        <v>env. 600g</v>
      </c>
      <c r="W244" s="51" t="str">
        <f>_xlfn.TEXTJOIN(" ",TRUE,Migrationsartikel!P243)</f>
        <v>ca. 600g</v>
      </c>
      <c r="X244" s="51" t="str">
        <f>Migrationsartikel!I243</f>
        <v>Bio Lauch grün ca. 600g</v>
      </c>
      <c r="Y244" s="51" t="str">
        <f>Migrationsartikel!M243</f>
        <v>Bio Poireau vert env. 600g</v>
      </c>
      <c r="Z244" s="51" t="str">
        <f>Migrationsartikel!Q243</f>
        <v>Bio Porro verde ca. 600g</v>
      </c>
      <c r="AA244" s="60">
        <f>Migrationsartikel!R243</f>
        <v>0.6</v>
      </c>
      <c r="AB244" s="51" t="str">
        <f>Migrationsartikel!T243</f>
        <v>Kilogramm</v>
      </c>
      <c r="AC244" s="62">
        <f>Migrationsartikel!S243</f>
        <v>1</v>
      </c>
      <c r="AD244" s="51" t="str">
        <f>Migrationsartikel!U243</f>
        <v>(PCE) Stück</v>
      </c>
      <c r="AE244" s="95" t="str">
        <f>Migrationsartikel!Y243</f>
        <v>3 - Reduzierter Satz</v>
      </c>
      <c r="AF244" s="64" t="str">
        <f>IF(Migrationsartikel!AA243="Kein Depotartikel","",Migrationsartikel!AA243)</f>
        <v/>
      </c>
      <c r="AG244" s="95" t="str">
        <f>Migrationsartikel!Z243</f>
        <v>Keine</v>
      </c>
      <c r="AH244" s="51" t="str">
        <f>IF(Migrationsartikel!AB243="ja","true",FALSE)</f>
        <v>true</v>
      </c>
      <c r="AI244" s="51" t="str">
        <f>IF(Migrationsartikel!AC243="ja","true",FALSE)</f>
        <v>true</v>
      </c>
      <c r="AJ244" s="51" t="str">
        <f>IF(Migrationsartikel!AD243="ja","true",FALSE)</f>
        <v>true</v>
      </c>
      <c r="AK244" s="51" t="str">
        <f>IF(Migrationsartikel!AE243="ja","true",FALSE)</f>
        <v>true</v>
      </c>
      <c r="AL244" s="51" t="str">
        <f>IF(Migrationsartikel!AF243="ja","Denner Partner","")</f>
        <v/>
      </c>
      <c r="AM244" s="51" t="str">
        <f>IF(Migrationsartikel!AG243="ja","true","false")</f>
        <v>false</v>
      </c>
      <c r="AN244" s="51" t="str">
        <f t="shared" si="4"/>
        <v>Kassentastenbelegung (ohne GTIN/PLU)</v>
      </c>
      <c r="AO244" s="63" t="s">
        <v>219</v>
      </c>
      <c r="AP244" s="62" t="s">
        <v>2671</v>
      </c>
      <c r="AQ244" s="63" t="s">
        <v>217</v>
      </c>
      <c r="AR244" s="30" t="s">
        <v>219</v>
      </c>
    </row>
    <row r="245" spans="2:44" ht="21.75" customHeight="1" x14ac:dyDescent="0.45">
      <c r="B245" s="51" t="s">
        <v>99</v>
      </c>
      <c r="E245" s="52" t="s">
        <v>87</v>
      </c>
      <c r="F245" s="51" t="str">
        <f>"Warengruppe&gt;&gt;"&amp;_xlfn.TEXTJOIN("&gt;&gt;",TRUE,Migrationsartikel!V244:X244)</f>
        <v>Warengruppe&gt;&gt;Früchte und Gemüse&gt;&gt;Früchte und Gemüse&gt;&gt;Gemüse</v>
      </c>
      <c r="H245" s="52" t="s">
        <v>109</v>
      </c>
      <c r="J245" s="51" t="str">
        <f>_xlfn.TEXTJOIN(" ",TRUE,Migrationsartikel!B244,Migrationsartikel!E244)</f>
        <v>203</v>
      </c>
      <c r="L245" s="51" t="str">
        <f>_xlfn.TEXTJOIN(" ",TRUE,Migrationsartikel!F244:H244)</f>
        <v>Bio Lauch grün Offen</v>
      </c>
      <c r="M245" s="51" t="str">
        <f>_xlfn.TEXTJOIN(" ",TRUE,Migrationsartikel!J244:L244)</f>
        <v>Bio Poireau vert En vrac</v>
      </c>
      <c r="N245" s="51" t="str">
        <f>_xlfn.TEXTJOIN(" ",TRUE,Migrationsartikel!N244:P244)</f>
        <v>Bio Porro verde vendita sfusa</v>
      </c>
      <c r="O245" s="51" t="str">
        <f>Migrationsartikel!F244</f>
        <v>Bio Lauch grün</v>
      </c>
      <c r="P245" s="51" t="str">
        <f>Migrationsartikel!J244</f>
        <v>Bio Poireau vert</v>
      </c>
      <c r="Q245" s="51" t="str">
        <f>Migrationsartikel!N244</f>
        <v>Bio Porro verde</v>
      </c>
      <c r="R245" s="51" t="str">
        <f>_xlfn.TEXTJOIN(" ",TRUE,Migrationsartikel!G244)</f>
        <v>Offen</v>
      </c>
      <c r="S245" s="51" t="str">
        <f>_xlfn.TEXTJOIN(" ",TRUE,Migrationsartikel!K244)</f>
        <v>En vrac</v>
      </c>
      <c r="T245" s="51" t="str">
        <f>_xlfn.TEXTJOIN(" ",TRUE,Migrationsartikel!O244)</f>
        <v>vendita sfusa</v>
      </c>
      <c r="U245" s="51" t="str">
        <f>_xlfn.TEXTJOIN(" ",TRUE,Migrationsartikel!H244)</f>
        <v/>
      </c>
      <c r="V245" s="51" t="str">
        <f>_xlfn.TEXTJOIN(" ",TRUE,Migrationsartikel!L244)</f>
        <v/>
      </c>
      <c r="W245" s="51" t="str">
        <f>_xlfn.TEXTJOIN(" ",TRUE,Migrationsartikel!P244)</f>
        <v/>
      </c>
      <c r="X245" s="51" t="str">
        <f>Migrationsartikel!I244</f>
        <v>Bio Lauch Offen</v>
      </c>
      <c r="Y245" s="51" t="str">
        <f>Migrationsartikel!M244</f>
        <v>Bio Poireau vert en vrac</v>
      </c>
      <c r="Z245" s="51" t="str">
        <f>Migrationsartikel!Q244</f>
        <v>Bio Porro verde v. sfusa</v>
      </c>
      <c r="AA245" s="60">
        <f>Migrationsartikel!R244</f>
        <v>1</v>
      </c>
      <c r="AB245" s="51" t="str">
        <f>Migrationsartikel!T244</f>
        <v>Kilogramm</v>
      </c>
      <c r="AC245" s="62">
        <f>Migrationsartikel!S244</f>
        <v>1</v>
      </c>
      <c r="AD245" s="51" t="str">
        <f>Migrationsartikel!U244</f>
        <v>(KGM) KG</v>
      </c>
      <c r="AE245" s="95" t="str">
        <f>Migrationsartikel!Y244</f>
        <v>3 - Reduzierter Satz</v>
      </c>
      <c r="AF245" s="64" t="str">
        <f>IF(Migrationsartikel!AA244="Kein Depotartikel","",Migrationsartikel!AA244)</f>
        <v/>
      </c>
      <c r="AG245" s="95" t="str">
        <f>Migrationsartikel!Z244</f>
        <v>Keine</v>
      </c>
      <c r="AH245" s="51" t="str">
        <f>IF(Migrationsartikel!AB244="ja","true",FALSE)</f>
        <v>true</v>
      </c>
      <c r="AI245" s="51" t="str">
        <f>IF(Migrationsartikel!AC244="ja","true",FALSE)</f>
        <v>true</v>
      </c>
      <c r="AJ245" s="51" t="str">
        <f>IF(Migrationsartikel!AD244="ja","true",FALSE)</f>
        <v>true</v>
      </c>
      <c r="AK245" s="51" t="str">
        <f>IF(Migrationsartikel!AE244="ja","true",FALSE)</f>
        <v>true</v>
      </c>
      <c r="AL245" s="51" t="str">
        <f>IF(Migrationsartikel!AF244="ja","Denner Partner","")</f>
        <v/>
      </c>
      <c r="AM245" s="51" t="str">
        <f>IF(Migrationsartikel!AG244="ja","true","false")</f>
        <v>false</v>
      </c>
      <c r="AN245" s="51" t="str">
        <f t="shared" si="4"/>
        <v>Kassentastenbelegung (ohne GTIN/PLU)</v>
      </c>
      <c r="AO245" s="63" t="s">
        <v>219</v>
      </c>
      <c r="AP245" s="62" t="s">
        <v>2672</v>
      </c>
      <c r="AQ245" s="63" t="s">
        <v>217</v>
      </c>
      <c r="AR245" s="30" t="s">
        <v>219</v>
      </c>
    </row>
    <row r="246" spans="2:44" ht="21.75" customHeight="1" x14ac:dyDescent="0.45">
      <c r="B246" s="51" t="s">
        <v>99</v>
      </c>
      <c r="E246" s="52" t="s">
        <v>87</v>
      </c>
      <c r="F246" s="51" t="str">
        <f>"Warengruppe&gt;&gt;"&amp;_xlfn.TEXTJOIN("&gt;&gt;",TRUE,Migrationsartikel!V245:X245)</f>
        <v>Warengruppe&gt;&gt;Früchte und Gemüse&gt;&gt;Früchte und Gemüse&gt;&gt;Gemüse</v>
      </c>
      <c r="H246" s="52" t="s">
        <v>109</v>
      </c>
      <c r="J246" s="51" t="str">
        <f>_xlfn.TEXTJOIN(" ",TRUE,Migrationsartikel!B245,Migrationsartikel!E245)</f>
        <v>2203921000007</v>
      </c>
      <c r="L246" s="51" t="str">
        <f>_xlfn.TEXTJOIN(" ",TRUE,Migrationsartikel!F245:H245)</f>
        <v>Lauch grün kurz</v>
      </c>
      <c r="M246" s="51" t="str">
        <f>_xlfn.TEXTJOIN(" ",TRUE,Migrationsartikel!J245:L245)</f>
        <v>Poireau vert, court</v>
      </c>
      <c r="N246" s="51" t="str">
        <f>_xlfn.TEXTJOIN(" ",TRUE,Migrationsartikel!N245:P245)</f>
        <v>Porro verde</v>
      </c>
      <c r="O246" s="51" t="str">
        <f>Migrationsartikel!F245</f>
        <v>Lauch grün kurz</v>
      </c>
      <c r="P246" s="51" t="str">
        <f>Migrationsartikel!J245</f>
        <v>Poireau vert, court</v>
      </c>
      <c r="Q246" s="51" t="str">
        <f>Migrationsartikel!N245</f>
        <v>Porro verde</v>
      </c>
      <c r="R246" s="51" t="str">
        <f>_xlfn.TEXTJOIN(" ",TRUE,Migrationsartikel!G245)</f>
        <v/>
      </c>
      <c r="S246" s="51" t="str">
        <f>_xlfn.TEXTJOIN(" ",TRUE,Migrationsartikel!K245)</f>
        <v/>
      </c>
      <c r="T246" s="51" t="str">
        <f>_xlfn.TEXTJOIN(" ",TRUE,Migrationsartikel!O245)</f>
        <v/>
      </c>
      <c r="U246" s="51" t="str">
        <f>_xlfn.TEXTJOIN(" ",TRUE,Migrationsartikel!H245)</f>
        <v/>
      </c>
      <c r="V246" s="51" t="str">
        <f>_xlfn.TEXTJOIN(" ",TRUE,Migrationsartikel!L245)</f>
        <v/>
      </c>
      <c r="W246" s="51" t="str">
        <f>_xlfn.TEXTJOIN(" ",TRUE,Migrationsartikel!P245)</f>
        <v/>
      </c>
      <c r="X246" s="51" t="str">
        <f>Migrationsartikel!I245</f>
        <v>Lauch grün kurz</v>
      </c>
      <c r="Y246" s="51" t="str">
        <f>Migrationsartikel!M245</f>
        <v>Poireau vert court</v>
      </c>
      <c r="Z246" s="51" t="str">
        <f>Migrationsartikel!Q245</f>
        <v>Porro verde</v>
      </c>
      <c r="AA246" s="60">
        <f>Migrationsartikel!R245</f>
        <v>1</v>
      </c>
      <c r="AB246" s="51" t="str">
        <f>Migrationsartikel!T245</f>
        <v>Kilogramm</v>
      </c>
      <c r="AC246" s="62">
        <f>Migrationsartikel!S245</f>
        <v>1</v>
      </c>
      <c r="AD246" s="51" t="str">
        <f>Migrationsartikel!U245</f>
        <v>(PCE) Stück</v>
      </c>
      <c r="AE246" s="95" t="str">
        <f>Migrationsartikel!Y245</f>
        <v>3 - Reduzierter Satz</v>
      </c>
      <c r="AF246" s="64" t="str">
        <f>IF(Migrationsartikel!AA245="Kein Depotartikel","",Migrationsartikel!AA245)</f>
        <v/>
      </c>
      <c r="AG246" s="95" t="str">
        <f>Migrationsartikel!Z245</f>
        <v>Keine</v>
      </c>
      <c r="AH246" s="51" t="str">
        <f>IF(Migrationsartikel!AB245="ja","true",FALSE)</f>
        <v>true</v>
      </c>
      <c r="AI246" s="51" t="str">
        <f>IF(Migrationsartikel!AC245="ja","true",FALSE)</f>
        <v>true</v>
      </c>
      <c r="AJ246" s="51" t="str">
        <f>IF(Migrationsartikel!AD245="ja","true",FALSE)</f>
        <v>true</v>
      </c>
      <c r="AK246" s="51" t="str">
        <f>IF(Migrationsartikel!AE245="ja","true",FALSE)</f>
        <v>true</v>
      </c>
      <c r="AL246" s="51" t="str">
        <f>IF(Migrationsartikel!AF245="ja","Denner Partner","")</f>
        <v/>
      </c>
      <c r="AM246" s="51" t="str">
        <f>IF(Migrationsartikel!AG245="ja","true","false")</f>
        <v>false</v>
      </c>
      <c r="AN246" s="51" t="str">
        <f t="shared" si="4"/>
        <v>Kassentastenbelegung (ohne GTIN/PLU)</v>
      </c>
      <c r="AO246" s="63" t="s">
        <v>219</v>
      </c>
      <c r="AP246" s="62" t="s">
        <v>2673</v>
      </c>
      <c r="AQ246" s="63" t="s">
        <v>217</v>
      </c>
      <c r="AR246" s="30" t="s">
        <v>219</v>
      </c>
    </row>
    <row r="247" spans="2:44" ht="21.75" customHeight="1" x14ac:dyDescent="0.45">
      <c r="B247" s="51" t="s">
        <v>99</v>
      </c>
      <c r="E247" s="52" t="s">
        <v>87</v>
      </c>
      <c r="F247" s="51" t="str">
        <f>"Warengruppe&gt;&gt;"&amp;_xlfn.TEXTJOIN("&gt;&gt;",TRUE,Migrationsartikel!V246:X246)</f>
        <v>Warengruppe&gt;&gt;Früchte und Gemüse&gt;&gt;Früchte und Gemüse&gt;&gt;Gemüse</v>
      </c>
      <c r="H247" s="52" t="s">
        <v>109</v>
      </c>
      <c r="J247" s="51" t="str">
        <f>_xlfn.TEXTJOIN(" ",TRUE,Migrationsartikel!B246,Migrationsartikel!E246)</f>
        <v>2273121000008</v>
      </c>
      <c r="L247" s="51" t="str">
        <f>_xlfn.TEXTJOIN(" ",TRUE,Migrationsartikel!F246:H246)</f>
        <v>Lauch Langschaft geschnitten 2 Kl.</v>
      </c>
      <c r="M247" s="51" t="str">
        <f>_xlfn.TEXTJOIN(" ",TRUE,Migrationsartikel!J246:L246)</f>
        <v>Poireau Coupé cl. 2</v>
      </c>
      <c r="N247" s="51" t="str">
        <f>_xlfn.TEXTJOIN(" ",TRUE,Migrationsartikel!N246:P246)</f>
        <v>Porro Langschaft tagliato Cl. 2</v>
      </c>
      <c r="O247" s="51" t="str">
        <f>Migrationsartikel!F246</f>
        <v>Lauch Langschaft</v>
      </c>
      <c r="P247" s="51" t="str">
        <f>Migrationsartikel!J246</f>
        <v>Poireau</v>
      </c>
      <c r="Q247" s="51" t="str">
        <f>Migrationsartikel!N246</f>
        <v>Porro Langschaft</v>
      </c>
      <c r="R247" s="51" t="str">
        <f>_xlfn.TEXTJOIN(" ",TRUE,Migrationsartikel!G246)</f>
        <v>geschnitten 2 Kl.</v>
      </c>
      <c r="S247" s="51" t="str">
        <f>_xlfn.TEXTJOIN(" ",TRUE,Migrationsartikel!K246)</f>
        <v>Coupé cl. 2</v>
      </c>
      <c r="T247" s="51" t="str">
        <f>_xlfn.TEXTJOIN(" ",TRUE,Migrationsartikel!O246)</f>
        <v>tagliato Cl. 2</v>
      </c>
      <c r="U247" s="51" t="str">
        <f>_xlfn.TEXTJOIN(" ",TRUE,Migrationsartikel!H246)</f>
        <v/>
      </c>
      <c r="V247" s="51" t="str">
        <f>_xlfn.TEXTJOIN(" ",TRUE,Migrationsartikel!L246)</f>
        <v/>
      </c>
      <c r="W247" s="51" t="str">
        <f>_xlfn.TEXTJOIN(" ",TRUE,Migrationsartikel!P246)</f>
        <v/>
      </c>
      <c r="X247" s="51" t="str">
        <f>Migrationsartikel!I246</f>
        <v>Lauch Langsch. geschn. 2. Kl</v>
      </c>
      <c r="Y247" s="51" t="str">
        <f>Migrationsartikel!M246</f>
        <v>Poireau coupé cl. 2</v>
      </c>
      <c r="Z247" s="51" t="str">
        <f>Migrationsartikel!Q246</f>
        <v>Porro Langschaft tagl. cl. 2</v>
      </c>
      <c r="AA247" s="60">
        <f>Migrationsartikel!R246</f>
        <v>1</v>
      </c>
      <c r="AB247" s="51" t="str">
        <f>Migrationsartikel!T246</f>
        <v>Kilogramm</v>
      </c>
      <c r="AC247" s="62">
        <f>Migrationsartikel!S246</f>
        <v>1</v>
      </c>
      <c r="AD247" s="51" t="str">
        <f>Migrationsartikel!U246</f>
        <v>(PCE) Stück</v>
      </c>
      <c r="AE247" s="95" t="str">
        <f>Migrationsartikel!Y246</f>
        <v>3 - Reduzierter Satz</v>
      </c>
      <c r="AF247" s="64" t="str">
        <f>IF(Migrationsartikel!AA246="Kein Depotartikel","",Migrationsartikel!AA246)</f>
        <v/>
      </c>
      <c r="AG247" s="95" t="str">
        <f>Migrationsartikel!Z246</f>
        <v>Keine</v>
      </c>
      <c r="AH247" s="51" t="str">
        <f>IF(Migrationsartikel!AB246="ja","true",FALSE)</f>
        <v>true</v>
      </c>
      <c r="AI247" s="51" t="str">
        <f>IF(Migrationsartikel!AC246="ja","true",FALSE)</f>
        <v>true</v>
      </c>
      <c r="AJ247" s="51" t="str">
        <f>IF(Migrationsartikel!AD246="ja","true",FALSE)</f>
        <v>true</v>
      </c>
      <c r="AK247" s="51" t="str">
        <f>IF(Migrationsartikel!AE246="ja","true",FALSE)</f>
        <v>true</v>
      </c>
      <c r="AL247" s="51" t="str">
        <f>IF(Migrationsartikel!AF246="ja","Denner Partner","")</f>
        <v/>
      </c>
      <c r="AM247" s="51" t="str">
        <f>IF(Migrationsartikel!AG246="ja","true","false")</f>
        <v>false</v>
      </c>
      <c r="AN247" s="51" t="str">
        <f t="shared" si="4"/>
        <v>Kassentastenbelegung (ohne GTIN/PLU)</v>
      </c>
      <c r="AO247" s="63" t="s">
        <v>219</v>
      </c>
      <c r="AP247" s="62" t="s">
        <v>2674</v>
      </c>
      <c r="AQ247" s="63" t="s">
        <v>217</v>
      </c>
      <c r="AR247" s="30" t="s">
        <v>219</v>
      </c>
    </row>
    <row r="248" spans="2:44" ht="21.75" customHeight="1" x14ac:dyDescent="0.45">
      <c r="B248" s="51" t="s">
        <v>99</v>
      </c>
      <c r="E248" s="52" t="s">
        <v>87</v>
      </c>
      <c r="F248" s="51" t="str">
        <f>"Warengruppe&gt;&gt;"&amp;_xlfn.TEXTJOIN("&gt;&gt;",TRUE,Migrationsartikel!V247:X247)</f>
        <v>Warengruppe&gt;&gt;Früchte und Gemüse&gt;&gt;Früchte und Gemüse&gt;&gt;Gemüse</v>
      </c>
      <c r="H248" s="52" t="s">
        <v>109</v>
      </c>
      <c r="J248" s="51" t="str">
        <f>_xlfn.TEXTJOIN(" ",TRUE,Migrationsartikel!B247,Migrationsartikel!E247)</f>
        <v>2270331000002</v>
      </c>
      <c r="L248" s="51" t="str">
        <f>_xlfn.TEXTJOIN(" ",TRUE,Migrationsartikel!F247:H247)</f>
        <v>Lauch Langschaft geschnitten</v>
      </c>
      <c r="M248" s="51" t="str">
        <f>_xlfn.TEXTJOIN(" ",TRUE,Migrationsartikel!J247:L247)</f>
        <v>Poireau Coupé</v>
      </c>
      <c r="N248" s="51" t="str">
        <f>_xlfn.TEXTJOIN(" ",TRUE,Migrationsartikel!N247:P247)</f>
        <v>Porro Langschaft tagliato</v>
      </c>
      <c r="O248" s="51" t="str">
        <f>Migrationsartikel!F247</f>
        <v>Lauch Langschaft</v>
      </c>
      <c r="P248" s="51" t="str">
        <f>Migrationsartikel!J247</f>
        <v>Poireau</v>
      </c>
      <c r="Q248" s="51" t="str">
        <f>Migrationsartikel!N247</f>
        <v>Porro Langschaft</v>
      </c>
      <c r="R248" s="51" t="str">
        <f>_xlfn.TEXTJOIN(" ",TRUE,Migrationsartikel!G247)</f>
        <v>geschnitten</v>
      </c>
      <c r="S248" s="51" t="str">
        <f>_xlfn.TEXTJOIN(" ",TRUE,Migrationsartikel!K247)</f>
        <v>Coupé</v>
      </c>
      <c r="T248" s="51" t="str">
        <f>_xlfn.TEXTJOIN(" ",TRUE,Migrationsartikel!O247)</f>
        <v>tagliato</v>
      </c>
      <c r="U248" s="51" t="str">
        <f>_xlfn.TEXTJOIN(" ",TRUE,Migrationsartikel!H247)</f>
        <v/>
      </c>
      <c r="V248" s="51" t="str">
        <f>_xlfn.TEXTJOIN(" ",TRUE,Migrationsartikel!L247)</f>
        <v/>
      </c>
      <c r="W248" s="51" t="str">
        <f>_xlfn.TEXTJOIN(" ",TRUE,Migrationsartikel!P247)</f>
        <v/>
      </c>
      <c r="X248" s="51" t="str">
        <f>Migrationsartikel!I247</f>
        <v>Lauch Langschaft geschnitten</v>
      </c>
      <c r="Y248" s="51" t="str">
        <f>Migrationsartikel!M247</f>
        <v>Poireau coupé</v>
      </c>
      <c r="Z248" s="51" t="str">
        <f>Migrationsartikel!Q247</f>
        <v>Porro Langschaft tagliato</v>
      </c>
      <c r="AA248" s="60">
        <f>Migrationsartikel!R247</f>
        <v>1</v>
      </c>
      <c r="AB248" s="51" t="str">
        <f>Migrationsartikel!T247</f>
        <v>Kilogramm</v>
      </c>
      <c r="AC248" s="62">
        <f>Migrationsartikel!S247</f>
        <v>1</v>
      </c>
      <c r="AD248" s="51" t="str">
        <f>Migrationsartikel!U247</f>
        <v>(PCE) Stück</v>
      </c>
      <c r="AE248" s="95" t="str">
        <f>Migrationsartikel!Y247</f>
        <v>3 - Reduzierter Satz</v>
      </c>
      <c r="AF248" s="64" t="str">
        <f>IF(Migrationsartikel!AA247="Kein Depotartikel","",Migrationsartikel!AA247)</f>
        <v/>
      </c>
      <c r="AG248" s="95" t="str">
        <f>Migrationsartikel!Z247</f>
        <v>Keine</v>
      </c>
      <c r="AH248" s="51" t="str">
        <f>IF(Migrationsartikel!AB247="ja","true",FALSE)</f>
        <v>true</v>
      </c>
      <c r="AI248" s="51" t="str">
        <f>IF(Migrationsartikel!AC247="ja","true",FALSE)</f>
        <v>true</v>
      </c>
      <c r="AJ248" s="51" t="str">
        <f>IF(Migrationsartikel!AD247="ja","true",FALSE)</f>
        <v>true</v>
      </c>
      <c r="AK248" s="51" t="str">
        <f>IF(Migrationsartikel!AE247="ja","true",FALSE)</f>
        <v>true</v>
      </c>
      <c r="AL248" s="51" t="str">
        <f>IF(Migrationsartikel!AF247="ja","Denner Partner","")</f>
        <v/>
      </c>
      <c r="AM248" s="51" t="str">
        <f>IF(Migrationsartikel!AG247="ja","true","false")</f>
        <v>false</v>
      </c>
      <c r="AN248" s="51" t="str">
        <f t="shared" si="4"/>
        <v>Kassentastenbelegung (ohne GTIN/PLU)</v>
      </c>
      <c r="AO248" s="63" t="s">
        <v>219</v>
      </c>
      <c r="AP248" s="62" t="s">
        <v>2675</v>
      </c>
      <c r="AQ248" s="63" t="s">
        <v>217</v>
      </c>
      <c r="AR248" s="30" t="s">
        <v>219</v>
      </c>
    </row>
    <row r="249" spans="2:44" ht="21.75" customHeight="1" x14ac:dyDescent="0.45">
      <c r="B249" s="51" t="s">
        <v>99</v>
      </c>
      <c r="E249" s="52" t="s">
        <v>87</v>
      </c>
      <c r="F249" s="51" t="str">
        <f>"Warengruppe&gt;&gt;"&amp;_xlfn.TEXTJOIN("&gt;&gt;",TRUE,Migrationsartikel!V248:X248)</f>
        <v>Warengruppe&gt;&gt;Früchte und Gemüse&gt;&gt;Früchte und Gemüse&gt;&gt;Gemüse</v>
      </c>
      <c r="H249" s="52" t="s">
        <v>109</v>
      </c>
      <c r="J249" s="51" t="str">
        <f>_xlfn.TEXTJOIN(" ",TRUE,Migrationsartikel!B248,Migrationsartikel!E248)</f>
        <v>2260121000008</v>
      </c>
      <c r="L249" s="51" t="str">
        <f>_xlfn.TEXTJOIN(" ",TRUE,Migrationsartikel!F248:H248)</f>
        <v>Lollo grün 1Stk</v>
      </c>
      <c r="M249" s="51" t="str">
        <f>_xlfn.TEXTJOIN(" ",TRUE,Migrationsartikel!J248:L248)</f>
        <v>Lollo verte 1pce</v>
      </c>
      <c r="N249" s="51" t="str">
        <f>_xlfn.TEXTJOIN(" ",TRUE,Migrationsartikel!N248:P248)</f>
        <v>Lollo verde 1pz</v>
      </c>
      <c r="O249" s="51" t="str">
        <f>Migrationsartikel!F248</f>
        <v>Lollo grün</v>
      </c>
      <c r="P249" s="51" t="str">
        <f>Migrationsartikel!J248</f>
        <v>Lollo verte</v>
      </c>
      <c r="Q249" s="51" t="str">
        <f>Migrationsartikel!N248</f>
        <v>Lollo verde</v>
      </c>
      <c r="R249" s="51" t="str">
        <f>_xlfn.TEXTJOIN(" ",TRUE,Migrationsartikel!G248)</f>
        <v/>
      </c>
      <c r="S249" s="51" t="str">
        <f>_xlfn.TEXTJOIN(" ",TRUE,Migrationsartikel!K248)</f>
        <v/>
      </c>
      <c r="T249" s="51" t="str">
        <f>_xlfn.TEXTJOIN(" ",TRUE,Migrationsartikel!O248)</f>
        <v/>
      </c>
      <c r="U249" s="51" t="str">
        <f>_xlfn.TEXTJOIN(" ",TRUE,Migrationsartikel!H248)</f>
        <v>1Stk</v>
      </c>
      <c r="V249" s="51" t="str">
        <f>_xlfn.TEXTJOIN(" ",TRUE,Migrationsartikel!L248)</f>
        <v>1pce</v>
      </c>
      <c r="W249" s="51" t="str">
        <f>_xlfn.TEXTJOIN(" ",TRUE,Migrationsartikel!P248)</f>
        <v>1pz</v>
      </c>
      <c r="X249" s="51" t="str">
        <f>Migrationsartikel!I248</f>
        <v>Lollo grün 1 Stk</v>
      </c>
      <c r="Y249" s="51" t="str">
        <f>Migrationsartikel!M248</f>
        <v>Lollo verte 1 pce</v>
      </c>
      <c r="Z249" s="51" t="str">
        <f>Migrationsartikel!Q248</f>
        <v>Lollo verde 1 pz</v>
      </c>
      <c r="AA249" s="60">
        <f>Migrationsartikel!R248</f>
        <v>1</v>
      </c>
      <c r="AB249" s="51" t="str">
        <f>Migrationsartikel!T248</f>
        <v>Stück</v>
      </c>
      <c r="AC249" s="62">
        <f>Migrationsartikel!S248</f>
        <v>1</v>
      </c>
      <c r="AD249" s="51" t="str">
        <f>Migrationsartikel!U248</f>
        <v>(PCE) Stück</v>
      </c>
      <c r="AE249" s="95" t="str">
        <f>Migrationsartikel!Y248</f>
        <v>3 - Reduzierter Satz</v>
      </c>
      <c r="AF249" s="64" t="str">
        <f>IF(Migrationsartikel!AA248="Kein Depotartikel","",Migrationsartikel!AA248)</f>
        <v/>
      </c>
      <c r="AG249" s="95" t="str">
        <f>Migrationsartikel!Z248</f>
        <v>Keine</v>
      </c>
      <c r="AH249" s="51" t="str">
        <f>IF(Migrationsartikel!AB248="ja","true",FALSE)</f>
        <v>true</v>
      </c>
      <c r="AI249" s="51" t="str">
        <f>IF(Migrationsartikel!AC248="ja","true",FALSE)</f>
        <v>true</v>
      </c>
      <c r="AJ249" s="51" t="str">
        <f>IF(Migrationsartikel!AD248="ja","true",FALSE)</f>
        <v>true</v>
      </c>
      <c r="AK249" s="51" t="str">
        <f>IF(Migrationsartikel!AE248="ja","true",FALSE)</f>
        <v>true</v>
      </c>
      <c r="AL249" s="51" t="str">
        <f>IF(Migrationsartikel!AF248="ja","Denner Partner","")</f>
        <v/>
      </c>
      <c r="AM249" s="51" t="str">
        <f>IF(Migrationsartikel!AG248="ja","true","false")</f>
        <v>false</v>
      </c>
      <c r="AN249" s="51" t="str">
        <f t="shared" si="4"/>
        <v>Kassentastenbelegung (ohne GTIN/PLU)</v>
      </c>
      <c r="AO249" s="63" t="s">
        <v>219</v>
      </c>
      <c r="AP249" s="62" t="s">
        <v>2676</v>
      </c>
      <c r="AQ249" s="63" t="s">
        <v>217</v>
      </c>
      <c r="AR249" s="30" t="s">
        <v>219</v>
      </c>
    </row>
    <row r="250" spans="2:44" ht="21.75" customHeight="1" x14ac:dyDescent="0.45">
      <c r="B250" s="51" t="s">
        <v>99</v>
      </c>
      <c r="E250" s="52" t="s">
        <v>87</v>
      </c>
      <c r="F250" s="51" t="str">
        <f>"Warengruppe&gt;&gt;"&amp;_xlfn.TEXTJOIN("&gt;&gt;",TRUE,Migrationsartikel!V249:X249)</f>
        <v>Warengruppe&gt;&gt;Früchte und Gemüse&gt;&gt;Früchte und Gemüse&gt;&gt;Gemüse</v>
      </c>
      <c r="H250" s="52" t="s">
        <v>109</v>
      </c>
      <c r="J250" s="51" t="str">
        <f>_xlfn.TEXTJOIN(" ",TRUE,Migrationsartikel!B249,Migrationsartikel!E249)</f>
        <v/>
      </c>
      <c r="L250" s="51" t="str">
        <f>_xlfn.TEXTJOIN(" ",TRUE,Migrationsartikel!F249:H249)</f>
        <v>Lollo rot 1Stk</v>
      </c>
      <c r="M250" s="51" t="str">
        <f>_xlfn.TEXTJOIN(" ",TRUE,Migrationsartikel!J249:L249)</f>
        <v>Lollo rouge 1pce</v>
      </c>
      <c r="N250" s="51" t="str">
        <f>_xlfn.TEXTJOIN(" ",TRUE,Migrationsartikel!N249:P249)</f>
        <v>Lollo rosso 1pz</v>
      </c>
      <c r="O250" s="51" t="str">
        <f>Migrationsartikel!F249</f>
        <v>Lollo rot</v>
      </c>
      <c r="P250" s="51" t="str">
        <f>Migrationsartikel!J249</f>
        <v>Lollo rouge</v>
      </c>
      <c r="Q250" s="51" t="str">
        <f>Migrationsartikel!N249</f>
        <v>Lollo rosso</v>
      </c>
      <c r="R250" s="51" t="str">
        <f>_xlfn.TEXTJOIN(" ",TRUE,Migrationsartikel!G249)</f>
        <v/>
      </c>
      <c r="S250" s="51" t="str">
        <f>_xlfn.TEXTJOIN(" ",TRUE,Migrationsartikel!K249)</f>
        <v/>
      </c>
      <c r="T250" s="51" t="str">
        <f>_xlfn.TEXTJOIN(" ",TRUE,Migrationsartikel!O249)</f>
        <v/>
      </c>
      <c r="U250" s="51" t="str">
        <f>_xlfn.TEXTJOIN(" ",TRUE,Migrationsartikel!H249)</f>
        <v>1Stk</v>
      </c>
      <c r="V250" s="51" t="str">
        <f>_xlfn.TEXTJOIN(" ",TRUE,Migrationsartikel!L249)</f>
        <v>1pce</v>
      </c>
      <c r="W250" s="51" t="str">
        <f>_xlfn.TEXTJOIN(" ",TRUE,Migrationsartikel!P249)</f>
        <v>1pz</v>
      </c>
      <c r="X250" s="51" t="str">
        <f>Migrationsartikel!I249</f>
        <v>Lollo Rot 1 Stk</v>
      </c>
      <c r="Y250" s="51" t="str">
        <f>Migrationsartikel!M249</f>
        <v>Lollo rouge 1 pce</v>
      </c>
      <c r="Z250" s="51" t="str">
        <f>Migrationsartikel!Q249</f>
        <v>Lollo rosso 1 pz</v>
      </c>
      <c r="AA250" s="60">
        <f>Migrationsartikel!R249</f>
        <v>1</v>
      </c>
      <c r="AB250" s="51" t="str">
        <f>Migrationsartikel!T249</f>
        <v>Stück</v>
      </c>
      <c r="AC250" s="62">
        <f>Migrationsartikel!S249</f>
        <v>1</v>
      </c>
      <c r="AD250" s="51" t="str">
        <f>Migrationsartikel!U249</f>
        <v>(PCE) Stück</v>
      </c>
      <c r="AE250" s="95" t="str">
        <f>Migrationsartikel!Y249</f>
        <v>3 - Reduzierter Satz</v>
      </c>
      <c r="AF250" s="64" t="str">
        <f>IF(Migrationsartikel!AA249="Kein Depotartikel","",Migrationsartikel!AA249)</f>
        <v/>
      </c>
      <c r="AG250" s="95" t="str">
        <f>Migrationsartikel!Z249</f>
        <v>Keine</v>
      </c>
      <c r="AH250" s="51" t="str">
        <f>IF(Migrationsartikel!AB249="ja","true",FALSE)</f>
        <v>true</v>
      </c>
      <c r="AI250" s="51" t="str">
        <f>IF(Migrationsartikel!AC249="ja","true",FALSE)</f>
        <v>true</v>
      </c>
      <c r="AJ250" s="51" t="str">
        <f>IF(Migrationsartikel!AD249="ja","true",FALSE)</f>
        <v>true</v>
      </c>
      <c r="AK250" s="51" t="str">
        <f>IF(Migrationsartikel!AE249="ja","true",FALSE)</f>
        <v>true</v>
      </c>
      <c r="AL250" s="51" t="str">
        <f>IF(Migrationsartikel!AF249="ja","Denner Partner","")</f>
        <v/>
      </c>
      <c r="AM250" s="51" t="str">
        <f>IF(Migrationsartikel!AG249="ja","true","false")</f>
        <v>false</v>
      </c>
      <c r="AN250" s="51" t="str">
        <f t="shared" si="4"/>
        <v>Kassentastenbelegung (ohne GTIN/PLU)</v>
      </c>
      <c r="AO250" s="63" t="s">
        <v>219</v>
      </c>
      <c r="AP250" s="62" t="s">
        <v>2677</v>
      </c>
      <c r="AQ250" s="63" t="s">
        <v>217</v>
      </c>
      <c r="AR250" s="30" t="s">
        <v>219</v>
      </c>
    </row>
    <row r="251" spans="2:44" ht="21.75" customHeight="1" x14ac:dyDescent="0.45">
      <c r="B251" s="51" t="s">
        <v>99</v>
      </c>
      <c r="E251" s="52" t="s">
        <v>87</v>
      </c>
      <c r="F251" s="51" t="str">
        <f>"Warengruppe&gt;&gt;"&amp;_xlfn.TEXTJOIN("&gt;&gt;",TRUE,Migrationsartikel!V250:X250)</f>
        <v>Warengruppe&gt;&gt;Früchte und Gemüse&gt;&gt;Früchte und Gemüse&gt;&gt;Gemüse</v>
      </c>
      <c r="H251" s="52" t="s">
        <v>109</v>
      </c>
      <c r="J251" s="51" t="str">
        <f>_xlfn.TEXTJOIN(" ",TRUE,Migrationsartikel!B250,Migrationsartikel!E250)</f>
        <v>7613399041092</v>
      </c>
      <c r="L251" s="51" t="str">
        <f>_xlfn.TEXTJOIN(" ",TRUE,Migrationsartikel!F250:H250)</f>
        <v>Lorbeer Schale 20g</v>
      </c>
      <c r="M251" s="51" t="str">
        <f>_xlfn.TEXTJOIN(" ",TRUE,Migrationsartikel!J250:L250)</f>
        <v>Laurier Barquette 20g</v>
      </c>
      <c r="N251" s="51" t="str">
        <f>_xlfn.TEXTJOIN(" ",TRUE,Migrationsartikel!N250:P250)</f>
        <v>Alloro vaschetta 20g</v>
      </c>
      <c r="O251" s="51" t="str">
        <f>Migrationsartikel!F250</f>
        <v>Lorbeer</v>
      </c>
      <c r="P251" s="51" t="str">
        <f>Migrationsartikel!J250</f>
        <v>Laurier</v>
      </c>
      <c r="Q251" s="51" t="str">
        <f>Migrationsartikel!N250</f>
        <v>Alloro</v>
      </c>
      <c r="R251" s="51" t="str">
        <f>_xlfn.TEXTJOIN(" ",TRUE,Migrationsartikel!G250)</f>
        <v>Schale</v>
      </c>
      <c r="S251" s="51" t="str">
        <f>_xlfn.TEXTJOIN(" ",TRUE,Migrationsartikel!K250)</f>
        <v>Barquette</v>
      </c>
      <c r="T251" s="51" t="str">
        <f>_xlfn.TEXTJOIN(" ",TRUE,Migrationsartikel!O250)</f>
        <v>vaschetta</v>
      </c>
      <c r="U251" s="51" t="str">
        <f>_xlfn.TEXTJOIN(" ",TRUE,Migrationsartikel!H250)</f>
        <v>20g</v>
      </c>
      <c r="V251" s="51" t="str">
        <f>_xlfn.TEXTJOIN(" ",TRUE,Migrationsartikel!L250)</f>
        <v>20g</v>
      </c>
      <c r="W251" s="51" t="str">
        <f>_xlfn.TEXTJOIN(" ",TRUE,Migrationsartikel!P250)</f>
        <v>20g</v>
      </c>
      <c r="X251" s="51" t="str">
        <f>Migrationsartikel!I250</f>
        <v>Lorbeer Schale 20g</v>
      </c>
      <c r="Y251" s="51" t="str">
        <f>Migrationsartikel!M250</f>
        <v>Laurier Barquette 20g</v>
      </c>
      <c r="Z251" s="51" t="str">
        <f>Migrationsartikel!Q250</f>
        <v>Alloro vaschetta 20g</v>
      </c>
      <c r="AA251" s="60">
        <f>Migrationsartikel!R250</f>
        <v>0.02</v>
      </c>
      <c r="AB251" s="51" t="str">
        <f>Migrationsartikel!T250</f>
        <v>Gramm</v>
      </c>
      <c r="AC251" s="62">
        <f>Migrationsartikel!S250</f>
        <v>100</v>
      </c>
      <c r="AD251" s="51" t="str">
        <f>Migrationsartikel!U250</f>
        <v>(PCE) Stück</v>
      </c>
      <c r="AE251" s="95" t="str">
        <f>Migrationsartikel!Y250</f>
        <v>3 - Reduzierter Satz</v>
      </c>
      <c r="AF251" s="64" t="str">
        <f>IF(Migrationsartikel!AA250="Kein Depotartikel","",Migrationsartikel!AA250)</f>
        <v/>
      </c>
      <c r="AG251" s="95" t="str">
        <f>Migrationsartikel!Z250</f>
        <v>Keine</v>
      </c>
      <c r="AH251" s="51" t="str">
        <f>IF(Migrationsartikel!AB250="ja","true",FALSE)</f>
        <v>true</v>
      </c>
      <c r="AI251" s="51" t="str">
        <f>IF(Migrationsartikel!AC250="ja","true",FALSE)</f>
        <v>true</v>
      </c>
      <c r="AJ251" s="51" t="str">
        <f>IF(Migrationsartikel!AD250="ja","true",FALSE)</f>
        <v>true</v>
      </c>
      <c r="AK251" s="51" t="str">
        <f>IF(Migrationsartikel!AE250="ja","true",FALSE)</f>
        <v>true</v>
      </c>
      <c r="AL251" s="51" t="str">
        <f>IF(Migrationsartikel!AF250="ja","Denner Partner","")</f>
        <v/>
      </c>
      <c r="AM251" s="51" t="str">
        <f>IF(Migrationsartikel!AG250="ja","true","false")</f>
        <v>false</v>
      </c>
      <c r="AN251" s="51" t="str">
        <f t="shared" si="4"/>
        <v>Kassentastenbelegung (ohne GTIN/PLU)</v>
      </c>
      <c r="AO251" s="63" t="s">
        <v>219</v>
      </c>
      <c r="AP251" s="62" t="s">
        <v>2678</v>
      </c>
      <c r="AQ251" s="63" t="s">
        <v>217</v>
      </c>
      <c r="AR251" s="30" t="s">
        <v>219</v>
      </c>
    </row>
    <row r="252" spans="2:44" ht="21.75" customHeight="1" x14ac:dyDescent="0.45">
      <c r="B252" s="51" t="s">
        <v>99</v>
      </c>
      <c r="E252" s="52" t="s">
        <v>87</v>
      </c>
      <c r="F252" s="51" t="str">
        <f>"Warengruppe&gt;&gt;"&amp;_xlfn.TEXTJOIN("&gt;&gt;",TRUE,Migrationsartikel!V251:X251)</f>
        <v>Warengruppe&gt;&gt;Früchte und Gemüse&gt;&gt;Früchte und Gemüse&gt;&gt;Gemüse</v>
      </c>
      <c r="H252" s="52" t="s">
        <v>109</v>
      </c>
      <c r="J252" s="51" t="str">
        <f>_xlfn.TEXTJOIN(" ",TRUE,Migrationsartikel!B251,Migrationsartikel!E251)</f>
        <v>7613399041399</v>
      </c>
      <c r="L252" s="51" t="str">
        <f>_xlfn.TEXTJOIN(" ",TRUE,Migrationsartikel!F251:H251)</f>
        <v>Minze Schale 20g</v>
      </c>
      <c r="M252" s="51" t="str">
        <f>_xlfn.TEXTJOIN(" ",TRUE,Migrationsartikel!J251:L251)</f>
        <v>Menthe Barquette 20g</v>
      </c>
      <c r="N252" s="51" t="str">
        <f>_xlfn.TEXTJOIN(" ",TRUE,Migrationsartikel!N251:P251)</f>
        <v>Menta vaschetta 20g</v>
      </c>
      <c r="O252" s="51" t="str">
        <f>Migrationsartikel!F251</f>
        <v>Minze</v>
      </c>
      <c r="P252" s="51" t="str">
        <f>Migrationsartikel!J251</f>
        <v>Menthe</v>
      </c>
      <c r="Q252" s="51" t="str">
        <f>Migrationsartikel!N251</f>
        <v>Menta</v>
      </c>
      <c r="R252" s="51" t="str">
        <f>_xlfn.TEXTJOIN(" ",TRUE,Migrationsartikel!G251)</f>
        <v>Schale</v>
      </c>
      <c r="S252" s="51" t="str">
        <f>_xlfn.TEXTJOIN(" ",TRUE,Migrationsartikel!K251)</f>
        <v>Barquette</v>
      </c>
      <c r="T252" s="51" t="str">
        <f>_xlfn.TEXTJOIN(" ",TRUE,Migrationsartikel!O251)</f>
        <v>vaschetta</v>
      </c>
      <c r="U252" s="51" t="str">
        <f>_xlfn.TEXTJOIN(" ",TRUE,Migrationsartikel!H251)</f>
        <v>20g</v>
      </c>
      <c r="V252" s="51" t="str">
        <f>_xlfn.TEXTJOIN(" ",TRUE,Migrationsartikel!L251)</f>
        <v>20g</v>
      </c>
      <c r="W252" s="51" t="str">
        <f>_xlfn.TEXTJOIN(" ",TRUE,Migrationsartikel!P251)</f>
        <v>20g</v>
      </c>
      <c r="X252" s="51" t="str">
        <f>Migrationsartikel!I251</f>
        <v>Minze Schale 20g</v>
      </c>
      <c r="Y252" s="51" t="str">
        <f>Migrationsartikel!M251</f>
        <v>Menthe barquette 20g</v>
      </c>
      <c r="Z252" s="51" t="str">
        <f>Migrationsartikel!Q251</f>
        <v>Menta vaschetta 20g</v>
      </c>
      <c r="AA252" s="60">
        <f>Migrationsartikel!R251</f>
        <v>0.02</v>
      </c>
      <c r="AB252" s="51" t="str">
        <f>Migrationsartikel!T251</f>
        <v>Gramm</v>
      </c>
      <c r="AC252" s="62">
        <f>Migrationsartikel!S251</f>
        <v>100</v>
      </c>
      <c r="AD252" s="51" t="str">
        <f>Migrationsartikel!U251</f>
        <v>(PCE) Stück</v>
      </c>
      <c r="AE252" s="95" t="str">
        <f>Migrationsartikel!Y251</f>
        <v>3 - Reduzierter Satz</v>
      </c>
      <c r="AF252" s="64" t="str">
        <f>IF(Migrationsartikel!AA251="Kein Depotartikel","",Migrationsartikel!AA251)</f>
        <v/>
      </c>
      <c r="AG252" s="95" t="str">
        <f>Migrationsartikel!Z251</f>
        <v>Keine</v>
      </c>
      <c r="AH252" s="51" t="str">
        <f>IF(Migrationsartikel!AB251="ja","true",FALSE)</f>
        <v>true</v>
      </c>
      <c r="AI252" s="51" t="str">
        <f>IF(Migrationsartikel!AC251="ja","true",FALSE)</f>
        <v>true</v>
      </c>
      <c r="AJ252" s="51" t="str">
        <f>IF(Migrationsartikel!AD251="ja","true",FALSE)</f>
        <v>true</v>
      </c>
      <c r="AK252" s="51" t="str">
        <f>IF(Migrationsartikel!AE251="ja","true",FALSE)</f>
        <v>true</v>
      </c>
      <c r="AL252" s="51" t="str">
        <f>IF(Migrationsartikel!AF251="ja","Denner Partner","")</f>
        <v/>
      </c>
      <c r="AM252" s="51" t="str">
        <f>IF(Migrationsartikel!AG251="ja","true","false")</f>
        <v>false</v>
      </c>
      <c r="AN252" s="51" t="str">
        <f t="shared" si="4"/>
        <v>Kassentastenbelegung (ohne GTIN/PLU)</v>
      </c>
      <c r="AO252" s="63" t="s">
        <v>219</v>
      </c>
      <c r="AP252" s="62" t="s">
        <v>2679</v>
      </c>
      <c r="AQ252" s="63" t="s">
        <v>217</v>
      </c>
      <c r="AR252" s="30" t="s">
        <v>219</v>
      </c>
    </row>
    <row r="253" spans="2:44" ht="21.75" customHeight="1" x14ac:dyDescent="0.45">
      <c r="B253" s="51" t="s">
        <v>99</v>
      </c>
      <c r="E253" s="52" t="s">
        <v>87</v>
      </c>
      <c r="F253" s="51" t="str">
        <f>"Warengruppe&gt;&gt;"&amp;_xlfn.TEXTJOIN("&gt;&gt;",TRUE,Migrationsartikel!V252:X252)</f>
        <v>Warengruppe&gt;&gt;Früchte und Gemüse&gt;&gt;Früchte und Gemüse&gt;&gt;Gemüse</v>
      </c>
      <c r="H253" s="52" t="s">
        <v>109</v>
      </c>
      <c r="J253" s="51" t="str">
        <f>_xlfn.TEXTJOIN(" ",TRUE,Migrationsartikel!B252,Migrationsartikel!E252)</f>
        <v>7613399001027</v>
      </c>
      <c r="L253" s="51" t="str">
        <f>_xlfn.TEXTJOIN(" ",TRUE,Migrationsartikel!F252:H252)</f>
        <v>Mischsalat Back to garden 200g</v>
      </c>
      <c r="M253" s="51" t="str">
        <f>_xlfn.TEXTJOIN(" ",TRUE,Migrationsartikel!J252:L252)</f>
        <v>Salade mêlée Back to garden 200g</v>
      </c>
      <c r="N253" s="51" t="str">
        <f>_xlfn.TEXTJOIN(" ",TRUE,Migrationsartikel!N252:P252)</f>
        <v>Insalata mista Back to garden 200g</v>
      </c>
      <c r="O253" s="51" t="str">
        <f>Migrationsartikel!F252</f>
        <v>Mischsalat</v>
      </c>
      <c r="P253" s="51" t="str">
        <f>Migrationsartikel!J252</f>
        <v>Salade mêlée</v>
      </c>
      <c r="Q253" s="51" t="str">
        <f>Migrationsartikel!N252</f>
        <v>Insalata mista</v>
      </c>
      <c r="R253" s="51" t="str">
        <f>_xlfn.TEXTJOIN(" ",TRUE,Migrationsartikel!G252)</f>
        <v>Back to garden</v>
      </c>
      <c r="S253" s="51" t="str">
        <f>_xlfn.TEXTJOIN(" ",TRUE,Migrationsartikel!K252)</f>
        <v>Back to garden</v>
      </c>
      <c r="T253" s="51" t="str">
        <f>_xlfn.TEXTJOIN(" ",TRUE,Migrationsartikel!O252)</f>
        <v>Back to garden</v>
      </c>
      <c r="U253" s="51" t="str">
        <f>_xlfn.TEXTJOIN(" ",TRUE,Migrationsartikel!H252)</f>
        <v>200g</v>
      </c>
      <c r="V253" s="51" t="str">
        <f>_xlfn.TEXTJOIN(" ",TRUE,Migrationsartikel!L252)</f>
        <v>200g</v>
      </c>
      <c r="W253" s="51" t="str">
        <f>_xlfn.TEXTJOIN(" ",TRUE,Migrationsartikel!P252)</f>
        <v>200g</v>
      </c>
      <c r="X253" s="51" t="str">
        <f>Migrationsartikel!I252</f>
        <v>Mischsalat Back to gard 200g</v>
      </c>
      <c r="Y253" s="51" t="str">
        <f>Migrationsartikel!M252</f>
        <v>Salade mêlée b. to gard 200g</v>
      </c>
      <c r="Z253" s="51" t="str">
        <f>Migrationsartikel!Q252</f>
        <v>Insalata mis. Back to g 200g</v>
      </c>
      <c r="AA253" s="60">
        <f>Migrationsartikel!R252</f>
        <v>0.2</v>
      </c>
      <c r="AB253" s="51" t="str">
        <f>Migrationsartikel!T252</f>
        <v>Gramm</v>
      </c>
      <c r="AC253" s="62">
        <f>Migrationsartikel!S252</f>
        <v>100</v>
      </c>
      <c r="AD253" s="51" t="str">
        <f>Migrationsartikel!U252</f>
        <v>(PCE) Stück</v>
      </c>
      <c r="AE253" s="95" t="str">
        <f>Migrationsartikel!Y252</f>
        <v>3 - Reduzierter Satz</v>
      </c>
      <c r="AF253" s="64" t="str">
        <f>IF(Migrationsartikel!AA252="Kein Depotartikel","",Migrationsartikel!AA252)</f>
        <v/>
      </c>
      <c r="AG253" s="95" t="str">
        <f>Migrationsartikel!Z252</f>
        <v>Keine</v>
      </c>
      <c r="AH253" s="51" t="str">
        <f>IF(Migrationsartikel!AB252="ja","true",FALSE)</f>
        <v>true</v>
      </c>
      <c r="AI253" s="51" t="str">
        <f>IF(Migrationsartikel!AC252="ja","true",FALSE)</f>
        <v>true</v>
      </c>
      <c r="AJ253" s="51" t="str">
        <f>IF(Migrationsartikel!AD252="ja","true",FALSE)</f>
        <v>true</v>
      </c>
      <c r="AK253" s="51" t="str">
        <f>IF(Migrationsartikel!AE252="ja","true",FALSE)</f>
        <v>true</v>
      </c>
      <c r="AL253" s="51" t="str">
        <f>IF(Migrationsartikel!AF252="ja","Denner Partner","")</f>
        <v/>
      </c>
      <c r="AM253" s="51" t="str">
        <f>IF(Migrationsartikel!AG252="ja","true","false")</f>
        <v>false</v>
      </c>
      <c r="AN253" s="51" t="str">
        <f t="shared" si="4"/>
        <v>Kassentastenbelegung (ohne GTIN/PLU)</v>
      </c>
      <c r="AO253" s="63" t="s">
        <v>219</v>
      </c>
      <c r="AP253" s="62" t="s">
        <v>2680</v>
      </c>
      <c r="AQ253" s="63" t="s">
        <v>217</v>
      </c>
      <c r="AR253" s="30" t="s">
        <v>219</v>
      </c>
    </row>
    <row r="254" spans="2:44" ht="21.75" customHeight="1" x14ac:dyDescent="0.45">
      <c r="B254" s="51" t="s">
        <v>99</v>
      </c>
      <c r="E254" s="52" t="s">
        <v>87</v>
      </c>
      <c r="F254" s="51" t="str">
        <f>"Warengruppe&gt;&gt;"&amp;_xlfn.TEXTJOIN("&gt;&gt;",TRUE,Migrationsartikel!V253:X253)</f>
        <v>Warengruppe&gt;&gt;Früchte und Gemüse&gt;&gt;Früchte und Gemüse&gt;&gt;Gemüse</v>
      </c>
      <c r="H254" s="52" t="s">
        <v>109</v>
      </c>
      <c r="J254" s="51" t="str">
        <f>_xlfn.TEXTJOIN(" ",TRUE,Migrationsartikel!B253,Migrationsartikel!E253)</f>
        <v>7613399000945</v>
      </c>
      <c r="L254" s="51" t="str">
        <f>_xlfn.TEXTJOIN(" ",TRUE,Migrationsartikel!F253:H253)</f>
        <v>Mischsalat Feinschnitt 120g</v>
      </c>
      <c r="M254" s="51" t="str">
        <f>_xlfn.TEXTJOIN(" ",TRUE,Migrationsartikel!J253:L253)</f>
        <v>Salade mêlée Coupe fine 120g</v>
      </c>
      <c r="N254" s="51" t="str">
        <f>_xlfn.TEXTJOIN(" ",TRUE,Migrationsartikel!N253:P253)</f>
        <v>Insalata mista tagliata 120g</v>
      </c>
      <c r="O254" s="51" t="str">
        <f>Migrationsartikel!F253</f>
        <v>Mischsalat</v>
      </c>
      <c r="P254" s="51" t="str">
        <f>Migrationsartikel!J253</f>
        <v>Salade mêlée</v>
      </c>
      <c r="Q254" s="51" t="str">
        <f>Migrationsartikel!N253</f>
        <v>Insalata mista</v>
      </c>
      <c r="R254" s="51" t="str">
        <f>_xlfn.TEXTJOIN(" ",TRUE,Migrationsartikel!G253)</f>
        <v>Feinschnitt</v>
      </c>
      <c r="S254" s="51" t="str">
        <f>_xlfn.TEXTJOIN(" ",TRUE,Migrationsartikel!K253)</f>
        <v>Coupe fine</v>
      </c>
      <c r="T254" s="51" t="str">
        <f>_xlfn.TEXTJOIN(" ",TRUE,Migrationsartikel!O253)</f>
        <v>tagliata</v>
      </c>
      <c r="U254" s="51" t="str">
        <f>_xlfn.TEXTJOIN(" ",TRUE,Migrationsartikel!H253)</f>
        <v>120g</v>
      </c>
      <c r="V254" s="51" t="str">
        <f>_xlfn.TEXTJOIN(" ",TRUE,Migrationsartikel!L253)</f>
        <v>120g</v>
      </c>
      <c r="W254" s="51" t="str">
        <f>_xlfn.TEXTJOIN(" ",TRUE,Migrationsartikel!P253)</f>
        <v>120g</v>
      </c>
      <c r="X254" s="51" t="str">
        <f>Migrationsartikel!I253</f>
        <v>Mischsalat Feinschnitt 120g</v>
      </c>
      <c r="Y254" s="51" t="str">
        <f>Migrationsartikel!M253</f>
        <v>Salade mêlée coupe fine 120g</v>
      </c>
      <c r="Z254" s="51" t="str">
        <f>Migrationsartikel!Q253</f>
        <v>Insalata mista tagliata 120g</v>
      </c>
      <c r="AA254" s="60">
        <f>Migrationsartikel!R253</f>
        <v>0.12</v>
      </c>
      <c r="AB254" s="51" t="str">
        <f>Migrationsartikel!T253</f>
        <v>Gramm</v>
      </c>
      <c r="AC254" s="62">
        <f>Migrationsartikel!S253</f>
        <v>100</v>
      </c>
      <c r="AD254" s="51" t="str">
        <f>Migrationsartikel!U253</f>
        <v>(PCE) Stück</v>
      </c>
      <c r="AE254" s="95" t="str">
        <f>Migrationsartikel!Y253</f>
        <v>3 - Reduzierter Satz</v>
      </c>
      <c r="AF254" s="64" t="str">
        <f>IF(Migrationsartikel!AA253="Kein Depotartikel","",Migrationsartikel!AA253)</f>
        <v/>
      </c>
      <c r="AG254" s="95" t="str">
        <f>Migrationsartikel!Z253</f>
        <v>Keine</v>
      </c>
      <c r="AH254" s="51" t="str">
        <f>IF(Migrationsartikel!AB253="ja","true",FALSE)</f>
        <v>true</v>
      </c>
      <c r="AI254" s="51" t="str">
        <f>IF(Migrationsartikel!AC253="ja","true",FALSE)</f>
        <v>true</v>
      </c>
      <c r="AJ254" s="51" t="str">
        <f>IF(Migrationsartikel!AD253="ja","true",FALSE)</f>
        <v>true</v>
      </c>
      <c r="AK254" s="51" t="str">
        <f>IF(Migrationsartikel!AE253="ja","true",FALSE)</f>
        <v>true</v>
      </c>
      <c r="AL254" s="51" t="str">
        <f>IF(Migrationsartikel!AF253="ja","Denner Partner","")</f>
        <v/>
      </c>
      <c r="AM254" s="51" t="str">
        <f>IF(Migrationsartikel!AG253="ja","true","false")</f>
        <v>false</v>
      </c>
      <c r="AN254" s="51" t="str">
        <f t="shared" si="4"/>
        <v>Kassentastenbelegung (ohne GTIN/PLU)</v>
      </c>
      <c r="AO254" s="63" t="s">
        <v>219</v>
      </c>
      <c r="AP254" s="62" t="s">
        <v>2681</v>
      </c>
      <c r="AQ254" s="63" t="s">
        <v>217</v>
      </c>
      <c r="AR254" s="30" t="s">
        <v>219</v>
      </c>
    </row>
    <row r="255" spans="2:44" ht="21.75" customHeight="1" x14ac:dyDescent="0.45">
      <c r="B255" s="51" t="s">
        <v>99</v>
      </c>
      <c r="E255" s="52" t="s">
        <v>87</v>
      </c>
      <c r="F255" s="51" t="str">
        <f>"Warengruppe&gt;&gt;"&amp;_xlfn.TEXTJOIN("&gt;&gt;",TRUE,Migrationsartikel!V254:X254)</f>
        <v>Warengruppe&gt;&gt;Früchte und Gemüse&gt;&gt;Früchte und Gemüse&gt;&gt;Gemüse</v>
      </c>
      <c r="H255" s="52" t="s">
        <v>109</v>
      </c>
      <c r="J255" s="51" t="str">
        <f>_xlfn.TEXTJOIN(" ",TRUE,Migrationsartikel!B254,Migrationsartikel!E254)</f>
        <v>7613399056027</v>
      </c>
      <c r="L255" s="51" t="str">
        <f>_xlfn.TEXTJOIN(" ",TRUE,Migrationsartikel!F254:H254)</f>
        <v>Bio Mischsalat 200g</v>
      </c>
      <c r="M255" s="51" t="str">
        <f>_xlfn.TEXTJOIN(" ",TRUE,Migrationsartikel!J254:L254)</f>
        <v>Bio Salade mêlée 200g</v>
      </c>
      <c r="N255" s="51" t="str">
        <f>_xlfn.TEXTJOIN(" ",TRUE,Migrationsartikel!N254:P254)</f>
        <v>Bio Insalata mista 200g</v>
      </c>
      <c r="O255" s="51" t="str">
        <f>Migrationsartikel!F254</f>
        <v>Bio Mischsalat</v>
      </c>
      <c r="P255" s="51" t="str">
        <f>Migrationsartikel!J254</f>
        <v>Bio Salade mêlée</v>
      </c>
      <c r="Q255" s="51" t="str">
        <f>Migrationsartikel!N254</f>
        <v>Bio Insalata mista</v>
      </c>
      <c r="R255" s="51" t="str">
        <f>_xlfn.TEXTJOIN(" ",TRUE,Migrationsartikel!G254)</f>
        <v/>
      </c>
      <c r="S255" s="51" t="str">
        <f>_xlfn.TEXTJOIN(" ",TRUE,Migrationsartikel!K254)</f>
        <v/>
      </c>
      <c r="T255" s="51" t="str">
        <f>_xlfn.TEXTJOIN(" ",TRUE,Migrationsartikel!O254)</f>
        <v/>
      </c>
      <c r="U255" s="51" t="str">
        <f>_xlfn.TEXTJOIN(" ",TRUE,Migrationsartikel!H254)</f>
        <v>200g</v>
      </c>
      <c r="V255" s="51" t="str">
        <f>_xlfn.TEXTJOIN(" ",TRUE,Migrationsartikel!L254)</f>
        <v>200g</v>
      </c>
      <c r="W255" s="51" t="str">
        <f>_xlfn.TEXTJOIN(" ",TRUE,Migrationsartikel!P254)</f>
        <v>200g</v>
      </c>
      <c r="X255" s="51" t="str">
        <f>Migrationsartikel!I254</f>
        <v>Bio Mischsalat 200g</v>
      </c>
      <c r="Y255" s="51" t="str">
        <f>Migrationsartikel!M254</f>
        <v>Bio Salade mêlée 200g</v>
      </c>
      <c r="Z255" s="51" t="str">
        <f>Migrationsartikel!Q254</f>
        <v>Bio Insalata mista 200g</v>
      </c>
      <c r="AA255" s="60">
        <f>Migrationsartikel!R254</f>
        <v>0.2</v>
      </c>
      <c r="AB255" s="51" t="str">
        <f>Migrationsartikel!T254</f>
        <v>Gramm</v>
      </c>
      <c r="AC255" s="62">
        <f>Migrationsartikel!S254</f>
        <v>100</v>
      </c>
      <c r="AD255" s="51" t="str">
        <f>Migrationsartikel!U254</f>
        <v>(PCE) Stück</v>
      </c>
      <c r="AE255" s="95" t="str">
        <f>Migrationsartikel!Y254</f>
        <v>3 - Reduzierter Satz</v>
      </c>
      <c r="AF255" s="64" t="str">
        <f>IF(Migrationsartikel!AA254="Kein Depotartikel","",Migrationsartikel!AA254)</f>
        <v/>
      </c>
      <c r="AG255" s="95" t="str">
        <f>Migrationsartikel!Z254</f>
        <v>Keine</v>
      </c>
      <c r="AH255" s="51" t="str">
        <f>IF(Migrationsartikel!AB254="ja","true",FALSE)</f>
        <v>true</v>
      </c>
      <c r="AI255" s="51" t="str">
        <f>IF(Migrationsartikel!AC254="ja","true",FALSE)</f>
        <v>true</v>
      </c>
      <c r="AJ255" s="51" t="str">
        <f>IF(Migrationsartikel!AD254="ja","true",FALSE)</f>
        <v>true</v>
      </c>
      <c r="AK255" s="51" t="str">
        <f>IF(Migrationsartikel!AE254="ja","true",FALSE)</f>
        <v>true</v>
      </c>
      <c r="AL255" s="51" t="str">
        <f>IF(Migrationsartikel!AF254="ja","Denner Partner","")</f>
        <v/>
      </c>
      <c r="AM255" s="51" t="str">
        <f>IF(Migrationsartikel!AG254="ja","true","false")</f>
        <v>false</v>
      </c>
      <c r="AN255" s="51" t="str">
        <f t="shared" si="4"/>
        <v>Kassentastenbelegung (ohne GTIN/PLU)</v>
      </c>
      <c r="AO255" s="63" t="s">
        <v>219</v>
      </c>
      <c r="AP255" s="62" t="s">
        <v>2682</v>
      </c>
      <c r="AQ255" s="63" t="s">
        <v>217</v>
      </c>
      <c r="AR255" s="30" t="s">
        <v>219</v>
      </c>
    </row>
    <row r="256" spans="2:44" ht="21.75" customHeight="1" x14ac:dyDescent="0.45">
      <c r="B256" s="51" t="s">
        <v>99</v>
      </c>
      <c r="E256" s="52" t="s">
        <v>87</v>
      </c>
      <c r="F256" s="51" t="str">
        <f>"Warengruppe&gt;&gt;"&amp;_xlfn.TEXTJOIN("&gt;&gt;",TRUE,Migrationsartikel!V255:X255)</f>
        <v>Warengruppe&gt;&gt;Früchte und Gemüse&gt;&gt;Früchte und Gemüse&gt;&gt;Gemüse</v>
      </c>
      <c r="H256" s="52" t="s">
        <v>109</v>
      </c>
      <c r="J256" s="51" t="str">
        <f>_xlfn.TEXTJOIN(" ",TRUE,Migrationsartikel!B255,Migrationsartikel!E255)</f>
        <v>7613399000983</v>
      </c>
      <c r="L256" s="51" t="str">
        <f>_xlfn.TEXTJOIN(" ",TRUE,Migrationsartikel!F255:H255)</f>
        <v>Mischsalat Carletta 200g</v>
      </c>
      <c r="M256" s="51" t="str">
        <f>_xlfn.TEXTJOIN(" ",TRUE,Migrationsartikel!J255:L255)</f>
        <v>Salade mêlée Carletta 200g</v>
      </c>
      <c r="N256" s="51" t="str">
        <f>_xlfn.TEXTJOIN(" ",TRUE,Migrationsartikel!N255:P255)</f>
        <v>Insalata mista Carletta 200g</v>
      </c>
      <c r="O256" s="51" t="str">
        <f>Migrationsartikel!F255</f>
        <v>Mischsalat</v>
      </c>
      <c r="P256" s="51" t="str">
        <f>Migrationsartikel!J255</f>
        <v>Salade mêlée</v>
      </c>
      <c r="Q256" s="51" t="str">
        <f>Migrationsartikel!N255</f>
        <v>Insalata mista</v>
      </c>
      <c r="R256" s="51" t="str">
        <f>_xlfn.TEXTJOIN(" ",TRUE,Migrationsartikel!G255)</f>
        <v>Carletta</v>
      </c>
      <c r="S256" s="51" t="str">
        <f>_xlfn.TEXTJOIN(" ",TRUE,Migrationsartikel!K255)</f>
        <v>Carletta</v>
      </c>
      <c r="T256" s="51" t="str">
        <f>_xlfn.TEXTJOIN(" ",TRUE,Migrationsartikel!O255)</f>
        <v>Carletta</v>
      </c>
      <c r="U256" s="51" t="str">
        <f>_xlfn.TEXTJOIN(" ",TRUE,Migrationsartikel!H255)</f>
        <v>200g</v>
      </c>
      <c r="V256" s="51" t="str">
        <f>_xlfn.TEXTJOIN(" ",TRUE,Migrationsartikel!L255)</f>
        <v>200g</v>
      </c>
      <c r="W256" s="51" t="str">
        <f>_xlfn.TEXTJOIN(" ",TRUE,Migrationsartikel!P255)</f>
        <v>200g</v>
      </c>
      <c r="X256" s="51" t="str">
        <f>Migrationsartikel!I255</f>
        <v>Mischsalat Carletta 200g</v>
      </c>
      <c r="Y256" s="51" t="str">
        <f>Migrationsartikel!M255</f>
        <v>Salade mêlée Carletta 200g</v>
      </c>
      <c r="Z256" s="51" t="str">
        <f>Migrationsartikel!Q255</f>
        <v>Insalata mista Carletta 200g</v>
      </c>
      <c r="AA256" s="60">
        <f>Migrationsartikel!R255</f>
        <v>0.2</v>
      </c>
      <c r="AB256" s="51" t="str">
        <f>Migrationsartikel!T255</f>
        <v>Gramm</v>
      </c>
      <c r="AC256" s="62">
        <f>Migrationsartikel!S255</f>
        <v>100</v>
      </c>
      <c r="AD256" s="51" t="str">
        <f>Migrationsartikel!U255</f>
        <v>(PCE) Stück</v>
      </c>
      <c r="AE256" s="95" t="str">
        <f>Migrationsartikel!Y255</f>
        <v>3 - Reduzierter Satz</v>
      </c>
      <c r="AF256" s="64" t="str">
        <f>IF(Migrationsartikel!AA255="Kein Depotartikel","",Migrationsartikel!AA255)</f>
        <v/>
      </c>
      <c r="AG256" s="95" t="str">
        <f>Migrationsartikel!Z255</f>
        <v>Keine</v>
      </c>
      <c r="AH256" s="51" t="str">
        <f>IF(Migrationsartikel!AB255="ja","true",FALSE)</f>
        <v>true</v>
      </c>
      <c r="AI256" s="51" t="str">
        <f>IF(Migrationsartikel!AC255="ja","true",FALSE)</f>
        <v>true</v>
      </c>
      <c r="AJ256" s="51" t="str">
        <f>IF(Migrationsartikel!AD255="ja","true",FALSE)</f>
        <v>true</v>
      </c>
      <c r="AK256" s="51" t="str">
        <f>IF(Migrationsartikel!AE255="ja","true",FALSE)</f>
        <v>true</v>
      </c>
      <c r="AL256" s="51" t="str">
        <f>IF(Migrationsartikel!AF255="ja","Denner Partner","")</f>
        <v/>
      </c>
      <c r="AM256" s="51" t="str">
        <f>IF(Migrationsartikel!AG255="ja","true","false")</f>
        <v>false</v>
      </c>
      <c r="AN256" s="51" t="str">
        <f t="shared" si="4"/>
        <v>Kassentastenbelegung (ohne GTIN/PLU)</v>
      </c>
      <c r="AO256" s="63" t="s">
        <v>219</v>
      </c>
      <c r="AP256" s="62" t="s">
        <v>2683</v>
      </c>
      <c r="AQ256" s="63" t="s">
        <v>217</v>
      </c>
      <c r="AR256" s="30" t="s">
        <v>219</v>
      </c>
    </row>
    <row r="257" spans="2:44" ht="21.75" customHeight="1" x14ac:dyDescent="0.45">
      <c r="B257" s="51" t="s">
        <v>99</v>
      </c>
      <c r="E257" s="52" t="s">
        <v>87</v>
      </c>
      <c r="F257" s="51" t="str">
        <f>"Warengruppe&gt;&gt;"&amp;_xlfn.TEXTJOIN("&gt;&gt;",TRUE,Migrationsartikel!V256:X256)</f>
        <v>Warengruppe&gt;&gt;Früchte und Gemüse&gt;&gt;Früchte und Gemüse&gt;&gt;Gemüse</v>
      </c>
      <c r="H257" s="52" t="s">
        <v>109</v>
      </c>
      <c r="J257" s="51" t="str">
        <f>_xlfn.TEXTJOIN(" ",TRUE,Migrationsartikel!B256,Migrationsartikel!E256)</f>
        <v>7613399004189</v>
      </c>
      <c r="L257" s="51" t="str">
        <f>_xlfn.TEXTJOIN(" ",TRUE,Migrationsartikel!F256:H256)</f>
        <v>Mischsalat Duo 320g</v>
      </c>
      <c r="M257" s="51" t="str">
        <f>_xlfn.TEXTJOIN(" ",TRUE,Migrationsartikel!J256:L256)</f>
        <v>Salade mêlée Duo 320g</v>
      </c>
      <c r="N257" s="51" t="str">
        <f>_xlfn.TEXTJOIN(" ",TRUE,Migrationsartikel!N256:P256)</f>
        <v>Insalata mista Duo 320g</v>
      </c>
      <c r="O257" s="51" t="str">
        <f>Migrationsartikel!F256</f>
        <v>Mischsalat</v>
      </c>
      <c r="P257" s="51" t="str">
        <f>Migrationsartikel!J256</f>
        <v>Salade mêlée</v>
      </c>
      <c r="Q257" s="51" t="str">
        <f>Migrationsartikel!N256</f>
        <v>Insalata mista</v>
      </c>
      <c r="R257" s="51" t="str">
        <f>_xlfn.TEXTJOIN(" ",TRUE,Migrationsartikel!G256)</f>
        <v>Duo</v>
      </c>
      <c r="S257" s="51" t="str">
        <f>_xlfn.TEXTJOIN(" ",TRUE,Migrationsartikel!K256)</f>
        <v>Duo</v>
      </c>
      <c r="T257" s="51" t="str">
        <f>_xlfn.TEXTJOIN(" ",TRUE,Migrationsartikel!O256)</f>
        <v>Duo</v>
      </c>
      <c r="U257" s="51" t="str">
        <f>_xlfn.TEXTJOIN(" ",TRUE,Migrationsartikel!H256)</f>
        <v>320g</v>
      </c>
      <c r="V257" s="51" t="str">
        <f>_xlfn.TEXTJOIN(" ",TRUE,Migrationsartikel!L256)</f>
        <v>320g</v>
      </c>
      <c r="W257" s="51" t="str">
        <f>_xlfn.TEXTJOIN(" ",TRUE,Migrationsartikel!P256)</f>
        <v>320g</v>
      </c>
      <c r="X257" s="51" t="str">
        <f>Migrationsartikel!I256</f>
        <v>Mischsalat Duo 320g</v>
      </c>
      <c r="Y257" s="51" t="str">
        <f>Migrationsartikel!M256</f>
        <v>Salade mêlée duo 320g</v>
      </c>
      <c r="Z257" s="51" t="str">
        <f>Migrationsartikel!Q256</f>
        <v>Insalata mista Duo 320g</v>
      </c>
      <c r="AA257" s="60">
        <f>Migrationsartikel!R256</f>
        <v>0.32</v>
      </c>
      <c r="AB257" s="51" t="str">
        <f>Migrationsartikel!T256</f>
        <v>Gramm</v>
      </c>
      <c r="AC257" s="62">
        <f>Migrationsartikel!S256</f>
        <v>100</v>
      </c>
      <c r="AD257" s="51" t="str">
        <f>Migrationsartikel!U256</f>
        <v>(PCE) Stück</v>
      </c>
      <c r="AE257" s="95" t="str">
        <f>Migrationsartikel!Y256</f>
        <v>3 - Reduzierter Satz</v>
      </c>
      <c r="AF257" s="64" t="str">
        <f>IF(Migrationsartikel!AA256="Kein Depotartikel","",Migrationsartikel!AA256)</f>
        <v/>
      </c>
      <c r="AG257" s="95" t="str">
        <f>Migrationsartikel!Z256</f>
        <v>Keine</v>
      </c>
      <c r="AH257" s="51" t="str">
        <f>IF(Migrationsartikel!AB256="ja","true",FALSE)</f>
        <v>true</v>
      </c>
      <c r="AI257" s="51" t="str">
        <f>IF(Migrationsartikel!AC256="ja","true",FALSE)</f>
        <v>true</v>
      </c>
      <c r="AJ257" s="51" t="str">
        <f>IF(Migrationsartikel!AD256="ja","true",FALSE)</f>
        <v>true</v>
      </c>
      <c r="AK257" s="51" t="str">
        <f>IF(Migrationsartikel!AE256="ja","true",FALSE)</f>
        <v>true</v>
      </c>
      <c r="AL257" s="51" t="str">
        <f>IF(Migrationsartikel!AF256="ja","Denner Partner","")</f>
        <v/>
      </c>
      <c r="AM257" s="51" t="str">
        <f>IF(Migrationsartikel!AG256="ja","true","false")</f>
        <v>false</v>
      </c>
      <c r="AN257" s="51" t="str">
        <f t="shared" si="4"/>
        <v>Kassentastenbelegung (ohne GTIN/PLU)</v>
      </c>
      <c r="AO257" s="63" t="s">
        <v>219</v>
      </c>
      <c r="AP257" s="62" t="s">
        <v>2684</v>
      </c>
      <c r="AQ257" s="63" t="s">
        <v>217</v>
      </c>
      <c r="AR257" s="30" t="s">
        <v>219</v>
      </c>
    </row>
    <row r="258" spans="2:44" ht="21.75" customHeight="1" x14ac:dyDescent="0.45">
      <c r="B258" s="51" t="s">
        <v>99</v>
      </c>
      <c r="E258" s="52" t="s">
        <v>87</v>
      </c>
      <c r="F258" s="51" t="str">
        <f>"Warengruppe&gt;&gt;"&amp;_xlfn.TEXTJOIN("&gt;&gt;",TRUE,Migrationsartikel!V257:X257)</f>
        <v>Warengruppe&gt;&gt;Früchte und Gemüse&gt;&gt;Früchte und Gemüse&gt;&gt;Gemüse</v>
      </c>
      <c r="H258" s="52" t="s">
        <v>109</v>
      </c>
      <c r="J258" s="51" t="str">
        <f>_xlfn.TEXTJOIN(" ",TRUE,Migrationsartikel!B257,Migrationsartikel!E257)</f>
        <v>7613399055990</v>
      </c>
      <c r="L258" s="51" t="str">
        <f>_xlfn.TEXTJOIN(" ",TRUE,Migrationsartikel!F257:H257)</f>
        <v>Mischsalat Family 320g</v>
      </c>
      <c r="M258" s="51" t="str">
        <f>_xlfn.TEXTJOIN(" ",TRUE,Migrationsartikel!J257:L257)</f>
        <v>Salade mêlée Family 320g</v>
      </c>
      <c r="N258" s="51" t="str">
        <f>_xlfn.TEXTJOIN(" ",TRUE,Migrationsartikel!N257:P257)</f>
        <v>Insalata mista Family 320g</v>
      </c>
      <c r="O258" s="51" t="str">
        <f>Migrationsartikel!F257</f>
        <v>Mischsalat</v>
      </c>
      <c r="P258" s="51" t="str">
        <f>Migrationsartikel!J257</f>
        <v>Salade mêlée</v>
      </c>
      <c r="Q258" s="51" t="str">
        <f>Migrationsartikel!N257</f>
        <v>Insalata mista</v>
      </c>
      <c r="R258" s="51" t="str">
        <f>_xlfn.TEXTJOIN(" ",TRUE,Migrationsartikel!G257)</f>
        <v>Family</v>
      </c>
      <c r="S258" s="51" t="str">
        <f>_xlfn.TEXTJOIN(" ",TRUE,Migrationsartikel!K257)</f>
        <v>Family</v>
      </c>
      <c r="T258" s="51" t="str">
        <f>_xlfn.TEXTJOIN(" ",TRUE,Migrationsartikel!O257)</f>
        <v>Family</v>
      </c>
      <c r="U258" s="51" t="str">
        <f>_xlfn.TEXTJOIN(" ",TRUE,Migrationsartikel!H257)</f>
        <v>320g</v>
      </c>
      <c r="V258" s="51" t="str">
        <f>_xlfn.TEXTJOIN(" ",TRUE,Migrationsartikel!L257)</f>
        <v>320g</v>
      </c>
      <c r="W258" s="51" t="str">
        <f>_xlfn.TEXTJOIN(" ",TRUE,Migrationsartikel!P257)</f>
        <v>320g</v>
      </c>
      <c r="X258" s="51" t="str">
        <f>Migrationsartikel!I257</f>
        <v>Mischsalat Family 320g</v>
      </c>
      <c r="Y258" s="51" t="str">
        <f>Migrationsartikel!M257</f>
        <v>Salade mêlée Family 320g</v>
      </c>
      <c r="Z258" s="51" t="str">
        <f>Migrationsartikel!Q257</f>
        <v>Insalata mista Familiy 320g</v>
      </c>
      <c r="AA258" s="60">
        <f>Migrationsartikel!R257</f>
        <v>0.32</v>
      </c>
      <c r="AB258" s="51" t="str">
        <f>Migrationsartikel!T257</f>
        <v>Gramm</v>
      </c>
      <c r="AC258" s="62">
        <f>Migrationsartikel!S257</f>
        <v>100</v>
      </c>
      <c r="AD258" s="51" t="str">
        <f>Migrationsartikel!U257</f>
        <v>(PCE) Stück</v>
      </c>
      <c r="AE258" s="95" t="str">
        <f>Migrationsartikel!Y257</f>
        <v>3 - Reduzierter Satz</v>
      </c>
      <c r="AF258" s="64" t="str">
        <f>IF(Migrationsartikel!AA257="Kein Depotartikel","",Migrationsartikel!AA257)</f>
        <v/>
      </c>
      <c r="AG258" s="95" t="str">
        <f>Migrationsartikel!Z257</f>
        <v>Keine</v>
      </c>
      <c r="AH258" s="51" t="str">
        <f>IF(Migrationsartikel!AB257="ja","true",FALSE)</f>
        <v>true</v>
      </c>
      <c r="AI258" s="51" t="str">
        <f>IF(Migrationsartikel!AC257="ja","true",FALSE)</f>
        <v>true</v>
      </c>
      <c r="AJ258" s="51" t="str">
        <f>IF(Migrationsartikel!AD257="ja","true",FALSE)</f>
        <v>true</v>
      </c>
      <c r="AK258" s="51" t="str">
        <f>IF(Migrationsartikel!AE257="ja","true",FALSE)</f>
        <v>true</v>
      </c>
      <c r="AL258" s="51" t="str">
        <f>IF(Migrationsartikel!AF257="ja","Denner Partner","")</f>
        <v/>
      </c>
      <c r="AM258" s="51" t="str">
        <f>IF(Migrationsartikel!AG257="ja","true","false")</f>
        <v>false</v>
      </c>
      <c r="AN258" s="51" t="str">
        <f t="shared" si="4"/>
        <v>Kassentastenbelegung (ohne GTIN/PLU)</v>
      </c>
      <c r="AO258" s="63" t="s">
        <v>219</v>
      </c>
      <c r="AP258" s="62" t="s">
        <v>2685</v>
      </c>
      <c r="AQ258" s="63" t="s">
        <v>217</v>
      </c>
      <c r="AR258" s="30" t="s">
        <v>219</v>
      </c>
    </row>
    <row r="259" spans="2:44" ht="21.75" customHeight="1" x14ac:dyDescent="0.45">
      <c r="B259" s="51" t="s">
        <v>99</v>
      </c>
      <c r="E259" s="52" t="s">
        <v>87</v>
      </c>
      <c r="F259" s="51" t="str">
        <f>"Warengruppe&gt;&gt;"&amp;_xlfn.TEXTJOIN("&gt;&gt;",TRUE,Migrationsartikel!V258:X258)</f>
        <v>Warengruppe&gt;&gt;Früchte und Gemüse&gt;&gt;Früchte und Gemüse&gt;&gt;Gemüse</v>
      </c>
      <c r="H259" s="52" t="s">
        <v>109</v>
      </c>
      <c r="J259" s="51" t="str">
        <f>_xlfn.TEXTJOIN(" ",TRUE,Migrationsartikel!B258,Migrationsartikel!E258)</f>
        <v>7613399001003</v>
      </c>
      <c r="L259" s="51" t="str">
        <f>_xlfn.TEXTJOIN(" ",TRUE,Migrationsartikel!F258:H258)</f>
        <v>Mischsalat Rustica 200g</v>
      </c>
      <c r="M259" s="51" t="str">
        <f>_xlfn.TEXTJOIN(" ",TRUE,Migrationsartikel!J258:L258)</f>
        <v>Salade mêlée Rustica 200g</v>
      </c>
      <c r="N259" s="51" t="str">
        <f>_xlfn.TEXTJOIN(" ",TRUE,Migrationsartikel!N258:P258)</f>
        <v>Insalata mista Rustica 200g</v>
      </c>
      <c r="O259" s="51" t="str">
        <f>Migrationsartikel!F258</f>
        <v>Mischsalat</v>
      </c>
      <c r="P259" s="51" t="str">
        <f>Migrationsartikel!J258</f>
        <v>Salade mêlée</v>
      </c>
      <c r="Q259" s="51" t="str">
        <f>Migrationsartikel!N258</f>
        <v>Insalata mista</v>
      </c>
      <c r="R259" s="51" t="str">
        <f>_xlfn.TEXTJOIN(" ",TRUE,Migrationsartikel!G258)</f>
        <v>Rustica</v>
      </c>
      <c r="S259" s="51" t="str">
        <f>_xlfn.TEXTJOIN(" ",TRUE,Migrationsartikel!K258)</f>
        <v>Rustica</v>
      </c>
      <c r="T259" s="51" t="str">
        <f>_xlfn.TEXTJOIN(" ",TRUE,Migrationsartikel!O258)</f>
        <v>Rustica</v>
      </c>
      <c r="U259" s="51" t="str">
        <f>_xlfn.TEXTJOIN(" ",TRUE,Migrationsartikel!H258)</f>
        <v>200g</v>
      </c>
      <c r="V259" s="51" t="str">
        <f>_xlfn.TEXTJOIN(" ",TRUE,Migrationsartikel!L258)</f>
        <v>200g</v>
      </c>
      <c r="W259" s="51" t="str">
        <f>_xlfn.TEXTJOIN(" ",TRUE,Migrationsartikel!P258)</f>
        <v>200g</v>
      </c>
      <c r="X259" s="51" t="str">
        <f>Migrationsartikel!I258</f>
        <v>Mischsalat Rustica 200g</v>
      </c>
      <c r="Y259" s="51" t="str">
        <f>Migrationsartikel!M258</f>
        <v>Salade mêlée Rustica 200g</v>
      </c>
      <c r="Z259" s="51" t="str">
        <f>Migrationsartikel!Q258</f>
        <v>Insalata mista Rustica 200g</v>
      </c>
      <c r="AA259" s="60">
        <f>Migrationsartikel!R258</f>
        <v>0.2</v>
      </c>
      <c r="AB259" s="51" t="str">
        <f>Migrationsartikel!T258</f>
        <v>Gramm</v>
      </c>
      <c r="AC259" s="62">
        <f>Migrationsartikel!S258</f>
        <v>100</v>
      </c>
      <c r="AD259" s="51" t="str">
        <f>Migrationsartikel!U258</f>
        <v>(PCE) Stück</v>
      </c>
      <c r="AE259" s="95" t="str">
        <f>Migrationsartikel!Y258</f>
        <v>3 - Reduzierter Satz</v>
      </c>
      <c r="AF259" s="64" t="str">
        <f>IF(Migrationsartikel!AA258="Kein Depotartikel","",Migrationsartikel!AA258)</f>
        <v/>
      </c>
      <c r="AG259" s="95" t="str">
        <f>Migrationsartikel!Z258</f>
        <v>Keine</v>
      </c>
      <c r="AH259" s="51" t="str">
        <f>IF(Migrationsartikel!AB258="ja","true",FALSE)</f>
        <v>true</v>
      </c>
      <c r="AI259" s="51" t="str">
        <f>IF(Migrationsartikel!AC258="ja","true",FALSE)</f>
        <v>true</v>
      </c>
      <c r="AJ259" s="51" t="str">
        <f>IF(Migrationsartikel!AD258="ja","true",FALSE)</f>
        <v>true</v>
      </c>
      <c r="AK259" s="51" t="str">
        <f>IF(Migrationsartikel!AE258="ja","true",FALSE)</f>
        <v>true</v>
      </c>
      <c r="AL259" s="51" t="str">
        <f>IF(Migrationsartikel!AF258="ja","Denner Partner","")</f>
        <v/>
      </c>
      <c r="AM259" s="51" t="str">
        <f>IF(Migrationsartikel!AG258="ja","true","false")</f>
        <v>false</v>
      </c>
      <c r="AN259" s="51" t="str">
        <f t="shared" si="4"/>
        <v>Kassentastenbelegung (ohne GTIN/PLU)</v>
      </c>
      <c r="AO259" s="63" t="s">
        <v>219</v>
      </c>
      <c r="AP259" s="62" t="s">
        <v>2686</v>
      </c>
      <c r="AQ259" s="63" t="s">
        <v>217</v>
      </c>
      <c r="AR259" s="30" t="s">
        <v>219</v>
      </c>
    </row>
    <row r="260" spans="2:44" ht="21.75" customHeight="1" x14ac:dyDescent="0.45">
      <c r="B260" s="51" t="s">
        <v>99</v>
      </c>
      <c r="E260" s="52" t="s">
        <v>87</v>
      </c>
      <c r="F260" s="51" t="str">
        <f>"Warengruppe&gt;&gt;"&amp;_xlfn.TEXTJOIN("&gt;&gt;",TRUE,Migrationsartikel!V259:X259)</f>
        <v>Warengruppe&gt;&gt;Früchte und Gemüse&gt;&gt;Früchte und Gemüse&gt;&gt;Gemüse</v>
      </c>
      <c r="H260" s="52" t="s">
        <v>109</v>
      </c>
      <c r="J260" s="51" t="str">
        <f>_xlfn.TEXTJOIN(" ",TRUE,Migrationsartikel!B259,Migrationsartikel!E259)</f>
        <v>7613399004691</v>
      </c>
      <c r="L260" s="51" t="str">
        <f>_xlfn.TEXTJOIN(" ",TRUE,Migrationsartikel!F259:H259)</f>
        <v>Mischsalat Standard 1kg</v>
      </c>
      <c r="M260" s="51" t="str">
        <f>_xlfn.TEXTJOIN(" ",TRUE,Migrationsartikel!J259:L259)</f>
        <v>Salade mêlée Standard 1kg</v>
      </c>
      <c r="N260" s="51" t="str">
        <f>_xlfn.TEXTJOIN(" ",TRUE,Migrationsartikel!N259:P259)</f>
        <v>Insalata mista standard 1kg</v>
      </c>
      <c r="O260" s="51" t="str">
        <f>Migrationsartikel!F259</f>
        <v>Mischsalat</v>
      </c>
      <c r="P260" s="51" t="str">
        <f>Migrationsartikel!J259</f>
        <v>Salade mêlée</v>
      </c>
      <c r="Q260" s="51" t="str">
        <f>Migrationsartikel!N259</f>
        <v>Insalata mista</v>
      </c>
      <c r="R260" s="51" t="str">
        <f>_xlfn.TEXTJOIN(" ",TRUE,Migrationsartikel!G259)</f>
        <v>Standard</v>
      </c>
      <c r="S260" s="51" t="str">
        <f>_xlfn.TEXTJOIN(" ",TRUE,Migrationsartikel!K259)</f>
        <v>Standard</v>
      </c>
      <c r="T260" s="51" t="str">
        <f>_xlfn.TEXTJOIN(" ",TRUE,Migrationsartikel!O259)</f>
        <v>standard</v>
      </c>
      <c r="U260" s="51" t="str">
        <f>_xlfn.TEXTJOIN(" ",TRUE,Migrationsartikel!H259)</f>
        <v>1kg</v>
      </c>
      <c r="V260" s="51" t="str">
        <f>_xlfn.TEXTJOIN(" ",TRUE,Migrationsartikel!L259)</f>
        <v>1kg</v>
      </c>
      <c r="W260" s="51" t="str">
        <f>_xlfn.TEXTJOIN(" ",TRUE,Migrationsartikel!P259)</f>
        <v>1kg</v>
      </c>
      <c r="X260" s="51" t="str">
        <f>Migrationsartikel!I259</f>
        <v>Mischsalat Standard 1kg</v>
      </c>
      <c r="Y260" s="51" t="str">
        <f>Migrationsartikel!M259</f>
        <v>Salade mêlée Standard 1kg</v>
      </c>
      <c r="Z260" s="51" t="str">
        <f>Migrationsartikel!Q259</f>
        <v>Insalata mista standard 1kg</v>
      </c>
      <c r="AA260" s="60">
        <f>Migrationsartikel!R259</f>
        <v>1</v>
      </c>
      <c r="AB260" s="51" t="str">
        <f>Migrationsartikel!T259</f>
        <v>Gramm</v>
      </c>
      <c r="AC260" s="62">
        <f>Migrationsartikel!S259</f>
        <v>100</v>
      </c>
      <c r="AD260" s="51" t="str">
        <f>Migrationsartikel!U259</f>
        <v>(PCE) Stück</v>
      </c>
      <c r="AE260" s="95" t="str">
        <f>Migrationsartikel!Y259</f>
        <v>3 - Reduzierter Satz</v>
      </c>
      <c r="AF260" s="64" t="str">
        <f>IF(Migrationsartikel!AA259="Kein Depotartikel","",Migrationsartikel!AA259)</f>
        <v/>
      </c>
      <c r="AG260" s="95" t="str">
        <f>Migrationsartikel!Z259</f>
        <v>Keine</v>
      </c>
      <c r="AH260" s="51" t="str">
        <f>IF(Migrationsartikel!AB259="ja","true",FALSE)</f>
        <v>true</v>
      </c>
      <c r="AI260" s="51" t="str">
        <f>IF(Migrationsartikel!AC259="ja","true",FALSE)</f>
        <v>true</v>
      </c>
      <c r="AJ260" s="51" t="str">
        <f>IF(Migrationsartikel!AD259="ja","true",FALSE)</f>
        <v>true</v>
      </c>
      <c r="AK260" s="51" t="str">
        <f>IF(Migrationsartikel!AE259="ja","true",FALSE)</f>
        <v>true</v>
      </c>
      <c r="AL260" s="51" t="str">
        <f>IF(Migrationsartikel!AF259="ja","Denner Partner","")</f>
        <v/>
      </c>
      <c r="AM260" s="51" t="str">
        <f>IF(Migrationsartikel!AG259="ja","true","false")</f>
        <v>false</v>
      </c>
      <c r="AN260" s="51" t="str">
        <f t="shared" ref="AN260:AN323" si="5">IF(AND(ISNUMBER(J260),J260&gt;=100,J260&lt;=999),"PLU",IF(AND(ISNUMBER(J260),J260&gt;999),"GTIN","Kassentastenbelegung (ohne GTIN/PLU)"))</f>
        <v>Kassentastenbelegung (ohne GTIN/PLU)</v>
      </c>
      <c r="AO260" s="63" t="s">
        <v>219</v>
      </c>
      <c r="AP260" s="62" t="s">
        <v>2687</v>
      </c>
      <c r="AQ260" s="63" t="s">
        <v>217</v>
      </c>
      <c r="AR260" s="30" t="s">
        <v>219</v>
      </c>
    </row>
    <row r="261" spans="2:44" ht="21.75" customHeight="1" x14ac:dyDescent="0.45">
      <c r="B261" s="51" t="s">
        <v>99</v>
      </c>
      <c r="E261" s="52" t="s">
        <v>87</v>
      </c>
      <c r="F261" s="51" t="str">
        <f>"Warengruppe&gt;&gt;"&amp;_xlfn.TEXTJOIN("&gt;&gt;",TRUE,Migrationsartikel!V260:X260)</f>
        <v>Warengruppe&gt;&gt;Früchte und Gemüse&gt;&gt;Früchte und Gemüse&gt;&gt;Gemüse</v>
      </c>
      <c r="H261" s="52" t="s">
        <v>109</v>
      </c>
      <c r="J261" s="51" t="str">
        <f>_xlfn.TEXTJOIN(" ",TRUE,Migrationsartikel!B260,Migrationsartikel!E260)</f>
        <v>7613399000976</v>
      </c>
      <c r="L261" s="51" t="str">
        <f>_xlfn.TEXTJOIN(" ",TRUE,Migrationsartikel!F260:H260)</f>
        <v>Mischsalat Standard 250g</v>
      </c>
      <c r="M261" s="51" t="str">
        <f>_xlfn.TEXTJOIN(" ",TRUE,Migrationsartikel!J260:L260)</f>
        <v>Salade mêlée Standard 250g</v>
      </c>
      <c r="N261" s="51" t="str">
        <f>_xlfn.TEXTJOIN(" ",TRUE,Migrationsartikel!N260:P260)</f>
        <v>Insalata mista standard 250g</v>
      </c>
      <c r="O261" s="51" t="str">
        <f>Migrationsartikel!F260</f>
        <v>Mischsalat</v>
      </c>
      <c r="P261" s="51" t="str">
        <f>Migrationsartikel!J260</f>
        <v>Salade mêlée</v>
      </c>
      <c r="Q261" s="51" t="str">
        <f>Migrationsartikel!N260</f>
        <v>Insalata mista</v>
      </c>
      <c r="R261" s="51" t="str">
        <f>_xlfn.TEXTJOIN(" ",TRUE,Migrationsartikel!G260)</f>
        <v>Standard</v>
      </c>
      <c r="S261" s="51" t="str">
        <f>_xlfn.TEXTJOIN(" ",TRUE,Migrationsartikel!K260)</f>
        <v>Standard</v>
      </c>
      <c r="T261" s="51" t="str">
        <f>_xlfn.TEXTJOIN(" ",TRUE,Migrationsartikel!O260)</f>
        <v>standard</v>
      </c>
      <c r="U261" s="51" t="str">
        <f>_xlfn.TEXTJOIN(" ",TRUE,Migrationsartikel!H260)</f>
        <v>250g</v>
      </c>
      <c r="V261" s="51" t="str">
        <f>_xlfn.TEXTJOIN(" ",TRUE,Migrationsartikel!L260)</f>
        <v>250g</v>
      </c>
      <c r="W261" s="51" t="str">
        <f>_xlfn.TEXTJOIN(" ",TRUE,Migrationsartikel!P260)</f>
        <v>250g</v>
      </c>
      <c r="X261" s="51" t="str">
        <f>Migrationsartikel!I260</f>
        <v>Mischsalat Standard 250g</v>
      </c>
      <c r="Y261" s="51" t="str">
        <f>Migrationsartikel!M260</f>
        <v>Salade mêlée Standard 250g</v>
      </c>
      <c r="Z261" s="51" t="str">
        <f>Migrationsartikel!Q260</f>
        <v>Insalata mista standard 250g</v>
      </c>
      <c r="AA261" s="60">
        <f>Migrationsartikel!R260</f>
        <v>0.25</v>
      </c>
      <c r="AB261" s="51" t="str">
        <f>Migrationsartikel!T260</f>
        <v>Gramm</v>
      </c>
      <c r="AC261" s="62">
        <f>Migrationsartikel!S260</f>
        <v>100</v>
      </c>
      <c r="AD261" s="51" t="str">
        <f>Migrationsartikel!U260</f>
        <v>(PCE) Stück</v>
      </c>
      <c r="AE261" s="95" t="str">
        <f>Migrationsartikel!Y260</f>
        <v>3 - Reduzierter Satz</v>
      </c>
      <c r="AF261" s="64" t="str">
        <f>IF(Migrationsartikel!AA260="Kein Depotartikel","",Migrationsartikel!AA260)</f>
        <v/>
      </c>
      <c r="AG261" s="95" t="str">
        <f>Migrationsartikel!Z260</f>
        <v>Keine</v>
      </c>
      <c r="AH261" s="51" t="str">
        <f>IF(Migrationsartikel!AB260="ja","true",FALSE)</f>
        <v>true</v>
      </c>
      <c r="AI261" s="51" t="str">
        <f>IF(Migrationsartikel!AC260="ja","true",FALSE)</f>
        <v>true</v>
      </c>
      <c r="AJ261" s="51" t="str">
        <f>IF(Migrationsartikel!AD260="ja","true",FALSE)</f>
        <v>true</v>
      </c>
      <c r="AK261" s="51" t="str">
        <f>IF(Migrationsartikel!AE260="ja","true",FALSE)</f>
        <v>true</v>
      </c>
      <c r="AL261" s="51" t="str">
        <f>IF(Migrationsartikel!AF260="ja","Denner Partner","")</f>
        <v/>
      </c>
      <c r="AM261" s="51" t="str">
        <f>IF(Migrationsartikel!AG260="ja","true","false")</f>
        <v>false</v>
      </c>
      <c r="AN261" s="51" t="str">
        <f t="shared" si="5"/>
        <v>Kassentastenbelegung (ohne GTIN/PLU)</v>
      </c>
      <c r="AO261" s="63" t="s">
        <v>219</v>
      </c>
      <c r="AP261" s="62" t="s">
        <v>2688</v>
      </c>
      <c r="AQ261" s="63" t="s">
        <v>217</v>
      </c>
      <c r="AR261" s="30" t="s">
        <v>219</v>
      </c>
    </row>
    <row r="262" spans="2:44" ht="21.75" customHeight="1" x14ac:dyDescent="0.45">
      <c r="B262" s="51" t="s">
        <v>99</v>
      </c>
      <c r="E262" s="52" t="s">
        <v>87</v>
      </c>
      <c r="F262" s="51" t="str">
        <f>"Warengruppe&gt;&gt;"&amp;_xlfn.TEXTJOIN("&gt;&gt;",TRUE,Migrationsartikel!V261:X261)</f>
        <v>Warengruppe&gt;&gt;Früchte und Gemüse&gt;&gt;Früchte und Gemüse&gt;&gt;Gemüse</v>
      </c>
      <c r="H262" s="52" t="s">
        <v>109</v>
      </c>
      <c r="J262" s="51" t="str">
        <f>_xlfn.TEXTJOIN(" ",TRUE,Migrationsartikel!B261,Migrationsartikel!E261)</f>
        <v>7613399056010</v>
      </c>
      <c r="L262" s="51" t="str">
        <f>_xlfn.TEXTJOIN(" ",TRUE,Migrationsartikel!F261:H261)</f>
        <v>Mischsalat Zuckerhut 200g</v>
      </c>
      <c r="M262" s="51" t="str">
        <f>_xlfn.TEXTJOIN(" ",TRUE,Migrationsartikel!J261:L261)</f>
        <v>Salade mêlée Chicorée pain-de-sucre 200g</v>
      </c>
      <c r="N262" s="51" t="str">
        <f>_xlfn.TEXTJOIN(" ",TRUE,Migrationsartikel!N261:P261)</f>
        <v>Insalata mista Pan di zucchero 200g</v>
      </c>
      <c r="O262" s="51" t="str">
        <f>Migrationsartikel!F261</f>
        <v>Mischsalat</v>
      </c>
      <c r="P262" s="51" t="str">
        <f>Migrationsartikel!J261</f>
        <v>Salade mêlée</v>
      </c>
      <c r="Q262" s="51" t="str">
        <f>Migrationsartikel!N261</f>
        <v>Insalata mista</v>
      </c>
      <c r="R262" s="51" t="str">
        <f>_xlfn.TEXTJOIN(" ",TRUE,Migrationsartikel!G261)</f>
        <v>Zuckerhut</v>
      </c>
      <c r="S262" s="51" t="str">
        <f>_xlfn.TEXTJOIN(" ",TRUE,Migrationsartikel!K261)</f>
        <v>Chicorée pain-de-sucre</v>
      </c>
      <c r="T262" s="51" t="str">
        <f>_xlfn.TEXTJOIN(" ",TRUE,Migrationsartikel!O261)</f>
        <v>Pan di zucchero</v>
      </c>
      <c r="U262" s="51" t="str">
        <f>_xlfn.TEXTJOIN(" ",TRUE,Migrationsartikel!H261)</f>
        <v>200g</v>
      </c>
      <c r="V262" s="51" t="str">
        <f>_xlfn.TEXTJOIN(" ",TRUE,Migrationsartikel!L261)</f>
        <v>200g</v>
      </c>
      <c r="W262" s="51" t="str">
        <f>_xlfn.TEXTJOIN(" ",TRUE,Migrationsartikel!P261)</f>
        <v>200g</v>
      </c>
      <c r="X262" s="51" t="str">
        <f>Migrationsartikel!I261</f>
        <v>Mischsalat Zuckerhut 200g</v>
      </c>
      <c r="Y262" s="51" t="str">
        <f>Migrationsartikel!M261</f>
        <v>Salade mêlée Chi p.d.s. 200g</v>
      </c>
      <c r="Z262" s="51" t="str">
        <f>Migrationsartikel!Q261</f>
        <v>Insalata mi. pan zucch. 200g</v>
      </c>
      <c r="AA262" s="60">
        <f>Migrationsartikel!R261</f>
        <v>0.2</v>
      </c>
      <c r="AB262" s="51" t="str">
        <f>Migrationsartikel!T261</f>
        <v>Gramm</v>
      </c>
      <c r="AC262" s="62">
        <f>Migrationsartikel!S261</f>
        <v>100</v>
      </c>
      <c r="AD262" s="51" t="str">
        <f>Migrationsartikel!U261</f>
        <v>(PCE) Stück</v>
      </c>
      <c r="AE262" s="95" t="str">
        <f>Migrationsartikel!Y261</f>
        <v>3 - Reduzierter Satz</v>
      </c>
      <c r="AF262" s="64" t="str">
        <f>IF(Migrationsartikel!AA261="Kein Depotartikel","",Migrationsartikel!AA261)</f>
        <v/>
      </c>
      <c r="AG262" s="95" t="str">
        <f>Migrationsartikel!Z261</f>
        <v>Keine</v>
      </c>
      <c r="AH262" s="51" t="str">
        <f>IF(Migrationsartikel!AB261="ja","true",FALSE)</f>
        <v>true</v>
      </c>
      <c r="AI262" s="51" t="str">
        <f>IF(Migrationsartikel!AC261="ja","true",FALSE)</f>
        <v>true</v>
      </c>
      <c r="AJ262" s="51" t="str">
        <f>IF(Migrationsartikel!AD261="ja","true",FALSE)</f>
        <v>true</v>
      </c>
      <c r="AK262" s="51" t="str">
        <f>IF(Migrationsartikel!AE261="ja","true",FALSE)</f>
        <v>true</v>
      </c>
      <c r="AL262" s="51" t="str">
        <f>IF(Migrationsartikel!AF261="ja","Denner Partner","")</f>
        <v/>
      </c>
      <c r="AM262" s="51" t="str">
        <f>IF(Migrationsartikel!AG261="ja","true","false")</f>
        <v>false</v>
      </c>
      <c r="AN262" s="51" t="str">
        <f t="shared" si="5"/>
        <v>Kassentastenbelegung (ohne GTIN/PLU)</v>
      </c>
      <c r="AO262" s="63" t="s">
        <v>219</v>
      </c>
      <c r="AP262" s="62" t="s">
        <v>2689</v>
      </c>
      <c r="AQ262" s="63" t="s">
        <v>217</v>
      </c>
      <c r="AR262" s="30" t="s">
        <v>219</v>
      </c>
    </row>
    <row r="263" spans="2:44" ht="21.75" customHeight="1" x14ac:dyDescent="0.45">
      <c r="B263" s="51" t="s">
        <v>99</v>
      </c>
      <c r="E263" s="52" t="s">
        <v>87</v>
      </c>
      <c r="F263" s="51" t="str">
        <f>"Warengruppe&gt;&gt;"&amp;_xlfn.TEXTJOIN("&gt;&gt;",TRUE,Migrationsartikel!V262:X262)</f>
        <v>Warengruppe&gt;&gt;Früchte und Gemüse&gt;&gt;Früchte und Gemüse&gt;&gt;Gemüse</v>
      </c>
      <c r="H263" s="52" t="s">
        <v>109</v>
      </c>
      <c r="J263" s="51" t="str">
        <f>_xlfn.TEXTJOIN(" ",TRUE,Migrationsartikel!B262,Migrationsartikel!E262)</f>
        <v>7613399006893</v>
      </c>
      <c r="L263" s="51" t="str">
        <f>_xlfn.TEXTJOIN(" ",TRUE,Migrationsartikel!F262:H262)</f>
        <v>Nüsslisalat Beutel 100g</v>
      </c>
      <c r="M263" s="51" t="str">
        <f>_xlfn.TEXTJOIN(" ",TRUE,Migrationsartikel!J262:L262)</f>
        <v>Rampon Sachet 100g</v>
      </c>
      <c r="N263" s="51" t="str">
        <f>_xlfn.TEXTJOIN(" ",TRUE,Migrationsartikel!N262:P262)</f>
        <v>Formentino sacchetto 100g</v>
      </c>
      <c r="O263" s="51" t="str">
        <f>Migrationsartikel!F262</f>
        <v>Nüsslisalat</v>
      </c>
      <c r="P263" s="51" t="str">
        <f>Migrationsartikel!J262</f>
        <v>Rampon</v>
      </c>
      <c r="Q263" s="51" t="str">
        <f>Migrationsartikel!N262</f>
        <v>Formentino</v>
      </c>
      <c r="R263" s="51" t="str">
        <f>_xlfn.TEXTJOIN(" ",TRUE,Migrationsartikel!G262)</f>
        <v>Beutel</v>
      </c>
      <c r="S263" s="51" t="str">
        <f>_xlfn.TEXTJOIN(" ",TRUE,Migrationsartikel!K262)</f>
        <v>Sachet</v>
      </c>
      <c r="T263" s="51" t="str">
        <f>_xlfn.TEXTJOIN(" ",TRUE,Migrationsartikel!O262)</f>
        <v>sacchetto</v>
      </c>
      <c r="U263" s="51" t="str">
        <f>_xlfn.TEXTJOIN(" ",TRUE,Migrationsartikel!H262)</f>
        <v>100g</v>
      </c>
      <c r="V263" s="51" t="str">
        <f>_xlfn.TEXTJOIN(" ",TRUE,Migrationsartikel!L262)</f>
        <v>100g</v>
      </c>
      <c r="W263" s="51" t="str">
        <f>_xlfn.TEXTJOIN(" ",TRUE,Migrationsartikel!P262)</f>
        <v>100g</v>
      </c>
      <c r="X263" s="51" t="str">
        <f>Migrationsartikel!I262</f>
        <v>Nüsslisalat Beutel 100g</v>
      </c>
      <c r="Y263" s="51" t="str">
        <f>Migrationsartikel!M262</f>
        <v>Rampon sachet 100g</v>
      </c>
      <c r="Z263" s="51" t="str">
        <f>Migrationsartikel!Q262</f>
        <v>Formentino sacchetto 100g</v>
      </c>
      <c r="AA263" s="60">
        <f>Migrationsartikel!R262</f>
        <v>0.1</v>
      </c>
      <c r="AB263" s="51" t="str">
        <f>Migrationsartikel!T262</f>
        <v>Gramm</v>
      </c>
      <c r="AC263" s="62">
        <f>Migrationsartikel!S262</f>
        <v>100</v>
      </c>
      <c r="AD263" s="51" t="str">
        <f>Migrationsartikel!U262</f>
        <v>(PCE) Stück</v>
      </c>
      <c r="AE263" s="95" t="str">
        <f>Migrationsartikel!Y262</f>
        <v>3 - Reduzierter Satz</v>
      </c>
      <c r="AF263" s="64" t="str">
        <f>IF(Migrationsartikel!AA262="Kein Depotartikel","",Migrationsartikel!AA262)</f>
        <v/>
      </c>
      <c r="AG263" s="95" t="str">
        <f>Migrationsartikel!Z262</f>
        <v>Keine</v>
      </c>
      <c r="AH263" s="51" t="str">
        <f>IF(Migrationsartikel!AB262="ja","true",FALSE)</f>
        <v>true</v>
      </c>
      <c r="AI263" s="51" t="str">
        <f>IF(Migrationsartikel!AC262="ja","true",FALSE)</f>
        <v>true</v>
      </c>
      <c r="AJ263" s="51" t="str">
        <f>IF(Migrationsartikel!AD262="ja","true",FALSE)</f>
        <v>true</v>
      </c>
      <c r="AK263" s="51" t="str">
        <f>IF(Migrationsartikel!AE262="ja","true",FALSE)</f>
        <v>true</v>
      </c>
      <c r="AL263" s="51" t="str">
        <f>IF(Migrationsartikel!AF262="ja","Denner Partner","")</f>
        <v/>
      </c>
      <c r="AM263" s="51" t="str">
        <f>IF(Migrationsartikel!AG262="ja","true","false")</f>
        <v>false</v>
      </c>
      <c r="AN263" s="51" t="str">
        <f t="shared" si="5"/>
        <v>Kassentastenbelegung (ohne GTIN/PLU)</v>
      </c>
      <c r="AO263" s="63" t="s">
        <v>219</v>
      </c>
      <c r="AP263" s="62" t="s">
        <v>2690</v>
      </c>
      <c r="AQ263" s="63" t="s">
        <v>217</v>
      </c>
      <c r="AR263" s="30" t="s">
        <v>219</v>
      </c>
    </row>
    <row r="264" spans="2:44" ht="21.75" customHeight="1" x14ac:dyDescent="0.45">
      <c r="B264" s="51" t="s">
        <v>99</v>
      </c>
      <c r="E264" s="52" t="s">
        <v>87</v>
      </c>
      <c r="F264" s="51" t="str">
        <f>"Warengruppe&gt;&gt;"&amp;_xlfn.TEXTJOIN("&gt;&gt;",TRUE,Migrationsartikel!V263:X263)</f>
        <v>Warengruppe&gt;&gt;Früchte und Gemüse&gt;&gt;Früchte und Gemüse&gt;&gt;Gemüse</v>
      </c>
      <c r="H264" s="52" t="s">
        <v>109</v>
      </c>
      <c r="J264" s="51" t="str">
        <f>_xlfn.TEXTJOIN(" ",TRUE,Migrationsartikel!B263,Migrationsartikel!E263)</f>
        <v>7613399001089</v>
      </c>
      <c r="L264" s="51" t="str">
        <f>_xlfn.TEXTJOIN(" ",TRUE,Migrationsartikel!F263:H263)</f>
        <v>Nüsslisalat gewaschen 100g</v>
      </c>
      <c r="M264" s="51" t="str">
        <f>_xlfn.TEXTJOIN(" ",TRUE,Migrationsartikel!J263:L263)</f>
        <v>Rampon Lavé 100g</v>
      </c>
      <c r="N264" s="51" t="str">
        <f>_xlfn.TEXTJOIN(" ",TRUE,Migrationsartikel!N263:P263)</f>
        <v>Formentino lavato 100g</v>
      </c>
      <c r="O264" s="51" t="str">
        <f>Migrationsartikel!F263</f>
        <v>Nüsslisalat</v>
      </c>
      <c r="P264" s="51" t="str">
        <f>Migrationsartikel!J263</f>
        <v>Rampon</v>
      </c>
      <c r="Q264" s="51" t="str">
        <f>Migrationsartikel!N263</f>
        <v>Formentino</v>
      </c>
      <c r="R264" s="51" t="str">
        <f>_xlfn.TEXTJOIN(" ",TRUE,Migrationsartikel!G263)</f>
        <v>gewaschen</v>
      </c>
      <c r="S264" s="51" t="str">
        <f>_xlfn.TEXTJOIN(" ",TRUE,Migrationsartikel!K263)</f>
        <v>Lavé</v>
      </c>
      <c r="T264" s="51" t="str">
        <f>_xlfn.TEXTJOIN(" ",TRUE,Migrationsartikel!O263)</f>
        <v>lavato</v>
      </c>
      <c r="U264" s="51" t="str">
        <f>_xlfn.TEXTJOIN(" ",TRUE,Migrationsartikel!H263)</f>
        <v>100g</v>
      </c>
      <c r="V264" s="51" t="str">
        <f>_xlfn.TEXTJOIN(" ",TRUE,Migrationsartikel!L263)</f>
        <v>100g</v>
      </c>
      <c r="W264" s="51" t="str">
        <f>_xlfn.TEXTJOIN(" ",TRUE,Migrationsartikel!P263)</f>
        <v>100g</v>
      </c>
      <c r="X264" s="51" t="str">
        <f>Migrationsartikel!I263</f>
        <v>Nüsslisalat gewaschen 100g</v>
      </c>
      <c r="Y264" s="51" t="str">
        <f>Migrationsartikel!M263</f>
        <v>Rampon lavé 100g</v>
      </c>
      <c r="Z264" s="51" t="str">
        <f>Migrationsartikel!Q263</f>
        <v>Formentino lavato 100g</v>
      </c>
      <c r="AA264" s="60">
        <f>Migrationsartikel!R263</f>
        <v>0.1</v>
      </c>
      <c r="AB264" s="51" t="str">
        <f>Migrationsartikel!T263</f>
        <v>Gramm</v>
      </c>
      <c r="AC264" s="62">
        <f>Migrationsartikel!S263</f>
        <v>100</v>
      </c>
      <c r="AD264" s="51" t="str">
        <f>Migrationsartikel!U263</f>
        <v>(PCE) Stück</v>
      </c>
      <c r="AE264" s="95" t="str">
        <f>Migrationsartikel!Y263</f>
        <v>3 - Reduzierter Satz</v>
      </c>
      <c r="AF264" s="64" t="str">
        <f>IF(Migrationsartikel!AA263="Kein Depotartikel","",Migrationsartikel!AA263)</f>
        <v/>
      </c>
      <c r="AG264" s="95" t="str">
        <f>Migrationsartikel!Z263</f>
        <v>Keine</v>
      </c>
      <c r="AH264" s="51" t="str">
        <f>IF(Migrationsartikel!AB263="ja","true",FALSE)</f>
        <v>true</v>
      </c>
      <c r="AI264" s="51" t="str">
        <f>IF(Migrationsartikel!AC263="ja","true",FALSE)</f>
        <v>true</v>
      </c>
      <c r="AJ264" s="51" t="str">
        <f>IF(Migrationsartikel!AD263="ja","true",FALSE)</f>
        <v>true</v>
      </c>
      <c r="AK264" s="51" t="str">
        <f>IF(Migrationsartikel!AE263="ja","true",FALSE)</f>
        <v>true</v>
      </c>
      <c r="AL264" s="51" t="str">
        <f>IF(Migrationsartikel!AF263="ja","Denner Partner","")</f>
        <v/>
      </c>
      <c r="AM264" s="51" t="str">
        <f>IF(Migrationsartikel!AG263="ja","true","false")</f>
        <v>false</v>
      </c>
      <c r="AN264" s="51" t="str">
        <f t="shared" si="5"/>
        <v>Kassentastenbelegung (ohne GTIN/PLU)</v>
      </c>
      <c r="AO264" s="63" t="s">
        <v>219</v>
      </c>
      <c r="AP264" s="62" t="s">
        <v>2691</v>
      </c>
      <c r="AQ264" s="63" t="s">
        <v>217</v>
      </c>
      <c r="AR264" s="30" t="s">
        <v>219</v>
      </c>
    </row>
    <row r="265" spans="2:44" ht="21.75" customHeight="1" x14ac:dyDescent="0.45">
      <c r="B265" s="51" t="s">
        <v>99</v>
      </c>
      <c r="E265" s="52" t="s">
        <v>87</v>
      </c>
      <c r="F265" s="51" t="str">
        <f>"Warengruppe&gt;&gt;"&amp;_xlfn.TEXTJOIN("&gt;&gt;",TRUE,Migrationsartikel!V264:X264)</f>
        <v>Warengruppe&gt;&gt;Früchte und Gemüse&gt;&gt;Früchte und Gemüse&gt;&gt;Gemüse</v>
      </c>
      <c r="H265" s="52" t="s">
        <v>109</v>
      </c>
      <c r="J265" s="51" t="str">
        <f>_xlfn.TEXTJOIN(" ",TRUE,Migrationsartikel!B264,Migrationsartikel!E264)</f>
        <v>2203951000008</v>
      </c>
      <c r="L265" s="51" t="str">
        <f>_xlfn.TEXTJOIN(" ",TRUE,Migrationsartikel!F264:H264)</f>
        <v>Nüsslisalat Schale</v>
      </c>
      <c r="M265" s="51" t="str">
        <f>_xlfn.TEXTJOIN(" ",TRUE,Migrationsartikel!J264:L264)</f>
        <v>Rampon Barquette</v>
      </c>
      <c r="N265" s="51" t="str">
        <f>_xlfn.TEXTJOIN(" ",TRUE,Migrationsartikel!N264:P264)</f>
        <v>Formentino vaschetta</v>
      </c>
      <c r="O265" s="51" t="str">
        <f>Migrationsartikel!F264</f>
        <v>Nüsslisalat</v>
      </c>
      <c r="P265" s="51" t="str">
        <f>Migrationsartikel!J264</f>
        <v>Rampon</v>
      </c>
      <c r="Q265" s="51" t="str">
        <f>Migrationsartikel!N264</f>
        <v>Formentino</v>
      </c>
      <c r="R265" s="51" t="str">
        <f>_xlfn.TEXTJOIN(" ",TRUE,Migrationsartikel!G264)</f>
        <v>Schale</v>
      </c>
      <c r="S265" s="51" t="str">
        <f>_xlfn.TEXTJOIN(" ",TRUE,Migrationsartikel!K264)</f>
        <v>Barquette</v>
      </c>
      <c r="T265" s="51" t="str">
        <f>_xlfn.TEXTJOIN(" ",TRUE,Migrationsartikel!O264)</f>
        <v>vaschetta</v>
      </c>
      <c r="U265" s="51" t="str">
        <f>_xlfn.TEXTJOIN(" ",TRUE,Migrationsartikel!H264)</f>
        <v/>
      </c>
      <c r="V265" s="51" t="str">
        <f>_xlfn.TEXTJOIN(" ",TRUE,Migrationsartikel!L264)</f>
        <v/>
      </c>
      <c r="W265" s="51" t="str">
        <f>_xlfn.TEXTJOIN(" ",TRUE,Migrationsartikel!P264)</f>
        <v/>
      </c>
      <c r="X265" s="51" t="str">
        <f>Migrationsartikel!I264</f>
        <v>Nüsslisalat Schale</v>
      </c>
      <c r="Y265" s="51" t="str">
        <f>Migrationsartikel!M264</f>
        <v>Rampon barquette</v>
      </c>
      <c r="Z265" s="51" t="str">
        <f>Migrationsartikel!Q264</f>
        <v>Formentino vaschetta</v>
      </c>
      <c r="AA265" s="60">
        <f>Migrationsartikel!R264</f>
        <v>1</v>
      </c>
      <c r="AB265" s="51" t="str">
        <f>Migrationsartikel!T264</f>
        <v>Gramm</v>
      </c>
      <c r="AC265" s="62">
        <f>Migrationsartikel!S264</f>
        <v>100</v>
      </c>
      <c r="AD265" s="51" t="str">
        <f>Migrationsartikel!U264</f>
        <v>(PCE) Stück</v>
      </c>
      <c r="AE265" s="95" t="str">
        <f>Migrationsartikel!Y264</f>
        <v>3 - Reduzierter Satz</v>
      </c>
      <c r="AF265" s="64" t="str">
        <f>IF(Migrationsartikel!AA264="Kein Depotartikel","",Migrationsartikel!AA264)</f>
        <v/>
      </c>
      <c r="AG265" s="95" t="str">
        <f>Migrationsartikel!Z264</f>
        <v>Keine</v>
      </c>
      <c r="AH265" s="51" t="str">
        <f>IF(Migrationsartikel!AB264="ja","true",FALSE)</f>
        <v>true</v>
      </c>
      <c r="AI265" s="51" t="str">
        <f>IF(Migrationsartikel!AC264="ja","true",FALSE)</f>
        <v>true</v>
      </c>
      <c r="AJ265" s="51" t="str">
        <f>IF(Migrationsartikel!AD264="ja","true",FALSE)</f>
        <v>true</v>
      </c>
      <c r="AK265" s="51" t="str">
        <f>IF(Migrationsartikel!AE264="ja","true",FALSE)</f>
        <v>true</v>
      </c>
      <c r="AL265" s="51" t="str">
        <f>IF(Migrationsartikel!AF264="ja","Denner Partner","")</f>
        <v/>
      </c>
      <c r="AM265" s="51" t="str">
        <f>IF(Migrationsartikel!AG264="ja","true","false")</f>
        <v>false</v>
      </c>
      <c r="AN265" s="51" t="str">
        <f t="shared" si="5"/>
        <v>Kassentastenbelegung (ohne GTIN/PLU)</v>
      </c>
      <c r="AO265" s="63" t="s">
        <v>219</v>
      </c>
      <c r="AP265" s="62" t="s">
        <v>2692</v>
      </c>
      <c r="AQ265" s="63" t="s">
        <v>217</v>
      </c>
      <c r="AR265" s="30" t="s">
        <v>219</v>
      </c>
    </row>
    <row r="266" spans="2:44" ht="21.75" customHeight="1" x14ac:dyDescent="0.45">
      <c r="B266" s="51" t="s">
        <v>99</v>
      </c>
      <c r="E266" s="52" t="s">
        <v>87</v>
      </c>
      <c r="F266" s="51" t="str">
        <f>"Warengruppe&gt;&gt;"&amp;_xlfn.TEXTJOIN("&gt;&gt;",TRUE,Migrationsartikel!V265:X265)</f>
        <v>Warengruppe&gt;&gt;Früchte und Gemüse&gt;&gt;Früchte und Gemüse&gt;&gt;Gemüse</v>
      </c>
      <c r="H266" s="52" t="s">
        <v>109</v>
      </c>
      <c r="J266" s="51" t="str">
        <f>_xlfn.TEXTJOIN(" ",TRUE,Migrationsartikel!B265,Migrationsartikel!E265)</f>
        <v>7613399041542</v>
      </c>
      <c r="L266" s="51" t="str">
        <f>_xlfn.TEXTJOIN(" ",TRUE,Migrationsartikel!F265:H265)</f>
        <v>Oregano Schale 20g</v>
      </c>
      <c r="M266" s="51" t="str">
        <f>_xlfn.TEXTJOIN(" ",TRUE,Migrationsartikel!J265:L265)</f>
        <v>Origan Barquette 20g</v>
      </c>
      <c r="N266" s="51" t="str">
        <f>_xlfn.TEXTJOIN(" ",TRUE,Migrationsartikel!N265:P265)</f>
        <v>Origano vaschetta 20g</v>
      </c>
      <c r="O266" s="51" t="str">
        <f>Migrationsartikel!F265</f>
        <v>Oregano</v>
      </c>
      <c r="P266" s="51" t="str">
        <f>Migrationsartikel!J265</f>
        <v>Origan</v>
      </c>
      <c r="Q266" s="51" t="str">
        <f>Migrationsartikel!N265</f>
        <v>Origano</v>
      </c>
      <c r="R266" s="51" t="str">
        <f>_xlfn.TEXTJOIN(" ",TRUE,Migrationsartikel!G265)</f>
        <v>Schale</v>
      </c>
      <c r="S266" s="51" t="str">
        <f>_xlfn.TEXTJOIN(" ",TRUE,Migrationsartikel!K265)</f>
        <v>Barquette</v>
      </c>
      <c r="T266" s="51" t="str">
        <f>_xlfn.TEXTJOIN(" ",TRUE,Migrationsartikel!O265)</f>
        <v>vaschetta</v>
      </c>
      <c r="U266" s="51" t="str">
        <f>_xlfn.TEXTJOIN(" ",TRUE,Migrationsartikel!H265)</f>
        <v>20g</v>
      </c>
      <c r="V266" s="51" t="str">
        <f>_xlfn.TEXTJOIN(" ",TRUE,Migrationsartikel!L265)</f>
        <v>20g</v>
      </c>
      <c r="W266" s="51" t="str">
        <f>_xlfn.TEXTJOIN(" ",TRUE,Migrationsartikel!P265)</f>
        <v>20g</v>
      </c>
      <c r="X266" s="51" t="str">
        <f>Migrationsartikel!I265</f>
        <v>Oregano Schale 20g</v>
      </c>
      <c r="Y266" s="51" t="str">
        <f>Migrationsartikel!M265</f>
        <v>Origan barquette 20g</v>
      </c>
      <c r="Z266" s="51" t="str">
        <f>Migrationsartikel!Q265</f>
        <v>Origano vaschetta 20g</v>
      </c>
      <c r="AA266" s="60">
        <f>Migrationsartikel!R265</f>
        <v>0.02</v>
      </c>
      <c r="AB266" s="51" t="str">
        <f>Migrationsartikel!T265</f>
        <v>Gramm</v>
      </c>
      <c r="AC266" s="62">
        <f>Migrationsartikel!S265</f>
        <v>100</v>
      </c>
      <c r="AD266" s="51" t="str">
        <f>Migrationsartikel!U265</f>
        <v>(PCE) Stück</v>
      </c>
      <c r="AE266" s="95" t="str">
        <f>Migrationsartikel!Y265</f>
        <v>3 - Reduzierter Satz</v>
      </c>
      <c r="AF266" s="64" t="str">
        <f>IF(Migrationsartikel!AA265="Kein Depotartikel","",Migrationsartikel!AA265)</f>
        <v/>
      </c>
      <c r="AG266" s="95" t="str">
        <f>Migrationsartikel!Z265</f>
        <v>Keine</v>
      </c>
      <c r="AH266" s="51" t="str">
        <f>IF(Migrationsartikel!AB265="ja","true",FALSE)</f>
        <v>true</v>
      </c>
      <c r="AI266" s="51" t="str">
        <f>IF(Migrationsartikel!AC265="ja","true",FALSE)</f>
        <v>true</v>
      </c>
      <c r="AJ266" s="51" t="str">
        <f>IF(Migrationsartikel!AD265="ja","true",FALSE)</f>
        <v>true</v>
      </c>
      <c r="AK266" s="51" t="str">
        <f>IF(Migrationsartikel!AE265="ja","true",FALSE)</f>
        <v>true</v>
      </c>
      <c r="AL266" s="51" t="str">
        <f>IF(Migrationsartikel!AF265="ja","Denner Partner","")</f>
        <v/>
      </c>
      <c r="AM266" s="51" t="str">
        <f>IF(Migrationsartikel!AG265="ja","true","false")</f>
        <v>false</v>
      </c>
      <c r="AN266" s="51" t="str">
        <f t="shared" si="5"/>
        <v>Kassentastenbelegung (ohne GTIN/PLU)</v>
      </c>
      <c r="AO266" s="63" t="s">
        <v>219</v>
      </c>
      <c r="AP266" s="62" t="s">
        <v>2693</v>
      </c>
      <c r="AQ266" s="63" t="s">
        <v>217</v>
      </c>
      <c r="AR266" s="30" t="s">
        <v>219</v>
      </c>
    </row>
    <row r="267" spans="2:44" ht="21.75" customHeight="1" x14ac:dyDescent="0.45">
      <c r="B267" s="51" t="s">
        <v>99</v>
      </c>
      <c r="E267" s="52" t="s">
        <v>87</v>
      </c>
      <c r="F267" s="51" t="str">
        <f>"Warengruppe&gt;&gt;"&amp;_xlfn.TEXTJOIN("&gt;&gt;",TRUE,Migrationsartikel!V266:X266)</f>
        <v>Warengruppe&gt;&gt;Früchte und Gemüse&gt;&gt;Früchte und Gemüse&gt;&gt;Gemüse</v>
      </c>
      <c r="H267" s="52" t="s">
        <v>109</v>
      </c>
      <c r="J267" s="51" t="str">
        <f>_xlfn.TEXTJOIN(" ",TRUE,Migrationsartikel!B266,Migrationsartikel!E266)</f>
        <v>2200711000000</v>
      </c>
      <c r="L267" s="51" t="str">
        <f>_xlfn.TEXTJOIN(" ",TRUE,Migrationsartikel!F266:H266)</f>
        <v>Peperoni Spitz rot Kapia Beutel 500g</v>
      </c>
      <c r="M267" s="51" t="str">
        <f>_xlfn.TEXTJOIN(" ",TRUE,Migrationsartikel!J266:L266)</f>
        <v>Poivrons Kapia rouges Sachet Kapia 500g</v>
      </c>
      <c r="N267" s="51" t="str">
        <f>_xlfn.TEXTJOIN(" ",TRUE,Migrationsartikel!N266:P266)</f>
        <v>Peperoni a punta rossi Kapia sacchetto 500g</v>
      </c>
      <c r="O267" s="51" t="str">
        <f>Migrationsartikel!F266</f>
        <v>Peperoni Spitz rot</v>
      </c>
      <c r="P267" s="51" t="str">
        <f>Migrationsartikel!J266</f>
        <v>Poivrons Kapia rouges</v>
      </c>
      <c r="Q267" s="51" t="str">
        <f>Migrationsartikel!N266</f>
        <v>Peperoni a punta rossi</v>
      </c>
      <c r="R267" s="51" t="str">
        <f>_xlfn.TEXTJOIN(" ",TRUE,Migrationsartikel!G266)</f>
        <v>Kapia Beutel</v>
      </c>
      <c r="S267" s="51" t="str">
        <f>_xlfn.TEXTJOIN(" ",TRUE,Migrationsartikel!K266)</f>
        <v>Sachet Kapia</v>
      </c>
      <c r="T267" s="51" t="str">
        <f>_xlfn.TEXTJOIN(" ",TRUE,Migrationsartikel!O266)</f>
        <v>Kapia sacchetto</v>
      </c>
      <c r="U267" s="51" t="str">
        <f>_xlfn.TEXTJOIN(" ",TRUE,Migrationsartikel!H266)</f>
        <v>500g</v>
      </c>
      <c r="V267" s="51" t="str">
        <f>_xlfn.TEXTJOIN(" ",TRUE,Migrationsartikel!L266)</f>
        <v>500g</v>
      </c>
      <c r="W267" s="51" t="str">
        <f>_xlfn.TEXTJOIN(" ",TRUE,Migrationsartikel!P266)</f>
        <v>500g</v>
      </c>
      <c r="X267" s="51" t="str">
        <f>Migrationsartikel!I266</f>
        <v>Peperoni Spitz rot Kap. 500g</v>
      </c>
      <c r="Y267" s="51" t="str">
        <f>Migrationsartikel!M266</f>
        <v>Poivrons Kapia rouges 500g</v>
      </c>
      <c r="Z267" s="51" t="str">
        <f>Migrationsartikel!Q266</f>
        <v>Pep. pun. ross. Kapia 500g</v>
      </c>
      <c r="AA267" s="60">
        <f>Migrationsartikel!R266</f>
        <v>0.5</v>
      </c>
      <c r="AB267" s="51" t="str">
        <f>Migrationsartikel!T266</f>
        <v>Kilogramm</v>
      </c>
      <c r="AC267" s="62">
        <f>Migrationsartikel!S266</f>
        <v>1</v>
      </c>
      <c r="AD267" s="51" t="str">
        <f>Migrationsartikel!U266</f>
        <v>(PCE) Stück</v>
      </c>
      <c r="AE267" s="95" t="str">
        <f>Migrationsartikel!Y266</f>
        <v>3 - Reduzierter Satz</v>
      </c>
      <c r="AF267" s="64" t="str">
        <f>IF(Migrationsartikel!AA266="Kein Depotartikel","",Migrationsartikel!AA266)</f>
        <v/>
      </c>
      <c r="AG267" s="95" t="str">
        <f>Migrationsartikel!Z266</f>
        <v>Keine</v>
      </c>
      <c r="AH267" s="51" t="str">
        <f>IF(Migrationsartikel!AB266="ja","true",FALSE)</f>
        <v>true</v>
      </c>
      <c r="AI267" s="51" t="str">
        <f>IF(Migrationsartikel!AC266="ja","true",FALSE)</f>
        <v>true</v>
      </c>
      <c r="AJ267" s="51" t="str">
        <f>IF(Migrationsartikel!AD266="ja","true",FALSE)</f>
        <v>true</v>
      </c>
      <c r="AK267" s="51" t="str">
        <f>IF(Migrationsartikel!AE266="ja","true",FALSE)</f>
        <v>true</v>
      </c>
      <c r="AL267" s="51" t="str">
        <f>IF(Migrationsartikel!AF266="ja","Denner Partner","")</f>
        <v/>
      </c>
      <c r="AM267" s="51" t="str">
        <f>IF(Migrationsartikel!AG266="ja","true","false")</f>
        <v>false</v>
      </c>
      <c r="AN267" s="51" t="str">
        <f t="shared" si="5"/>
        <v>Kassentastenbelegung (ohne GTIN/PLU)</v>
      </c>
      <c r="AO267" s="63" t="s">
        <v>219</v>
      </c>
      <c r="AP267" s="62" t="s">
        <v>2694</v>
      </c>
      <c r="AQ267" s="63" t="s">
        <v>217</v>
      </c>
      <c r="AR267" s="30" t="s">
        <v>219</v>
      </c>
    </row>
    <row r="268" spans="2:44" ht="21.75" customHeight="1" x14ac:dyDescent="0.45">
      <c r="B268" s="51" t="s">
        <v>99</v>
      </c>
      <c r="E268" s="52" t="s">
        <v>87</v>
      </c>
      <c r="F268" s="51" t="str">
        <f>"Warengruppe&gt;&gt;"&amp;_xlfn.TEXTJOIN("&gt;&gt;",TRUE,Migrationsartikel!V267:X267)</f>
        <v>Warengruppe&gt;&gt;Früchte und Gemüse&gt;&gt;Früchte und Gemüse&gt;&gt;Gemüse</v>
      </c>
      <c r="H268" s="52" t="s">
        <v>109</v>
      </c>
      <c r="J268" s="51" t="str">
        <f>_xlfn.TEXTJOIN(" ",TRUE,Migrationsartikel!B267,Migrationsartikel!E267)</f>
        <v>2200712000000</v>
      </c>
      <c r="L268" s="51" t="str">
        <f>_xlfn.TEXTJOIN(" ",TRUE,Migrationsartikel!F267:H267)</f>
        <v>Peperoni Spitz weiss Cecei Beutel 500g</v>
      </c>
      <c r="M268" s="51" t="str">
        <f>_xlfn.TEXTJOIN(" ",TRUE,Migrationsartikel!J267:L267)</f>
        <v>Poivrons Kapia blancs Sachet Cecei 500g</v>
      </c>
      <c r="N268" s="51" t="str">
        <f>_xlfn.TEXTJOIN(" ",TRUE,Migrationsartikel!N267:P267)</f>
        <v>Peperoni a punta bian. Cecei sacchetto 500g</v>
      </c>
      <c r="O268" s="51" t="str">
        <f>Migrationsartikel!F267</f>
        <v>Peperoni Spitz weiss</v>
      </c>
      <c r="P268" s="51" t="str">
        <f>Migrationsartikel!J267</f>
        <v>Poivrons Kapia blancs</v>
      </c>
      <c r="Q268" s="51" t="str">
        <f>Migrationsartikel!N267</f>
        <v>Peperoni a punta bian.</v>
      </c>
      <c r="R268" s="51" t="str">
        <f>_xlfn.TEXTJOIN(" ",TRUE,Migrationsartikel!G267)</f>
        <v>Cecei Beutel</v>
      </c>
      <c r="S268" s="51" t="str">
        <f>_xlfn.TEXTJOIN(" ",TRUE,Migrationsartikel!K267)</f>
        <v>Sachet Cecei</v>
      </c>
      <c r="T268" s="51" t="str">
        <f>_xlfn.TEXTJOIN(" ",TRUE,Migrationsartikel!O267)</f>
        <v>Cecei sacchetto</v>
      </c>
      <c r="U268" s="51" t="str">
        <f>_xlfn.TEXTJOIN(" ",TRUE,Migrationsartikel!H267)</f>
        <v>500g</v>
      </c>
      <c r="V268" s="51" t="str">
        <f>_xlfn.TEXTJOIN(" ",TRUE,Migrationsartikel!L267)</f>
        <v>500g</v>
      </c>
      <c r="W268" s="51" t="str">
        <f>_xlfn.TEXTJOIN(" ",TRUE,Migrationsartikel!P267)</f>
        <v>500g</v>
      </c>
      <c r="X268" s="51" t="str">
        <f>Migrationsartikel!I267</f>
        <v>Peperoni Spitz Cecei ws 500g</v>
      </c>
      <c r="Y268" s="51" t="str">
        <f>Migrationsartikel!M267</f>
        <v>Poivrons Kapia blancs 500g</v>
      </c>
      <c r="Z268" s="51" t="str">
        <f>Migrationsartikel!Q267</f>
        <v>Pep. pun. bian. Cecei 500g</v>
      </c>
      <c r="AA268" s="60">
        <f>Migrationsartikel!R267</f>
        <v>0.5</v>
      </c>
      <c r="AB268" s="51" t="str">
        <f>Migrationsartikel!T267</f>
        <v>Kilogramm</v>
      </c>
      <c r="AC268" s="62">
        <f>Migrationsartikel!S267</f>
        <v>1</v>
      </c>
      <c r="AD268" s="51" t="str">
        <f>Migrationsartikel!U267</f>
        <v>(PCE) Stück</v>
      </c>
      <c r="AE268" s="95" t="str">
        <f>Migrationsartikel!Y267</f>
        <v>3 - Reduzierter Satz</v>
      </c>
      <c r="AF268" s="64" t="str">
        <f>IF(Migrationsartikel!AA267="Kein Depotartikel","",Migrationsartikel!AA267)</f>
        <v/>
      </c>
      <c r="AG268" s="95" t="str">
        <f>Migrationsartikel!Z267</f>
        <v>Keine</v>
      </c>
      <c r="AH268" s="51" t="str">
        <f>IF(Migrationsartikel!AB267="ja","true",FALSE)</f>
        <v>true</v>
      </c>
      <c r="AI268" s="51" t="str">
        <f>IF(Migrationsartikel!AC267="ja","true",FALSE)</f>
        <v>true</v>
      </c>
      <c r="AJ268" s="51" t="str">
        <f>IF(Migrationsartikel!AD267="ja","true",FALSE)</f>
        <v>true</v>
      </c>
      <c r="AK268" s="51" t="str">
        <f>IF(Migrationsartikel!AE267="ja","true",FALSE)</f>
        <v>true</v>
      </c>
      <c r="AL268" s="51" t="str">
        <f>IF(Migrationsartikel!AF267="ja","Denner Partner","")</f>
        <v/>
      </c>
      <c r="AM268" s="51" t="str">
        <f>IF(Migrationsartikel!AG267="ja","true","false")</f>
        <v>false</v>
      </c>
      <c r="AN268" s="51" t="str">
        <f t="shared" si="5"/>
        <v>Kassentastenbelegung (ohne GTIN/PLU)</v>
      </c>
      <c r="AO268" s="63" t="s">
        <v>219</v>
      </c>
      <c r="AP268" s="62" t="s">
        <v>2695</v>
      </c>
      <c r="AQ268" s="63" t="s">
        <v>217</v>
      </c>
      <c r="AR268" s="30" t="s">
        <v>219</v>
      </c>
    </row>
    <row r="269" spans="2:44" ht="21.75" customHeight="1" x14ac:dyDescent="0.45">
      <c r="B269" s="51" t="s">
        <v>99</v>
      </c>
      <c r="E269" s="52" t="s">
        <v>87</v>
      </c>
      <c r="F269" s="51" t="str">
        <f>"Warengruppe&gt;&gt;"&amp;_xlfn.TEXTJOIN("&gt;&gt;",TRUE,Migrationsartikel!V268:X268)</f>
        <v>Warengruppe&gt;&gt;Früchte und Gemüse&gt;&gt;Früchte und Gemüse&gt;&gt;Gemüse</v>
      </c>
      <c r="H269" s="52" t="s">
        <v>109</v>
      </c>
      <c r="J269" s="51" t="str">
        <f>_xlfn.TEXTJOIN(" ",TRUE,Migrationsartikel!B268,Migrationsartikel!E268)</f>
        <v>7613399028659</v>
      </c>
      <c r="L269" s="51" t="str">
        <f>_xlfn.TEXTJOIN(" ",TRUE,Migrationsartikel!F268:H268)</f>
        <v>Peperoncini rot 100g</v>
      </c>
      <c r="M269" s="51" t="str">
        <f>_xlfn.TEXTJOIN(" ",TRUE,Migrationsartikel!J268:L268)</f>
        <v>Peperoncini rouge 100g</v>
      </c>
      <c r="N269" s="51" t="str">
        <f>_xlfn.TEXTJOIN(" ",TRUE,Migrationsartikel!N268:P268)</f>
        <v>Peperoncini rossi 100g</v>
      </c>
      <c r="O269" s="51" t="str">
        <f>Migrationsartikel!F268</f>
        <v>Peperoncini rot</v>
      </c>
      <c r="P269" s="51" t="str">
        <f>Migrationsartikel!J268</f>
        <v>Peperoncini rouge</v>
      </c>
      <c r="Q269" s="51" t="str">
        <f>Migrationsartikel!N268</f>
        <v>Peperoncini rossi</v>
      </c>
      <c r="R269" s="51" t="str">
        <f>_xlfn.TEXTJOIN(" ",TRUE,Migrationsartikel!G268)</f>
        <v/>
      </c>
      <c r="S269" s="51" t="str">
        <f>_xlfn.TEXTJOIN(" ",TRUE,Migrationsartikel!K268)</f>
        <v/>
      </c>
      <c r="T269" s="51" t="str">
        <f>_xlfn.TEXTJOIN(" ",TRUE,Migrationsartikel!O268)</f>
        <v/>
      </c>
      <c r="U269" s="51" t="str">
        <f>_xlfn.TEXTJOIN(" ",TRUE,Migrationsartikel!H268)</f>
        <v>100g</v>
      </c>
      <c r="V269" s="51" t="str">
        <f>_xlfn.TEXTJOIN(" ",TRUE,Migrationsartikel!L268)</f>
        <v>100g</v>
      </c>
      <c r="W269" s="51" t="str">
        <f>_xlfn.TEXTJOIN(" ",TRUE,Migrationsartikel!P268)</f>
        <v>100g</v>
      </c>
      <c r="X269" s="51" t="str">
        <f>Migrationsartikel!I268</f>
        <v>Peperoncini rot 100g</v>
      </c>
      <c r="Y269" s="51" t="str">
        <f>Migrationsartikel!M268</f>
        <v>Peperoncini 100g</v>
      </c>
      <c r="Z269" s="51" t="str">
        <f>Migrationsartikel!Q268</f>
        <v>Peperoncini rossi 100g</v>
      </c>
      <c r="AA269" s="60">
        <f>Migrationsartikel!R268</f>
        <v>0.1</v>
      </c>
      <c r="AB269" s="51" t="str">
        <f>Migrationsartikel!T268</f>
        <v>Gramm</v>
      </c>
      <c r="AC269" s="62">
        <f>Migrationsartikel!S268</f>
        <v>100</v>
      </c>
      <c r="AD269" s="51" t="str">
        <f>Migrationsartikel!U268</f>
        <v>(PCE) Stück</v>
      </c>
      <c r="AE269" s="95" t="str">
        <f>Migrationsartikel!Y268</f>
        <v>3 - Reduzierter Satz</v>
      </c>
      <c r="AF269" s="64" t="str">
        <f>IF(Migrationsartikel!AA268="Kein Depotartikel","",Migrationsartikel!AA268)</f>
        <v/>
      </c>
      <c r="AG269" s="95" t="str">
        <f>Migrationsartikel!Z268</f>
        <v>Keine</v>
      </c>
      <c r="AH269" s="51" t="str">
        <f>IF(Migrationsartikel!AB268="ja","true",FALSE)</f>
        <v>true</v>
      </c>
      <c r="AI269" s="51" t="str">
        <f>IF(Migrationsartikel!AC268="ja","true",FALSE)</f>
        <v>true</v>
      </c>
      <c r="AJ269" s="51" t="str">
        <f>IF(Migrationsartikel!AD268="ja","true",FALSE)</f>
        <v>true</v>
      </c>
      <c r="AK269" s="51" t="str">
        <f>IF(Migrationsartikel!AE268="ja","true",FALSE)</f>
        <v>true</v>
      </c>
      <c r="AL269" s="51" t="str">
        <f>IF(Migrationsartikel!AF268="ja","Denner Partner","")</f>
        <v/>
      </c>
      <c r="AM269" s="51" t="str">
        <f>IF(Migrationsartikel!AG268="ja","true","false")</f>
        <v>false</v>
      </c>
      <c r="AN269" s="51" t="str">
        <f t="shared" si="5"/>
        <v>Kassentastenbelegung (ohne GTIN/PLU)</v>
      </c>
      <c r="AO269" s="63" t="s">
        <v>219</v>
      </c>
      <c r="AP269" s="62" t="s">
        <v>2696</v>
      </c>
      <c r="AQ269" s="63" t="s">
        <v>217</v>
      </c>
      <c r="AR269" s="30" t="s">
        <v>219</v>
      </c>
    </row>
    <row r="270" spans="2:44" ht="21.75" customHeight="1" x14ac:dyDescent="0.45">
      <c r="B270" s="51" t="s">
        <v>99</v>
      </c>
      <c r="E270" s="52" t="s">
        <v>87</v>
      </c>
      <c r="F270" s="51" t="str">
        <f>"Warengruppe&gt;&gt;"&amp;_xlfn.TEXTJOIN("&gt;&gt;",TRUE,Migrationsartikel!V269:X269)</f>
        <v>Warengruppe&gt;&gt;Früchte und Gemüse&gt;&gt;Früchte und Gemüse&gt;&gt;Gemüse</v>
      </c>
      <c r="H270" s="52" t="s">
        <v>109</v>
      </c>
      <c r="J270" s="51" t="str">
        <f>_xlfn.TEXTJOIN(" ",TRUE,Migrationsartikel!B269,Migrationsartikel!E269)</f>
        <v>243</v>
      </c>
      <c r="L270" s="51" t="str">
        <f>_xlfn.TEXTJOIN(" ",TRUE,Migrationsartikel!F269:H269)</f>
        <v>Pastinaken Offen</v>
      </c>
      <c r="M270" s="51" t="str">
        <f>_xlfn.TEXTJOIN(" ",TRUE,Migrationsartikel!J269:L269)</f>
        <v>Panais En vrac</v>
      </c>
      <c r="N270" s="51" t="str">
        <f>_xlfn.TEXTJOIN(" ",TRUE,Migrationsartikel!N269:P269)</f>
        <v>Pastinaca vendita sfusa</v>
      </c>
      <c r="O270" s="51" t="str">
        <f>Migrationsartikel!F269</f>
        <v>Pastinaken</v>
      </c>
      <c r="P270" s="51" t="str">
        <f>Migrationsartikel!J269</f>
        <v>Panais</v>
      </c>
      <c r="Q270" s="51" t="str">
        <f>Migrationsartikel!N269</f>
        <v>Pastinaca</v>
      </c>
      <c r="R270" s="51" t="str">
        <f>_xlfn.TEXTJOIN(" ",TRUE,Migrationsartikel!G269)</f>
        <v>Offen</v>
      </c>
      <c r="S270" s="51" t="str">
        <f>_xlfn.TEXTJOIN(" ",TRUE,Migrationsartikel!K269)</f>
        <v>En vrac</v>
      </c>
      <c r="T270" s="51" t="str">
        <f>_xlfn.TEXTJOIN(" ",TRUE,Migrationsartikel!O269)</f>
        <v>vendita sfusa</v>
      </c>
      <c r="U270" s="51" t="str">
        <f>_xlfn.TEXTJOIN(" ",TRUE,Migrationsartikel!H269)</f>
        <v/>
      </c>
      <c r="V270" s="51" t="str">
        <f>_xlfn.TEXTJOIN(" ",TRUE,Migrationsartikel!L269)</f>
        <v/>
      </c>
      <c r="W270" s="51" t="str">
        <f>_xlfn.TEXTJOIN(" ",TRUE,Migrationsartikel!P269)</f>
        <v/>
      </c>
      <c r="X270" s="51" t="str">
        <f>Migrationsartikel!I269</f>
        <v>Pastinaken Offen</v>
      </c>
      <c r="Y270" s="51" t="str">
        <f>Migrationsartikel!M269</f>
        <v>Panais en vrac</v>
      </c>
      <c r="Z270" s="51" t="str">
        <f>Migrationsartikel!Q269</f>
        <v>Pastinaca vendita sfusa</v>
      </c>
      <c r="AA270" s="60">
        <f>Migrationsartikel!R269</f>
        <v>1</v>
      </c>
      <c r="AB270" s="51" t="str">
        <f>Migrationsartikel!T269</f>
        <v>Kilogramm</v>
      </c>
      <c r="AC270" s="62">
        <f>Migrationsartikel!S269</f>
        <v>1</v>
      </c>
      <c r="AD270" s="51" t="str">
        <f>Migrationsartikel!U269</f>
        <v>(KGM) KG</v>
      </c>
      <c r="AE270" s="95" t="str">
        <f>Migrationsartikel!Y269</f>
        <v>3 - Reduzierter Satz</v>
      </c>
      <c r="AF270" s="64" t="str">
        <f>IF(Migrationsartikel!AA269="Kein Depotartikel","",Migrationsartikel!AA269)</f>
        <v/>
      </c>
      <c r="AG270" s="95" t="str">
        <f>Migrationsartikel!Z269</f>
        <v>Keine</v>
      </c>
      <c r="AH270" s="51" t="str">
        <f>IF(Migrationsartikel!AB269="ja","true",FALSE)</f>
        <v>true</v>
      </c>
      <c r="AI270" s="51" t="str">
        <f>IF(Migrationsartikel!AC269="ja","true",FALSE)</f>
        <v>true</v>
      </c>
      <c r="AJ270" s="51" t="str">
        <f>IF(Migrationsartikel!AD269="ja","true",FALSE)</f>
        <v>true</v>
      </c>
      <c r="AK270" s="51" t="str">
        <f>IF(Migrationsartikel!AE269="ja","true",FALSE)</f>
        <v>true</v>
      </c>
      <c r="AL270" s="51" t="str">
        <f>IF(Migrationsartikel!AF269="ja","Denner Partner","")</f>
        <v/>
      </c>
      <c r="AM270" s="51" t="str">
        <f>IF(Migrationsartikel!AG269="ja","true","false")</f>
        <v>false</v>
      </c>
      <c r="AN270" s="51" t="str">
        <f t="shared" si="5"/>
        <v>Kassentastenbelegung (ohne GTIN/PLU)</v>
      </c>
      <c r="AO270" s="63" t="s">
        <v>219</v>
      </c>
      <c r="AP270" s="62" t="s">
        <v>2697</v>
      </c>
      <c r="AQ270" s="63" t="s">
        <v>217</v>
      </c>
      <c r="AR270" s="30" t="s">
        <v>219</v>
      </c>
    </row>
    <row r="271" spans="2:44" ht="21.75" customHeight="1" x14ac:dyDescent="0.45">
      <c r="B271" s="51" t="s">
        <v>99</v>
      </c>
      <c r="E271" s="52" t="s">
        <v>87</v>
      </c>
      <c r="F271" s="51" t="str">
        <f>"Warengruppe&gt;&gt;"&amp;_xlfn.TEXTJOIN("&gt;&gt;",TRUE,Migrationsartikel!V270:X270)</f>
        <v>Warengruppe&gt;&gt;Früchte und Gemüse&gt;&gt;Früchte und Gemüse&gt;&gt;Gemüse</v>
      </c>
      <c r="H271" s="52" t="s">
        <v>109</v>
      </c>
      <c r="J271" s="51" t="str">
        <f>_xlfn.TEXTJOIN(" ",TRUE,Migrationsartikel!B270,Migrationsartikel!E270)</f>
        <v>2260331000000</v>
      </c>
      <c r="L271" s="51" t="str">
        <f>_xlfn.TEXTJOIN(" ",TRUE,Migrationsartikel!F270:H270)</f>
        <v>Bio Peperoncini Bicolor</v>
      </c>
      <c r="M271" s="51" t="str">
        <f>_xlfn.TEXTJOIN(" ",TRUE,Migrationsartikel!J270:L270)</f>
        <v>Bio Peperoncini Bicolore</v>
      </c>
      <c r="N271" s="51" t="str">
        <f>_xlfn.TEXTJOIN(" ",TRUE,Migrationsartikel!N270:P270)</f>
        <v>Bio Peperoncini Bicolore</v>
      </c>
      <c r="O271" s="51" t="str">
        <f>Migrationsartikel!F270</f>
        <v>Bio Peperoncini</v>
      </c>
      <c r="P271" s="51" t="str">
        <f>Migrationsartikel!J270</f>
        <v>Bio Peperoncini</v>
      </c>
      <c r="Q271" s="51" t="str">
        <f>Migrationsartikel!N270</f>
        <v>Bio Peperoncini</v>
      </c>
      <c r="R271" s="51" t="str">
        <f>_xlfn.TEXTJOIN(" ",TRUE,Migrationsartikel!G270)</f>
        <v>Bicolor</v>
      </c>
      <c r="S271" s="51" t="str">
        <f>_xlfn.TEXTJOIN(" ",TRUE,Migrationsartikel!K270)</f>
        <v>Bicolore</v>
      </c>
      <c r="T271" s="51" t="str">
        <f>_xlfn.TEXTJOIN(" ",TRUE,Migrationsartikel!O270)</f>
        <v>Bicolore</v>
      </c>
      <c r="U271" s="51" t="str">
        <f>_xlfn.TEXTJOIN(" ",TRUE,Migrationsartikel!H270)</f>
        <v/>
      </c>
      <c r="V271" s="51" t="str">
        <f>_xlfn.TEXTJOIN(" ",TRUE,Migrationsartikel!L270)</f>
        <v/>
      </c>
      <c r="W271" s="51" t="str">
        <f>_xlfn.TEXTJOIN(" ",TRUE,Migrationsartikel!P270)</f>
        <v/>
      </c>
      <c r="X271" s="51" t="str">
        <f>Migrationsartikel!I270</f>
        <v>Bio Peperoncini Bicolor</v>
      </c>
      <c r="Y271" s="51" t="str">
        <f>Migrationsartikel!M270</f>
        <v>Bio Peperoncini Bicolore</v>
      </c>
      <c r="Z271" s="51" t="str">
        <f>Migrationsartikel!Q270</f>
        <v>Bio Peperoncini Bicolore</v>
      </c>
      <c r="AA271" s="60">
        <f>Migrationsartikel!R270</f>
        <v>1</v>
      </c>
      <c r="AB271" s="51" t="str">
        <f>Migrationsartikel!T270</f>
        <v>Kilogramm</v>
      </c>
      <c r="AC271" s="62">
        <f>Migrationsartikel!S270</f>
        <v>1</v>
      </c>
      <c r="AD271" s="51" t="str">
        <f>Migrationsartikel!U270</f>
        <v>(PCE) Stück</v>
      </c>
      <c r="AE271" s="95" t="str">
        <f>Migrationsartikel!Y270</f>
        <v>3 - Reduzierter Satz</v>
      </c>
      <c r="AF271" s="64" t="str">
        <f>IF(Migrationsartikel!AA270="Kein Depotartikel","",Migrationsartikel!AA270)</f>
        <v/>
      </c>
      <c r="AG271" s="95" t="str">
        <f>Migrationsartikel!Z270</f>
        <v>Keine</v>
      </c>
      <c r="AH271" s="51" t="str">
        <f>IF(Migrationsartikel!AB270="ja","true",FALSE)</f>
        <v>true</v>
      </c>
      <c r="AI271" s="51" t="str">
        <f>IF(Migrationsartikel!AC270="ja","true",FALSE)</f>
        <v>true</v>
      </c>
      <c r="AJ271" s="51" t="str">
        <f>IF(Migrationsartikel!AD270="ja","true",FALSE)</f>
        <v>true</v>
      </c>
      <c r="AK271" s="51" t="str">
        <f>IF(Migrationsartikel!AE270="ja","true",FALSE)</f>
        <v>true</v>
      </c>
      <c r="AL271" s="51" t="str">
        <f>IF(Migrationsartikel!AF270="ja","Denner Partner","")</f>
        <v/>
      </c>
      <c r="AM271" s="51" t="str">
        <f>IF(Migrationsartikel!AG270="ja","true","false")</f>
        <v>false</v>
      </c>
      <c r="AN271" s="51" t="str">
        <f t="shared" si="5"/>
        <v>Kassentastenbelegung (ohne GTIN/PLU)</v>
      </c>
      <c r="AO271" s="63" t="s">
        <v>219</v>
      </c>
      <c r="AP271" s="62" t="s">
        <v>2698</v>
      </c>
      <c r="AQ271" s="63" t="s">
        <v>217</v>
      </c>
      <c r="AR271" s="30" t="s">
        <v>219</v>
      </c>
    </row>
    <row r="272" spans="2:44" ht="21.75" customHeight="1" x14ac:dyDescent="0.45">
      <c r="B272" s="51" t="s">
        <v>99</v>
      </c>
      <c r="E272" s="52" t="s">
        <v>87</v>
      </c>
      <c r="F272" s="51" t="str">
        <f>"Warengruppe&gt;&gt;"&amp;_xlfn.TEXTJOIN("&gt;&gt;",TRUE,Migrationsartikel!V271:X271)</f>
        <v>Warengruppe&gt;&gt;Früchte und Gemüse&gt;&gt;Früchte und Gemüse&gt;&gt;Gemüse</v>
      </c>
      <c r="H272" s="52" t="s">
        <v>109</v>
      </c>
      <c r="J272" s="51" t="str">
        <f>_xlfn.TEXTJOIN(" ",TRUE,Migrationsartikel!B271,Migrationsartikel!E271)</f>
        <v>2260331000003</v>
      </c>
      <c r="L272" s="51" t="str">
        <f>_xlfn.TEXTJOIN(" ",TRUE,Migrationsartikel!F271:H271)</f>
        <v>Peperoni Bicolor gepackt 2Stk</v>
      </c>
      <c r="M272" s="51" t="str">
        <f>_xlfn.TEXTJOIN(" ",TRUE,Migrationsartikel!J271:L271)</f>
        <v>Poivrons Bicolore emballé 2pces</v>
      </c>
      <c r="N272" s="51" t="str">
        <f>_xlfn.TEXTJOIN(" ",TRUE,Migrationsartikel!N271:P271)</f>
        <v>Peperoni Bicolore confezionato 2pz</v>
      </c>
      <c r="O272" s="51" t="str">
        <f>Migrationsartikel!F271</f>
        <v>Peperoni</v>
      </c>
      <c r="P272" s="51" t="str">
        <f>Migrationsartikel!J271</f>
        <v>Poivrons</v>
      </c>
      <c r="Q272" s="51" t="str">
        <f>Migrationsartikel!N271</f>
        <v>Peperoni</v>
      </c>
      <c r="R272" s="51" t="str">
        <f>_xlfn.TEXTJOIN(" ",TRUE,Migrationsartikel!G271)</f>
        <v>Bicolor gepackt</v>
      </c>
      <c r="S272" s="51" t="str">
        <f>_xlfn.TEXTJOIN(" ",TRUE,Migrationsartikel!K271)</f>
        <v>Bicolore emballé</v>
      </c>
      <c r="T272" s="51" t="str">
        <f>_xlfn.TEXTJOIN(" ",TRUE,Migrationsartikel!O271)</f>
        <v>Bicolore confezionato</v>
      </c>
      <c r="U272" s="51" t="str">
        <f>_xlfn.TEXTJOIN(" ",TRUE,Migrationsartikel!H271)</f>
        <v>2Stk</v>
      </c>
      <c r="V272" s="51" t="str">
        <f>_xlfn.TEXTJOIN(" ",TRUE,Migrationsartikel!L271)</f>
        <v>2pces</v>
      </c>
      <c r="W272" s="51" t="str">
        <f>_xlfn.TEXTJOIN(" ",TRUE,Migrationsartikel!P271)</f>
        <v>2pz</v>
      </c>
      <c r="X272" s="51" t="str">
        <f>Migrationsartikel!I271</f>
        <v>Peperoni Bicolor gep. 2Stk</v>
      </c>
      <c r="Y272" s="51" t="str">
        <f>Migrationsartikel!M271</f>
        <v>Poivrons bicolore emb 2 pces</v>
      </c>
      <c r="Z272" s="51" t="str">
        <f>Migrationsartikel!Q271</f>
        <v>Peperoni bicolore confez.</v>
      </c>
      <c r="AA272" s="60">
        <f>Migrationsartikel!R271</f>
        <v>2</v>
      </c>
      <c r="AB272" s="51" t="str">
        <f>Migrationsartikel!T271</f>
        <v>Kilogramm</v>
      </c>
      <c r="AC272" s="62">
        <f>Migrationsartikel!S271</f>
        <v>1</v>
      </c>
      <c r="AD272" s="51" t="str">
        <f>Migrationsartikel!U271</f>
        <v>(PCE) Stück</v>
      </c>
      <c r="AE272" s="95" t="str">
        <f>Migrationsartikel!Y271</f>
        <v>3 - Reduzierter Satz</v>
      </c>
      <c r="AF272" s="64" t="str">
        <f>IF(Migrationsartikel!AA271="Kein Depotartikel","",Migrationsartikel!AA271)</f>
        <v/>
      </c>
      <c r="AG272" s="95" t="str">
        <f>Migrationsartikel!Z271</f>
        <v>Keine</v>
      </c>
      <c r="AH272" s="51" t="str">
        <f>IF(Migrationsartikel!AB271="ja","true",FALSE)</f>
        <v>true</v>
      </c>
      <c r="AI272" s="51" t="str">
        <f>IF(Migrationsartikel!AC271="ja","true",FALSE)</f>
        <v>true</v>
      </c>
      <c r="AJ272" s="51" t="str">
        <f>IF(Migrationsartikel!AD271="ja","true",FALSE)</f>
        <v>true</v>
      </c>
      <c r="AK272" s="51" t="str">
        <f>IF(Migrationsartikel!AE271="ja","true",FALSE)</f>
        <v>true</v>
      </c>
      <c r="AL272" s="51" t="str">
        <f>IF(Migrationsartikel!AF271="ja","Denner Partner","")</f>
        <v/>
      </c>
      <c r="AM272" s="51" t="str">
        <f>IF(Migrationsartikel!AG271="ja","true","false")</f>
        <v>false</v>
      </c>
      <c r="AN272" s="51" t="str">
        <f t="shared" si="5"/>
        <v>Kassentastenbelegung (ohne GTIN/PLU)</v>
      </c>
      <c r="AO272" s="63" t="s">
        <v>219</v>
      </c>
      <c r="AP272" s="62" t="s">
        <v>2699</v>
      </c>
      <c r="AQ272" s="63" t="s">
        <v>217</v>
      </c>
      <c r="AR272" s="30" t="s">
        <v>219</v>
      </c>
    </row>
    <row r="273" spans="2:44" ht="21.75" customHeight="1" x14ac:dyDescent="0.45">
      <c r="B273" s="51" t="s">
        <v>99</v>
      </c>
      <c r="E273" s="52" t="s">
        <v>87</v>
      </c>
      <c r="F273" s="51" t="str">
        <f>"Warengruppe&gt;&gt;"&amp;_xlfn.TEXTJOIN("&gt;&gt;",TRUE,Migrationsartikel!V272:X272)</f>
        <v>Warengruppe&gt;&gt;Früchte und Gemüse&gt;&gt;Früchte und Gemüse&gt;&gt;Gemüse</v>
      </c>
      <c r="H273" s="52" t="s">
        <v>109</v>
      </c>
      <c r="J273" s="51" t="str">
        <f>_xlfn.TEXTJOIN(" ",TRUE,Migrationsartikel!B272,Migrationsartikel!E272)</f>
        <v>230</v>
      </c>
      <c r="L273" s="51" t="str">
        <f>_xlfn.TEXTJOIN(" ",TRUE,Migrationsartikel!F272:H272)</f>
        <v>Peperoni diverse Offen</v>
      </c>
      <c r="M273" s="51" t="str">
        <f>_xlfn.TEXTJOIN(" ",TRUE,Migrationsartikel!J272:L272)</f>
        <v>Poivrons divers En vrac</v>
      </c>
      <c r="N273" s="51" t="str">
        <f>_xlfn.TEXTJOIN(" ",TRUE,Migrationsartikel!N272:P272)</f>
        <v>Peperoni vari vendita sfusa</v>
      </c>
      <c r="O273" s="51" t="str">
        <f>Migrationsartikel!F272</f>
        <v>Peperoni diverse</v>
      </c>
      <c r="P273" s="51" t="str">
        <f>Migrationsartikel!J272</f>
        <v>Poivrons divers</v>
      </c>
      <c r="Q273" s="51" t="str">
        <f>Migrationsartikel!N272</f>
        <v>Peperoni vari</v>
      </c>
      <c r="R273" s="51" t="str">
        <f>_xlfn.TEXTJOIN(" ",TRUE,Migrationsartikel!G272)</f>
        <v>Offen</v>
      </c>
      <c r="S273" s="51" t="str">
        <f>_xlfn.TEXTJOIN(" ",TRUE,Migrationsartikel!K272)</f>
        <v>En vrac</v>
      </c>
      <c r="T273" s="51" t="str">
        <f>_xlfn.TEXTJOIN(" ",TRUE,Migrationsartikel!O272)</f>
        <v>vendita sfusa</v>
      </c>
      <c r="U273" s="51" t="str">
        <f>_xlfn.TEXTJOIN(" ",TRUE,Migrationsartikel!H272)</f>
        <v/>
      </c>
      <c r="V273" s="51" t="str">
        <f>_xlfn.TEXTJOIN(" ",TRUE,Migrationsartikel!L272)</f>
        <v/>
      </c>
      <c r="W273" s="51" t="str">
        <f>_xlfn.TEXTJOIN(" ",TRUE,Migrationsartikel!P272)</f>
        <v/>
      </c>
      <c r="X273" s="51" t="str">
        <f>Migrationsartikel!I272</f>
        <v>Peperoni diverse Offen</v>
      </c>
      <c r="Y273" s="51" t="str">
        <f>Migrationsartikel!M272</f>
        <v>Poivrons divers en vrac</v>
      </c>
      <c r="Z273" s="51" t="str">
        <f>Migrationsartikel!Q272</f>
        <v>Peperoni vari vendita sfusa</v>
      </c>
      <c r="AA273" s="60">
        <f>Migrationsartikel!R272</f>
        <v>1</v>
      </c>
      <c r="AB273" s="51" t="str">
        <f>Migrationsartikel!T272</f>
        <v>Kilogramm</v>
      </c>
      <c r="AC273" s="62">
        <f>Migrationsartikel!S272</f>
        <v>1</v>
      </c>
      <c r="AD273" s="51" t="str">
        <f>Migrationsartikel!U272</f>
        <v>(KGM) KG</v>
      </c>
      <c r="AE273" s="95" t="str">
        <f>Migrationsartikel!Y272</f>
        <v>3 - Reduzierter Satz</v>
      </c>
      <c r="AF273" s="64" t="str">
        <f>IF(Migrationsartikel!AA272="Kein Depotartikel","",Migrationsartikel!AA272)</f>
        <v/>
      </c>
      <c r="AG273" s="95" t="str">
        <f>Migrationsartikel!Z272</f>
        <v>Keine</v>
      </c>
      <c r="AH273" s="51" t="str">
        <f>IF(Migrationsartikel!AB272="ja","true",FALSE)</f>
        <v>true</v>
      </c>
      <c r="AI273" s="51" t="str">
        <f>IF(Migrationsartikel!AC272="ja","true",FALSE)</f>
        <v>true</v>
      </c>
      <c r="AJ273" s="51" t="str">
        <f>IF(Migrationsartikel!AD272="ja","true",FALSE)</f>
        <v>true</v>
      </c>
      <c r="AK273" s="51" t="str">
        <f>IF(Migrationsartikel!AE272="ja","true",FALSE)</f>
        <v>true</v>
      </c>
      <c r="AL273" s="51" t="str">
        <f>IF(Migrationsartikel!AF272="ja","Denner Partner","")</f>
        <v/>
      </c>
      <c r="AM273" s="51" t="str">
        <f>IF(Migrationsartikel!AG272="ja","true","false")</f>
        <v>false</v>
      </c>
      <c r="AN273" s="51" t="str">
        <f t="shared" si="5"/>
        <v>Kassentastenbelegung (ohne GTIN/PLU)</v>
      </c>
      <c r="AO273" s="63" t="s">
        <v>219</v>
      </c>
      <c r="AP273" s="62" t="s">
        <v>2700</v>
      </c>
      <c r="AQ273" s="63" t="s">
        <v>217</v>
      </c>
      <c r="AR273" s="30" t="s">
        <v>219</v>
      </c>
    </row>
    <row r="274" spans="2:44" ht="21.75" customHeight="1" x14ac:dyDescent="0.45">
      <c r="B274" s="51" t="s">
        <v>99</v>
      </c>
      <c r="E274" s="52" t="s">
        <v>87</v>
      </c>
      <c r="F274" s="51" t="str">
        <f>"Warengruppe&gt;&gt;"&amp;_xlfn.TEXTJOIN("&gt;&gt;",TRUE,Migrationsartikel!V273:X273)</f>
        <v>Warengruppe&gt;&gt;Früchte und Gemüse&gt;&gt;Früchte und Gemüse&gt;&gt;Gemüse</v>
      </c>
      <c r="H274" s="52" t="s">
        <v>109</v>
      </c>
      <c r="J274" s="51" t="str">
        <f>_xlfn.TEXTJOIN(" ",TRUE,Migrationsartikel!B273,Migrationsartikel!E273)</f>
        <v>244</v>
      </c>
      <c r="L274" s="51" t="str">
        <f>_xlfn.TEXTJOIN(" ",TRUE,Migrationsartikel!F273:H273)</f>
        <v>Peperoni gelb Offen</v>
      </c>
      <c r="M274" s="51" t="str">
        <f>_xlfn.TEXTJOIN(" ",TRUE,Migrationsartikel!J273:L273)</f>
        <v>Poivrons jaunes En vrac</v>
      </c>
      <c r="N274" s="51" t="str">
        <f>_xlfn.TEXTJOIN(" ",TRUE,Migrationsartikel!N273:P273)</f>
        <v>Peperoni gialli vendita sfusa</v>
      </c>
      <c r="O274" s="51" t="str">
        <f>Migrationsartikel!F273</f>
        <v>Peperoni gelb</v>
      </c>
      <c r="P274" s="51" t="str">
        <f>Migrationsartikel!J273</f>
        <v>Poivrons jaunes</v>
      </c>
      <c r="Q274" s="51" t="str">
        <f>Migrationsartikel!N273</f>
        <v>Peperoni gialli</v>
      </c>
      <c r="R274" s="51" t="str">
        <f>_xlfn.TEXTJOIN(" ",TRUE,Migrationsartikel!G273)</f>
        <v>Offen</v>
      </c>
      <c r="S274" s="51" t="str">
        <f>_xlfn.TEXTJOIN(" ",TRUE,Migrationsartikel!K273)</f>
        <v>En vrac</v>
      </c>
      <c r="T274" s="51" t="str">
        <f>_xlfn.TEXTJOIN(" ",TRUE,Migrationsartikel!O273)</f>
        <v>vendita sfusa</v>
      </c>
      <c r="U274" s="51" t="str">
        <f>_xlfn.TEXTJOIN(" ",TRUE,Migrationsartikel!H273)</f>
        <v/>
      </c>
      <c r="V274" s="51" t="str">
        <f>_xlfn.TEXTJOIN(" ",TRUE,Migrationsartikel!L273)</f>
        <v/>
      </c>
      <c r="W274" s="51" t="str">
        <f>_xlfn.TEXTJOIN(" ",TRUE,Migrationsartikel!P273)</f>
        <v/>
      </c>
      <c r="X274" s="51" t="str">
        <f>Migrationsartikel!I273</f>
        <v>Peperoni gelb Offen</v>
      </c>
      <c r="Y274" s="51" t="str">
        <f>Migrationsartikel!M273</f>
        <v>Poivrons jaunes en vrac</v>
      </c>
      <c r="Z274" s="51" t="str">
        <f>Migrationsartikel!Q273</f>
        <v>Peperoni gialli vend. sfusa</v>
      </c>
      <c r="AA274" s="60">
        <f>Migrationsartikel!R273</f>
        <v>1</v>
      </c>
      <c r="AB274" s="51" t="str">
        <f>Migrationsartikel!T273</f>
        <v>Kilogramm</v>
      </c>
      <c r="AC274" s="62">
        <f>Migrationsartikel!S273</f>
        <v>1</v>
      </c>
      <c r="AD274" s="51" t="str">
        <f>Migrationsartikel!U273</f>
        <v>(KGM) KG</v>
      </c>
      <c r="AE274" s="95" t="str">
        <f>Migrationsartikel!Y273</f>
        <v>3 - Reduzierter Satz</v>
      </c>
      <c r="AF274" s="64" t="str">
        <f>IF(Migrationsartikel!AA273="Kein Depotartikel","",Migrationsartikel!AA273)</f>
        <v/>
      </c>
      <c r="AG274" s="95" t="str">
        <f>Migrationsartikel!Z273</f>
        <v>Keine</v>
      </c>
      <c r="AH274" s="51" t="str">
        <f>IF(Migrationsartikel!AB273="ja","true",FALSE)</f>
        <v>true</v>
      </c>
      <c r="AI274" s="51" t="str">
        <f>IF(Migrationsartikel!AC273="ja","true",FALSE)</f>
        <v>true</v>
      </c>
      <c r="AJ274" s="51" t="str">
        <f>IF(Migrationsartikel!AD273="ja","true",FALSE)</f>
        <v>true</v>
      </c>
      <c r="AK274" s="51" t="str">
        <f>IF(Migrationsartikel!AE273="ja","true",FALSE)</f>
        <v>true</v>
      </c>
      <c r="AL274" s="51" t="str">
        <f>IF(Migrationsartikel!AF273="ja","Denner Partner","")</f>
        <v/>
      </c>
      <c r="AM274" s="51" t="str">
        <f>IF(Migrationsartikel!AG273="ja","true","false")</f>
        <v>false</v>
      </c>
      <c r="AN274" s="51" t="str">
        <f t="shared" si="5"/>
        <v>Kassentastenbelegung (ohne GTIN/PLU)</v>
      </c>
      <c r="AO274" s="63" t="s">
        <v>219</v>
      </c>
      <c r="AP274" s="62" t="s">
        <v>2701</v>
      </c>
      <c r="AQ274" s="63" t="s">
        <v>217</v>
      </c>
      <c r="AR274" s="30" t="s">
        <v>219</v>
      </c>
    </row>
    <row r="275" spans="2:44" ht="21.75" customHeight="1" x14ac:dyDescent="0.45">
      <c r="B275" s="51" t="s">
        <v>99</v>
      </c>
      <c r="E275" s="52" t="s">
        <v>87</v>
      </c>
      <c r="F275" s="51" t="str">
        <f>"Warengruppe&gt;&gt;"&amp;_xlfn.TEXTJOIN("&gt;&gt;",TRUE,Migrationsartikel!V274:X274)</f>
        <v>Warengruppe&gt;&gt;Früchte und Gemüse&gt;&gt;Früchte und Gemüse&gt;&gt;Gemüse</v>
      </c>
      <c r="H275" s="52" t="s">
        <v>109</v>
      </c>
      <c r="J275" s="51" t="str">
        <f>_xlfn.TEXTJOIN(" ",TRUE,Migrationsartikel!B274,Migrationsartikel!E274)</f>
        <v>271</v>
      </c>
      <c r="L275" s="51" t="str">
        <f>_xlfn.TEXTJOIN(" ",TRUE,Migrationsartikel!F274:H274)</f>
        <v>Peperoni grün Offen</v>
      </c>
      <c r="M275" s="51" t="str">
        <f>_xlfn.TEXTJOIN(" ",TRUE,Migrationsartikel!J274:L274)</f>
        <v>Poivrons verts En vrac</v>
      </c>
      <c r="N275" s="51" t="str">
        <f>_xlfn.TEXTJOIN(" ",TRUE,Migrationsartikel!N274:P274)</f>
        <v>Peperoni verdi vendita sfusa</v>
      </c>
      <c r="O275" s="51" t="str">
        <f>Migrationsartikel!F274</f>
        <v>Peperoni grün</v>
      </c>
      <c r="P275" s="51" t="str">
        <f>Migrationsartikel!J274</f>
        <v>Poivrons verts</v>
      </c>
      <c r="Q275" s="51" t="str">
        <f>Migrationsartikel!N274</f>
        <v>Peperoni verdi</v>
      </c>
      <c r="R275" s="51" t="str">
        <f>_xlfn.TEXTJOIN(" ",TRUE,Migrationsartikel!G274)</f>
        <v>Offen</v>
      </c>
      <c r="S275" s="51" t="str">
        <f>_xlfn.TEXTJOIN(" ",TRUE,Migrationsartikel!K274)</f>
        <v>En vrac</v>
      </c>
      <c r="T275" s="51" t="str">
        <f>_xlfn.TEXTJOIN(" ",TRUE,Migrationsartikel!O274)</f>
        <v>vendita sfusa</v>
      </c>
      <c r="U275" s="51" t="str">
        <f>_xlfn.TEXTJOIN(" ",TRUE,Migrationsartikel!H274)</f>
        <v/>
      </c>
      <c r="V275" s="51" t="str">
        <f>_xlfn.TEXTJOIN(" ",TRUE,Migrationsartikel!L274)</f>
        <v/>
      </c>
      <c r="W275" s="51" t="str">
        <f>_xlfn.TEXTJOIN(" ",TRUE,Migrationsartikel!P274)</f>
        <v/>
      </c>
      <c r="X275" s="51" t="str">
        <f>Migrationsartikel!I274</f>
        <v>Peperoni grün Offen</v>
      </c>
      <c r="Y275" s="51" t="str">
        <f>Migrationsartikel!M274</f>
        <v>Poivrons verts en vrac</v>
      </c>
      <c r="Z275" s="51" t="str">
        <f>Migrationsartikel!Q274</f>
        <v>Peperoni verdi vendita sfusa</v>
      </c>
      <c r="AA275" s="60">
        <f>Migrationsartikel!R274</f>
        <v>1</v>
      </c>
      <c r="AB275" s="51" t="str">
        <f>Migrationsartikel!T274</f>
        <v>Kilogramm</v>
      </c>
      <c r="AC275" s="62">
        <f>Migrationsartikel!S274</f>
        <v>1</v>
      </c>
      <c r="AD275" s="51" t="str">
        <f>Migrationsartikel!U274</f>
        <v>(KGM) KG</v>
      </c>
      <c r="AE275" s="95" t="str">
        <f>Migrationsartikel!Y274</f>
        <v>3 - Reduzierter Satz</v>
      </c>
      <c r="AF275" s="64" t="str">
        <f>IF(Migrationsartikel!AA274="Kein Depotartikel","",Migrationsartikel!AA274)</f>
        <v/>
      </c>
      <c r="AG275" s="95" t="str">
        <f>Migrationsartikel!Z274</f>
        <v>Keine</v>
      </c>
      <c r="AH275" s="51" t="str">
        <f>IF(Migrationsartikel!AB274="ja","true",FALSE)</f>
        <v>true</v>
      </c>
      <c r="AI275" s="51" t="str">
        <f>IF(Migrationsartikel!AC274="ja","true",FALSE)</f>
        <v>true</v>
      </c>
      <c r="AJ275" s="51" t="str">
        <f>IF(Migrationsartikel!AD274="ja","true",FALSE)</f>
        <v>true</v>
      </c>
      <c r="AK275" s="51" t="str">
        <f>IF(Migrationsartikel!AE274="ja","true",FALSE)</f>
        <v>true</v>
      </c>
      <c r="AL275" s="51" t="str">
        <f>IF(Migrationsartikel!AF274="ja","Denner Partner","")</f>
        <v/>
      </c>
      <c r="AM275" s="51" t="str">
        <f>IF(Migrationsartikel!AG274="ja","true","false")</f>
        <v>false</v>
      </c>
      <c r="AN275" s="51" t="str">
        <f t="shared" si="5"/>
        <v>Kassentastenbelegung (ohne GTIN/PLU)</v>
      </c>
      <c r="AO275" s="63" t="s">
        <v>219</v>
      </c>
      <c r="AP275" s="62" t="s">
        <v>2702</v>
      </c>
      <c r="AQ275" s="63" t="s">
        <v>217</v>
      </c>
      <c r="AR275" s="30" t="s">
        <v>219</v>
      </c>
    </row>
    <row r="276" spans="2:44" ht="21.75" customHeight="1" x14ac:dyDescent="0.45">
      <c r="B276" s="51" t="s">
        <v>99</v>
      </c>
      <c r="E276" s="52" t="s">
        <v>87</v>
      </c>
      <c r="F276" s="51" t="str">
        <f>"Warengruppe&gt;&gt;"&amp;_xlfn.TEXTJOIN("&gt;&gt;",TRUE,Migrationsartikel!V275:X275)</f>
        <v>Warengruppe&gt;&gt;Früchte und Gemüse&gt;&gt;Früchte und Gemüse&gt;&gt;Gemüse</v>
      </c>
      <c r="H276" s="52" t="s">
        <v>109</v>
      </c>
      <c r="J276" s="51" t="str">
        <f>_xlfn.TEXTJOIN(" ",TRUE,Migrationsartikel!B275,Migrationsartikel!E275)</f>
        <v>253</v>
      </c>
      <c r="L276" s="51" t="str">
        <f>_xlfn.TEXTJOIN(" ",TRUE,Migrationsartikel!F275:H275)</f>
        <v>Peperoni orange Offen</v>
      </c>
      <c r="M276" s="51" t="str">
        <f>_xlfn.TEXTJOIN(" ",TRUE,Migrationsartikel!J275:L275)</f>
        <v>Poivrons orange En vrac</v>
      </c>
      <c r="N276" s="51" t="str">
        <f>_xlfn.TEXTJOIN(" ",TRUE,Migrationsartikel!N275:P275)</f>
        <v>Peperoni all'arancia vendita sfusa</v>
      </c>
      <c r="O276" s="51" t="str">
        <f>Migrationsartikel!F275</f>
        <v>Peperoni orange</v>
      </c>
      <c r="P276" s="51" t="str">
        <f>Migrationsartikel!J275</f>
        <v>Poivrons orange</v>
      </c>
      <c r="Q276" s="51" t="str">
        <f>Migrationsartikel!N275</f>
        <v>Peperoni all'arancia</v>
      </c>
      <c r="R276" s="51" t="str">
        <f>_xlfn.TEXTJOIN(" ",TRUE,Migrationsartikel!G275)</f>
        <v>Offen</v>
      </c>
      <c r="S276" s="51" t="str">
        <f>_xlfn.TEXTJOIN(" ",TRUE,Migrationsartikel!K275)</f>
        <v>En vrac</v>
      </c>
      <c r="T276" s="51" t="str">
        <f>_xlfn.TEXTJOIN(" ",TRUE,Migrationsartikel!O275)</f>
        <v>vendita sfusa</v>
      </c>
      <c r="U276" s="51" t="str">
        <f>_xlfn.TEXTJOIN(" ",TRUE,Migrationsartikel!H275)</f>
        <v/>
      </c>
      <c r="V276" s="51" t="str">
        <f>_xlfn.TEXTJOIN(" ",TRUE,Migrationsartikel!L275)</f>
        <v/>
      </c>
      <c r="W276" s="51" t="str">
        <f>_xlfn.TEXTJOIN(" ",TRUE,Migrationsartikel!P275)</f>
        <v/>
      </c>
      <c r="X276" s="51" t="str">
        <f>Migrationsartikel!I275</f>
        <v>Peperoni orange Offen</v>
      </c>
      <c r="Y276" s="51" t="str">
        <f>Migrationsartikel!M275</f>
        <v>Poivrons orange en vrac</v>
      </c>
      <c r="Z276" s="51" t="str">
        <f>Migrationsartikel!Q275</f>
        <v>Peperoni all'arancia v.sfusa</v>
      </c>
      <c r="AA276" s="60">
        <f>Migrationsartikel!R275</f>
        <v>1</v>
      </c>
      <c r="AB276" s="51" t="str">
        <f>Migrationsartikel!T275</f>
        <v>Kilogramm</v>
      </c>
      <c r="AC276" s="62">
        <f>Migrationsartikel!S275</f>
        <v>1</v>
      </c>
      <c r="AD276" s="51" t="str">
        <f>Migrationsartikel!U275</f>
        <v>(KGM) KG</v>
      </c>
      <c r="AE276" s="95" t="str">
        <f>Migrationsartikel!Y275</f>
        <v>3 - Reduzierter Satz</v>
      </c>
      <c r="AF276" s="64" t="str">
        <f>IF(Migrationsartikel!AA275="Kein Depotartikel","",Migrationsartikel!AA275)</f>
        <v/>
      </c>
      <c r="AG276" s="95" t="str">
        <f>Migrationsartikel!Z275</f>
        <v>Keine</v>
      </c>
      <c r="AH276" s="51" t="str">
        <f>IF(Migrationsartikel!AB275="ja","true",FALSE)</f>
        <v>true</v>
      </c>
      <c r="AI276" s="51" t="str">
        <f>IF(Migrationsartikel!AC275="ja","true",FALSE)</f>
        <v>true</v>
      </c>
      <c r="AJ276" s="51" t="str">
        <f>IF(Migrationsartikel!AD275="ja","true",FALSE)</f>
        <v>true</v>
      </c>
      <c r="AK276" s="51" t="str">
        <f>IF(Migrationsartikel!AE275="ja","true",FALSE)</f>
        <v>true</v>
      </c>
      <c r="AL276" s="51" t="str">
        <f>IF(Migrationsartikel!AF275="ja","Denner Partner","")</f>
        <v/>
      </c>
      <c r="AM276" s="51" t="str">
        <f>IF(Migrationsartikel!AG275="ja","true","false")</f>
        <v>false</v>
      </c>
      <c r="AN276" s="51" t="str">
        <f t="shared" si="5"/>
        <v>Kassentastenbelegung (ohne GTIN/PLU)</v>
      </c>
      <c r="AO276" s="63" t="s">
        <v>219</v>
      </c>
      <c r="AP276" s="62" t="s">
        <v>2703</v>
      </c>
      <c r="AQ276" s="63" t="s">
        <v>217</v>
      </c>
      <c r="AR276" s="30" t="s">
        <v>219</v>
      </c>
    </row>
    <row r="277" spans="2:44" ht="21.75" customHeight="1" x14ac:dyDescent="0.45">
      <c r="B277" s="51" t="s">
        <v>99</v>
      </c>
      <c r="E277" s="52" t="s">
        <v>87</v>
      </c>
      <c r="F277" s="51" t="str">
        <f>"Warengruppe&gt;&gt;"&amp;_xlfn.TEXTJOIN("&gt;&gt;",TRUE,Migrationsartikel!V276:X276)</f>
        <v>Warengruppe&gt;&gt;Früchte und Gemüse&gt;&gt;Früchte und Gemüse&gt;&gt;Gemüse</v>
      </c>
      <c r="H277" s="52" t="s">
        <v>109</v>
      </c>
      <c r="J277" s="51" t="str">
        <f>_xlfn.TEXTJOIN(" ",TRUE,Migrationsartikel!B276,Migrationsartikel!E276)</f>
        <v>2260361000004</v>
      </c>
      <c r="L277" s="51" t="str">
        <f>_xlfn.TEXTJOIN(" ",TRUE,Migrationsartikel!F276:H276)</f>
        <v>Peperoni Padron Beutel 200g</v>
      </c>
      <c r="M277" s="51" t="str">
        <f>_xlfn.TEXTJOIN(" ",TRUE,Migrationsartikel!J276:L276)</f>
        <v>Poivrons Padron Sachet 200g</v>
      </c>
      <c r="N277" s="51" t="str">
        <f>_xlfn.TEXTJOIN(" ",TRUE,Migrationsartikel!N276:P276)</f>
        <v>Peperoni Padron sacchetto 200g</v>
      </c>
      <c r="O277" s="51" t="str">
        <f>Migrationsartikel!F276</f>
        <v>Peperoni Padron</v>
      </c>
      <c r="P277" s="51" t="str">
        <f>Migrationsartikel!J276</f>
        <v>Poivrons Padron</v>
      </c>
      <c r="Q277" s="51" t="str">
        <f>Migrationsartikel!N276</f>
        <v>Peperoni Padron</v>
      </c>
      <c r="R277" s="51" t="str">
        <f>_xlfn.TEXTJOIN(" ",TRUE,Migrationsartikel!G276)</f>
        <v>Beutel</v>
      </c>
      <c r="S277" s="51" t="str">
        <f>_xlfn.TEXTJOIN(" ",TRUE,Migrationsartikel!K276)</f>
        <v>Sachet</v>
      </c>
      <c r="T277" s="51" t="str">
        <f>_xlfn.TEXTJOIN(" ",TRUE,Migrationsartikel!O276)</f>
        <v>sacchetto</v>
      </c>
      <c r="U277" s="51" t="str">
        <f>_xlfn.TEXTJOIN(" ",TRUE,Migrationsartikel!H276)</f>
        <v>200g</v>
      </c>
      <c r="V277" s="51" t="str">
        <f>_xlfn.TEXTJOIN(" ",TRUE,Migrationsartikel!L276)</f>
        <v>200g</v>
      </c>
      <c r="W277" s="51" t="str">
        <f>_xlfn.TEXTJOIN(" ",TRUE,Migrationsartikel!P276)</f>
        <v>200g</v>
      </c>
      <c r="X277" s="51" t="str">
        <f>Migrationsartikel!I276</f>
        <v>Peperoni Padron 200g</v>
      </c>
      <c r="Y277" s="51" t="str">
        <f>Migrationsartikel!M276</f>
        <v>Poivrons Padron 200g</v>
      </c>
      <c r="Z277" s="51" t="str">
        <f>Migrationsartikel!Q276</f>
        <v>Peperoni Padron sacch. 200g</v>
      </c>
      <c r="AA277" s="60">
        <f>Migrationsartikel!R276</f>
        <v>0.2</v>
      </c>
      <c r="AB277" s="51" t="str">
        <f>Migrationsartikel!T276</f>
        <v>Kilogramm</v>
      </c>
      <c r="AC277" s="62">
        <f>Migrationsartikel!S276</f>
        <v>1</v>
      </c>
      <c r="AD277" s="51" t="str">
        <f>Migrationsartikel!U276</f>
        <v>(PCE) Stück</v>
      </c>
      <c r="AE277" s="95" t="str">
        <f>Migrationsartikel!Y276</f>
        <v>3 - Reduzierter Satz</v>
      </c>
      <c r="AF277" s="64" t="str">
        <f>IF(Migrationsartikel!AA276="Kein Depotartikel","",Migrationsartikel!AA276)</f>
        <v/>
      </c>
      <c r="AG277" s="95" t="str">
        <f>Migrationsartikel!Z276</f>
        <v>Keine</v>
      </c>
      <c r="AH277" s="51" t="str">
        <f>IF(Migrationsartikel!AB276="ja","true",FALSE)</f>
        <v>true</v>
      </c>
      <c r="AI277" s="51" t="str">
        <f>IF(Migrationsartikel!AC276="ja","true",FALSE)</f>
        <v>true</v>
      </c>
      <c r="AJ277" s="51" t="str">
        <f>IF(Migrationsartikel!AD276="ja","true",FALSE)</f>
        <v>true</v>
      </c>
      <c r="AK277" s="51" t="str">
        <f>IF(Migrationsartikel!AE276="ja","true",FALSE)</f>
        <v>true</v>
      </c>
      <c r="AL277" s="51" t="str">
        <f>IF(Migrationsartikel!AF276="ja","Denner Partner","")</f>
        <v/>
      </c>
      <c r="AM277" s="51" t="str">
        <f>IF(Migrationsartikel!AG276="ja","true","false")</f>
        <v>false</v>
      </c>
      <c r="AN277" s="51" t="str">
        <f t="shared" si="5"/>
        <v>Kassentastenbelegung (ohne GTIN/PLU)</v>
      </c>
      <c r="AO277" s="63" t="s">
        <v>219</v>
      </c>
      <c r="AP277" s="62" t="s">
        <v>2704</v>
      </c>
      <c r="AQ277" s="63" t="s">
        <v>217</v>
      </c>
      <c r="AR277" s="30" t="s">
        <v>219</v>
      </c>
    </row>
    <row r="278" spans="2:44" ht="21.75" customHeight="1" x14ac:dyDescent="0.45">
      <c r="B278" s="51" t="s">
        <v>99</v>
      </c>
      <c r="E278" s="52" t="s">
        <v>87</v>
      </c>
      <c r="F278" s="51" t="str">
        <f>"Warengruppe&gt;&gt;"&amp;_xlfn.TEXTJOIN("&gt;&gt;",TRUE,Migrationsartikel!V277:X277)</f>
        <v>Warengruppe&gt;&gt;Früchte und Gemüse&gt;&gt;Früchte und Gemüse&gt;&gt;Gemüse</v>
      </c>
      <c r="H278" s="52" t="s">
        <v>109</v>
      </c>
      <c r="J278" s="51" t="str">
        <f>_xlfn.TEXTJOIN(" ",TRUE,Migrationsartikel!B277,Migrationsartikel!E277)</f>
        <v>2217131000009</v>
      </c>
      <c r="L278" s="51" t="str">
        <f>_xlfn.TEXTJOIN(" ",TRUE,Migrationsartikel!F277:H277)</f>
        <v>Peperoni tricolor Beutel 500g</v>
      </c>
      <c r="M278" s="51" t="str">
        <f>_xlfn.TEXTJOIN(" ",TRUE,Migrationsartikel!J277:L277)</f>
        <v>Poivrons tricolores Sachet 500g</v>
      </c>
      <c r="N278" s="51" t="str">
        <f>_xlfn.TEXTJOIN(" ",TRUE,Migrationsartikel!N277:P277)</f>
        <v>Peperoni tricolore sacchetto 500g</v>
      </c>
      <c r="O278" s="51" t="str">
        <f>Migrationsartikel!F277</f>
        <v>Peperoni tricolor</v>
      </c>
      <c r="P278" s="51" t="str">
        <f>Migrationsartikel!J277</f>
        <v>Poivrons tricolores</v>
      </c>
      <c r="Q278" s="51" t="str">
        <f>Migrationsartikel!N277</f>
        <v>Peperoni tricolore</v>
      </c>
      <c r="R278" s="51" t="str">
        <f>_xlfn.TEXTJOIN(" ",TRUE,Migrationsartikel!G277)</f>
        <v>Beutel</v>
      </c>
      <c r="S278" s="51" t="str">
        <f>_xlfn.TEXTJOIN(" ",TRUE,Migrationsartikel!K277)</f>
        <v>Sachet</v>
      </c>
      <c r="T278" s="51" t="str">
        <f>_xlfn.TEXTJOIN(" ",TRUE,Migrationsartikel!O277)</f>
        <v>sacchetto</v>
      </c>
      <c r="U278" s="51" t="str">
        <f>_xlfn.TEXTJOIN(" ",TRUE,Migrationsartikel!H277)</f>
        <v>500g</v>
      </c>
      <c r="V278" s="51" t="str">
        <f>_xlfn.TEXTJOIN(" ",TRUE,Migrationsartikel!L277)</f>
        <v>500g</v>
      </c>
      <c r="W278" s="51" t="str">
        <f>_xlfn.TEXTJOIN(" ",TRUE,Migrationsartikel!P277)</f>
        <v>500g</v>
      </c>
      <c r="X278" s="51" t="str">
        <f>Migrationsartikel!I277</f>
        <v>Peperoni tricolor 500g</v>
      </c>
      <c r="Y278" s="51" t="str">
        <f>Migrationsartikel!M277</f>
        <v>Poivrons tricolores 500g</v>
      </c>
      <c r="Z278" s="51" t="str">
        <f>Migrationsartikel!Q277</f>
        <v>Peperoni tricolore sac. 500g</v>
      </c>
      <c r="AA278" s="60">
        <f>Migrationsartikel!R277</f>
        <v>0.5</v>
      </c>
      <c r="AB278" s="51" t="str">
        <f>Migrationsartikel!T277</f>
        <v>Kilogramm</v>
      </c>
      <c r="AC278" s="62">
        <f>Migrationsartikel!S277</f>
        <v>1</v>
      </c>
      <c r="AD278" s="51" t="str">
        <f>Migrationsartikel!U277</f>
        <v>(PCE) Stück</v>
      </c>
      <c r="AE278" s="95" t="str">
        <f>Migrationsartikel!Y277</f>
        <v>3 - Reduzierter Satz</v>
      </c>
      <c r="AF278" s="64" t="str">
        <f>IF(Migrationsartikel!AA277="Kein Depotartikel","",Migrationsartikel!AA277)</f>
        <v/>
      </c>
      <c r="AG278" s="95" t="str">
        <f>Migrationsartikel!Z277</f>
        <v>Keine</v>
      </c>
      <c r="AH278" s="51" t="str">
        <f>IF(Migrationsartikel!AB277="ja","true",FALSE)</f>
        <v>true</v>
      </c>
      <c r="AI278" s="51" t="str">
        <f>IF(Migrationsartikel!AC277="ja","true",FALSE)</f>
        <v>true</v>
      </c>
      <c r="AJ278" s="51" t="str">
        <f>IF(Migrationsartikel!AD277="ja","true",FALSE)</f>
        <v>true</v>
      </c>
      <c r="AK278" s="51" t="str">
        <f>IF(Migrationsartikel!AE277="ja","true",FALSE)</f>
        <v>true</v>
      </c>
      <c r="AL278" s="51" t="str">
        <f>IF(Migrationsartikel!AF277="ja","Denner Partner","")</f>
        <v/>
      </c>
      <c r="AM278" s="51" t="str">
        <f>IF(Migrationsartikel!AG277="ja","true","false")</f>
        <v>false</v>
      </c>
      <c r="AN278" s="51" t="str">
        <f t="shared" si="5"/>
        <v>Kassentastenbelegung (ohne GTIN/PLU)</v>
      </c>
      <c r="AO278" s="63" t="s">
        <v>219</v>
      </c>
      <c r="AP278" s="62" t="s">
        <v>2705</v>
      </c>
      <c r="AQ278" s="63" t="s">
        <v>217</v>
      </c>
      <c r="AR278" s="30" t="s">
        <v>219</v>
      </c>
    </row>
    <row r="279" spans="2:44" ht="21.75" customHeight="1" x14ac:dyDescent="0.45">
      <c r="B279" s="51" t="s">
        <v>99</v>
      </c>
      <c r="E279" s="52" t="s">
        <v>87</v>
      </c>
      <c r="F279" s="51" t="str">
        <f>"Warengruppe&gt;&gt;"&amp;_xlfn.TEXTJOIN("&gt;&gt;",TRUE,Migrationsartikel!V278:X278)</f>
        <v>Warengruppe&gt;&gt;Früchte und Gemüse&gt;&gt;Früchte und Gemüse&gt;&gt;Gemüse</v>
      </c>
      <c r="H279" s="52" t="s">
        <v>109</v>
      </c>
      <c r="J279" s="51" t="str">
        <f>_xlfn.TEXTJOIN(" ",TRUE,Migrationsartikel!B278,Migrationsartikel!E278)</f>
        <v>254</v>
      </c>
      <c r="L279" s="51" t="str">
        <f>_xlfn.TEXTJOIN(" ",TRUE,Migrationsartikel!F278:H278)</f>
        <v>Petersilie gekraust Offen</v>
      </c>
      <c r="M279" s="51" t="str">
        <f>_xlfn.TEXTJOIN(" ",TRUE,Migrationsartikel!J278:L278)</f>
        <v>Persil frisé En vrac</v>
      </c>
      <c r="N279" s="51" t="str">
        <f>_xlfn.TEXTJOIN(" ",TRUE,Migrationsartikel!N278:P278)</f>
        <v>Prezzemolo riccio vendita sfusa</v>
      </c>
      <c r="O279" s="51" t="str">
        <f>Migrationsartikel!F278</f>
        <v>Petersilie gekraust</v>
      </c>
      <c r="P279" s="51" t="str">
        <f>Migrationsartikel!J278</f>
        <v>Persil frisé</v>
      </c>
      <c r="Q279" s="51" t="str">
        <f>Migrationsartikel!N278</f>
        <v>Prezzemolo riccio</v>
      </c>
      <c r="R279" s="51" t="str">
        <f>_xlfn.TEXTJOIN(" ",TRUE,Migrationsartikel!G278)</f>
        <v>Offen</v>
      </c>
      <c r="S279" s="51" t="str">
        <f>_xlfn.TEXTJOIN(" ",TRUE,Migrationsartikel!K278)</f>
        <v>En vrac</v>
      </c>
      <c r="T279" s="51" t="str">
        <f>_xlfn.TEXTJOIN(" ",TRUE,Migrationsartikel!O278)</f>
        <v>vendita sfusa</v>
      </c>
      <c r="U279" s="51" t="str">
        <f>_xlfn.TEXTJOIN(" ",TRUE,Migrationsartikel!H278)</f>
        <v/>
      </c>
      <c r="V279" s="51" t="str">
        <f>_xlfn.TEXTJOIN(" ",TRUE,Migrationsartikel!L278)</f>
        <v/>
      </c>
      <c r="W279" s="51" t="str">
        <f>_xlfn.TEXTJOIN(" ",TRUE,Migrationsartikel!P278)</f>
        <v/>
      </c>
      <c r="X279" s="51" t="str">
        <f>Migrationsartikel!I278</f>
        <v>Petersilie gekraust offen</v>
      </c>
      <c r="Y279" s="51" t="str">
        <f>Migrationsartikel!M278</f>
        <v>Persil frisé en vrac</v>
      </c>
      <c r="Z279" s="51" t="str">
        <f>Migrationsartikel!Q278</f>
        <v>Prezzemolo riccio v. sfusa</v>
      </c>
      <c r="AA279" s="60">
        <f>Migrationsartikel!R278</f>
        <v>1</v>
      </c>
      <c r="AB279" s="51" t="str">
        <f>Migrationsartikel!T278</f>
        <v>Gramm</v>
      </c>
      <c r="AC279" s="62">
        <f>Migrationsartikel!S278</f>
        <v>100</v>
      </c>
      <c r="AD279" s="51" t="str">
        <f>Migrationsartikel!U278</f>
        <v>(KGM) KG</v>
      </c>
      <c r="AE279" s="95" t="str">
        <f>Migrationsartikel!Y278</f>
        <v>3 - Reduzierter Satz</v>
      </c>
      <c r="AF279" s="64" t="str">
        <f>IF(Migrationsartikel!AA278="Kein Depotartikel","",Migrationsartikel!AA278)</f>
        <v/>
      </c>
      <c r="AG279" s="95" t="str">
        <f>Migrationsartikel!Z278</f>
        <v>Keine</v>
      </c>
      <c r="AH279" s="51" t="str">
        <f>IF(Migrationsartikel!AB278="ja","true",FALSE)</f>
        <v>true</v>
      </c>
      <c r="AI279" s="51" t="str">
        <f>IF(Migrationsartikel!AC278="ja","true",FALSE)</f>
        <v>true</v>
      </c>
      <c r="AJ279" s="51" t="str">
        <f>IF(Migrationsartikel!AD278="ja","true",FALSE)</f>
        <v>true</v>
      </c>
      <c r="AK279" s="51" t="str">
        <f>IF(Migrationsartikel!AE278="ja","true",FALSE)</f>
        <v>true</v>
      </c>
      <c r="AL279" s="51" t="str">
        <f>IF(Migrationsartikel!AF278="ja","Denner Partner","")</f>
        <v/>
      </c>
      <c r="AM279" s="51" t="str">
        <f>IF(Migrationsartikel!AG278="ja","true","false")</f>
        <v>false</v>
      </c>
      <c r="AN279" s="51" t="str">
        <f t="shared" si="5"/>
        <v>Kassentastenbelegung (ohne GTIN/PLU)</v>
      </c>
      <c r="AO279" s="63" t="s">
        <v>219</v>
      </c>
      <c r="AP279" s="62" t="s">
        <v>2706</v>
      </c>
      <c r="AQ279" s="63" t="s">
        <v>217</v>
      </c>
      <c r="AR279" s="30" t="s">
        <v>219</v>
      </c>
    </row>
    <row r="280" spans="2:44" ht="21.75" customHeight="1" x14ac:dyDescent="0.45">
      <c r="B280" s="51" t="s">
        <v>99</v>
      </c>
      <c r="E280" s="52" t="s">
        <v>87</v>
      </c>
      <c r="F280" s="51" t="str">
        <f>"Warengruppe&gt;&gt;"&amp;_xlfn.TEXTJOIN("&gt;&gt;",TRUE,Migrationsartikel!V279:X279)</f>
        <v>Warengruppe&gt;&gt;Früchte und Gemüse&gt;&gt;Früchte und Gemüse&gt;&gt;Gemüse</v>
      </c>
      <c r="H280" s="52" t="s">
        <v>109</v>
      </c>
      <c r="J280" s="51" t="str">
        <f>_xlfn.TEXTJOIN(" ",TRUE,Migrationsartikel!B279,Migrationsartikel!E279)</f>
        <v>7613399040019</v>
      </c>
      <c r="L280" s="51" t="str">
        <f>_xlfn.TEXTJOIN(" ",TRUE,Migrationsartikel!F279:H279)</f>
        <v>Petersilie Bund</v>
      </c>
      <c r="M280" s="51" t="str">
        <f>_xlfn.TEXTJOIN(" ",TRUE,Migrationsartikel!J279:L279)</f>
        <v>Bouquet de persil</v>
      </c>
      <c r="N280" s="51" t="str">
        <f>_xlfn.TEXTJOIN(" ",TRUE,Migrationsartikel!N279:P279)</f>
        <v>Prezzemolo mazzetto</v>
      </c>
      <c r="O280" s="51" t="str">
        <f>Migrationsartikel!F279</f>
        <v>Petersilie Bund</v>
      </c>
      <c r="P280" s="51" t="str">
        <f>Migrationsartikel!J279</f>
        <v>Bouquet de persil</v>
      </c>
      <c r="Q280" s="51" t="str">
        <f>Migrationsartikel!N279</f>
        <v>Prezzemolo</v>
      </c>
      <c r="R280" s="51" t="str">
        <f>_xlfn.TEXTJOIN(" ",TRUE,Migrationsartikel!G279)</f>
        <v/>
      </c>
      <c r="S280" s="51" t="str">
        <f>_xlfn.TEXTJOIN(" ",TRUE,Migrationsartikel!K279)</f>
        <v/>
      </c>
      <c r="T280" s="51" t="str">
        <f>_xlfn.TEXTJOIN(" ",TRUE,Migrationsartikel!O279)</f>
        <v>mazzetto</v>
      </c>
      <c r="U280" s="51" t="str">
        <f>_xlfn.TEXTJOIN(" ",TRUE,Migrationsartikel!H279)</f>
        <v/>
      </c>
      <c r="V280" s="51" t="str">
        <f>_xlfn.TEXTJOIN(" ",TRUE,Migrationsartikel!L279)</f>
        <v/>
      </c>
      <c r="W280" s="51" t="str">
        <f>_xlfn.TEXTJOIN(" ",TRUE,Migrationsartikel!P279)</f>
        <v/>
      </c>
      <c r="X280" s="51" t="str">
        <f>Migrationsartikel!I279</f>
        <v>Petersilie Bund</v>
      </c>
      <c r="Y280" s="51" t="str">
        <f>Migrationsartikel!M279</f>
        <v>Bouque de persil</v>
      </c>
      <c r="Z280" s="51" t="str">
        <f>Migrationsartikel!Q279</f>
        <v>Prezzemolo mazzetto</v>
      </c>
      <c r="AA280" s="60">
        <f>Migrationsartikel!R279</f>
        <v>1</v>
      </c>
      <c r="AB280" s="51" t="str">
        <f>Migrationsartikel!T279</f>
        <v>Gramm</v>
      </c>
      <c r="AC280" s="62">
        <f>Migrationsartikel!S279</f>
        <v>100</v>
      </c>
      <c r="AD280" s="51" t="str">
        <f>Migrationsartikel!U279</f>
        <v>(PCE) Stück</v>
      </c>
      <c r="AE280" s="95" t="str">
        <f>Migrationsartikel!Y279</f>
        <v>3 - Reduzierter Satz</v>
      </c>
      <c r="AF280" s="64" t="str">
        <f>IF(Migrationsartikel!AA279="Kein Depotartikel","",Migrationsartikel!AA279)</f>
        <v/>
      </c>
      <c r="AG280" s="95" t="str">
        <f>Migrationsartikel!Z279</f>
        <v>Keine</v>
      </c>
      <c r="AH280" s="51" t="str">
        <f>IF(Migrationsartikel!AB279="ja","true",FALSE)</f>
        <v>true</v>
      </c>
      <c r="AI280" s="51" t="str">
        <f>IF(Migrationsartikel!AC279="ja","true",FALSE)</f>
        <v>true</v>
      </c>
      <c r="AJ280" s="51" t="str">
        <f>IF(Migrationsartikel!AD279="ja","true",FALSE)</f>
        <v>true</v>
      </c>
      <c r="AK280" s="51" t="str">
        <f>IF(Migrationsartikel!AE279="ja","true",FALSE)</f>
        <v>true</v>
      </c>
      <c r="AL280" s="51" t="str">
        <f>IF(Migrationsartikel!AF279="ja","Denner Partner","")</f>
        <v/>
      </c>
      <c r="AM280" s="51" t="str">
        <f>IF(Migrationsartikel!AG279="ja","true","false")</f>
        <v>false</v>
      </c>
      <c r="AN280" s="51" t="str">
        <f t="shared" si="5"/>
        <v>Kassentastenbelegung (ohne GTIN/PLU)</v>
      </c>
      <c r="AO280" s="63" t="s">
        <v>219</v>
      </c>
      <c r="AP280" s="62" t="s">
        <v>2707</v>
      </c>
      <c r="AQ280" s="63" t="s">
        <v>217</v>
      </c>
      <c r="AR280" s="30" t="s">
        <v>219</v>
      </c>
    </row>
    <row r="281" spans="2:44" ht="21.75" customHeight="1" x14ac:dyDescent="0.45">
      <c r="B281" s="51" t="s">
        <v>99</v>
      </c>
      <c r="E281" s="52" t="s">
        <v>87</v>
      </c>
      <c r="F281" s="51" t="str">
        <f>"Warengruppe&gt;&gt;"&amp;_xlfn.TEXTJOIN("&gt;&gt;",TRUE,Migrationsartikel!V280:X280)</f>
        <v>Warengruppe&gt;&gt;Früchte und Gemüse&gt;&gt;Früchte und Gemüse&gt;&gt;Gemüse</v>
      </c>
      <c r="H281" s="52" t="s">
        <v>109</v>
      </c>
      <c r="J281" s="51" t="str">
        <f>_xlfn.TEXTJOIN(" ",TRUE,Migrationsartikel!B280,Migrationsartikel!E280)</f>
        <v>7613399041603</v>
      </c>
      <c r="L281" s="51" t="str">
        <f>_xlfn.TEXTJOIN(" ",TRUE,Migrationsartikel!F280:H280)</f>
        <v>Petersilie gekraust Schale 20g</v>
      </c>
      <c r="M281" s="51" t="str">
        <f>_xlfn.TEXTJOIN(" ",TRUE,Migrationsartikel!J280:L280)</f>
        <v>Persil frisé Barquette 20g</v>
      </c>
      <c r="N281" s="51" t="str">
        <f>_xlfn.TEXTJOIN(" ",TRUE,Migrationsartikel!N280:P280)</f>
        <v>Prezzemolo riccio vaschetta 20g</v>
      </c>
      <c r="O281" s="51" t="str">
        <f>Migrationsartikel!F280</f>
        <v>Petersilie gekraust</v>
      </c>
      <c r="P281" s="51" t="str">
        <f>Migrationsartikel!J280</f>
        <v>Persil frisé</v>
      </c>
      <c r="Q281" s="51" t="str">
        <f>Migrationsartikel!N280</f>
        <v>Prezzemolo riccio</v>
      </c>
      <c r="R281" s="51" t="str">
        <f>_xlfn.TEXTJOIN(" ",TRUE,Migrationsartikel!G280)</f>
        <v>Schale</v>
      </c>
      <c r="S281" s="51" t="str">
        <f>_xlfn.TEXTJOIN(" ",TRUE,Migrationsartikel!K280)</f>
        <v>Barquette</v>
      </c>
      <c r="T281" s="51" t="str">
        <f>_xlfn.TEXTJOIN(" ",TRUE,Migrationsartikel!O280)</f>
        <v>vaschetta</v>
      </c>
      <c r="U281" s="51" t="str">
        <f>_xlfn.TEXTJOIN(" ",TRUE,Migrationsartikel!H280)</f>
        <v>20g</v>
      </c>
      <c r="V281" s="51" t="str">
        <f>_xlfn.TEXTJOIN(" ",TRUE,Migrationsartikel!L280)</f>
        <v>20g</v>
      </c>
      <c r="W281" s="51" t="str">
        <f>_xlfn.TEXTJOIN(" ",TRUE,Migrationsartikel!P280)</f>
        <v>20g</v>
      </c>
      <c r="X281" s="51" t="str">
        <f>Migrationsartikel!I280</f>
        <v>Petersilie gekraust 20g</v>
      </c>
      <c r="Y281" s="51" t="str">
        <f>Migrationsartikel!M280</f>
        <v>Persil frisé barquette 20g</v>
      </c>
      <c r="Z281" s="51" t="str">
        <f>Migrationsartikel!Q280</f>
        <v>Prezzemolo riccio vasch. 20g</v>
      </c>
      <c r="AA281" s="60">
        <f>Migrationsartikel!R280</f>
        <v>0.02</v>
      </c>
      <c r="AB281" s="51" t="str">
        <f>Migrationsartikel!T280</f>
        <v>Gramm</v>
      </c>
      <c r="AC281" s="62">
        <f>Migrationsartikel!S280</f>
        <v>100</v>
      </c>
      <c r="AD281" s="51" t="str">
        <f>Migrationsartikel!U280</f>
        <v>(PCE) Stück</v>
      </c>
      <c r="AE281" s="95" t="str">
        <f>Migrationsartikel!Y280</f>
        <v>3 - Reduzierter Satz</v>
      </c>
      <c r="AF281" s="64" t="str">
        <f>IF(Migrationsartikel!AA280="Kein Depotartikel","",Migrationsartikel!AA280)</f>
        <v/>
      </c>
      <c r="AG281" s="95" t="str">
        <f>Migrationsartikel!Z280</f>
        <v>Keine</v>
      </c>
      <c r="AH281" s="51" t="str">
        <f>IF(Migrationsartikel!AB280="ja","true",FALSE)</f>
        <v>true</v>
      </c>
      <c r="AI281" s="51" t="str">
        <f>IF(Migrationsartikel!AC280="ja","true",FALSE)</f>
        <v>true</v>
      </c>
      <c r="AJ281" s="51" t="str">
        <f>IF(Migrationsartikel!AD280="ja","true",FALSE)</f>
        <v>true</v>
      </c>
      <c r="AK281" s="51" t="str">
        <f>IF(Migrationsartikel!AE280="ja","true",FALSE)</f>
        <v>true</v>
      </c>
      <c r="AL281" s="51" t="str">
        <f>IF(Migrationsartikel!AF280="ja","Denner Partner","")</f>
        <v/>
      </c>
      <c r="AM281" s="51" t="str">
        <f>IF(Migrationsartikel!AG280="ja","true","false")</f>
        <v>false</v>
      </c>
      <c r="AN281" s="51" t="str">
        <f t="shared" si="5"/>
        <v>Kassentastenbelegung (ohne GTIN/PLU)</v>
      </c>
      <c r="AO281" s="63" t="s">
        <v>219</v>
      </c>
      <c r="AP281" s="62" t="s">
        <v>2708</v>
      </c>
      <c r="AQ281" s="63" t="s">
        <v>217</v>
      </c>
      <c r="AR281" s="30" t="s">
        <v>219</v>
      </c>
    </row>
    <row r="282" spans="2:44" ht="21.75" customHeight="1" x14ac:dyDescent="0.45">
      <c r="B282" s="51" t="s">
        <v>99</v>
      </c>
      <c r="E282" s="52" t="s">
        <v>87</v>
      </c>
      <c r="F282" s="51" t="str">
        <f>"Warengruppe&gt;&gt;"&amp;_xlfn.TEXTJOIN("&gt;&gt;",TRUE,Migrationsartikel!V281:X281)</f>
        <v>Warengruppe&gt;&gt;Früchte und Gemüse&gt;&gt;Früchte und Gemüse&gt;&gt;Gemüse</v>
      </c>
      <c r="H282" s="52" t="s">
        <v>109</v>
      </c>
      <c r="J282" s="51" t="str">
        <f>_xlfn.TEXTJOIN(" ",TRUE,Migrationsartikel!B281,Migrationsartikel!E281)</f>
        <v>7613399041641</v>
      </c>
      <c r="L282" s="51" t="str">
        <f>_xlfn.TEXTJOIN(" ",TRUE,Migrationsartikel!F281:H281)</f>
        <v>Petersilie glatt Schale 20g</v>
      </c>
      <c r="M282" s="51" t="str">
        <f>_xlfn.TEXTJOIN(" ",TRUE,Migrationsartikel!J281:L281)</f>
        <v>Persil plat Barquette 20g</v>
      </c>
      <c r="N282" s="51" t="str">
        <f>_xlfn.TEXTJOIN(" ",TRUE,Migrationsartikel!N281:P281)</f>
        <v>Prezzemolo liscio vaschetta 20g</v>
      </c>
      <c r="O282" s="51" t="str">
        <f>Migrationsartikel!F281</f>
        <v>Petersilie glatt</v>
      </c>
      <c r="P282" s="51" t="str">
        <f>Migrationsartikel!J281</f>
        <v>Persil plat</v>
      </c>
      <c r="Q282" s="51" t="str">
        <f>Migrationsartikel!N281</f>
        <v>Prezzemolo liscio</v>
      </c>
      <c r="R282" s="51" t="str">
        <f>_xlfn.TEXTJOIN(" ",TRUE,Migrationsartikel!G281)</f>
        <v>Schale</v>
      </c>
      <c r="S282" s="51" t="str">
        <f>_xlfn.TEXTJOIN(" ",TRUE,Migrationsartikel!K281)</f>
        <v>Barquette</v>
      </c>
      <c r="T282" s="51" t="str">
        <f>_xlfn.TEXTJOIN(" ",TRUE,Migrationsartikel!O281)</f>
        <v>vaschetta</v>
      </c>
      <c r="U282" s="51" t="str">
        <f>_xlfn.TEXTJOIN(" ",TRUE,Migrationsartikel!H281)</f>
        <v>20g</v>
      </c>
      <c r="V282" s="51" t="str">
        <f>_xlfn.TEXTJOIN(" ",TRUE,Migrationsartikel!L281)</f>
        <v>20g</v>
      </c>
      <c r="W282" s="51" t="str">
        <f>_xlfn.TEXTJOIN(" ",TRUE,Migrationsartikel!P281)</f>
        <v>20g</v>
      </c>
      <c r="X282" s="51" t="str">
        <f>Migrationsartikel!I281</f>
        <v>Petersilie glatt 20g</v>
      </c>
      <c r="Y282" s="51" t="str">
        <f>Migrationsartikel!M281</f>
        <v>Persil plat barquette 20g</v>
      </c>
      <c r="Z282" s="51" t="str">
        <f>Migrationsartikel!Q281</f>
        <v>Prezzemolo vaschetta 20g</v>
      </c>
      <c r="AA282" s="60">
        <f>Migrationsartikel!R281</f>
        <v>0.02</v>
      </c>
      <c r="AB282" s="51" t="str">
        <f>Migrationsartikel!T281</f>
        <v>Gramm</v>
      </c>
      <c r="AC282" s="62">
        <f>Migrationsartikel!S281</f>
        <v>100</v>
      </c>
      <c r="AD282" s="51" t="str">
        <f>Migrationsartikel!U281</f>
        <v>(PCE) Stück</v>
      </c>
      <c r="AE282" s="95" t="str">
        <f>Migrationsartikel!Y281</f>
        <v>3 - Reduzierter Satz</v>
      </c>
      <c r="AF282" s="64" t="str">
        <f>IF(Migrationsartikel!AA281="Kein Depotartikel","",Migrationsartikel!AA281)</f>
        <v/>
      </c>
      <c r="AG282" s="95" t="str">
        <f>Migrationsartikel!Z281</f>
        <v>Keine</v>
      </c>
      <c r="AH282" s="51" t="str">
        <f>IF(Migrationsartikel!AB281="ja","true",FALSE)</f>
        <v>true</v>
      </c>
      <c r="AI282" s="51" t="str">
        <f>IF(Migrationsartikel!AC281="ja","true",FALSE)</f>
        <v>true</v>
      </c>
      <c r="AJ282" s="51" t="str">
        <f>IF(Migrationsartikel!AD281="ja","true",FALSE)</f>
        <v>true</v>
      </c>
      <c r="AK282" s="51" t="str">
        <f>IF(Migrationsartikel!AE281="ja","true",FALSE)</f>
        <v>true</v>
      </c>
      <c r="AL282" s="51" t="str">
        <f>IF(Migrationsartikel!AF281="ja","Denner Partner","")</f>
        <v/>
      </c>
      <c r="AM282" s="51" t="str">
        <f>IF(Migrationsartikel!AG281="ja","true","false")</f>
        <v>false</v>
      </c>
      <c r="AN282" s="51" t="str">
        <f t="shared" si="5"/>
        <v>Kassentastenbelegung (ohne GTIN/PLU)</v>
      </c>
      <c r="AO282" s="63" t="s">
        <v>219</v>
      </c>
      <c r="AP282" s="62" t="s">
        <v>2709</v>
      </c>
      <c r="AQ282" s="63" t="s">
        <v>217</v>
      </c>
      <c r="AR282" s="30" t="s">
        <v>219</v>
      </c>
    </row>
    <row r="283" spans="2:44" ht="21.75" customHeight="1" x14ac:dyDescent="0.45">
      <c r="B283" s="51" t="s">
        <v>99</v>
      </c>
      <c r="E283" s="52" t="s">
        <v>87</v>
      </c>
      <c r="F283" s="51" t="str">
        <f>"Warengruppe&gt;&gt;"&amp;_xlfn.TEXTJOIN("&gt;&gt;",TRUE,Migrationsartikel!V282:X282)</f>
        <v>Warengruppe&gt;&gt;Früchte und Gemüse&gt;&gt;Früchte und Gemüse&gt;&gt;Gemüse</v>
      </c>
      <c r="H283" s="52" t="s">
        <v>109</v>
      </c>
      <c r="J283" s="51" t="str">
        <f>_xlfn.TEXTJOIN(" ",TRUE,Migrationsartikel!B282,Migrationsartikel!E282)</f>
        <v>255</v>
      </c>
      <c r="L283" s="51" t="str">
        <f>_xlfn.TEXTJOIN(" ",TRUE,Migrationsartikel!F282:H282)</f>
        <v>Petersilie Lischo Offen</v>
      </c>
      <c r="M283" s="51" t="str">
        <f>_xlfn.TEXTJOIN(" ",TRUE,Migrationsartikel!J282:L282)</f>
        <v>Persil Lischo En vrac</v>
      </c>
      <c r="N283" s="51" t="str">
        <f>_xlfn.TEXTJOIN(" ",TRUE,Migrationsartikel!N282:P282)</f>
        <v>Prezzemolo liscio vendita sfusa</v>
      </c>
      <c r="O283" s="51" t="str">
        <f>Migrationsartikel!F282</f>
        <v>Petersilie Lischo</v>
      </c>
      <c r="P283" s="51" t="str">
        <f>Migrationsartikel!J282</f>
        <v>Persil Lischo</v>
      </c>
      <c r="Q283" s="51" t="str">
        <f>Migrationsartikel!N282</f>
        <v>Prezzemolo liscio</v>
      </c>
      <c r="R283" s="51" t="str">
        <f>_xlfn.TEXTJOIN(" ",TRUE,Migrationsartikel!G282)</f>
        <v>Offen</v>
      </c>
      <c r="S283" s="51" t="str">
        <f>_xlfn.TEXTJOIN(" ",TRUE,Migrationsartikel!K282)</f>
        <v>En vrac</v>
      </c>
      <c r="T283" s="51" t="str">
        <f>_xlfn.TEXTJOIN(" ",TRUE,Migrationsartikel!O282)</f>
        <v>vendita sfusa</v>
      </c>
      <c r="U283" s="51" t="str">
        <f>_xlfn.TEXTJOIN(" ",TRUE,Migrationsartikel!H282)</f>
        <v/>
      </c>
      <c r="V283" s="51" t="str">
        <f>_xlfn.TEXTJOIN(" ",TRUE,Migrationsartikel!L282)</f>
        <v/>
      </c>
      <c r="W283" s="51" t="str">
        <f>_xlfn.TEXTJOIN(" ",TRUE,Migrationsartikel!P282)</f>
        <v/>
      </c>
      <c r="X283" s="51" t="str">
        <f>Migrationsartikel!I282</f>
        <v>Petersilie Lischo Offen</v>
      </c>
      <c r="Y283" s="51" t="str">
        <f>Migrationsartikel!M282</f>
        <v>Persil Lischo en vrac</v>
      </c>
      <c r="Z283" s="51" t="str">
        <f>Migrationsartikel!Q282</f>
        <v>Prezzemolo vendia sfusa</v>
      </c>
      <c r="AA283" s="60">
        <f>Migrationsartikel!R282</f>
        <v>1</v>
      </c>
      <c r="AB283" s="51" t="str">
        <f>Migrationsartikel!T282</f>
        <v>Gramm</v>
      </c>
      <c r="AC283" s="62">
        <f>Migrationsartikel!S282</f>
        <v>100</v>
      </c>
      <c r="AD283" s="51" t="str">
        <f>Migrationsartikel!U282</f>
        <v>(KGM) KG</v>
      </c>
      <c r="AE283" s="95" t="str">
        <f>Migrationsartikel!Y282</f>
        <v>3 - Reduzierter Satz</v>
      </c>
      <c r="AF283" s="64" t="str">
        <f>IF(Migrationsartikel!AA282="Kein Depotartikel","",Migrationsartikel!AA282)</f>
        <v/>
      </c>
      <c r="AG283" s="95" t="str">
        <f>Migrationsartikel!Z282</f>
        <v>Keine</v>
      </c>
      <c r="AH283" s="51" t="str">
        <f>IF(Migrationsartikel!AB282="ja","true",FALSE)</f>
        <v>true</v>
      </c>
      <c r="AI283" s="51" t="str">
        <f>IF(Migrationsartikel!AC282="ja","true",FALSE)</f>
        <v>true</v>
      </c>
      <c r="AJ283" s="51" t="str">
        <f>IF(Migrationsartikel!AD282="ja","true",FALSE)</f>
        <v>true</v>
      </c>
      <c r="AK283" s="51" t="str">
        <f>IF(Migrationsartikel!AE282="ja","true",FALSE)</f>
        <v>true</v>
      </c>
      <c r="AL283" s="51" t="str">
        <f>IF(Migrationsartikel!AF282="ja","Denner Partner","")</f>
        <v/>
      </c>
      <c r="AM283" s="51" t="str">
        <f>IF(Migrationsartikel!AG282="ja","true","false")</f>
        <v>false</v>
      </c>
      <c r="AN283" s="51" t="str">
        <f t="shared" si="5"/>
        <v>Kassentastenbelegung (ohne GTIN/PLU)</v>
      </c>
      <c r="AO283" s="63" t="s">
        <v>219</v>
      </c>
      <c r="AP283" s="62" t="s">
        <v>2710</v>
      </c>
      <c r="AQ283" s="63" t="s">
        <v>217</v>
      </c>
      <c r="AR283" s="30" t="s">
        <v>219</v>
      </c>
    </row>
    <row r="284" spans="2:44" ht="21.75" customHeight="1" x14ac:dyDescent="0.45">
      <c r="B284" s="51" t="s">
        <v>99</v>
      </c>
      <c r="E284" s="52" t="s">
        <v>87</v>
      </c>
      <c r="F284" s="51" t="str">
        <f>"Warengruppe&gt;&gt;"&amp;_xlfn.TEXTJOIN("&gt;&gt;",TRUE,Migrationsartikel!V283:X283)</f>
        <v>Warengruppe&gt;&gt;Früchte und Gemüse&gt;&gt;Früchte und Gemüse&gt;&gt;Gemüse</v>
      </c>
      <c r="H284" s="52" t="s">
        <v>109</v>
      </c>
      <c r="J284" s="51" t="str">
        <f>_xlfn.TEXTJOIN(" ",TRUE,Migrationsartikel!B283,Migrationsartikel!E283)</f>
        <v>7613399040101</v>
      </c>
      <c r="L284" s="51" t="str">
        <f>_xlfn.TEXTJOIN(" ",TRUE,Migrationsartikel!F283:H283)</f>
        <v>Petersilie Lischo Bund</v>
      </c>
      <c r="M284" s="51" t="str">
        <f>_xlfn.TEXTJOIN(" ",TRUE,Migrationsartikel!J283:L283)</f>
        <v>Persil Lischo Bouquet</v>
      </c>
      <c r="N284" s="51" t="str">
        <f>_xlfn.TEXTJOIN(" ",TRUE,Migrationsartikel!N283:P283)</f>
        <v>Prezzemolo liscio mazzetto</v>
      </c>
      <c r="O284" s="51" t="str">
        <f>Migrationsartikel!F283</f>
        <v>Petersilie Lischo</v>
      </c>
      <c r="P284" s="51" t="str">
        <f>Migrationsartikel!J283</f>
        <v>Persil Lischo</v>
      </c>
      <c r="Q284" s="51" t="str">
        <f>Migrationsartikel!N283</f>
        <v>Prezzemolo liscio</v>
      </c>
      <c r="R284" s="51" t="str">
        <f>_xlfn.TEXTJOIN(" ",TRUE,Migrationsartikel!G283)</f>
        <v>Bund</v>
      </c>
      <c r="S284" s="51" t="str">
        <f>_xlfn.TEXTJOIN(" ",TRUE,Migrationsartikel!K283)</f>
        <v>Bouquet</v>
      </c>
      <c r="T284" s="51" t="str">
        <f>_xlfn.TEXTJOIN(" ",TRUE,Migrationsartikel!O283)</f>
        <v>mazzetto</v>
      </c>
      <c r="U284" s="51" t="str">
        <f>_xlfn.TEXTJOIN(" ",TRUE,Migrationsartikel!H283)</f>
        <v/>
      </c>
      <c r="V284" s="51" t="str">
        <f>_xlfn.TEXTJOIN(" ",TRUE,Migrationsartikel!L283)</f>
        <v/>
      </c>
      <c r="W284" s="51" t="str">
        <f>_xlfn.TEXTJOIN(" ",TRUE,Migrationsartikel!P283)</f>
        <v/>
      </c>
      <c r="X284" s="51" t="str">
        <f>Migrationsartikel!I283</f>
        <v>Petersilie Lischo Bund</v>
      </c>
      <c r="Y284" s="51" t="str">
        <f>Migrationsartikel!M283</f>
        <v>Persil Lischo bouquet</v>
      </c>
      <c r="Z284" s="51" t="str">
        <f>Migrationsartikel!Q283</f>
        <v>Prezzemolo liscio</v>
      </c>
      <c r="AA284" s="60">
        <f>Migrationsartikel!R283</f>
        <v>1</v>
      </c>
      <c r="AB284" s="51" t="str">
        <f>Migrationsartikel!T283</f>
        <v>Gramm</v>
      </c>
      <c r="AC284" s="62">
        <f>Migrationsartikel!S283</f>
        <v>100</v>
      </c>
      <c r="AD284" s="51" t="str">
        <f>Migrationsartikel!U283</f>
        <v>(PCE) Stück</v>
      </c>
      <c r="AE284" s="95" t="str">
        <f>Migrationsartikel!Y283</f>
        <v>3 - Reduzierter Satz</v>
      </c>
      <c r="AF284" s="64" t="str">
        <f>IF(Migrationsartikel!AA283="Kein Depotartikel","",Migrationsartikel!AA283)</f>
        <v/>
      </c>
      <c r="AG284" s="95" t="str">
        <f>Migrationsartikel!Z283</f>
        <v>Keine</v>
      </c>
      <c r="AH284" s="51" t="str">
        <f>IF(Migrationsartikel!AB283="ja","true",FALSE)</f>
        <v>true</v>
      </c>
      <c r="AI284" s="51" t="str">
        <f>IF(Migrationsartikel!AC283="ja","true",FALSE)</f>
        <v>true</v>
      </c>
      <c r="AJ284" s="51" t="str">
        <f>IF(Migrationsartikel!AD283="ja","true",FALSE)</f>
        <v>true</v>
      </c>
      <c r="AK284" s="51" t="str">
        <f>IF(Migrationsartikel!AE283="ja","true",FALSE)</f>
        <v>true</v>
      </c>
      <c r="AL284" s="51" t="str">
        <f>IF(Migrationsartikel!AF283="ja","Denner Partner","")</f>
        <v/>
      </c>
      <c r="AM284" s="51" t="str">
        <f>IF(Migrationsartikel!AG283="ja","true","false")</f>
        <v>false</v>
      </c>
      <c r="AN284" s="51" t="str">
        <f t="shared" si="5"/>
        <v>Kassentastenbelegung (ohne GTIN/PLU)</v>
      </c>
      <c r="AO284" s="63" t="s">
        <v>219</v>
      </c>
      <c r="AP284" s="62" t="s">
        <v>2711</v>
      </c>
      <c r="AQ284" s="63" t="s">
        <v>217</v>
      </c>
      <c r="AR284" s="30" t="s">
        <v>219</v>
      </c>
    </row>
    <row r="285" spans="2:44" ht="21.75" customHeight="1" x14ac:dyDescent="0.45">
      <c r="B285" s="51" t="s">
        <v>99</v>
      </c>
      <c r="E285" s="52" t="s">
        <v>87</v>
      </c>
      <c r="F285" s="51" t="str">
        <f>"Warengruppe&gt;&gt;"&amp;_xlfn.TEXTJOIN("&gt;&gt;",TRUE,Migrationsartikel!V284:X284)</f>
        <v>Warengruppe&gt;&gt;Früchte und Gemüse&gt;&gt;Früchte und Gemüse&gt;&gt;Gemüse</v>
      </c>
      <c r="H285" s="52" t="s">
        <v>109</v>
      </c>
      <c r="J285" s="51" t="str">
        <f>_xlfn.TEXTJOIN(" ",TRUE,Migrationsartikel!B284,Migrationsartikel!E284)</f>
        <v>7630178201126</v>
      </c>
      <c r="L285" s="51" t="str">
        <f>_xlfn.TEXTJOIN(" ",TRUE,Migrationsartikel!F284:H284)</f>
        <v>Pleurotus 125g</v>
      </c>
      <c r="M285" s="51" t="str">
        <f>_xlfn.TEXTJOIN(" ",TRUE,Migrationsartikel!J284:L284)</f>
        <v>Pleurote 125g</v>
      </c>
      <c r="N285" s="51" t="str">
        <f>_xlfn.TEXTJOIN(" ",TRUE,Migrationsartikel!N284:P284)</f>
        <v>Pleurotus 125g</v>
      </c>
      <c r="O285" s="51" t="str">
        <f>Migrationsartikel!F284</f>
        <v>Pleurotus</v>
      </c>
      <c r="P285" s="51" t="str">
        <f>Migrationsartikel!J284</f>
        <v>Pleurote</v>
      </c>
      <c r="Q285" s="51" t="str">
        <f>Migrationsartikel!N284</f>
        <v>Pleurotus</v>
      </c>
      <c r="R285" s="51" t="str">
        <f>_xlfn.TEXTJOIN(" ",TRUE,Migrationsartikel!G284)</f>
        <v/>
      </c>
      <c r="S285" s="51" t="str">
        <f>_xlfn.TEXTJOIN(" ",TRUE,Migrationsartikel!K284)</f>
        <v/>
      </c>
      <c r="T285" s="51" t="str">
        <f>_xlfn.TEXTJOIN(" ",TRUE,Migrationsartikel!O284)</f>
        <v/>
      </c>
      <c r="U285" s="51" t="str">
        <f>_xlfn.TEXTJOIN(" ",TRUE,Migrationsartikel!H284)</f>
        <v>125g</v>
      </c>
      <c r="V285" s="51" t="str">
        <f>_xlfn.TEXTJOIN(" ",TRUE,Migrationsartikel!L284)</f>
        <v>125g</v>
      </c>
      <c r="W285" s="51" t="str">
        <f>_xlfn.TEXTJOIN(" ",TRUE,Migrationsartikel!P284)</f>
        <v>125g</v>
      </c>
      <c r="X285" s="51" t="str">
        <f>Migrationsartikel!I284</f>
        <v>Pleurotus 125g</v>
      </c>
      <c r="Y285" s="51" t="str">
        <f>Migrationsartikel!M284</f>
        <v>Pleurote 125g</v>
      </c>
      <c r="Z285" s="51" t="str">
        <f>Migrationsartikel!Q284</f>
        <v>Pleurotus 125g</v>
      </c>
      <c r="AA285" s="60">
        <f>Migrationsartikel!R284</f>
        <v>0.125</v>
      </c>
      <c r="AB285" s="51" t="str">
        <f>Migrationsartikel!T284</f>
        <v>Gramm</v>
      </c>
      <c r="AC285" s="62">
        <f>Migrationsartikel!S284</f>
        <v>100</v>
      </c>
      <c r="AD285" s="51" t="str">
        <f>Migrationsartikel!U284</f>
        <v>(PCE) Stück</v>
      </c>
      <c r="AE285" s="95" t="str">
        <f>Migrationsartikel!Y284</f>
        <v>3 - Reduzierter Satz</v>
      </c>
      <c r="AF285" s="64" t="str">
        <f>IF(Migrationsartikel!AA284="Kein Depotartikel","",Migrationsartikel!AA284)</f>
        <v/>
      </c>
      <c r="AG285" s="95" t="str">
        <f>Migrationsartikel!Z284</f>
        <v>Keine</v>
      </c>
      <c r="AH285" s="51" t="str">
        <f>IF(Migrationsartikel!AB284="ja","true",FALSE)</f>
        <v>true</v>
      </c>
      <c r="AI285" s="51" t="str">
        <f>IF(Migrationsartikel!AC284="ja","true",FALSE)</f>
        <v>true</v>
      </c>
      <c r="AJ285" s="51" t="str">
        <f>IF(Migrationsartikel!AD284="ja","true",FALSE)</f>
        <v>true</v>
      </c>
      <c r="AK285" s="51" t="str">
        <f>IF(Migrationsartikel!AE284="ja","true",FALSE)</f>
        <v>true</v>
      </c>
      <c r="AL285" s="51" t="str">
        <f>IF(Migrationsartikel!AF284="ja","Denner Partner","")</f>
        <v/>
      </c>
      <c r="AM285" s="51" t="str">
        <f>IF(Migrationsartikel!AG284="ja","true","false")</f>
        <v>false</v>
      </c>
      <c r="AN285" s="51" t="str">
        <f t="shared" si="5"/>
        <v>Kassentastenbelegung (ohne GTIN/PLU)</v>
      </c>
      <c r="AO285" s="63" t="s">
        <v>219</v>
      </c>
      <c r="AP285" s="62" t="s">
        <v>2712</v>
      </c>
      <c r="AQ285" s="63" t="s">
        <v>217</v>
      </c>
      <c r="AR285" s="30" t="s">
        <v>219</v>
      </c>
    </row>
    <row r="286" spans="2:44" ht="21.75" customHeight="1" x14ac:dyDescent="0.45">
      <c r="B286" s="51" t="s">
        <v>99</v>
      </c>
      <c r="E286" s="52" t="s">
        <v>87</v>
      </c>
      <c r="F286" s="51" t="str">
        <f>"Warengruppe&gt;&gt;"&amp;_xlfn.TEXTJOIN("&gt;&gt;",TRUE,Migrationsartikel!V285:X285)</f>
        <v>Warengruppe&gt;&gt;Früchte und Gemüse&gt;&gt;Früchte und Gemüse&gt;&gt;Gemüse</v>
      </c>
      <c r="H286" s="52" t="s">
        <v>109</v>
      </c>
      <c r="J286" s="51" t="str">
        <f>_xlfn.TEXTJOIN(" ",TRUE,Migrationsartikel!B285,Migrationsartikel!E285)</f>
        <v>235</v>
      </c>
      <c r="L286" s="51" t="str">
        <f>_xlfn.TEXTJOIN(" ",TRUE,Migrationsartikel!F285:H285)</f>
        <v>Kartoffeln Raclette festkochend, offen</v>
      </c>
      <c r="M286" s="51" t="str">
        <f>_xlfn.TEXTJOIN(" ",TRUE,Migrationsartikel!J285:L285)</f>
        <v>P. de terre à raclette Fermes, en vrac</v>
      </c>
      <c r="N286" s="51" t="str">
        <f>_xlfn.TEXTJOIN(" ",TRUE,Migrationsartikel!N285:P285)</f>
        <v>Patate per raclette res. alla cottura v.s.</v>
      </c>
      <c r="O286" s="51" t="str">
        <f>Migrationsartikel!F285</f>
        <v>Kartoffeln Raclette</v>
      </c>
      <c r="P286" s="51" t="str">
        <f>Migrationsartikel!J285</f>
        <v>P. de terre à raclette</v>
      </c>
      <c r="Q286" s="51" t="str">
        <f>Migrationsartikel!N285</f>
        <v>Patate per raclette</v>
      </c>
      <c r="R286" s="51" t="str">
        <f>_xlfn.TEXTJOIN(" ",TRUE,Migrationsartikel!G285)</f>
        <v>festkochend, offen</v>
      </c>
      <c r="S286" s="51" t="str">
        <f>_xlfn.TEXTJOIN(" ",TRUE,Migrationsartikel!K285)</f>
        <v>Fermes, en vrac</v>
      </c>
      <c r="T286" s="51" t="str">
        <f>_xlfn.TEXTJOIN(" ",TRUE,Migrationsartikel!O285)</f>
        <v>res. alla cottura v.s.</v>
      </c>
      <c r="U286" s="51" t="str">
        <f>_xlfn.TEXTJOIN(" ",TRUE,Migrationsartikel!H285)</f>
        <v/>
      </c>
      <c r="V286" s="51" t="str">
        <f>_xlfn.TEXTJOIN(" ",TRUE,Migrationsartikel!L285)</f>
        <v/>
      </c>
      <c r="W286" s="51" t="str">
        <f>_xlfn.TEXTJOIN(" ",TRUE,Migrationsartikel!P285)</f>
        <v/>
      </c>
      <c r="X286" s="51" t="str">
        <f>Migrationsartikel!I285</f>
        <v>Kartoffeln Raclette festk.</v>
      </c>
      <c r="Y286" s="51" t="str">
        <f>Migrationsartikel!M285</f>
        <v>P. de ter. à raclette fermes</v>
      </c>
      <c r="Z286" s="51" t="str">
        <f>Migrationsartikel!Q285</f>
        <v>Pat. Raclette res. alla cott</v>
      </c>
      <c r="AA286" s="60">
        <f>Migrationsartikel!R285</f>
        <v>1</v>
      </c>
      <c r="AB286" s="51" t="str">
        <f>Migrationsartikel!T285</f>
        <v>Kilogramm</v>
      </c>
      <c r="AC286" s="62">
        <f>Migrationsartikel!S285</f>
        <v>1</v>
      </c>
      <c r="AD286" s="51" t="str">
        <f>Migrationsartikel!U285</f>
        <v>(KGM) KG</v>
      </c>
      <c r="AE286" s="95" t="str">
        <f>Migrationsartikel!Y285</f>
        <v>3 - Reduzierter Satz</v>
      </c>
      <c r="AF286" s="64" t="str">
        <f>IF(Migrationsartikel!AA285="Kein Depotartikel","",Migrationsartikel!AA285)</f>
        <v/>
      </c>
      <c r="AG286" s="95" t="str">
        <f>Migrationsartikel!Z285</f>
        <v>Keine</v>
      </c>
      <c r="AH286" s="51" t="str">
        <f>IF(Migrationsartikel!AB285="ja","true",FALSE)</f>
        <v>true</v>
      </c>
      <c r="AI286" s="51" t="str">
        <f>IF(Migrationsartikel!AC285="ja","true",FALSE)</f>
        <v>true</v>
      </c>
      <c r="AJ286" s="51" t="str">
        <f>IF(Migrationsartikel!AD285="ja","true",FALSE)</f>
        <v>true</v>
      </c>
      <c r="AK286" s="51" t="str">
        <f>IF(Migrationsartikel!AE285="ja","true",FALSE)</f>
        <v>true</v>
      </c>
      <c r="AL286" s="51" t="str">
        <f>IF(Migrationsartikel!AF285="ja","Denner Partner","")</f>
        <v/>
      </c>
      <c r="AM286" s="51" t="str">
        <f>IF(Migrationsartikel!AG285="ja","true","false")</f>
        <v>false</v>
      </c>
      <c r="AN286" s="51" t="str">
        <f t="shared" si="5"/>
        <v>Kassentastenbelegung (ohne GTIN/PLU)</v>
      </c>
      <c r="AO286" s="63" t="s">
        <v>219</v>
      </c>
      <c r="AP286" s="62" t="s">
        <v>2713</v>
      </c>
      <c r="AQ286" s="63" t="s">
        <v>217</v>
      </c>
      <c r="AR286" s="30" t="s">
        <v>219</v>
      </c>
    </row>
    <row r="287" spans="2:44" ht="21.75" customHeight="1" x14ac:dyDescent="0.45">
      <c r="B287" s="51" t="s">
        <v>99</v>
      </c>
      <c r="E287" s="52" t="s">
        <v>87</v>
      </c>
      <c r="F287" s="51" t="str">
        <f>"Warengruppe&gt;&gt;"&amp;_xlfn.TEXTJOIN("&gt;&gt;",TRUE,Migrationsartikel!V286:X286)</f>
        <v>Warengruppe&gt;&gt;Früchte und Gemüse&gt;&gt;Früchte und Gemüse&gt;&gt;Gemüse</v>
      </c>
      <c r="H287" s="52" t="s">
        <v>109</v>
      </c>
      <c r="J287" s="51" t="str">
        <f>_xlfn.TEXTJOIN(" ",TRUE,Migrationsartikel!B286,Migrationsartikel!E286)</f>
        <v>2203991000000</v>
      </c>
      <c r="L287" s="51" t="str">
        <f>_xlfn.TEXTJOIN(" ",TRUE,Migrationsartikel!F286:H286)</f>
        <v>Radies Bund</v>
      </c>
      <c r="M287" s="51" t="str">
        <f>_xlfn.TEXTJOIN(" ",TRUE,Migrationsartikel!J286:L286)</f>
        <v>Radis Botte</v>
      </c>
      <c r="N287" s="51" t="str">
        <f>_xlfn.TEXTJOIN(" ",TRUE,Migrationsartikel!N286:P286)</f>
        <v>Ravanelli mazzetto</v>
      </c>
      <c r="O287" s="51" t="str">
        <f>Migrationsartikel!F286</f>
        <v>Radies</v>
      </c>
      <c r="P287" s="51" t="str">
        <f>Migrationsartikel!J286</f>
        <v>Radis</v>
      </c>
      <c r="Q287" s="51" t="str">
        <f>Migrationsartikel!N286</f>
        <v>Ravanelli</v>
      </c>
      <c r="R287" s="51" t="str">
        <f>_xlfn.TEXTJOIN(" ",TRUE,Migrationsartikel!G286)</f>
        <v>Bund</v>
      </c>
      <c r="S287" s="51" t="str">
        <f>_xlfn.TEXTJOIN(" ",TRUE,Migrationsartikel!K286)</f>
        <v>Botte</v>
      </c>
      <c r="T287" s="51" t="str">
        <f>_xlfn.TEXTJOIN(" ",TRUE,Migrationsartikel!O286)</f>
        <v>mazzetto</v>
      </c>
      <c r="U287" s="51" t="str">
        <f>_xlfn.TEXTJOIN(" ",TRUE,Migrationsartikel!H286)</f>
        <v/>
      </c>
      <c r="V287" s="51" t="str">
        <f>_xlfn.TEXTJOIN(" ",TRUE,Migrationsartikel!L286)</f>
        <v/>
      </c>
      <c r="W287" s="51" t="str">
        <f>_xlfn.TEXTJOIN(" ",TRUE,Migrationsartikel!P286)</f>
        <v/>
      </c>
      <c r="X287" s="51" t="str">
        <f>Migrationsartikel!I286</f>
        <v>Radies Bund</v>
      </c>
      <c r="Y287" s="51" t="str">
        <f>Migrationsartikel!M286</f>
        <v>Radis botte</v>
      </c>
      <c r="Z287" s="51" t="str">
        <f>Migrationsartikel!Q286</f>
        <v>Ravanelli mazzetto</v>
      </c>
      <c r="AA287" s="60">
        <f>Migrationsartikel!R286</f>
        <v>1</v>
      </c>
      <c r="AB287" s="51" t="str">
        <f>Migrationsartikel!T286</f>
        <v>Stück</v>
      </c>
      <c r="AC287" s="62">
        <f>Migrationsartikel!S286</f>
        <v>1</v>
      </c>
      <c r="AD287" s="51" t="str">
        <f>Migrationsartikel!U286</f>
        <v>(PCE) Stück</v>
      </c>
      <c r="AE287" s="95" t="str">
        <f>Migrationsartikel!Y286</f>
        <v>3 - Reduzierter Satz</v>
      </c>
      <c r="AF287" s="64" t="str">
        <f>IF(Migrationsartikel!AA286="Kein Depotartikel","",Migrationsartikel!AA286)</f>
        <v/>
      </c>
      <c r="AG287" s="95" t="str">
        <f>Migrationsartikel!Z286</f>
        <v>Keine</v>
      </c>
      <c r="AH287" s="51" t="str">
        <f>IF(Migrationsartikel!AB286="ja","true",FALSE)</f>
        <v>true</v>
      </c>
      <c r="AI287" s="51" t="str">
        <f>IF(Migrationsartikel!AC286="ja","true",FALSE)</f>
        <v>true</v>
      </c>
      <c r="AJ287" s="51" t="str">
        <f>IF(Migrationsartikel!AD286="ja","true",FALSE)</f>
        <v>true</v>
      </c>
      <c r="AK287" s="51" t="str">
        <f>IF(Migrationsartikel!AE286="ja","true",FALSE)</f>
        <v>true</v>
      </c>
      <c r="AL287" s="51" t="str">
        <f>IF(Migrationsartikel!AF286="ja","Denner Partner","")</f>
        <v/>
      </c>
      <c r="AM287" s="51" t="str">
        <f>IF(Migrationsartikel!AG286="ja","true","false")</f>
        <v>false</v>
      </c>
      <c r="AN287" s="51" t="str">
        <f t="shared" si="5"/>
        <v>Kassentastenbelegung (ohne GTIN/PLU)</v>
      </c>
      <c r="AO287" s="63" t="s">
        <v>219</v>
      </c>
      <c r="AP287" s="62" t="s">
        <v>2714</v>
      </c>
      <c r="AQ287" s="63" t="s">
        <v>217</v>
      </c>
      <c r="AR287" s="30" t="s">
        <v>219</v>
      </c>
    </row>
    <row r="288" spans="2:44" ht="21.75" customHeight="1" x14ac:dyDescent="0.45">
      <c r="B288" s="51" t="s">
        <v>99</v>
      </c>
      <c r="E288" s="52" t="s">
        <v>87</v>
      </c>
      <c r="F288" s="51" t="str">
        <f>"Warengruppe&gt;&gt;"&amp;_xlfn.TEXTJOIN("&gt;&gt;",TRUE,Migrationsartikel!V287:X287)</f>
        <v>Warengruppe&gt;&gt;Früchte und Gemüse&gt;&gt;Früchte und Gemüse&gt;&gt;Gemüse</v>
      </c>
      <c r="H288" s="52" t="s">
        <v>109</v>
      </c>
      <c r="J288" s="51" t="str">
        <f>_xlfn.TEXTJOIN(" ",TRUE,Migrationsartikel!B287,Migrationsartikel!E287)</f>
        <v>7613399056515</v>
      </c>
      <c r="L288" s="51" t="str">
        <f>_xlfn.TEXTJOIN(" ",TRUE,Migrationsartikel!F287:H287)</f>
        <v>Randen geschält pasteurisiert 500g</v>
      </c>
      <c r="M288" s="51" t="str">
        <f>_xlfn.TEXTJOIN(" ",TRUE,Migrationsartikel!J287:L287)</f>
        <v>Betterave épluchée Pasteurisée 500g</v>
      </c>
      <c r="N288" s="51" t="str">
        <f>_xlfn.TEXTJOIN(" ",TRUE,Migrationsartikel!N287:P287)</f>
        <v>Barbabietola pelata pastorizzata 500g</v>
      </c>
      <c r="O288" s="51" t="str">
        <f>Migrationsartikel!F287</f>
        <v>Randen geschält</v>
      </c>
      <c r="P288" s="51" t="str">
        <f>Migrationsartikel!J287</f>
        <v>Betterave épluchée</v>
      </c>
      <c r="Q288" s="51" t="str">
        <f>Migrationsartikel!N287</f>
        <v>Barbabietola pelata</v>
      </c>
      <c r="R288" s="51" t="str">
        <f>_xlfn.TEXTJOIN(" ",TRUE,Migrationsartikel!G287)</f>
        <v>pasteurisiert</v>
      </c>
      <c r="S288" s="51" t="str">
        <f>_xlfn.TEXTJOIN(" ",TRUE,Migrationsartikel!K287)</f>
        <v>Pasteurisée</v>
      </c>
      <c r="T288" s="51" t="str">
        <f>_xlfn.TEXTJOIN(" ",TRUE,Migrationsartikel!O287)</f>
        <v>pastorizzata</v>
      </c>
      <c r="U288" s="51" t="str">
        <f>_xlfn.TEXTJOIN(" ",TRUE,Migrationsartikel!H287)</f>
        <v>500g</v>
      </c>
      <c r="V288" s="51" t="str">
        <f>_xlfn.TEXTJOIN(" ",TRUE,Migrationsartikel!L287)</f>
        <v>500g</v>
      </c>
      <c r="W288" s="51" t="str">
        <f>_xlfn.TEXTJOIN(" ",TRUE,Migrationsartikel!P287)</f>
        <v>500g</v>
      </c>
      <c r="X288" s="51" t="str">
        <f>Migrationsartikel!I287</f>
        <v>Randen geschält past. 500g</v>
      </c>
      <c r="Y288" s="51" t="str">
        <f>Migrationsartikel!M287</f>
        <v>Betterave épluchée past 500g</v>
      </c>
      <c r="Z288" s="51" t="str">
        <f>Migrationsartikel!Q287</f>
        <v>Barbabietola pel. past. 500g</v>
      </c>
      <c r="AA288" s="60">
        <f>Migrationsartikel!R287</f>
        <v>0.5</v>
      </c>
      <c r="AB288" s="51" t="str">
        <f>Migrationsartikel!T287</f>
        <v>Kilogramm</v>
      </c>
      <c r="AC288" s="62">
        <f>Migrationsartikel!S287</f>
        <v>1</v>
      </c>
      <c r="AD288" s="51" t="str">
        <f>Migrationsartikel!U287</f>
        <v>(PCE) Stück</v>
      </c>
      <c r="AE288" s="95" t="str">
        <f>Migrationsartikel!Y287</f>
        <v>3 - Reduzierter Satz</v>
      </c>
      <c r="AF288" s="64" t="str">
        <f>IF(Migrationsartikel!AA287="Kein Depotartikel","",Migrationsartikel!AA287)</f>
        <v/>
      </c>
      <c r="AG288" s="95" t="str">
        <f>Migrationsartikel!Z287</f>
        <v>Keine</v>
      </c>
      <c r="AH288" s="51" t="str">
        <f>IF(Migrationsartikel!AB287="ja","true",FALSE)</f>
        <v>true</v>
      </c>
      <c r="AI288" s="51" t="str">
        <f>IF(Migrationsartikel!AC287="ja","true",FALSE)</f>
        <v>true</v>
      </c>
      <c r="AJ288" s="51" t="str">
        <f>IF(Migrationsartikel!AD287="ja","true",FALSE)</f>
        <v>true</v>
      </c>
      <c r="AK288" s="51" t="str">
        <f>IF(Migrationsartikel!AE287="ja","true",FALSE)</f>
        <v>true</v>
      </c>
      <c r="AL288" s="51" t="str">
        <f>IF(Migrationsartikel!AF287="ja","Denner Partner","")</f>
        <v/>
      </c>
      <c r="AM288" s="51" t="str">
        <f>IF(Migrationsartikel!AG287="ja","true","false")</f>
        <v>false</v>
      </c>
      <c r="AN288" s="51" t="str">
        <f t="shared" si="5"/>
        <v>Kassentastenbelegung (ohne GTIN/PLU)</v>
      </c>
      <c r="AO288" s="63" t="s">
        <v>219</v>
      </c>
      <c r="AP288" s="62" t="s">
        <v>2715</v>
      </c>
      <c r="AQ288" s="63" t="s">
        <v>217</v>
      </c>
      <c r="AR288" s="30" t="s">
        <v>219</v>
      </c>
    </row>
    <row r="289" spans="2:44" ht="21.75" customHeight="1" x14ac:dyDescent="0.45">
      <c r="B289" s="51" t="s">
        <v>99</v>
      </c>
      <c r="E289" s="52" t="s">
        <v>87</v>
      </c>
      <c r="F289" s="51" t="str">
        <f>"Warengruppe&gt;&gt;"&amp;_xlfn.TEXTJOIN("&gt;&gt;",TRUE,Migrationsartikel!V288:X288)</f>
        <v>Warengruppe&gt;&gt;Früchte und Gemüse&gt;&gt;Früchte und Gemüse&gt;&gt;Gemüse</v>
      </c>
      <c r="H289" s="52" t="s">
        <v>109</v>
      </c>
      <c r="J289" s="51" t="str">
        <f>_xlfn.TEXTJOIN(" ",TRUE,Migrationsartikel!B288,Migrationsartikel!E288)</f>
        <v>256</v>
      </c>
      <c r="L289" s="51" t="str">
        <f>_xlfn.TEXTJOIN(" ",TRUE,Migrationsartikel!F288:H288)</f>
        <v>Randen Rot Offen</v>
      </c>
      <c r="M289" s="51" t="str">
        <f>_xlfn.TEXTJOIN(" ",TRUE,Migrationsartikel!J288:L288)</f>
        <v>Betterave rouge En vrac</v>
      </c>
      <c r="N289" s="51" t="str">
        <f>_xlfn.TEXTJOIN(" ",TRUE,Migrationsartikel!N288:P288)</f>
        <v>Barbabietola rossa vendita sfusa</v>
      </c>
      <c r="O289" s="51" t="str">
        <f>Migrationsartikel!F288</f>
        <v>Randen Rot</v>
      </c>
      <c r="P289" s="51" t="str">
        <f>Migrationsartikel!J288</f>
        <v>Betterave rouge</v>
      </c>
      <c r="Q289" s="51" t="str">
        <f>Migrationsartikel!N288</f>
        <v>Barbabietola rossa</v>
      </c>
      <c r="R289" s="51" t="str">
        <f>_xlfn.TEXTJOIN(" ",TRUE,Migrationsartikel!G288)</f>
        <v>Offen</v>
      </c>
      <c r="S289" s="51" t="str">
        <f>_xlfn.TEXTJOIN(" ",TRUE,Migrationsartikel!K288)</f>
        <v>En vrac</v>
      </c>
      <c r="T289" s="51" t="str">
        <f>_xlfn.TEXTJOIN(" ",TRUE,Migrationsartikel!O288)</f>
        <v>vendita sfusa</v>
      </c>
      <c r="U289" s="51" t="str">
        <f>_xlfn.TEXTJOIN(" ",TRUE,Migrationsartikel!H288)</f>
        <v/>
      </c>
      <c r="V289" s="51" t="str">
        <f>_xlfn.TEXTJOIN(" ",TRUE,Migrationsartikel!L288)</f>
        <v/>
      </c>
      <c r="W289" s="51" t="str">
        <f>_xlfn.TEXTJOIN(" ",TRUE,Migrationsartikel!P288)</f>
        <v/>
      </c>
      <c r="X289" s="51" t="str">
        <f>Migrationsartikel!I288</f>
        <v>Randen Rot Offen</v>
      </c>
      <c r="Y289" s="51" t="str">
        <f>Migrationsartikel!M288</f>
        <v>Betterave rouge en vrac</v>
      </c>
      <c r="Z289" s="51" t="str">
        <f>Migrationsartikel!Q288</f>
        <v>Barbabietola rossa v. sfusa</v>
      </c>
      <c r="AA289" s="60">
        <f>Migrationsartikel!R288</f>
        <v>1</v>
      </c>
      <c r="AB289" s="51" t="str">
        <f>Migrationsartikel!T288</f>
        <v>Kilogramm</v>
      </c>
      <c r="AC289" s="62">
        <f>Migrationsartikel!S288</f>
        <v>1</v>
      </c>
      <c r="AD289" s="51" t="str">
        <f>Migrationsartikel!U288</f>
        <v>(KGM) KG</v>
      </c>
      <c r="AE289" s="95" t="str">
        <f>Migrationsartikel!Y288</f>
        <v>3 - Reduzierter Satz</v>
      </c>
      <c r="AF289" s="64" t="str">
        <f>IF(Migrationsartikel!AA288="Kein Depotartikel","",Migrationsartikel!AA288)</f>
        <v/>
      </c>
      <c r="AG289" s="95" t="str">
        <f>Migrationsartikel!Z288</f>
        <v>Keine</v>
      </c>
      <c r="AH289" s="51" t="str">
        <f>IF(Migrationsartikel!AB288="ja","true",FALSE)</f>
        <v>true</v>
      </c>
      <c r="AI289" s="51" t="str">
        <f>IF(Migrationsartikel!AC288="ja","true",FALSE)</f>
        <v>true</v>
      </c>
      <c r="AJ289" s="51" t="str">
        <f>IF(Migrationsartikel!AD288="ja","true",FALSE)</f>
        <v>true</v>
      </c>
      <c r="AK289" s="51" t="str">
        <f>IF(Migrationsartikel!AE288="ja","true",FALSE)</f>
        <v>true</v>
      </c>
      <c r="AL289" s="51" t="str">
        <f>IF(Migrationsartikel!AF288="ja","Denner Partner","")</f>
        <v/>
      </c>
      <c r="AM289" s="51" t="str">
        <f>IF(Migrationsartikel!AG288="ja","true","false")</f>
        <v>false</v>
      </c>
      <c r="AN289" s="51" t="str">
        <f t="shared" si="5"/>
        <v>Kassentastenbelegung (ohne GTIN/PLU)</v>
      </c>
      <c r="AO289" s="63" t="s">
        <v>219</v>
      </c>
      <c r="AP289" s="62" t="s">
        <v>2716</v>
      </c>
      <c r="AQ289" s="63" t="s">
        <v>217</v>
      </c>
      <c r="AR289" s="30" t="s">
        <v>219</v>
      </c>
    </row>
    <row r="290" spans="2:44" ht="21.75" customHeight="1" x14ac:dyDescent="0.45">
      <c r="B290" s="51" t="s">
        <v>99</v>
      </c>
      <c r="E290" s="52" t="s">
        <v>87</v>
      </c>
      <c r="F290" s="51" t="str">
        <f>"Warengruppe&gt;&gt;"&amp;_xlfn.TEXTJOIN("&gt;&gt;",TRUE,Migrationsartikel!V289:X289)</f>
        <v>Warengruppe&gt;&gt;Früchte und Gemüse&gt;&gt;Früchte und Gemüse&gt;&gt;Gemüse</v>
      </c>
      <c r="H290" s="52" t="s">
        <v>109</v>
      </c>
      <c r="J290" s="51" t="str">
        <f>_xlfn.TEXTJOIN(" ",TRUE,Migrationsartikel!B289,Migrationsartikel!E289)</f>
        <v>7613399006916</v>
      </c>
      <c r="L290" s="51" t="str">
        <f>_xlfn.TEXTJOIN(" ",TRUE,Migrationsartikel!F289:H289)</f>
        <v>Randensalat Beutel 350g</v>
      </c>
      <c r="M290" s="51" t="str">
        <f>_xlfn.TEXTJOIN(" ",TRUE,Migrationsartikel!J289:L289)</f>
        <v>Salade de betterave Sachet 350g</v>
      </c>
      <c r="N290" s="51" t="str">
        <f>_xlfn.TEXTJOIN(" ",TRUE,Migrationsartikel!N289:P289)</f>
        <v>Insalata di barbabiet. sacchetto 350g</v>
      </c>
      <c r="O290" s="51" t="str">
        <f>Migrationsartikel!F289</f>
        <v>Randensalat</v>
      </c>
      <c r="P290" s="51" t="str">
        <f>Migrationsartikel!J289</f>
        <v>Salade de betterave</v>
      </c>
      <c r="Q290" s="51" t="str">
        <f>Migrationsartikel!N289</f>
        <v>Insalata di barbabiet.</v>
      </c>
      <c r="R290" s="51" t="str">
        <f>_xlfn.TEXTJOIN(" ",TRUE,Migrationsartikel!G289)</f>
        <v>Beutel</v>
      </c>
      <c r="S290" s="51" t="str">
        <f>_xlfn.TEXTJOIN(" ",TRUE,Migrationsartikel!K289)</f>
        <v>Sachet</v>
      </c>
      <c r="T290" s="51" t="str">
        <f>_xlfn.TEXTJOIN(" ",TRUE,Migrationsartikel!O289)</f>
        <v>sacchetto</v>
      </c>
      <c r="U290" s="51" t="str">
        <f>_xlfn.TEXTJOIN(" ",TRUE,Migrationsartikel!H289)</f>
        <v>350g</v>
      </c>
      <c r="V290" s="51" t="str">
        <f>_xlfn.TEXTJOIN(" ",TRUE,Migrationsartikel!L289)</f>
        <v>350g</v>
      </c>
      <c r="W290" s="51" t="str">
        <f>_xlfn.TEXTJOIN(" ",TRUE,Migrationsartikel!P289)</f>
        <v>350g</v>
      </c>
      <c r="X290" s="51" t="str">
        <f>Migrationsartikel!I289</f>
        <v>Randensalat Beutel 350g</v>
      </c>
      <c r="Y290" s="51" t="str">
        <f>Migrationsartikel!M289</f>
        <v>Salade de betterave 350g</v>
      </c>
      <c r="Z290" s="51" t="str">
        <f>Migrationsartikel!Q289</f>
        <v>Insalata barbabietola 350g</v>
      </c>
      <c r="AA290" s="60">
        <f>Migrationsartikel!R289</f>
        <v>0.35</v>
      </c>
      <c r="AB290" s="51" t="str">
        <f>Migrationsartikel!T289</f>
        <v>Kilogramm</v>
      </c>
      <c r="AC290" s="62">
        <f>Migrationsartikel!S289</f>
        <v>1</v>
      </c>
      <c r="AD290" s="51" t="str">
        <f>Migrationsartikel!U289</f>
        <v>(PCE) Stück</v>
      </c>
      <c r="AE290" s="95" t="str">
        <f>Migrationsartikel!Y289</f>
        <v>3 - Reduzierter Satz</v>
      </c>
      <c r="AF290" s="64" t="str">
        <f>IF(Migrationsartikel!AA289="Kein Depotartikel","",Migrationsartikel!AA289)</f>
        <v/>
      </c>
      <c r="AG290" s="95" t="str">
        <f>Migrationsartikel!Z289</f>
        <v>Keine</v>
      </c>
      <c r="AH290" s="51" t="str">
        <f>IF(Migrationsartikel!AB289="ja","true",FALSE)</f>
        <v>true</v>
      </c>
      <c r="AI290" s="51" t="str">
        <f>IF(Migrationsartikel!AC289="ja","true",FALSE)</f>
        <v>true</v>
      </c>
      <c r="AJ290" s="51" t="str">
        <f>IF(Migrationsartikel!AD289="ja","true",FALSE)</f>
        <v>true</v>
      </c>
      <c r="AK290" s="51" t="str">
        <f>IF(Migrationsartikel!AE289="ja","true",FALSE)</f>
        <v>true</v>
      </c>
      <c r="AL290" s="51" t="str">
        <f>IF(Migrationsartikel!AF289="ja","Denner Partner","")</f>
        <v/>
      </c>
      <c r="AM290" s="51" t="str">
        <f>IF(Migrationsartikel!AG289="ja","true","false")</f>
        <v>false</v>
      </c>
      <c r="AN290" s="51" t="str">
        <f t="shared" si="5"/>
        <v>Kassentastenbelegung (ohne GTIN/PLU)</v>
      </c>
      <c r="AO290" s="63" t="s">
        <v>219</v>
      </c>
      <c r="AP290" s="62" t="s">
        <v>2717</v>
      </c>
      <c r="AQ290" s="63" t="s">
        <v>217</v>
      </c>
      <c r="AR290" s="30" t="s">
        <v>219</v>
      </c>
    </row>
    <row r="291" spans="2:44" ht="21.75" customHeight="1" x14ac:dyDescent="0.45">
      <c r="B291" s="51" t="s">
        <v>99</v>
      </c>
      <c r="E291" s="52" t="s">
        <v>87</v>
      </c>
      <c r="F291" s="51" t="str">
        <f>"Warengruppe&gt;&gt;"&amp;_xlfn.TEXTJOIN("&gt;&gt;",TRUE,Migrationsartikel!V290:X290)</f>
        <v>Warengruppe&gt;&gt;Früchte und Gemüse&gt;&gt;Früchte und Gemüse&gt;&gt;Gemüse</v>
      </c>
      <c r="H291" s="52" t="s">
        <v>109</v>
      </c>
      <c r="J291" s="51" t="str">
        <f>_xlfn.TEXTJOIN(" ",TRUE,Migrationsartikel!B290,Migrationsartikel!E290)</f>
        <v>7613399006930</v>
      </c>
      <c r="L291" s="51" t="str">
        <f>_xlfn.TEXTJOIN(" ",TRUE,Migrationsartikel!F290:H290)</f>
        <v>Randensalat geraffelt, Beutel 500g</v>
      </c>
      <c r="M291" s="51" t="str">
        <f>_xlfn.TEXTJOIN(" ",TRUE,Migrationsartikel!J290:L290)</f>
        <v>Salade de betterave Râpée, sachet 500g</v>
      </c>
      <c r="N291" s="51" t="str">
        <f>_xlfn.TEXTJOIN(" ",TRUE,Migrationsartikel!N290:P290)</f>
        <v>Insalata di barbabiet. grattugiata, busta 500g</v>
      </c>
      <c r="O291" s="51" t="str">
        <f>Migrationsartikel!F290</f>
        <v>Randensalat</v>
      </c>
      <c r="P291" s="51" t="str">
        <f>Migrationsartikel!J290</f>
        <v>Salade de betterave</v>
      </c>
      <c r="Q291" s="51" t="str">
        <f>Migrationsartikel!N290</f>
        <v>Insalata di barbabiet.</v>
      </c>
      <c r="R291" s="51" t="str">
        <f>_xlfn.TEXTJOIN(" ",TRUE,Migrationsartikel!G290)</f>
        <v>geraffelt, Beutel</v>
      </c>
      <c r="S291" s="51" t="str">
        <f>_xlfn.TEXTJOIN(" ",TRUE,Migrationsartikel!K290)</f>
        <v>Râpée, sachet</v>
      </c>
      <c r="T291" s="51" t="str">
        <f>_xlfn.TEXTJOIN(" ",TRUE,Migrationsartikel!O290)</f>
        <v>grattugiata, busta</v>
      </c>
      <c r="U291" s="51" t="str">
        <f>_xlfn.TEXTJOIN(" ",TRUE,Migrationsartikel!H290)</f>
        <v>500g</v>
      </c>
      <c r="V291" s="51" t="str">
        <f>_xlfn.TEXTJOIN(" ",TRUE,Migrationsartikel!L290)</f>
        <v>500g</v>
      </c>
      <c r="W291" s="51" t="str">
        <f>_xlfn.TEXTJOIN(" ",TRUE,Migrationsartikel!P290)</f>
        <v>500g</v>
      </c>
      <c r="X291" s="51" t="str">
        <f>Migrationsartikel!I290</f>
        <v>Randensalat geraffelt 500g</v>
      </c>
      <c r="Y291" s="51" t="str">
        <f>Migrationsartikel!M290</f>
        <v>Salade de betterave rap 500g</v>
      </c>
      <c r="Z291" s="51" t="str">
        <f>Migrationsartikel!Q290</f>
        <v>Insalata barb. grattug. 500g</v>
      </c>
      <c r="AA291" s="60">
        <f>Migrationsartikel!R290</f>
        <v>0.5</v>
      </c>
      <c r="AB291" s="51" t="str">
        <f>Migrationsartikel!T290</f>
        <v>Kilogramm</v>
      </c>
      <c r="AC291" s="62">
        <f>Migrationsartikel!S290</f>
        <v>1</v>
      </c>
      <c r="AD291" s="51" t="str">
        <f>Migrationsartikel!U290</f>
        <v>(PCE) Stück</v>
      </c>
      <c r="AE291" s="95" t="str">
        <f>Migrationsartikel!Y290</f>
        <v>3 - Reduzierter Satz</v>
      </c>
      <c r="AF291" s="64" t="str">
        <f>IF(Migrationsartikel!AA290="Kein Depotartikel","",Migrationsartikel!AA290)</f>
        <v/>
      </c>
      <c r="AG291" s="95" t="str">
        <f>Migrationsartikel!Z290</f>
        <v>Keine</v>
      </c>
      <c r="AH291" s="51" t="str">
        <f>IF(Migrationsartikel!AB290="ja","true",FALSE)</f>
        <v>true</v>
      </c>
      <c r="AI291" s="51" t="str">
        <f>IF(Migrationsartikel!AC290="ja","true",FALSE)</f>
        <v>true</v>
      </c>
      <c r="AJ291" s="51" t="str">
        <f>IF(Migrationsartikel!AD290="ja","true",FALSE)</f>
        <v>true</v>
      </c>
      <c r="AK291" s="51" t="str">
        <f>IF(Migrationsartikel!AE290="ja","true",FALSE)</f>
        <v>true</v>
      </c>
      <c r="AL291" s="51" t="str">
        <f>IF(Migrationsartikel!AF290="ja","Denner Partner","")</f>
        <v/>
      </c>
      <c r="AM291" s="51" t="str">
        <f>IF(Migrationsartikel!AG290="ja","true","false")</f>
        <v>false</v>
      </c>
      <c r="AN291" s="51" t="str">
        <f t="shared" si="5"/>
        <v>Kassentastenbelegung (ohne GTIN/PLU)</v>
      </c>
      <c r="AO291" s="63" t="s">
        <v>219</v>
      </c>
      <c r="AP291" s="62" t="s">
        <v>2718</v>
      </c>
      <c r="AQ291" s="63" t="s">
        <v>217</v>
      </c>
      <c r="AR291" s="30" t="s">
        <v>219</v>
      </c>
    </row>
    <row r="292" spans="2:44" ht="21.75" customHeight="1" x14ac:dyDescent="0.45">
      <c r="B292" s="51" t="s">
        <v>99</v>
      </c>
      <c r="E292" s="52" t="s">
        <v>87</v>
      </c>
      <c r="F292" s="51" t="str">
        <f>"Warengruppe&gt;&gt;"&amp;_xlfn.TEXTJOIN("&gt;&gt;",TRUE,Migrationsartikel!V291:X291)</f>
        <v>Warengruppe&gt;&gt;Früchte und Gemüse&gt;&gt;Früchte und Gemüse&gt;&gt;Gemüse</v>
      </c>
      <c r="H292" s="52" t="s">
        <v>109</v>
      </c>
      <c r="J292" s="51" t="str">
        <f>_xlfn.TEXTJOIN(" ",TRUE,Migrationsartikel!B291,Migrationsartikel!E291)</f>
        <v>257</v>
      </c>
      <c r="L292" s="51" t="str">
        <f>_xlfn.TEXTJOIN(" ",TRUE,Migrationsartikel!F291:H291)</f>
        <v>Rhabarbern Offen</v>
      </c>
      <c r="M292" s="51" t="str">
        <f>_xlfn.TEXTJOIN(" ",TRUE,Migrationsartikel!J291:L291)</f>
        <v>Rhubarbe En vrac</v>
      </c>
      <c r="N292" s="51" t="str">
        <f>_xlfn.TEXTJOIN(" ",TRUE,Migrationsartikel!N291:P291)</f>
        <v>Rabarbaro vendita sfusa</v>
      </c>
      <c r="O292" s="51" t="str">
        <f>Migrationsartikel!F291</f>
        <v>Rhabarbern</v>
      </c>
      <c r="P292" s="51" t="str">
        <f>Migrationsartikel!J291</f>
        <v>Rhubarbe</v>
      </c>
      <c r="Q292" s="51" t="str">
        <f>Migrationsartikel!N291</f>
        <v>Rabarbaro</v>
      </c>
      <c r="R292" s="51" t="str">
        <f>_xlfn.TEXTJOIN(" ",TRUE,Migrationsartikel!G291)</f>
        <v>Offen</v>
      </c>
      <c r="S292" s="51" t="str">
        <f>_xlfn.TEXTJOIN(" ",TRUE,Migrationsartikel!K291)</f>
        <v>En vrac</v>
      </c>
      <c r="T292" s="51" t="str">
        <f>_xlfn.TEXTJOIN(" ",TRUE,Migrationsartikel!O291)</f>
        <v>vendita sfusa</v>
      </c>
      <c r="U292" s="51" t="str">
        <f>_xlfn.TEXTJOIN(" ",TRUE,Migrationsartikel!H291)</f>
        <v/>
      </c>
      <c r="V292" s="51" t="str">
        <f>_xlfn.TEXTJOIN(" ",TRUE,Migrationsartikel!L291)</f>
        <v/>
      </c>
      <c r="W292" s="51" t="str">
        <f>_xlfn.TEXTJOIN(" ",TRUE,Migrationsartikel!P291)</f>
        <v/>
      </c>
      <c r="X292" s="51" t="str">
        <f>Migrationsartikel!I291</f>
        <v>Rhabarbern Offen</v>
      </c>
      <c r="Y292" s="51" t="str">
        <f>Migrationsartikel!M291</f>
        <v>Rhubarbe en vrac</v>
      </c>
      <c r="Z292" s="51" t="str">
        <f>Migrationsartikel!Q291</f>
        <v>Rabarbaro vendita sfusa</v>
      </c>
      <c r="AA292" s="60">
        <f>Migrationsartikel!R291</f>
        <v>1</v>
      </c>
      <c r="AB292" s="51" t="str">
        <f>Migrationsartikel!T291</f>
        <v>Kilogramm</v>
      </c>
      <c r="AC292" s="62">
        <f>Migrationsartikel!S291</f>
        <v>1</v>
      </c>
      <c r="AD292" s="51" t="str">
        <f>Migrationsartikel!U291</f>
        <v>(KGM) KG</v>
      </c>
      <c r="AE292" s="95" t="str">
        <f>Migrationsartikel!Y291</f>
        <v>3 - Reduzierter Satz</v>
      </c>
      <c r="AF292" s="64" t="str">
        <f>IF(Migrationsartikel!AA291="Kein Depotartikel","",Migrationsartikel!AA291)</f>
        <v/>
      </c>
      <c r="AG292" s="95" t="str">
        <f>Migrationsartikel!Z291</f>
        <v>Keine</v>
      </c>
      <c r="AH292" s="51" t="str">
        <f>IF(Migrationsartikel!AB291="ja","true",FALSE)</f>
        <v>true</v>
      </c>
      <c r="AI292" s="51" t="str">
        <f>IF(Migrationsartikel!AC291="ja","true",FALSE)</f>
        <v>true</v>
      </c>
      <c r="AJ292" s="51" t="str">
        <f>IF(Migrationsartikel!AD291="ja","true",FALSE)</f>
        <v>true</v>
      </c>
      <c r="AK292" s="51" t="str">
        <f>IF(Migrationsartikel!AE291="ja","true",FALSE)</f>
        <v>true</v>
      </c>
      <c r="AL292" s="51" t="str">
        <f>IF(Migrationsartikel!AF291="ja","Denner Partner","")</f>
        <v/>
      </c>
      <c r="AM292" s="51" t="str">
        <f>IF(Migrationsartikel!AG291="ja","true","false")</f>
        <v>false</v>
      </c>
      <c r="AN292" s="51" t="str">
        <f t="shared" si="5"/>
        <v>Kassentastenbelegung (ohne GTIN/PLU)</v>
      </c>
      <c r="AO292" s="63" t="s">
        <v>219</v>
      </c>
      <c r="AP292" s="62" t="s">
        <v>2719</v>
      </c>
      <c r="AQ292" s="63" t="s">
        <v>217</v>
      </c>
      <c r="AR292" s="30" t="s">
        <v>219</v>
      </c>
    </row>
    <row r="293" spans="2:44" ht="21.75" customHeight="1" x14ac:dyDescent="0.45">
      <c r="B293" s="51" t="s">
        <v>99</v>
      </c>
      <c r="E293" s="52" t="s">
        <v>87</v>
      </c>
      <c r="F293" s="51" t="str">
        <f>"Warengruppe&gt;&gt;"&amp;_xlfn.TEXTJOIN("&gt;&gt;",TRUE,Migrationsartikel!V292:X292)</f>
        <v>Warengruppe&gt;&gt;Früchte und Gemüse&gt;&gt;Früchte und Gemüse&gt;&gt;Gemüse</v>
      </c>
      <c r="H293" s="52" t="s">
        <v>109</v>
      </c>
      <c r="J293" s="51" t="str">
        <f>_xlfn.TEXTJOIN(" ",TRUE,Migrationsartikel!B292,Migrationsartikel!E292)</f>
        <v>2204011000006</v>
      </c>
      <c r="L293" s="51" t="str">
        <f>_xlfn.TEXTJOIN(" ",TRUE,Migrationsartikel!F292:H292)</f>
        <v>Rhabarbern ca. 700g</v>
      </c>
      <c r="M293" s="51" t="str">
        <f>_xlfn.TEXTJOIN(" ",TRUE,Migrationsartikel!J292:L292)</f>
        <v>Rhubarbe env. 700g</v>
      </c>
      <c r="N293" s="51" t="str">
        <f>_xlfn.TEXTJOIN(" ",TRUE,Migrationsartikel!N292:P292)</f>
        <v>Rabarbaro ca. 700g</v>
      </c>
      <c r="O293" s="51" t="str">
        <f>Migrationsartikel!F292</f>
        <v>Rhabarbern</v>
      </c>
      <c r="P293" s="51" t="str">
        <f>Migrationsartikel!J292</f>
        <v>Rhubarbe</v>
      </c>
      <c r="Q293" s="51" t="str">
        <f>Migrationsartikel!N292</f>
        <v>Rabarbaro</v>
      </c>
      <c r="R293" s="51" t="str">
        <f>_xlfn.TEXTJOIN(" ",TRUE,Migrationsartikel!G292)</f>
        <v/>
      </c>
      <c r="S293" s="51" t="str">
        <f>_xlfn.TEXTJOIN(" ",TRUE,Migrationsartikel!K292)</f>
        <v/>
      </c>
      <c r="T293" s="51" t="str">
        <f>_xlfn.TEXTJOIN(" ",TRUE,Migrationsartikel!O292)</f>
        <v/>
      </c>
      <c r="U293" s="51" t="str">
        <f>_xlfn.TEXTJOIN(" ",TRUE,Migrationsartikel!H292)</f>
        <v>ca. 700g</v>
      </c>
      <c r="V293" s="51" t="str">
        <f>_xlfn.TEXTJOIN(" ",TRUE,Migrationsartikel!L292)</f>
        <v>env. 700g</v>
      </c>
      <c r="W293" s="51" t="str">
        <f>_xlfn.TEXTJOIN(" ",TRUE,Migrationsartikel!P292)</f>
        <v>ca. 700g</v>
      </c>
      <c r="X293" s="51" t="str">
        <f>Migrationsartikel!I292</f>
        <v>Rhabarbern ca. 700g</v>
      </c>
      <c r="Y293" s="51" t="str">
        <f>Migrationsartikel!M292</f>
        <v>Rhubarbe env. 700g</v>
      </c>
      <c r="Z293" s="51" t="str">
        <f>Migrationsartikel!Q292</f>
        <v>Rabarbaro ca. 700g</v>
      </c>
      <c r="AA293" s="60">
        <f>Migrationsartikel!R292</f>
        <v>0.7</v>
      </c>
      <c r="AB293" s="51" t="str">
        <f>Migrationsartikel!T292</f>
        <v>Kilogramm</v>
      </c>
      <c r="AC293" s="62">
        <f>Migrationsartikel!S292</f>
        <v>1</v>
      </c>
      <c r="AD293" s="51" t="str">
        <f>Migrationsartikel!U292</f>
        <v>(PCE) Stück</v>
      </c>
      <c r="AE293" s="95" t="str">
        <f>Migrationsartikel!Y292</f>
        <v>3 - Reduzierter Satz</v>
      </c>
      <c r="AF293" s="64" t="str">
        <f>IF(Migrationsartikel!AA292="Kein Depotartikel","",Migrationsartikel!AA292)</f>
        <v/>
      </c>
      <c r="AG293" s="95" t="str">
        <f>Migrationsartikel!Z292</f>
        <v>Keine</v>
      </c>
      <c r="AH293" s="51" t="str">
        <f>IF(Migrationsartikel!AB292="ja","true",FALSE)</f>
        <v>true</v>
      </c>
      <c r="AI293" s="51" t="str">
        <f>IF(Migrationsartikel!AC292="ja","true",FALSE)</f>
        <v>true</v>
      </c>
      <c r="AJ293" s="51" t="str">
        <f>IF(Migrationsartikel!AD292="ja","true",FALSE)</f>
        <v>true</v>
      </c>
      <c r="AK293" s="51" t="str">
        <f>IF(Migrationsartikel!AE292="ja","true",FALSE)</f>
        <v>true</v>
      </c>
      <c r="AL293" s="51" t="str">
        <f>IF(Migrationsartikel!AF292="ja","Denner Partner","")</f>
        <v/>
      </c>
      <c r="AM293" s="51" t="str">
        <f>IF(Migrationsartikel!AG292="ja","true","false")</f>
        <v>false</v>
      </c>
      <c r="AN293" s="51" t="str">
        <f t="shared" si="5"/>
        <v>Kassentastenbelegung (ohne GTIN/PLU)</v>
      </c>
      <c r="AO293" s="63" t="s">
        <v>219</v>
      </c>
      <c r="AP293" s="62" t="s">
        <v>2720</v>
      </c>
      <c r="AQ293" s="63" t="s">
        <v>217</v>
      </c>
      <c r="AR293" s="30" t="s">
        <v>219</v>
      </c>
    </row>
    <row r="294" spans="2:44" ht="21.75" customHeight="1" x14ac:dyDescent="0.45">
      <c r="B294" s="51" t="s">
        <v>99</v>
      </c>
      <c r="E294" s="52" t="s">
        <v>87</v>
      </c>
      <c r="F294" s="51" t="str">
        <f>"Warengruppe&gt;&gt;"&amp;_xlfn.TEXTJOIN("&gt;&gt;",TRUE,Migrationsartikel!V293:X293)</f>
        <v>Warengruppe&gt;&gt;Früchte und Gemüse&gt;&gt;Früchte und Gemüse&gt;&gt;Gemüse</v>
      </c>
      <c r="H294" s="52" t="s">
        <v>109</v>
      </c>
      <c r="J294" s="51" t="str">
        <f>_xlfn.TEXTJOIN(" ",TRUE,Migrationsartikel!B293,Migrationsartikel!E293)</f>
        <v>2201519000000</v>
      </c>
      <c r="L294" s="51" t="str">
        <f>_xlfn.TEXTJOIN(" ",TRUE,Migrationsartikel!F293:H293)</f>
        <v>Bio Tomaten Rispen ca. 800g</v>
      </c>
      <c r="M294" s="51" t="str">
        <f>_xlfn.TEXTJOIN(" ",TRUE,Migrationsartikel!J293:L293)</f>
        <v>Bio Tomates en grappes env. 800g</v>
      </c>
      <c r="N294" s="51" t="str">
        <f>_xlfn.TEXTJOIN(" ",TRUE,Migrationsartikel!N293:P293)</f>
        <v>Bio Pomodori ramati ca. 800g</v>
      </c>
      <c r="O294" s="51" t="str">
        <f>Migrationsartikel!F293</f>
        <v>Bio Tomaten Rispen</v>
      </c>
      <c r="P294" s="51" t="str">
        <f>Migrationsartikel!J293</f>
        <v>Bio Tomates en grappes</v>
      </c>
      <c r="Q294" s="51" t="str">
        <f>Migrationsartikel!N293</f>
        <v>Bio Pomodori ramati</v>
      </c>
      <c r="R294" s="51" t="str">
        <f>_xlfn.TEXTJOIN(" ",TRUE,Migrationsartikel!G293)</f>
        <v/>
      </c>
      <c r="S294" s="51" t="str">
        <f>_xlfn.TEXTJOIN(" ",TRUE,Migrationsartikel!K293)</f>
        <v/>
      </c>
      <c r="T294" s="51" t="str">
        <f>_xlfn.TEXTJOIN(" ",TRUE,Migrationsartikel!O293)</f>
        <v/>
      </c>
      <c r="U294" s="51" t="str">
        <f>_xlfn.TEXTJOIN(" ",TRUE,Migrationsartikel!H293)</f>
        <v>ca. 800g</v>
      </c>
      <c r="V294" s="51" t="str">
        <f>_xlfn.TEXTJOIN(" ",TRUE,Migrationsartikel!L293)</f>
        <v>env. 800g</v>
      </c>
      <c r="W294" s="51" t="str">
        <f>_xlfn.TEXTJOIN(" ",TRUE,Migrationsartikel!P293)</f>
        <v>ca. 800g</v>
      </c>
      <c r="X294" s="51" t="str">
        <f>Migrationsartikel!I293</f>
        <v>Bio Tomaten Rispen ca. 800g</v>
      </c>
      <c r="Y294" s="51" t="str">
        <f>Migrationsartikel!M293</f>
        <v>Bio Tomates en grappes</v>
      </c>
      <c r="Z294" s="51" t="str">
        <f>Migrationsartikel!Q293</f>
        <v>Bio Pomodori ramati ca. 800g</v>
      </c>
      <c r="AA294" s="60">
        <f>Migrationsartikel!R293</f>
        <v>0.8</v>
      </c>
      <c r="AB294" s="51" t="str">
        <f>Migrationsartikel!T293</f>
        <v>Kilogramm</v>
      </c>
      <c r="AC294" s="62">
        <f>Migrationsartikel!S293</f>
        <v>1</v>
      </c>
      <c r="AD294" s="51" t="str">
        <f>Migrationsartikel!U293</f>
        <v>(PCE) Stück</v>
      </c>
      <c r="AE294" s="95" t="str">
        <f>Migrationsartikel!Y293</f>
        <v>3 - Reduzierter Satz</v>
      </c>
      <c r="AF294" s="64" t="str">
        <f>IF(Migrationsartikel!AA293="Kein Depotartikel","",Migrationsartikel!AA293)</f>
        <v/>
      </c>
      <c r="AG294" s="95" t="str">
        <f>Migrationsartikel!Z293</f>
        <v>Keine</v>
      </c>
      <c r="AH294" s="51" t="str">
        <f>IF(Migrationsartikel!AB293="ja","true",FALSE)</f>
        <v>true</v>
      </c>
      <c r="AI294" s="51" t="str">
        <f>IF(Migrationsartikel!AC293="ja","true",FALSE)</f>
        <v>true</v>
      </c>
      <c r="AJ294" s="51" t="str">
        <f>IF(Migrationsartikel!AD293="ja","true",FALSE)</f>
        <v>true</v>
      </c>
      <c r="AK294" s="51" t="str">
        <f>IF(Migrationsartikel!AE293="ja","true",FALSE)</f>
        <v>true</v>
      </c>
      <c r="AL294" s="51" t="str">
        <f>IF(Migrationsartikel!AF293="ja","Denner Partner","")</f>
        <v/>
      </c>
      <c r="AM294" s="51" t="str">
        <f>IF(Migrationsartikel!AG293="ja","true","false")</f>
        <v>false</v>
      </c>
      <c r="AN294" s="51" t="str">
        <f t="shared" si="5"/>
        <v>Kassentastenbelegung (ohne GTIN/PLU)</v>
      </c>
      <c r="AO294" s="63" t="s">
        <v>219</v>
      </c>
      <c r="AP294" s="62" t="s">
        <v>2721</v>
      </c>
      <c r="AQ294" s="63" t="s">
        <v>217</v>
      </c>
      <c r="AR294" s="30" t="s">
        <v>219</v>
      </c>
    </row>
    <row r="295" spans="2:44" ht="21.75" customHeight="1" x14ac:dyDescent="0.45">
      <c r="B295" s="51" t="s">
        <v>99</v>
      </c>
      <c r="E295" s="52" t="s">
        <v>87</v>
      </c>
      <c r="F295" s="51" t="str">
        <f>"Warengruppe&gt;&gt;"&amp;_xlfn.TEXTJOIN("&gt;&gt;",TRUE,Migrationsartikel!V294:X294)</f>
        <v>Warengruppe&gt;&gt;Früchte und Gemüse&gt;&gt;Früchte und Gemüse&gt;&gt;Gemüse</v>
      </c>
      <c r="H295" s="52" t="s">
        <v>109</v>
      </c>
      <c r="J295" s="51" t="str">
        <f>_xlfn.TEXTJOIN(" ",TRUE,Migrationsartikel!B294,Migrationsartikel!E294)</f>
        <v>2260181000000</v>
      </c>
      <c r="L295" s="51" t="str">
        <f>_xlfn.TEXTJOIN(" ",TRUE,Migrationsartikel!F294:H294)</f>
        <v>Romanesco</v>
      </c>
      <c r="M295" s="51" t="str">
        <f>_xlfn.TEXTJOIN(" ",TRUE,Migrationsartikel!J294:L294)</f>
        <v>Romanesco</v>
      </c>
      <c r="N295" s="51" t="str">
        <f>_xlfn.TEXTJOIN(" ",TRUE,Migrationsartikel!N294:P294)</f>
        <v>Romanesco</v>
      </c>
      <c r="O295" s="51" t="str">
        <f>Migrationsartikel!F294</f>
        <v>Romanesco</v>
      </c>
      <c r="P295" s="51" t="str">
        <f>Migrationsartikel!J294</f>
        <v>Romanesco</v>
      </c>
      <c r="Q295" s="51" t="str">
        <f>Migrationsartikel!N294</f>
        <v>Romanesco</v>
      </c>
      <c r="R295" s="51" t="str">
        <f>_xlfn.TEXTJOIN(" ",TRUE,Migrationsartikel!G294)</f>
        <v/>
      </c>
      <c r="S295" s="51" t="str">
        <f>_xlfn.TEXTJOIN(" ",TRUE,Migrationsartikel!K294)</f>
        <v/>
      </c>
      <c r="T295" s="51" t="str">
        <f>_xlfn.TEXTJOIN(" ",TRUE,Migrationsartikel!O294)</f>
        <v/>
      </c>
      <c r="U295" s="51" t="str">
        <f>_xlfn.TEXTJOIN(" ",TRUE,Migrationsartikel!H294)</f>
        <v/>
      </c>
      <c r="V295" s="51" t="str">
        <f>_xlfn.TEXTJOIN(" ",TRUE,Migrationsartikel!L294)</f>
        <v/>
      </c>
      <c r="W295" s="51" t="str">
        <f>_xlfn.TEXTJOIN(" ",TRUE,Migrationsartikel!P294)</f>
        <v/>
      </c>
      <c r="X295" s="51" t="str">
        <f>Migrationsartikel!I294</f>
        <v>Romanesco</v>
      </c>
      <c r="Y295" s="51" t="str">
        <f>Migrationsartikel!M294</f>
        <v>Romanesco</v>
      </c>
      <c r="Z295" s="51" t="str">
        <f>Migrationsartikel!Q294</f>
        <v>Romanesco</v>
      </c>
      <c r="AA295" s="60">
        <f>Migrationsartikel!R294</f>
        <v>1</v>
      </c>
      <c r="AB295" s="51" t="str">
        <f>Migrationsartikel!T294</f>
        <v>Kilogramm</v>
      </c>
      <c r="AC295" s="62">
        <f>Migrationsartikel!S294</f>
        <v>1</v>
      </c>
      <c r="AD295" s="51" t="str">
        <f>Migrationsartikel!U294</f>
        <v>(PCE) Stück</v>
      </c>
      <c r="AE295" s="95" t="str">
        <f>Migrationsartikel!Y294</f>
        <v>3 - Reduzierter Satz</v>
      </c>
      <c r="AF295" s="64" t="str">
        <f>IF(Migrationsartikel!AA294="Kein Depotartikel","",Migrationsartikel!AA294)</f>
        <v/>
      </c>
      <c r="AG295" s="95" t="str">
        <f>Migrationsartikel!Z294</f>
        <v>Keine</v>
      </c>
      <c r="AH295" s="51" t="str">
        <f>IF(Migrationsartikel!AB294="ja","true",FALSE)</f>
        <v>true</v>
      </c>
      <c r="AI295" s="51" t="str">
        <f>IF(Migrationsartikel!AC294="ja","true",FALSE)</f>
        <v>true</v>
      </c>
      <c r="AJ295" s="51" t="str">
        <f>IF(Migrationsartikel!AD294="ja","true",FALSE)</f>
        <v>true</v>
      </c>
      <c r="AK295" s="51" t="str">
        <f>IF(Migrationsartikel!AE294="ja","true",FALSE)</f>
        <v>true</v>
      </c>
      <c r="AL295" s="51" t="str">
        <f>IF(Migrationsartikel!AF294="ja","Denner Partner","")</f>
        <v/>
      </c>
      <c r="AM295" s="51" t="str">
        <f>IF(Migrationsartikel!AG294="ja","true","false")</f>
        <v>false</v>
      </c>
      <c r="AN295" s="51" t="str">
        <f t="shared" si="5"/>
        <v>Kassentastenbelegung (ohne GTIN/PLU)</v>
      </c>
      <c r="AO295" s="63" t="s">
        <v>219</v>
      </c>
      <c r="AP295" s="62" t="s">
        <v>2722</v>
      </c>
      <c r="AQ295" s="63" t="s">
        <v>217</v>
      </c>
      <c r="AR295" s="30" t="s">
        <v>219</v>
      </c>
    </row>
    <row r="296" spans="2:44" ht="21.75" customHeight="1" x14ac:dyDescent="0.45">
      <c r="B296" s="51" t="s">
        <v>99</v>
      </c>
      <c r="E296" s="52" t="s">
        <v>87</v>
      </c>
      <c r="F296" s="51" t="str">
        <f>"Warengruppe&gt;&gt;"&amp;_xlfn.TEXTJOIN("&gt;&gt;",TRUE,Migrationsartikel!V295:X295)</f>
        <v>Warengruppe&gt;&gt;Früchte und Gemüse&gt;&gt;Früchte und Gemüse&gt;&gt;Gemüse</v>
      </c>
      <c r="H296" s="52" t="s">
        <v>109</v>
      </c>
      <c r="J296" s="51" t="str">
        <f>_xlfn.TEXTJOIN(" ",TRUE,Migrationsartikel!B295,Migrationsartikel!E295)</f>
        <v>2204021000003</v>
      </c>
      <c r="L296" s="51" t="str">
        <f>_xlfn.TEXTJOIN(" ",TRUE,Migrationsartikel!F295:H295)</f>
        <v>Rosenkohl Beutel 500g</v>
      </c>
      <c r="M296" s="51" t="str">
        <f>_xlfn.TEXTJOIN(" ",TRUE,Migrationsartikel!J295:L295)</f>
        <v>Choux de Bruxelles Sachet 500g</v>
      </c>
      <c r="N296" s="51" t="str">
        <f>_xlfn.TEXTJOIN(" ",TRUE,Migrationsartikel!N295:P295)</f>
        <v>Cavolini di Bruxelles sacchetto 500g</v>
      </c>
      <c r="O296" s="51" t="str">
        <f>Migrationsartikel!F295</f>
        <v>Rosenkohl</v>
      </c>
      <c r="P296" s="51" t="str">
        <f>Migrationsartikel!J295</f>
        <v>Choux de Bruxelles</v>
      </c>
      <c r="Q296" s="51" t="str">
        <f>Migrationsartikel!N295</f>
        <v>Cavolini di Bruxelles</v>
      </c>
      <c r="R296" s="51" t="str">
        <f>_xlfn.TEXTJOIN(" ",TRUE,Migrationsartikel!G295)</f>
        <v>Beutel</v>
      </c>
      <c r="S296" s="51" t="str">
        <f>_xlfn.TEXTJOIN(" ",TRUE,Migrationsartikel!K295)</f>
        <v>Sachet</v>
      </c>
      <c r="T296" s="51" t="str">
        <f>_xlfn.TEXTJOIN(" ",TRUE,Migrationsartikel!O295)</f>
        <v>sacchetto</v>
      </c>
      <c r="U296" s="51" t="str">
        <f>_xlfn.TEXTJOIN(" ",TRUE,Migrationsartikel!H295)</f>
        <v>500g</v>
      </c>
      <c r="V296" s="51" t="str">
        <f>_xlfn.TEXTJOIN(" ",TRUE,Migrationsartikel!L295)</f>
        <v>500g</v>
      </c>
      <c r="W296" s="51" t="str">
        <f>_xlfn.TEXTJOIN(" ",TRUE,Migrationsartikel!P295)</f>
        <v>500g</v>
      </c>
      <c r="X296" s="51" t="str">
        <f>Migrationsartikel!I295</f>
        <v>Rosenkohl Beutel 500g</v>
      </c>
      <c r="Y296" s="51" t="str">
        <f>Migrationsartikel!M295</f>
        <v>Chou de Bruxelles 500g</v>
      </c>
      <c r="Z296" s="51" t="str">
        <f>Migrationsartikel!Q295</f>
        <v>Cavolini Bruxelles sach 500g</v>
      </c>
      <c r="AA296" s="60">
        <f>Migrationsartikel!R295</f>
        <v>0.5</v>
      </c>
      <c r="AB296" s="51" t="str">
        <f>Migrationsartikel!T295</f>
        <v>Kilogramm</v>
      </c>
      <c r="AC296" s="62">
        <f>Migrationsartikel!S295</f>
        <v>1</v>
      </c>
      <c r="AD296" s="51" t="str">
        <f>Migrationsartikel!U295</f>
        <v>(PCE) Stück</v>
      </c>
      <c r="AE296" s="95" t="str">
        <f>Migrationsartikel!Y295</f>
        <v>3 - Reduzierter Satz</v>
      </c>
      <c r="AF296" s="64" t="str">
        <f>IF(Migrationsartikel!AA295="Kein Depotartikel","",Migrationsartikel!AA295)</f>
        <v/>
      </c>
      <c r="AG296" s="95" t="str">
        <f>Migrationsartikel!Z295</f>
        <v>Keine</v>
      </c>
      <c r="AH296" s="51" t="str">
        <f>IF(Migrationsartikel!AB295="ja","true",FALSE)</f>
        <v>true</v>
      </c>
      <c r="AI296" s="51" t="str">
        <f>IF(Migrationsartikel!AC295="ja","true",FALSE)</f>
        <v>true</v>
      </c>
      <c r="AJ296" s="51" t="str">
        <f>IF(Migrationsartikel!AD295="ja","true",FALSE)</f>
        <v>true</v>
      </c>
      <c r="AK296" s="51" t="str">
        <f>IF(Migrationsartikel!AE295="ja","true",FALSE)</f>
        <v>true</v>
      </c>
      <c r="AL296" s="51" t="str">
        <f>IF(Migrationsartikel!AF295="ja","Denner Partner","")</f>
        <v/>
      </c>
      <c r="AM296" s="51" t="str">
        <f>IF(Migrationsartikel!AG295="ja","true","false")</f>
        <v>false</v>
      </c>
      <c r="AN296" s="51" t="str">
        <f t="shared" si="5"/>
        <v>Kassentastenbelegung (ohne GTIN/PLU)</v>
      </c>
      <c r="AO296" s="63" t="s">
        <v>219</v>
      </c>
      <c r="AP296" s="62" t="s">
        <v>2723</v>
      </c>
      <c r="AQ296" s="63" t="s">
        <v>217</v>
      </c>
      <c r="AR296" s="30" t="s">
        <v>219</v>
      </c>
    </row>
    <row r="297" spans="2:44" ht="21.75" customHeight="1" x14ac:dyDescent="0.45">
      <c r="B297" s="51" t="s">
        <v>99</v>
      </c>
      <c r="E297" s="52" t="s">
        <v>87</v>
      </c>
      <c r="F297" s="51" t="str">
        <f>"Warengruppe&gt;&gt;"&amp;_xlfn.TEXTJOIN("&gt;&gt;",TRUE,Migrationsartikel!V296:X296)</f>
        <v>Warengruppe&gt;&gt;Früchte und Gemüse&gt;&gt;Früchte und Gemüse&gt;&gt;Gemüse</v>
      </c>
      <c r="H297" s="52" t="s">
        <v>109</v>
      </c>
      <c r="J297" s="51" t="str">
        <f>_xlfn.TEXTJOIN(" ",TRUE,Migrationsartikel!B296,Migrationsartikel!E296)</f>
        <v>7613399041702</v>
      </c>
      <c r="L297" s="51" t="str">
        <f>_xlfn.TEXTJOIN(" ",TRUE,Migrationsartikel!F296:H296)</f>
        <v>Rosmarin Schale 20g</v>
      </c>
      <c r="M297" s="51" t="str">
        <f>_xlfn.TEXTJOIN(" ",TRUE,Migrationsartikel!J296:L296)</f>
        <v>Romarin Barquette 20g</v>
      </c>
      <c r="N297" s="51" t="str">
        <f>_xlfn.TEXTJOIN(" ",TRUE,Migrationsartikel!N296:P296)</f>
        <v>Rosmarino vaschetta 20g</v>
      </c>
      <c r="O297" s="51" t="str">
        <f>Migrationsartikel!F296</f>
        <v>Rosmarin</v>
      </c>
      <c r="P297" s="51" t="str">
        <f>Migrationsartikel!J296</f>
        <v>Romarin</v>
      </c>
      <c r="Q297" s="51" t="str">
        <f>Migrationsartikel!N296</f>
        <v>Rosmarino</v>
      </c>
      <c r="R297" s="51" t="str">
        <f>_xlfn.TEXTJOIN(" ",TRUE,Migrationsartikel!G296)</f>
        <v>Schale</v>
      </c>
      <c r="S297" s="51" t="str">
        <f>_xlfn.TEXTJOIN(" ",TRUE,Migrationsartikel!K296)</f>
        <v>Barquette</v>
      </c>
      <c r="T297" s="51" t="str">
        <f>_xlfn.TEXTJOIN(" ",TRUE,Migrationsartikel!O296)</f>
        <v>vaschetta</v>
      </c>
      <c r="U297" s="51" t="str">
        <f>_xlfn.TEXTJOIN(" ",TRUE,Migrationsartikel!H296)</f>
        <v>20g</v>
      </c>
      <c r="V297" s="51" t="str">
        <f>_xlfn.TEXTJOIN(" ",TRUE,Migrationsartikel!L296)</f>
        <v>20g</v>
      </c>
      <c r="W297" s="51" t="str">
        <f>_xlfn.TEXTJOIN(" ",TRUE,Migrationsartikel!P296)</f>
        <v>20g</v>
      </c>
      <c r="X297" s="51" t="str">
        <f>Migrationsartikel!I296</f>
        <v>Rosmarin Schale 20g</v>
      </c>
      <c r="Y297" s="51" t="str">
        <f>Migrationsartikel!M296</f>
        <v>Romarin barquette 20g</v>
      </c>
      <c r="Z297" s="51" t="str">
        <f>Migrationsartikel!Q296</f>
        <v>Rosmarino vaschetta 20g</v>
      </c>
      <c r="AA297" s="60">
        <f>Migrationsartikel!R296</f>
        <v>0.02</v>
      </c>
      <c r="AB297" s="51" t="str">
        <f>Migrationsartikel!T296</f>
        <v>Gramm</v>
      </c>
      <c r="AC297" s="62">
        <f>Migrationsartikel!S296</f>
        <v>100</v>
      </c>
      <c r="AD297" s="51" t="str">
        <f>Migrationsartikel!U296</f>
        <v>(PCE) Stück</v>
      </c>
      <c r="AE297" s="95" t="str">
        <f>Migrationsartikel!Y296</f>
        <v>3 - Reduzierter Satz</v>
      </c>
      <c r="AF297" s="64" t="str">
        <f>IF(Migrationsartikel!AA296="Kein Depotartikel","",Migrationsartikel!AA296)</f>
        <v/>
      </c>
      <c r="AG297" s="95" t="str">
        <f>Migrationsartikel!Z296</f>
        <v>Keine</v>
      </c>
      <c r="AH297" s="51" t="str">
        <f>IF(Migrationsartikel!AB296="ja","true",FALSE)</f>
        <v>true</v>
      </c>
      <c r="AI297" s="51" t="str">
        <f>IF(Migrationsartikel!AC296="ja","true",FALSE)</f>
        <v>true</v>
      </c>
      <c r="AJ297" s="51" t="str">
        <f>IF(Migrationsartikel!AD296="ja","true",FALSE)</f>
        <v>true</v>
      </c>
      <c r="AK297" s="51" t="str">
        <f>IF(Migrationsartikel!AE296="ja","true",FALSE)</f>
        <v>true</v>
      </c>
      <c r="AL297" s="51" t="str">
        <f>IF(Migrationsartikel!AF296="ja","Denner Partner","")</f>
        <v/>
      </c>
      <c r="AM297" s="51" t="str">
        <f>IF(Migrationsartikel!AG296="ja","true","false")</f>
        <v>false</v>
      </c>
      <c r="AN297" s="51" t="str">
        <f t="shared" si="5"/>
        <v>Kassentastenbelegung (ohne GTIN/PLU)</v>
      </c>
      <c r="AO297" s="63" t="s">
        <v>219</v>
      </c>
      <c r="AP297" s="62" t="s">
        <v>2724</v>
      </c>
      <c r="AQ297" s="63" t="s">
        <v>217</v>
      </c>
      <c r="AR297" s="30" t="s">
        <v>219</v>
      </c>
    </row>
    <row r="298" spans="2:44" ht="21.75" customHeight="1" x14ac:dyDescent="0.45">
      <c r="B298" s="51" t="s">
        <v>99</v>
      </c>
      <c r="E298" s="52" t="s">
        <v>87</v>
      </c>
      <c r="F298" s="51" t="str">
        <f>"Warengruppe&gt;&gt;"&amp;_xlfn.TEXTJOIN("&gt;&gt;",TRUE,Migrationsartikel!V297:X297)</f>
        <v>Warengruppe&gt;&gt;Früchte und Gemüse&gt;&gt;Früchte und Gemüse&gt;&gt;Gemüse</v>
      </c>
      <c r="H298" s="52" t="s">
        <v>109</v>
      </c>
      <c r="J298" s="51" t="str">
        <f>_xlfn.TEXTJOIN(" ",TRUE,Migrationsartikel!B297,Migrationsartikel!E297)</f>
        <v>267</v>
      </c>
      <c r="L298" s="51" t="str">
        <f>_xlfn.TEXTJOIN(" ",TRUE,Migrationsartikel!F297:H297)</f>
        <v>Rüben weiss Offen</v>
      </c>
      <c r="M298" s="51" t="str">
        <f>_xlfn.TEXTJOIN(" ",TRUE,Migrationsartikel!J297:L297)</f>
        <v>Raves blanches En vrac</v>
      </c>
      <c r="N298" s="51" t="str">
        <f>_xlfn.TEXTJOIN(" ",TRUE,Migrationsartikel!N297:P297)</f>
        <v>Carote bianche vendita sfusa</v>
      </c>
      <c r="O298" s="51" t="str">
        <f>Migrationsartikel!F297</f>
        <v>Rüben weiss</v>
      </c>
      <c r="P298" s="51" t="str">
        <f>Migrationsartikel!J297</f>
        <v>Raves blanches</v>
      </c>
      <c r="Q298" s="51" t="str">
        <f>Migrationsartikel!N297</f>
        <v>Carote bianche</v>
      </c>
      <c r="R298" s="51" t="str">
        <f>_xlfn.TEXTJOIN(" ",TRUE,Migrationsartikel!G297)</f>
        <v>Offen</v>
      </c>
      <c r="S298" s="51" t="str">
        <f>_xlfn.TEXTJOIN(" ",TRUE,Migrationsartikel!K297)</f>
        <v>En vrac</v>
      </c>
      <c r="T298" s="51" t="str">
        <f>_xlfn.TEXTJOIN(" ",TRUE,Migrationsartikel!O297)</f>
        <v>vendita sfusa</v>
      </c>
      <c r="U298" s="51" t="str">
        <f>_xlfn.TEXTJOIN(" ",TRUE,Migrationsartikel!H297)</f>
        <v/>
      </c>
      <c r="V298" s="51" t="str">
        <f>_xlfn.TEXTJOIN(" ",TRUE,Migrationsartikel!L297)</f>
        <v/>
      </c>
      <c r="W298" s="51" t="str">
        <f>_xlfn.TEXTJOIN(" ",TRUE,Migrationsartikel!P297)</f>
        <v/>
      </c>
      <c r="X298" s="51" t="str">
        <f>Migrationsartikel!I297</f>
        <v>Rüben weiss Offen</v>
      </c>
      <c r="Y298" s="51" t="str">
        <f>Migrationsartikel!M297</f>
        <v>Raves blanches en vrac</v>
      </c>
      <c r="Z298" s="51" t="str">
        <f>Migrationsartikel!Q297</f>
        <v>Carote bianche vendita sfusa</v>
      </c>
      <c r="AA298" s="60">
        <f>Migrationsartikel!R297</f>
        <v>1</v>
      </c>
      <c r="AB298" s="51" t="str">
        <f>Migrationsartikel!T297</f>
        <v>Kilogramm</v>
      </c>
      <c r="AC298" s="62">
        <f>Migrationsartikel!S297</f>
        <v>1</v>
      </c>
      <c r="AD298" s="51" t="str">
        <f>Migrationsartikel!U297</f>
        <v>(KGM) KG</v>
      </c>
      <c r="AE298" s="95" t="str">
        <f>Migrationsartikel!Y297</f>
        <v>3 - Reduzierter Satz</v>
      </c>
      <c r="AF298" s="64" t="str">
        <f>IF(Migrationsartikel!AA297="Kein Depotartikel","",Migrationsartikel!AA297)</f>
        <v/>
      </c>
      <c r="AG298" s="95" t="str">
        <f>Migrationsartikel!Z297</f>
        <v>Keine</v>
      </c>
      <c r="AH298" s="51" t="str">
        <f>IF(Migrationsartikel!AB297="ja","true",FALSE)</f>
        <v>true</v>
      </c>
      <c r="AI298" s="51" t="str">
        <f>IF(Migrationsartikel!AC297="ja","true",FALSE)</f>
        <v>true</v>
      </c>
      <c r="AJ298" s="51" t="str">
        <f>IF(Migrationsartikel!AD297="ja","true",FALSE)</f>
        <v>true</v>
      </c>
      <c r="AK298" s="51" t="str">
        <f>IF(Migrationsartikel!AE297="ja","true",FALSE)</f>
        <v>true</v>
      </c>
      <c r="AL298" s="51" t="str">
        <f>IF(Migrationsartikel!AF297="ja","Denner Partner","")</f>
        <v/>
      </c>
      <c r="AM298" s="51" t="str">
        <f>IF(Migrationsartikel!AG297="ja","true","false")</f>
        <v>false</v>
      </c>
      <c r="AN298" s="51" t="str">
        <f t="shared" si="5"/>
        <v>Kassentastenbelegung (ohne GTIN/PLU)</v>
      </c>
      <c r="AO298" s="63" t="s">
        <v>219</v>
      </c>
      <c r="AP298" s="62" t="s">
        <v>2725</v>
      </c>
      <c r="AQ298" s="63" t="s">
        <v>217</v>
      </c>
      <c r="AR298" s="30" t="s">
        <v>219</v>
      </c>
    </row>
    <row r="299" spans="2:44" ht="21.75" customHeight="1" x14ac:dyDescent="0.45">
      <c r="B299" s="51" t="s">
        <v>99</v>
      </c>
      <c r="E299" s="52" t="s">
        <v>87</v>
      </c>
      <c r="F299" s="51" t="str">
        <f>"Warengruppe&gt;&gt;"&amp;_xlfn.TEXTJOIN("&gt;&gt;",TRUE,Migrationsartikel!V298:X298)</f>
        <v>Warengruppe&gt;&gt;Früchte und Gemüse&gt;&gt;Früchte und Gemüse&gt;&gt;Gemüse</v>
      </c>
      <c r="H299" s="52" t="s">
        <v>109</v>
      </c>
      <c r="J299" s="51" t="str">
        <f>_xlfn.TEXTJOIN(" ",TRUE,Migrationsartikel!B298,Migrationsartikel!E298)</f>
        <v>2260231000000</v>
      </c>
      <c r="L299" s="51" t="str">
        <f>_xlfn.TEXTJOIN(" ",TRUE,Migrationsartikel!F298:H298)</f>
        <v>Rüben weiss 1Stk</v>
      </c>
      <c r="M299" s="51" t="str">
        <f>_xlfn.TEXTJOIN(" ",TRUE,Migrationsartikel!J298:L298)</f>
        <v>Raves blanches 1pce</v>
      </c>
      <c r="N299" s="51" t="str">
        <f>_xlfn.TEXTJOIN(" ",TRUE,Migrationsartikel!N298:P298)</f>
        <v>Carote bianche 1pz</v>
      </c>
      <c r="O299" s="51" t="str">
        <f>Migrationsartikel!F298</f>
        <v>Rüben weiss</v>
      </c>
      <c r="P299" s="51" t="str">
        <f>Migrationsartikel!J298</f>
        <v>Raves blanches</v>
      </c>
      <c r="Q299" s="51" t="str">
        <f>Migrationsartikel!N298</f>
        <v>Carote bianche</v>
      </c>
      <c r="R299" s="51" t="str">
        <f>_xlfn.TEXTJOIN(" ",TRUE,Migrationsartikel!G298)</f>
        <v/>
      </c>
      <c r="S299" s="51" t="str">
        <f>_xlfn.TEXTJOIN(" ",TRUE,Migrationsartikel!K298)</f>
        <v/>
      </c>
      <c r="T299" s="51" t="str">
        <f>_xlfn.TEXTJOIN(" ",TRUE,Migrationsartikel!O298)</f>
        <v/>
      </c>
      <c r="U299" s="51" t="str">
        <f>_xlfn.TEXTJOIN(" ",TRUE,Migrationsartikel!H298)</f>
        <v>1Stk</v>
      </c>
      <c r="V299" s="51" t="str">
        <f>_xlfn.TEXTJOIN(" ",TRUE,Migrationsartikel!L298)</f>
        <v>1pce</v>
      </c>
      <c r="W299" s="51" t="str">
        <f>_xlfn.TEXTJOIN(" ",TRUE,Migrationsartikel!P298)</f>
        <v>1pz</v>
      </c>
      <c r="X299" s="51" t="str">
        <f>Migrationsartikel!I298</f>
        <v>Rüben weiss 1 Stk</v>
      </c>
      <c r="Y299" s="51" t="str">
        <f>Migrationsartikel!M298</f>
        <v>Raves blanches 1 pce</v>
      </c>
      <c r="Z299" s="51" t="str">
        <f>Migrationsartikel!Q298</f>
        <v>Carote bianche 1 pz</v>
      </c>
      <c r="AA299" s="60">
        <f>Migrationsartikel!R298</f>
        <v>1</v>
      </c>
      <c r="AB299" s="51" t="str">
        <f>Migrationsartikel!T298</f>
        <v>Kilogramm</v>
      </c>
      <c r="AC299" s="62">
        <f>Migrationsartikel!S298</f>
        <v>1</v>
      </c>
      <c r="AD299" s="51" t="str">
        <f>Migrationsartikel!U298</f>
        <v>(PCE) Stück</v>
      </c>
      <c r="AE299" s="95" t="str">
        <f>Migrationsartikel!Y298</f>
        <v>3 - Reduzierter Satz</v>
      </c>
      <c r="AF299" s="64" t="str">
        <f>IF(Migrationsartikel!AA298="Kein Depotartikel","",Migrationsartikel!AA298)</f>
        <v/>
      </c>
      <c r="AG299" s="95" t="str">
        <f>Migrationsartikel!Z298</f>
        <v>Keine</v>
      </c>
      <c r="AH299" s="51" t="str">
        <f>IF(Migrationsartikel!AB298="ja","true",FALSE)</f>
        <v>true</v>
      </c>
      <c r="AI299" s="51" t="str">
        <f>IF(Migrationsartikel!AC298="ja","true",FALSE)</f>
        <v>true</v>
      </c>
      <c r="AJ299" s="51" t="str">
        <f>IF(Migrationsartikel!AD298="ja","true",FALSE)</f>
        <v>true</v>
      </c>
      <c r="AK299" s="51" t="str">
        <f>IF(Migrationsartikel!AE298="ja","true",FALSE)</f>
        <v>true</v>
      </c>
      <c r="AL299" s="51" t="str">
        <f>IF(Migrationsartikel!AF298="ja","Denner Partner","")</f>
        <v/>
      </c>
      <c r="AM299" s="51" t="str">
        <f>IF(Migrationsartikel!AG298="ja","true","false")</f>
        <v>false</v>
      </c>
      <c r="AN299" s="51" t="str">
        <f t="shared" si="5"/>
        <v>Kassentastenbelegung (ohne GTIN/PLU)</v>
      </c>
      <c r="AO299" s="63" t="s">
        <v>219</v>
      </c>
      <c r="AP299" s="62" t="s">
        <v>2726</v>
      </c>
      <c r="AQ299" s="63" t="s">
        <v>217</v>
      </c>
      <c r="AR299" s="30" t="s">
        <v>219</v>
      </c>
    </row>
    <row r="300" spans="2:44" ht="21.75" customHeight="1" x14ac:dyDescent="0.45">
      <c r="B300" s="51" t="s">
        <v>99</v>
      </c>
      <c r="E300" s="52" t="s">
        <v>87</v>
      </c>
      <c r="F300" s="51" t="str">
        <f>"Warengruppe&gt;&gt;"&amp;_xlfn.TEXTJOIN("&gt;&gt;",TRUE,Migrationsartikel!V299:X299)</f>
        <v>Warengruppe&gt;&gt;Früchte und Gemüse&gt;&gt;Früchte und Gemüse&gt;&gt;Gemüse</v>
      </c>
      <c r="H300" s="52" t="s">
        <v>109</v>
      </c>
      <c r="J300" s="51" t="str">
        <f>_xlfn.TEXTJOIN(" ",TRUE,Migrationsartikel!B299,Migrationsartikel!E299)</f>
        <v>7613399001744</v>
      </c>
      <c r="L300" s="51" t="str">
        <f>_xlfn.TEXTJOIN(" ",TRUE,Migrationsartikel!F299:H299)</f>
        <v>Rucola Beutel 100g</v>
      </c>
      <c r="M300" s="51" t="str">
        <f>_xlfn.TEXTJOIN(" ",TRUE,Migrationsartikel!J299:L299)</f>
        <v>Roquette Sachet 100g</v>
      </c>
      <c r="N300" s="51" t="str">
        <f>_xlfn.TEXTJOIN(" ",TRUE,Migrationsartikel!N299:P299)</f>
        <v>Rucola sacchetto 100g</v>
      </c>
      <c r="O300" s="51" t="str">
        <f>Migrationsartikel!F299</f>
        <v>Rucola</v>
      </c>
      <c r="P300" s="51" t="str">
        <f>Migrationsartikel!J299</f>
        <v>Roquette</v>
      </c>
      <c r="Q300" s="51" t="str">
        <f>Migrationsartikel!N299</f>
        <v>Rucola</v>
      </c>
      <c r="R300" s="51" t="str">
        <f>_xlfn.TEXTJOIN(" ",TRUE,Migrationsartikel!G299)</f>
        <v>Beutel</v>
      </c>
      <c r="S300" s="51" t="str">
        <f>_xlfn.TEXTJOIN(" ",TRUE,Migrationsartikel!K299)</f>
        <v>Sachet</v>
      </c>
      <c r="T300" s="51" t="str">
        <f>_xlfn.TEXTJOIN(" ",TRUE,Migrationsartikel!O299)</f>
        <v>sacchetto</v>
      </c>
      <c r="U300" s="51" t="str">
        <f>_xlfn.TEXTJOIN(" ",TRUE,Migrationsartikel!H299)</f>
        <v>100g</v>
      </c>
      <c r="V300" s="51" t="str">
        <f>_xlfn.TEXTJOIN(" ",TRUE,Migrationsartikel!L299)</f>
        <v>100g</v>
      </c>
      <c r="W300" s="51" t="str">
        <f>_xlfn.TEXTJOIN(" ",TRUE,Migrationsartikel!P299)</f>
        <v>100g</v>
      </c>
      <c r="X300" s="51" t="str">
        <f>Migrationsartikel!I299</f>
        <v>Ruccola Beutel 100g</v>
      </c>
      <c r="Y300" s="51" t="str">
        <f>Migrationsartikel!M299</f>
        <v>Roquette sachet 100g</v>
      </c>
      <c r="Z300" s="51" t="str">
        <f>Migrationsartikel!Q299</f>
        <v>Rucola sacchetto 100g</v>
      </c>
      <c r="AA300" s="60">
        <f>Migrationsartikel!R299</f>
        <v>0.1</v>
      </c>
      <c r="AB300" s="51" t="str">
        <f>Migrationsartikel!T299</f>
        <v>Gramm</v>
      </c>
      <c r="AC300" s="62">
        <f>Migrationsartikel!S299</f>
        <v>100</v>
      </c>
      <c r="AD300" s="51" t="str">
        <f>Migrationsartikel!U299</f>
        <v>(PCE) Stück</v>
      </c>
      <c r="AE300" s="95" t="str">
        <f>Migrationsartikel!Y299</f>
        <v>3 - Reduzierter Satz</v>
      </c>
      <c r="AF300" s="64" t="str">
        <f>IF(Migrationsartikel!AA299="Kein Depotartikel","",Migrationsartikel!AA299)</f>
        <v/>
      </c>
      <c r="AG300" s="95" t="str">
        <f>Migrationsartikel!Z299</f>
        <v>Keine</v>
      </c>
      <c r="AH300" s="51" t="str">
        <f>IF(Migrationsartikel!AB299="ja","true",FALSE)</f>
        <v>true</v>
      </c>
      <c r="AI300" s="51" t="str">
        <f>IF(Migrationsartikel!AC299="ja","true",FALSE)</f>
        <v>true</v>
      </c>
      <c r="AJ300" s="51" t="str">
        <f>IF(Migrationsartikel!AD299="ja","true",FALSE)</f>
        <v>true</v>
      </c>
      <c r="AK300" s="51" t="str">
        <f>IF(Migrationsartikel!AE299="ja","true",FALSE)</f>
        <v>true</v>
      </c>
      <c r="AL300" s="51" t="str">
        <f>IF(Migrationsartikel!AF299="ja","Denner Partner","")</f>
        <v/>
      </c>
      <c r="AM300" s="51" t="str">
        <f>IF(Migrationsartikel!AG299="ja","true","false")</f>
        <v>false</v>
      </c>
      <c r="AN300" s="51" t="str">
        <f t="shared" si="5"/>
        <v>Kassentastenbelegung (ohne GTIN/PLU)</v>
      </c>
      <c r="AO300" s="63" t="s">
        <v>219</v>
      </c>
      <c r="AP300" s="62" t="s">
        <v>2727</v>
      </c>
      <c r="AQ300" s="63" t="s">
        <v>217</v>
      </c>
      <c r="AR300" s="30" t="s">
        <v>219</v>
      </c>
    </row>
    <row r="301" spans="2:44" ht="21.75" customHeight="1" x14ac:dyDescent="0.45">
      <c r="B301" s="51" t="s">
        <v>99</v>
      </c>
      <c r="E301" s="52" t="s">
        <v>87</v>
      </c>
      <c r="F301" s="51" t="str">
        <f>"Warengruppe&gt;&gt;"&amp;_xlfn.TEXTJOIN("&gt;&gt;",TRUE,Migrationsartikel!V300:X300)</f>
        <v>Warengruppe&gt;&gt;Früchte und Gemüse&gt;&gt;Früchte und Gemüse&gt;&gt;Gemüse</v>
      </c>
      <c r="H301" s="52" t="s">
        <v>109</v>
      </c>
      <c r="J301" s="51" t="str">
        <f>_xlfn.TEXTJOIN(" ",TRUE,Migrationsartikel!B300,Migrationsartikel!E300)</f>
        <v>7613399029151</v>
      </c>
      <c r="L301" s="51" t="str">
        <f>_xlfn.TEXTJOIN(" ",TRUE,Migrationsartikel!F300:H300)</f>
        <v>Zuckermais s.vide Beutel 400g</v>
      </c>
      <c r="M301" s="51" t="str">
        <f>_xlfn.TEXTJOIN(" ",TRUE,Migrationsartikel!J300:L300)</f>
        <v>Maïs doux s.vide Sachet 400g</v>
      </c>
      <c r="N301" s="51" t="str">
        <f>_xlfn.TEXTJOIN(" ",TRUE,Migrationsartikel!N300:P300)</f>
        <v>Mais dolce s. vide sacchetto 400g</v>
      </c>
      <c r="O301" s="51" t="str">
        <f>Migrationsartikel!F300</f>
        <v>Zuckermais s.vide</v>
      </c>
      <c r="P301" s="51" t="str">
        <f>Migrationsartikel!J300</f>
        <v>Maïs doux s.vide</v>
      </c>
      <c r="Q301" s="51" t="str">
        <f>Migrationsartikel!N300</f>
        <v>Mais dolce s. vide</v>
      </c>
      <c r="R301" s="51" t="str">
        <f>_xlfn.TEXTJOIN(" ",TRUE,Migrationsartikel!G300)</f>
        <v>Beutel</v>
      </c>
      <c r="S301" s="51" t="str">
        <f>_xlfn.TEXTJOIN(" ",TRUE,Migrationsartikel!K300)</f>
        <v>Sachet</v>
      </c>
      <c r="T301" s="51" t="str">
        <f>_xlfn.TEXTJOIN(" ",TRUE,Migrationsartikel!O300)</f>
        <v>sacchetto</v>
      </c>
      <c r="U301" s="51" t="str">
        <f>_xlfn.TEXTJOIN(" ",TRUE,Migrationsartikel!H300)</f>
        <v>400g</v>
      </c>
      <c r="V301" s="51" t="str">
        <f>_xlfn.TEXTJOIN(" ",TRUE,Migrationsartikel!L300)</f>
        <v>400g</v>
      </c>
      <c r="W301" s="51" t="str">
        <f>_xlfn.TEXTJOIN(" ",TRUE,Migrationsartikel!P300)</f>
        <v>400g</v>
      </c>
      <c r="X301" s="51" t="str">
        <f>Migrationsartikel!I300</f>
        <v>Zuckermais s.vide Beut. 400g</v>
      </c>
      <c r="Y301" s="51" t="str">
        <f>Migrationsartikel!M300</f>
        <v>Maïs doux s. vide sach. 400g</v>
      </c>
      <c r="Z301" s="51" t="str">
        <f>Migrationsartikel!Q300</f>
        <v>Mais dolce s. vide sach 400g</v>
      </c>
      <c r="AA301" s="60">
        <f>Migrationsartikel!R300</f>
        <v>0.4</v>
      </c>
      <c r="AB301" s="51" t="str">
        <f>Migrationsartikel!T300</f>
        <v>Gramm</v>
      </c>
      <c r="AC301" s="62">
        <f>Migrationsartikel!S300</f>
        <v>100</v>
      </c>
      <c r="AD301" s="51" t="str">
        <f>Migrationsartikel!U300</f>
        <v>(PCE) Stück</v>
      </c>
      <c r="AE301" s="95" t="str">
        <f>Migrationsartikel!Y300</f>
        <v>3 - Reduzierter Satz</v>
      </c>
      <c r="AF301" s="64" t="str">
        <f>IF(Migrationsartikel!AA300="Kein Depotartikel","",Migrationsartikel!AA300)</f>
        <v/>
      </c>
      <c r="AG301" s="95" t="str">
        <f>Migrationsartikel!Z300</f>
        <v>Keine</v>
      </c>
      <c r="AH301" s="51" t="str">
        <f>IF(Migrationsartikel!AB300="ja","true",FALSE)</f>
        <v>true</v>
      </c>
      <c r="AI301" s="51" t="str">
        <f>IF(Migrationsartikel!AC300="ja","true",FALSE)</f>
        <v>true</v>
      </c>
      <c r="AJ301" s="51" t="str">
        <f>IF(Migrationsartikel!AD300="ja","true",FALSE)</f>
        <v>true</v>
      </c>
      <c r="AK301" s="51" t="str">
        <f>IF(Migrationsartikel!AE300="ja","true",FALSE)</f>
        <v>true</v>
      </c>
      <c r="AL301" s="51" t="str">
        <f>IF(Migrationsartikel!AF300="ja","Denner Partner","")</f>
        <v/>
      </c>
      <c r="AM301" s="51" t="str">
        <f>IF(Migrationsartikel!AG300="ja","true","false")</f>
        <v>false</v>
      </c>
      <c r="AN301" s="51" t="str">
        <f t="shared" si="5"/>
        <v>Kassentastenbelegung (ohne GTIN/PLU)</v>
      </c>
      <c r="AO301" s="63" t="s">
        <v>219</v>
      </c>
      <c r="AP301" s="62" t="s">
        <v>2728</v>
      </c>
      <c r="AQ301" s="63" t="s">
        <v>217</v>
      </c>
      <c r="AR301" s="30" t="s">
        <v>219</v>
      </c>
    </row>
    <row r="302" spans="2:44" ht="21.75" customHeight="1" x14ac:dyDescent="0.45">
      <c r="B302" s="51" t="s">
        <v>99</v>
      </c>
      <c r="E302" s="52" t="s">
        <v>87</v>
      </c>
      <c r="F302" s="51" t="str">
        <f>"Warengruppe&gt;&gt;"&amp;_xlfn.TEXTJOIN("&gt;&gt;",TRUE,Migrationsartikel!V301:X301)</f>
        <v>Warengruppe&gt;&gt;Früchte und Gemüse&gt;&gt;Früchte und Gemüse&gt;&gt;Gemüse</v>
      </c>
      <c r="H302" s="52" t="s">
        <v>109</v>
      </c>
      <c r="J302" s="51" t="str">
        <f>_xlfn.TEXTJOIN(" ",TRUE,Migrationsartikel!B301,Migrationsartikel!E301)</f>
        <v>7630178201102</v>
      </c>
      <c r="L302" s="51" t="str">
        <f>_xlfn.TEXTJOIN(" ",TRUE,Migrationsartikel!F301:H301)</f>
        <v>Pilze Saisonmischung 200g</v>
      </c>
      <c r="M302" s="51" t="str">
        <f>_xlfn.TEXTJOIN(" ",TRUE,Migrationsartikel!J301:L301)</f>
        <v>Champ. mél. de saison 200g</v>
      </c>
      <c r="N302" s="51" t="str">
        <f>_xlfn.TEXTJOIN(" ",TRUE,Migrationsartikel!N301:P301)</f>
        <v>Funghi mix stagionale 200g</v>
      </c>
      <c r="O302" s="51" t="str">
        <f>Migrationsartikel!F301</f>
        <v>Pilze Saisonmischung</v>
      </c>
      <c r="P302" s="51" t="str">
        <f>Migrationsartikel!J301</f>
        <v>Champ. mél. de saison</v>
      </c>
      <c r="Q302" s="51" t="str">
        <f>Migrationsartikel!N301</f>
        <v>Funghi mix stagionale</v>
      </c>
      <c r="R302" s="51" t="str">
        <f>_xlfn.TEXTJOIN(" ",TRUE,Migrationsartikel!G301)</f>
        <v/>
      </c>
      <c r="S302" s="51" t="str">
        <f>_xlfn.TEXTJOIN(" ",TRUE,Migrationsartikel!K301)</f>
        <v/>
      </c>
      <c r="T302" s="51" t="str">
        <f>_xlfn.TEXTJOIN(" ",TRUE,Migrationsartikel!O301)</f>
        <v/>
      </c>
      <c r="U302" s="51" t="str">
        <f>_xlfn.TEXTJOIN(" ",TRUE,Migrationsartikel!H301)</f>
        <v>200g</v>
      </c>
      <c r="V302" s="51" t="str">
        <f>_xlfn.TEXTJOIN(" ",TRUE,Migrationsartikel!L301)</f>
        <v>200g</v>
      </c>
      <c r="W302" s="51" t="str">
        <f>_xlfn.TEXTJOIN(" ",TRUE,Migrationsartikel!P301)</f>
        <v>200g</v>
      </c>
      <c r="X302" s="51" t="str">
        <f>Migrationsartikel!I301</f>
        <v>Pilze Saisonmischung 200g</v>
      </c>
      <c r="Y302" s="51" t="str">
        <f>Migrationsartikel!M301</f>
        <v>Champ. mél. de saison 200g</v>
      </c>
      <c r="Z302" s="51" t="str">
        <f>Migrationsartikel!Q301</f>
        <v>Funghi mix. stagionale 200g</v>
      </c>
      <c r="AA302" s="60">
        <f>Migrationsartikel!R301</f>
        <v>0.2</v>
      </c>
      <c r="AB302" s="51" t="str">
        <f>Migrationsartikel!T301</f>
        <v>Gramm</v>
      </c>
      <c r="AC302" s="62">
        <f>Migrationsartikel!S301</f>
        <v>100</v>
      </c>
      <c r="AD302" s="51" t="str">
        <f>Migrationsartikel!U301</f>
        <v>(PCE) Stück</v>
      </c>
      <c r="AE302" s="95" t="str">
        <f>Migrationsartikel!Y301</f>
        <v>3 - Reduzierter Satz</v>
      </c>
      <c r="AF302" s="64" t="str">
        <f>IF(Migrationsartikel!AA301="Kein Depotartikel","",Migrationsartikel!AA301)</f>
        <v/>
      </c>
      <c r="AG302" s="95" t="str">
        <f>Migrationsartikel!Z301</f>
        <v>Keine</v>
      </c>
      <c r="AH302" s="51" t="str">
        <f>IF(Migrationsartikel!AB301="ja","true",FALSE)</f>
        <v>true</v>
      </c>
      <c r="AI302" s="51" t="str">
        <f>IF(Migrationsartikel!AC301="ja","true",FALSE)</f>
        <v>true</v>
      </c>
      <c r="AJ302" s="51" t="str">
        <f>IF(Migrationsartikel!AD301="ja","true",FALSE)</f>
        <v>true</v>
      </c>
      <c r="AK302" s="51" t="str">
        <f>IF(Migrationsartikel!AE301="ja","true",FALSE)</f>
        <v>true</v>
      </c>
      <c r="AL302" s="51" t="str">
        <f>IF(Migrationsartikel!AF301="ja","Denner Partner","")</f>
        <v/>
      </c>
      <c r="AM302" s="51" t="str">
        <f>IF(Migrationsartikel!AG301="ja","true","false")</f>
        <v>false</v>
      </c>
      <c r="AN302" s="51" t="str">
        <f t="shared" si="5"/>
        <v>Kassentastenbelegung (ohne GTIN/PLU)</v>
      </c>
      <c r="AO302" s="63" t="s">
        <v>219</v>
      </c>
      <c r="AP302" s="62" t="s">
        <v>2729</v>
      </c>
      <c r="AQ302" s="63" t="s">
        <v>217</v>
      </c>
      <c r="AR302" s="30" t="s">
        <v>219</v>
      </c>
    </row>
    <row r="303" spans="2:44" ht="21.75" customHeight="1" x14ac:dyDescent="0.45">
      <c r="B303" s="51" t="s">
        <v>99</v>
      </c>
      <c r="E303" s="52" t="s">
        <v>87</v>
      </c>
      <c r="F303" s="51" t="str">
        <f>"Warengruppe&gt;&gt;"&amp;_xlfn.TEXTJOIN("&gt;&gt;",TRUE,Migrationsartikel!V302:X302)</f>
        <v>Warengruppe&gt;&gt;Früchte und Gemüse&gt;&gt;Früchte und Gemüse&gt;&gt;Gemüse</v>
      </c>
      <c r="H303" s="52" t="s">
        <v>109</v>
      </c>
      <c r="J303" s="51" t="str">
        <f>_xlfn.TEXTJOIN(" ",TRUE,Migrationsartikel!B302,Migrationsartikel!E302)</f>
        <v>7613399001119</v>
      </c>
      <c r="L303" s="51" t="str">
        <f>_xlfn.TEXTJOIN(" ",TRUE,Migrationsartikel!F302:H302)</f>
        <v>Salanova gewaschen 100g</v>
      </c>
      <c r="M303" s="51" t="str">
        <f>_xlfn.TEXTJOIN(" ",TRUE,Migrationsartikel!J302:L302)</f>
        <v>Salanova Lavée 100g</v>
      </c>
      <c r="N303" s="51" t="str">
        <f>_xlfn.TEXTJOIN(" ",TRUE,Migrationsartikel!N302:P302)</f>
        <v>Salanova lavato 100g</v>
      </c>
      <c r="O303" s="51" t="str">
        <f>Migrationsartikel!F302</f>
        <v>Salanova</v>
      </c>
      <c r="P303" s="51" t="str">
        <f>Migrationsartikel!J302</f>
        <v>Salanova</v>
      </c>
      <c r="Q303" s="51" t="str">
        <f>Migrationsartikel!N302</f>
        <v>Salanova</v>
      </c>
      <c r="R303" s="51" t="str">
        <f>_xlfn.TEXTJOIN(" ",TRUE,Migrationsartikel!G302)</f>
        <v>gewaschen</v>
      </c>
      <c r="S303" s="51" t="str">
        <f>_xlfn.TEXTJOIN(" ",TRUE,Migrationsartikel!K302)</f>
        <v>Lavée</v>
      </c>
      <c r="T303" s="51" t="str">
        <f>_xlfn.TEXTJOIN(" ",TRUE,Migrationsartikel!O302)</f>
        <v>lavato</v>
      </c>
      <c r="U303" s="51" t="str">
        <f>_xlfn.TEXTJOIN(" ",TRUE,Migrationsartikel!H302)</f>
        <v>100g</v>
      </c>
      <c r="V303" s="51" t="str">
        <f>_xlfn.TEXTJOIN(" ",TRUE,Migrationsartikel!L302)</f>
        <v>100g</v>
      </c>
      <c r="W303" s="51" t="str">
        <f>_xlfn.TEXTJOIN(" ",TRUE,Migrationsartikel!P302)</f>
        <v>100g</v>
      </c>
      <c r="X303" s="51" t="str">
        <f>Migrationsartikel!I302</f>
        <v>Salanova gewaschen 100g</v>
      </c>
      <c r="Y303" s="51" t="str">
        <f>Migrationsartikel!M302</f>
        <v>Salanova lavée 100g</v>
      </c>
      <c r="Z303" s="51" t="str">
        <f>Migrationsartikel!Q302</f>
        <v>Salanova lavato 100g</v>
      </c>
      <c r="AA303" s="60">
        <f>Migrationsartikel!R302</f>
        <v>0.1</v>
      </c>
      <c r="AB303" s="51" t="str">
        <f>Migrationsartikel!T302</f>
        <v>Gramm</v>
      </c>
      <c r="AC303" s="62">
        <f>Migrationsartikel!S302</f>
        <v>100</v>
      </c>
      <c r="AD303" s="51" t="str">
        <f>Migrationsartikel!U302</f>
        <v>(PCE) Stück</v>
      </c>
      <c r="AE303" s="95" t="str">
        <f>Migrationsartikel!Y302</f>
        <v>3 - Reduzierter Satz</v>
      </c>
      <c r="AF303" s="64" t="str">
        <f>IF(Migrationsartikel!AA302="Kein Depotartikel","",Migrationsartikel!AA302)</f>
        <v/>
      </c>
      <c r="AG303" s="95" t="str">
        <f>Migrationsartikel!Z302</f>
        <v>Keine</v>
      </c>
      <c r="AH303" s="51" t="str">
        <f>IF(Migrationsartikel!AB302="ja","true",FALSE)</f>
        <v>true</v>
      </c>
      <c r="AI303" s="51" t="str">
        <f>IF(Migrationsartikel!AC302="ja","true",FALSE)</f>
        <v>true</v>
      </c>
      <c r="AJ303" s="51" t="str">
        <f>IF(Migrationsartikel!AD302="ja","true",FALSE)</f>
        <v>true</v>
      </c>
      <c r="AK303" s="51" t="str">
        <f>IF(Migrationsartikel!AE302="ja","true",FALSE)</f>
        <v>true</v>
      </c>
      <c r="AL303" s="51" t="str">
        <f>IF(Migrationsartikel!AF302="ja","Denner Partner","")</f>
        <v/>
      </c>
      <c r="AM303" s="51" t="str">
        <f>IF(Migrationsartikel!AG302="ja","true","false")</f>
        <v>false</v>
      </c>
      <c r="AN303" s="51" t="str">
        <f t="shared" si="5"/>
        <v>Kassentastenbelegung (ohne GTIN/PLU)</v>
      </c>
      <c r="AO303" s="63" t="s">
        <v>219</v>
      </c>
      <c r="AP303" s="62" t="s">
        <v>2730</v>
      </c>
      <c r="AQ303" s="63" t="s">
        <v>217</v>
      </c>
      <c r="AR303" s="30" t="s">
        <v>219</v>
      </c>
    </row>
    <row r="304" spans="2:44" ht="21.75" customHeight="1" x14ac:dyDescent="0.45">
      <c r="B304" s="51" t="s">
        <v>99</v>
      </c>
      <c r="E304" s="52" t="s">
        <v>87</v>
      </c>
      <c r="F304" s="51" t="str">
        <f>"Warengruppe&gt;&gt;"&amp;_xlfn.TEXTJOIN("&gt;&gt;",TRUE,Migrationsartikel!V303:X303)</f>
        <v>Warengruppe&gt;&gt;Früchte und Gemüse&gt;&gt;Früchte und Gemüse&gt;&gt;Gemüse</v>
      </c>
      <c r="H304" s="52" t="s">
        <v>109</v>
      </c>
      <c r="J304" s="51" t="str">
        <f>_xlfn.TEXTJOIN(" ",TRUE,Migrationsartikel!B303,Migrationsartikel!E303)</f>
        <v/>
      </c>
      <c r="L304" s="51" t="str">
        <f>_xlfn.TEXTJOIN(" ",TRUE,Migrationsartikel!F303:H303)</f>
        <v>Salat Hydro trio 1Stk</v>
      </c>
      <c r="M304" s="51" t="str">
        <f>_xlfn.TEXTJOIN(" ",TRUE,Migrationsartikel!J303:L303)</f>
        <v>Salade Hydro trio 1pce</v>
      </c>
      <c r="N304" s="51" t="str">
        <f>_xlfn.TEXTJOIN(" ",TRUE,Migrationsartikel!N303:P303)</f>
        <v>Insalata Hydro trio 1pz</v>
      </c>
      <c r="O304" s="51" t="str">
        <f>Migrationsartikel!F303</f>
        <v>Salat Hydro trio</v>
      </c>
      <c r="P304" s="51" t="str">
        <f>Migrationsartikel!J303</f>
        <v>Salade Hydro trio</v>
      </c>
      <c r="Q304" s="51" t="str">
        <f>Migrationsartikel!N303</f>
        <v>Insalata Hydro trio</v>
      </c>
      <c r="R304" s="51" t="str">
        <f>_xlfn.TEXTJOIN(" ",TRUE,Migrationsartikel!G303)</f>
        <v/>
      </c>
      <c r="S304" s="51" t="str">
        <f>_xlfn.TEXTJOIN(" ",TRUE,Migrationsartikel!K303)</f>
        <v/>
      </c>
      <c r="T304" s="51" t="str">
        <f>_xlfn.TEXTJOIN(" ",TRUE,Migrationsartikel!O303)</f>
        <v/>
      </c>
      <c r="U304" s="51" t="str">
        <f>_xlfn.TEXTJOIN(" ",TRUE,Migrationsartikel!H303)</f>
        <v>1Stk</v>
      </c>
      <c r="V304" s="51" t="str">
        <f>_xlfn.TEXTJOIN(" ",TRUE,Migrationsartikel!L303)</f>
        <v>1pce</v>
      </c>
      <c r="W304" s="51" t="str">
        <f>_xlfn.TEXTJOIN(" ",TRUE,Migrationsartikel!P303)</f>
        <v>1pz</v>
      </c>
      <c r="X304" s="51" t="str">
        <f>Migrationsartikel!I303</f>
        <v>Salat Hydrio trio 1 Stk</v>
      </c>
      <c r="Y304" s="51" t="str">
        <f>Migrationsartikel!M303</f>
        <v>Salade Hydro trio 1 pce</v>
      </c>
      <c r="Z304" s="51" t="str">
        <f>Migrationsartikel!Q303</f>
        <v>Insalata Hydro trio 1 pz</v>
      </c>
      <c r="AA304" s="60">
        <f>Migrationsartikel!R303</f>
        <v>1</v>
      </c>
      <c r="AB304" s="51" t="str">
        <f>Migrationsartikel!T303</f>
        <v>Stück</v>
      </c>
      <c r="AC304" s="62">
        <f>Migrationsartikel!S303</f>
        <v>1</v>
      </c>
      <c r="AD304" s="51" t="str">
        <f>Migrationsartikel!U303</f>
        <v>(PCE) Stück</v>
      </c>
      <c r="AE304" s="95" t="str">
        <f>Migrationsartikel!Y303</f>
        <v>3 - Reduzierter Satz</v>
      </c>
      <c r="AF304" s="64" t="str">
        <f>IF(Migrationsartikel!AA303="Kein Depotartikel","",Migrationsartikel!AA303)</f>
        <v/>
      </c>
      <c r="AG304" s="95" t="str">
        <f>Migrationsartikel!Z303</f>
        <v>Keine</v>
      </c>
      <c r="AH304" s="51" t="str">
        <f>IF(Migrationsartikel!AB303="ja","true",FALSE)</f>
        <v>true</v>
      </c>
      <c r="AI304" s="51" t="str">
        <f>IF(Migrationsartikel!AC303="ja","true",FALSE)</f>
        <v>true</v>
      </c>
      <c r="AJ304" s="51" t="str">
        <f>IF(Migrationsartikel!AD303="ja","true",FALSE)</f>
        <v>true</v>
      </c>
      <c r="AK304" s="51" t="str">
        <f>IF(Migrationsartikel!AE303="ja","true",FALSE)</f>
        <v>true</v>
      </c>
      <c r="AL304" s="51" t="str">
        <f>IF(Migrationsartikel!AF303="ja","Denner Partner","")</f>
        <v/>
      </c>
      <c r="AM304" s="51" t="str">
        <f>IF(Migrationsartikel!AG303="ja","true","false")</f>
        <v>false</v>
      </c>
      <c r="AN304" s="51" t="str">
        <f t="shared" si="5"/>
        <v>Kassentastenbelegung (ohne GTIN/PLU)</v>
      </c>
      <c r="AO304" s="63" t="s">
        <v>219</v>
      </c>
      <c r="AP304" s="62" t="s">
        <v>2731</v>
      </c>
      <c r="AQ304" s="63" t="s">
        <v>217</v>
      </c>
      <c r="AR304" s="30" t="s">
        <v>219</v>
      </c>
    </row>
    <row r="305" spans="2:44" ht="21.75" customHeight="1" x14ac:dyDescent="0.45">
      <c r="B305" s="51" t="s">
        <v>99</v>
      </c>
      <c r="E305" s="52" t="s">
        <v>87</v>
      </c>
      <c r="F305" s="51" t="str">
        <f>"Warengruppe&gt;&gt;"&amp;_xlfn.TEXTJOIN("&gt;&gt;",TRUE,Migrationsartikel!V304:X304)</f>
        <v>Warengruppe&gt;&gt;Früchte und Gemüse&gt;&gt;Früchte und Gemüse&gt;&gt;Gemüse</v>
      </c>
      <c r="H305" s="52" t="s">
        <v>109</v>
      </c>
      <c r="J305" s="51" t="str">
        <f>_xlfn.TEXTJOIN(" ",TRUE,Migrationsartikel!B304,Migrationsartikel!E304)</f>
        <v>7613399041818</v>
      </c>
      <c r="L305" s="51" t="str">
        <f>_xlfn.TEXTJOIN(" ",TRUE,Migrationsartikel!F304:H304)</f>
        <v>Salbei Schale 20g</v>
      </c>
      <c r="M305" s="51" t="str">
        <f>_xlfn.TEXTJOIN(" ",TRUE,Migrationsartikel!J304:L304)</f>
        <v>Sauge Barquette 20g</v>
      </c>
      <c r="N305" s="51" t="str">
        <f>_xlfn.TEXTJOIN(" ",TRUE,Migrationsartikel!N304:P304)</f>
        <v>Salvia vaschetta 20g</v>
      </c>
      <c r="O305" s="51" t="str">
        <f>Migrationsartikel!F304</f>
        <v>Salbei</v>
      </c>
      <c r="P305" s="51" t="str">
        <f>Migrationsartikel!J304</f>
        <v>Sauge</v>
      </c>
      <c r="Q305" s="51" t="str">
        <f>Migrationsartikel!N304</f>
        <v>Salvia</v>
      </c>
      <c r="R305" s="51" t="str">
        <f>_xlfn.TEXTJOIN(" ",TRUE,Migrationsartikel!G304)</f>
        <v>Schale</v>
      </c>
      <c r="S305" s="51" t="str">
        <f>_xlfn.TEXTJOIN(" ",TRUE,Migrationsartikel!K304)</f>
        <v>Barquette</v>
      </c>
      <c r="T305" s="51" t="str">
        <f>_xlfn.TEXTJOIN(" ",TRUE,Migrationsartikel!O304)</f>
        <v>vaschetta</v>
      </c>
      <c r="U305" s="51" t="str">
        <f>_xlfn.TEXTJOIN(" ",TRUE,Migrationsartikel!H304)</f>
        <v>20g</v>
      </c>
      <c r="V305" s="51" t="str">
        <f>_xlfn.TEXTJOIN(" ",TRUE,Migrationsartikel!L304)</f>
        <v>20g</v>
      </c>
      <c r="W305" s="51" t="str">
        <f>_xlfn.TEXTJOIN(" ",TRUE,Migrationsartikel!P304)</f>
        <v>20g</v>
      </c>
      <c r="X305" s="51" t="str">
        <f>Migrationsartikel!I304</f>
        <v>Salbei Schale 20g</v>
      </c>
      <c r="Y305" s="51" t="str">
        <f>Migrationsartikel!M304</f>
        <v>Sauge barquette 20g</v>
      </c>
      <c r="Z305" s="51" t="str">
        <f>Migrationsartikel!Q304</f>
        <v>Salvia vachetta 20g</v>
      </c>
      <c r="AA305" s="60">
        <f>Migrationsartikel!R304</f>
        <v>0.02</v>
      </c>
      <c r="AB305" s="51" t="str">
        <f>Migrationsartikel!T304</f>
        <v>Gramm</v>
      </c>
      <c r="AC305" s="62">
        <f>Migrationsartikel!S304</f>
        <v>100</v>
      </c>
      <c r="AD305" s="51" t="str">
        <f>Migrationsartikel!U304</f>
        <v>(PCE) Stück</v>
      </c>
      <c r="AE305" s="95" t="str">
        <f>Migrationsartikel!Y304</f>
        <v>3 - Reduzierter Satz</v>
      </c>
      <c r="AF305" s="64" t="str">
        <f>IF(Migrationsartikel!AA304="Kein Depotartikel","",Migrationsartikel!AA304)</f>
        <v/>
      </c>
      <c r="AG305" s="95" t="str">
        <f>Migrationsartikel!Z304</f>
        <v>Keine</v>
      </c>
      <c r="AH305" s="51" t="str">
        <f>IF(Migrationsartikel!AB304="ja","true",FALSE)</f>
        <v>true</v>
      </c>
      <c r="AI305" s="51" t="str">
        <f>IF(Migrationsartikel!AC304="ja","true",FALSE)</f>
        <v>true</v>
      </c>
      <c r="AJ305" s="51" t="str">
        <f>IF(Migrationsartikel!AD304="ja","true",FALSE)</f>
        <v>true</v>
      </c>
      <c r="AK305" s="51" t="str">
        <f>IF(Migrationsartikel!AE304="ja","true",FALSE)</f>
        <v>true</v>
      </c>
      <c r="AL305" s="51" t="str">
        <f>IF(Migrationsartikel!AF304="ja","Denner Partner","")</f>
        <v/>
      </c>
      <c r="AM305" s="51" t="str">
        <f>IF(Migrationsartikel!AG304="ja","true","false")</f>
        <v>false</v>
      </c>
      <c r="AN305" s="51" t="str">
        <f t="shared" si="5"/>
        <v>Kassentastenbelegung (ohne GTIN/PLU)</v>
      </c>
      <c r="AO305" s="63" t="s">
        <v>219</v>
      </c>
      <c r="AP305" s="62" t="s">
        <v>2732</v>
      </c>
      <c r="AQ305" s="63" t="s">
        <v>217</v>
      </c>
      <c r="AR305" s="30" t="s">
        <v>219</v>
      </c>
    </row>
    <row r="306" spans="2:44" ht="21.75" customHeight="1" x14ac:dyDescent="0.45">
      <c r="B306" s="51" t="s">
        <v>99</v>
      </c>
      <c r="E306" s="52" t="s">
        <v>87</v>
      </c>
      <c r="F306" s="51" t="str">
        <f>"Warengruppe&gt;&gt;"&amp;_xlfn.TEXTJOIN("&gt;&gt;",TRUE,Migrationsartikel!V305:X305)</f>
        <v>Warengruppe&gt;&gt;Früchte und Gemüse&gt;&gt;Früchte und Gemüse&gt;&gt;Gemüse</v>
      </c>
      <c r="H306" s="52" t="s">
        <v>109</v>
      </c>
      <c r="J306" s="51" t="str">
        <f>_xlfn.TEXTJOIN(" ",TRUE,Migrationsartikel!B305,Migrationsartikel!E305)</f>
        <v/>
      </c>
      <c r="L306" s="51" t="str">
        <f>_xlfn.TEXTJOIN(" ",TRUE,Migrationsartikel!F305:H305)</f>
        <v>Schnittlauch Schale 20g</v>
      </c>
      <c r="M306" s="51" t="str">
        <f>_xlfn.TEXTJOIN(" ",TRUE,Migrationsartikel!J305:L305)</f>
        <v>Ciboulette Barquette 20g</v>
      </c>
      <c r="N306" s="51" t="str">
        <f>_xlfn.TEXTJOIN(" ",TRUE,Migrationsartikel!N305:P305)</f>
        <v>Erba cipollina vaschetta 20g</v>
      </c>
      <c r="O306" s="51" t="str">
        <f>Migrationsartikel!F305</f>
        <v>Schnittlauch</v>
      </c>
      <c r="P306" s="51" t="str">
        <f>Migrationsartikel!J305</f>
        <v>Ciboulette</v>
      </c>
      <c r="Q306" s="51" t="str">
        <f>Migrationsartikel!N305</f>
        <v>Erba cipollina</v>
      </c>
      <c r="R306" s="51" t="str">
        <f>_xlfn.TEXTJOIN(" ",TRUE,Migrationsartikel!G305)</f>
        <v>Schale</v>
      </c>
      <c r="S306" s="51" t="str">
        <f>_xlfn.TEXTJOIN(" ",TRUE,Migrationsartikel!K305)</f>
        <v>Barquette</v>
      </c>
      <c r="T306" s="51" t="str">
        <f>_xlfn.TEXTJOIN(" ",TRUE,Migrationsartikel!O305)</f>
        <v>vaschetta</v>
      </c>
      <c r="U306" s="51" t="str">
        <f>_xlfn.TEXTJOIN(" ",TRUE,Migrationsartikel!H305)</f>
        <v>20g</v>
      </c>
      <c r="V306" s="51" t="str">
        <f>_xlfn.TEXTJOIN(" ",TRUE,Migrationsartikel!L305)</f>
        <v>20g</v>
      </c>
      <c r="W306" s="51" t="str">
        <f>_xlfn.TEXTJOIN(" ",TRUE,Migrationsartikel!P305)</f>
        <v>20g</v>
      </c>
      <c r="X306" s="51" t="str">
        <f>Migrationsartikel!I305</f>
        <v>Schnittlauch Schale 20g</v>
      </c>
      <c r="Y306" s="51" t="str">
        <f>Migrationsartikel!M305</f>
        <v>Ciboulette barquette 20g</v>
      </c>
      <c r="Z306" s="51" t="str">
        <f>Migrationsartikel!Q305</f>
        <v>Erba cipollina vaschetta 20g</v>
      </c>
      <c r="AA306" s="60">
        <f>Migrationsartikel!R305</f>
        <v>0.02</v>
      </c>
      <c r="AB306" s="51" t="str">
        <f>Migrationsartikel!T305</f>
        <v>Gramm</v>
      </c>
      <c r="AC306" s="62">
        <f>Migrationsartikel!S305</f>
        <v>100</v>
      </c>
      <c r="AD306" s="51" t="str">
        <f>Migrationsartikel!U305</f>
        <v>(PCE) Stück</v>
      </c>
      <c r="AE306" s="95" t="str">
        <f>Migrationsartikel!Y305</f>
        <v>3 - Reduzierter Satz</v>
      </c>
      <c r="AF306" s="64" t="str">
        <f>IF(Migrationsartikel!AA305="Kein Depotartikel","",Migrationsartikel!AA305)</f>
        <v/>
      </c>
      <c r="AG306" s="95" t="str">
        <f>Migrationsartikel!Z305</f>
        <v>Keine</v>
      </c>
      <c r="AH306" s="51" t="str">
        <f>IF(Migrationsartikel!AB305="ja","true",FALSE)</f>
        <v>true</v>
      </c>
      <c r="AI306" s="51" t="str">
        <f>IF(Migrationsartikel!AC305="ja","true",FALSE)</f>
        <v>true</v>
      </c>
      <c r="AJ306" s="51" t="str">
        <f>IF(Migrationsartikel!AD305="ja","true",FALSE)</f>
        <v>true</v>
      </c>
      <c r="AK306" s="51" t="str">
        <f>IF(Migrationsartikel!AE305="ja","true",FALSE)</f>
        <v>true</v>
      </c>
      <c r="AL306" s="51" t="str">
        <f>IF(Migrationsartikel!AF305="ja","Denner Partner","")</f>
        <v/>
      </c>
      <c r="AM306" s="51" t="str">
        <f>IF(Migrationsartikel!AG305="ja","true","false")</f>
        <v>false</v>
      </c>
      <c r="AN306" s="51" t="str">
        <f t="shared" si="5"/>
        <v>Kassentastenbelegung (ohne GTIN/PLU)</v>
      </c>
      <c r="AO306" s="63" t="s">
        <v>219</v>
      </c>
      <c r="AP306" s="62" t="s">
        <v>2733</v>
      </c>
      <c r="AQ306" s="63" t="s">
        <v>217</v>
      </c>
      <c r="AR306" s="30" t="s">
        <v>219</v>
      </c>
    </row>
    <row r="307" spans="2:44" ht="21.75" customHeight="1" x14ac:dyDescent="0.45">
      <c r="B307" s="51" t="s">
        <v>99</v>
      </c>
      <c r="E307" s="52" t="s">
        <v>87</v>
      </c>
      <c r="F307" s="51" t="str">
        <f>"Warengruppe&gt;&gt;"&amp;_xlfn.TEXTJOIN("&gt;&gt;",TRUE,Migrationsartikel!V306:X306)</f>
        <v>Warengruppe&gt;&gt;Früchte und Gemüse&gt;&gt;Früchte und Gemüse&gt;&gt;Gemüse</v>
      </c>
      <c r="H307" s="52" t="s">
        <v>109</v>
      </c>
      <c r="J307" s="51" t="str">
        <f>_xlfn.TEXTJOIN(" ",TRUE,Migrationsartikel!B306,Migrationsartikel!E306)</f>
        <v>7613399036937</v>
      </c>
      <c r="L307" s="51" t="str">
        <f>_xlfn.TEXTJOIN(" ",TRUE,Migrationsartikel!F306:H306)</f>
        <v>Schnittlauch geschnitten 100g</v>
      </c>
      <c r="M307" s="51" t="str">
        <f>_xlfn.TEXTJOIN(" ",TRUE,Migrationsartikel!J306:L306)</f>
        <v>Ciboulette coupée 100g</v>
      </c>
      <c r="N307" s="51" t="str">
        <f>_xlfn.TEXTJOIN(" ",TRUE,Migrationsartikel!N306:P306)</f>
        <v>Erba cipollina tritata 100g</v>
      </c>
      <c r="O307" s="51" t="str">
        <f>Migrationsartikel!F306</f>
        <v>Schnittlauch</v>
      </c>
      <c r="P307" s="51" t="str">
        <f>Migrationsartikel!J306</f>
        <v>Ciboulette coupée</v>
      </c>
      <c r="Q307" s="51" t="str">
        <f>Migrationsartikel!N306</f>
        <v>Erba cipollina tritata</v>
      </c>
      <c r="R307" s="51" t="str">
        <f>_xlfn.TEXTJOIN(" ",TRUE,Migrationsartikel!G306)</f>
        <v>geschnitten</v>
      </c>
      <c r="S307" s="51" t="str">
        <f>_xlfn.TEXTJOIN(" ",TRUE,Migrationsartikel!K306)</f>
        <v/>
      </c>
      <c r="T307" s="51" t="str">
        <f>_xlfn.TEXTJOIN(" ",TRUE,Migrationsartikel!O306)</f>
        <v/>
      </c>
      <c r="U307" s="51" t="str">
        <f>_xlfn.TEXTJOIN(" ",TRUE,Migrationsartikel!H306)</f>
        <v>100g</v>
      </c>
      <c r="V307" s="51" t="str">
        <f>_xlfn.TEXTJOIN(" ",TRUE,Migrationsartikel!L306)</f>
        <v>100g</v>
      </c>
      <c r="W307" s="51" t="str">
        <f>_xlfn.TEXTJOIN(" ",TRUE,Migrationsartikel!P306)</f>
        <v>100g</v>
      </c>
      <c r="X307" s="51" t="str">
        <f>Migrationsartikel!I306</f>
        <v>Schnittlauch geschn. 100g</v>
      </c>
      <c r="Y307" s="51" t="str">
        <f>Migrationsartikel!M306</f>
        <v>Ciboulette 100g</v>
      </c>
      <c r="Z307" s="51" t="str">
        <f>Migrationsartikel!Q306</f>
        <v>Erba cipollina tritata 100g</v>
      </c>
      <c r="AA307" s="60">
        <f>Migrationsartikel!R306</f>
        <v>0.1</v>
      </c>
      <c r="AB307" s="51" t="str">
        <f>Migrationsartikel!T306</f>
        <v>Gramm</v>
      </c>
      <c r="AC307" s="62">
        <f>Migrationsartikel!S306</f>
        <v>100</v>
      </c>
      <c r="AD307" s="51" t="str">
        <f>Migrationsartikel!U306</f>
        <v>(PCE) Stück</v>
      </c>
      <c r="AE307" s="95" t="str">
        <f>Migrationsartikel!Y306</f>
        <v>3 - Reduzierter Satz</v>
      </c>
      <c r="AF307" s="64" t="str">
        <f>IF(Migrationsartikel!AA306="Kein Depotartikel","",Migrationsartikel!AA306)</f>
        <v/>
      </c>
      <c r="AG307" s="95" t="str">
        <f>Migrationsartikel!Z306</f>
        <v>Keine</v>
      </c>
      <c r="AH307" s="51" t="str">
        <f>IF(Migrationsartikel!AB306="ja","true",FALSE)</f>
        <v>true</v>
      </c>
      <c r="AI307" s="51" t="str">
        <f>IF(Migrationsartikel!AC306="ja","true",FALSE)</f>
        <v>true</v>
      </c>
      <c r="AJ307" s="51" t="str">
        <f>IF(Migrationsartikel!AD306="ja","true",FALSE)</f>
        <v>true</v>
      </c>
      <c r="AK307" s="51" t="str">
        <f>IF(Migrationsartikel!AE306="ja","true",FALSE)</f>
        <v>true</v>
      </c>
      <c r="AL307" s="51" t="str">
        <f>IF(Migrationsartikel!AF306="ja","Denner Partner","")</f>
        <v/>
      </c>
      <c r="AM307" s="51" t="str">
        <f>IF(Migrationsartikel!AG306="ja","true","false")</f>
        <v>false</v>
      </c>
      <c r="AN307" s="51" t="str">
        <f t="shared" si="5"/>
        <v>Kassentastenbelegung (ohne GTIN/PLU)</v>
      </c>
      <c r="AO307" s="63" t="s">
        <v>219</v>
      </c>
      <c r="AP307" s="62" t="s">
        <v>2734</v>
      </c>
      <c r="AQ307" s="63" t="s">
        <v>217</v>
      </c>
      <c r="AR307" s="30" t="s">
        <v>219</v>
      </c>
    </row>
    <row r="308" spans="2:44" ht="21.75" customHeight="1" x14ac:dyDescent="0.45">
      <c r="B308" s="51" t="s">
        <v>99</v>
      </c>
      <c r="E308" s="52" t="s">
        <v>87</v>
      </c>
      <c r="F308" s="51" t="str">
        <f>"Warengruppe&gt;&gt;"&amp;_xlfn.TEXTJOIN("&gt;&gt;",TRUE,Migrationsartikel!V307:X307)</f>
        <v>Warengruppe&gt;&gt;Früchte und Gemüse&gt;&gt;Früchte und Gemüse&gt;&gt;Gemüse</v>
      </c>
      <c r="H308" s="52" t="s">
        <v>109</v>
      </c>
      <c r="J308" s="51" t="str">
        <f>_xlfn.TEXTJOIN(" ",TRUE,Migrationsartikel!B307,Migrationsartikel!E307)</f>
        <v>7613399043225</v>
      </c>
      <c r="L308" s="51" t="str">
        <f>_xlfn.TEXTJOIN(" ",TRUE,Migrationsartikel!F307:H307)</f>
        <v>Schnittlauch Schale 12g</v>
      </c>
      <c r="M308" s="51" t="str">
        <f>_xlfn.TEXTJOIN(" ",TRUE,Migrationsartikel!J307:L307)</f>
        <v>Ciboulette Barquette 12g</v>
      </c>
      <c r="N308" s="51" t="str">
        <f>_xlfn.TEXTJOIN(" ",TRUE,Migrationsartikel!N307:P307)</f>
        <v>Erba cipollina vaschetta 12g</v>
      </c>
      <c r="O308" s="51" t="str">
        <f>Migrationsartikel!F307</f>
        <v>Schnittlauch</v>
      </c>
      <c r="P308" s="51" t="str">
        <f>Migrationsartikel!J307</f>
        <v>Ciboulette</v>
      </c>
      <c r="Q308" s="51" t="str">
        <f>Migrationsartikel!N307</f>
        <v>Erba cipollina</v>
      </c>
      <c r="R308" s="51" t="str">
        <f>_xlfn.TEXTJOIN(" ",TRUE,Migrationsartikel!G307)</f>
        <v>Schale</v>
      </c>
      <c r="S308" s="51" t="str">
        <f>_xlfn.TEXTJOIN(" ",TRUE,Migrationsartikel!K307)</f>
        <v>Barquette</v>
      </c>
      <c r="T308" s="51" t="str">
        <f>_xlfn.TEXTJOIN(" ",TRUE,Migrationsartikel!O307)</f>
        <v>vaschetta</v>
      </c>
      <c r="U308" s="51" t="str">
        <f>_xlfn.TEXTJOIN(" ",TRUE,Migrationsartikel!H307)</f>
        <v>12g</v>
      </c>
      <c r="V308" s="51" t="str">
        <f>_xlfn.TEXTJOIN(" ",TRUE,Migrationsartikel!L307)</f>
        <v>12g</v>
      </c>
      <c r="W308" s="51" t="str">
        <f>_xlfn.TEXTJOIN(" ",TRUE,Migrationsartikel!P307)</f>
        <v>12g</v>
      </c>
      <c r="X308" s="51" t="str">
        <f>Migrationsartikel!I307</f>
        <v>Schnittlauch Schale 12g</v>
      </c>
      <c r="Y308" s="51" t="str">
        <f>Migrationsartikel!M307</f>
        <v>Ciboulette barquette 12g</v>
      </c>
      <c r="Z308" s="51" t="str">
        <f>Migrationsartikel!Q307</f>
        <v>Erba cipollia vaschetta 12g</v>
      </c>
      <c r="AA308" s="60">
        <f>Migrationsartikel!R307</f>
        <v>1.2E-2</v>
      </c>
      <c r="AB308" s="51" t="str">
        <f>Migrationsartikel!T307</f>
        <v>Gramm</v>
      </c>
      <c r="AC308" s="62">
        <f>Migrationsartikel!S307</f>
        <v>100</v>
      </c>
      <c r="AD308" s="51" t="str">
        <f>Migrationsartikel!U307</f>
        <v>(PCE) Stück</v>
      </c>
      <c r="AE308" s="95" t="str">
        <f>Migrationsartikel!Y307</f>
        <v>3 - Reduzierter Satz</v>
      </c>
      <c r="AF308" s="64" t="str">
        <f>IF(Migrationsartikel!AA307="Kein Depotartikel","",Migrationsartikel!AA307)</f>
        <v/>
      </c>
      <c r="AG308" s="95" t="str">
        <f>Migrationsartikel!Z307</f>
        <v>Keine</v>
      </c>
      <c r="AH308" s="51" t="str">
        <f>IF(Migrationsartikel!AB307="ja","true",FALSE)</f>
        <v>true</v>
      </c>
      <c r="AI308" s="51" t="str">
        <f>IF(Migrationsartikel!AC307="ja","true",FALSE)</f>
        <v>true</v>
      </c>
      <c r="AJ308" s="51" t="str">
        <f>IF(Migrationsartikel!AD307="ja","true",FALSE)</f>
        <v>true</v>
      </c>
      <c r="AK308" s="51" t="str">
        <f>IF(Migrationsartikel!AE307="ja","true",FALSE)</f>
        <v>true</v>
      </c>
      <c r="AL308" s="51" t="str">
        <f>IF(Migrationsartikel!AF307="ja","Denner Partner","")</f>
        <v/>
      </c>
      <c r="AM308" s="51" t="str">
        <f>IF(Migrationsartikel!AG307="ja","true","false")</f>
        <v>false</v>
      </c>
      <c r="AN308" s="51" t="str">
        <f t="shared" si="5"/>
        <v>Kassentastenbelegung (ohne GTIN/PLU)</v>
      </c>
      <c r="AO308" s="63" t="s">
        <v>219</v>
      </c>
      <c r="AP308" s="62" t="s">
        <v>2735</v>
      </c>
      <c r="AQ308" s="63" t="s">
        <v>217</v>
      </c>
      <c r="AR308" s="30" t="s">
        <v>219</v>
      </c>
    </row>
    <row r="309" spans="2:44" ht="21.75" customHeight="1" x14ac:dyDescent="0.45">
      <c r="B309" s="51" t="s">
        <v>99</v>
      </c>
      <c r="E309" s="52" t="s">
        <v>87</v>
      </c>
      <c r="F309" s="51" t="str">
        <f>"Warengruppe&gt;&gt;"&amp;_xlfn.TEXTJOIN("&gt;&gt;",TRUE,Migrationsartikel!V308:X308)</f>
        <v>Warengruppe&gt;&gt;Früchte und Gemüse&gt;&gt;Früchte und Gemüse&gt;&gt;Gemüse</v>
      </c>
      <c r="H309" s="52" t="s">
        <v>109</v>
      </c>
      <c r="J309" s="51" t="str">
        <f>_xlfn.TEXTJOIN(" ",TRUE,Migrationsartikel!B308,Migrationsartikel!E308)</f>
        <v>7613399001201</v>
      </c>
      <c r="L309" s="51" t="str">
        <f>_xlfn.TEXTJOIN(" ",TRUE,Migrationsartikel!F308:H308)</f>
        <v>Sellerie Julienne 200g</v>
      </c>
      <c r="M309" s="51" t="str">
        <f>_xlfn.TEXTJOIN(" ",TRUE,Migrationsartikel!J308:L308)</f>
        <v>Céleri en julienne 200g</v>
      </c>
      <c r="N309" s="51" t="str">
        <f>_xlfn.TEXTJOIN(" ",TRUE,Migrationsartikel!N308:P308)</f>
        <v>Sedano julienne 200g</v>
      </c>
      <c r="O309" s="51" t="str">
        <f>Migrationsartikel!F308</f>
        <v>Sellerie Julienne</v>
      </c>
      <c r="P309" s="51" t="str">
        <f>Migrationsartikel!J308</f>
        <v>Céleri en julienne</v>
      </c>
      <c r="Q309" s="51" t="str">
        <f>Migrationsartikel!N308</f>
        <v>Sedano julienne</v>
      </c>
      <c r="R309" s="51" t="str">
        <f>_xlfn.TEXTJOIN(" ",TRUE,Migrationsartikel!G308)</f>
        <v/>
      </c>
      <c r="S309" s="51" t="str">
        <f>_xlfn.TEXTJOIN(" ",TRUE,Migrationsartikel!K308)</f>
        <v/>
      </c>
      <c r="T309" s="51" t="str">
        <f>_xlfn.TEXTJOIN(" ",TRUE,Migrationsartikel!O308)</f>
        <v/>
      </c>
      <c r="U309" s="51" t="str">
        <f>_xlfn.TEXTJOIN(" ",TRUE,Migrationsartikel!H308)</f>
        <v>200g</v>
      </c>
      <c r="V309" s="51" t="str">
        <f>_xlfn.TEXTJOIN(" ",TRUE,Migrationsartikel!L308)</f>
        <v>200g</v>
      </c>
      <c r="W309" s="51" t="str">
        <f>_xlfn.TEXTJOIN(" ",TRUE,Migrationsartikel!P308)</f>
        <v>200g</v>
      </c>
      <c r="X309" s="51" t="str">
        <f>Migrationsartikel!I308</f>
        <v>Sellerie Julienne 200g</v>
      </c>
      <c r="Y309" s="51" t="str">
        <f>Migrationsartikel!M308</f>
        <v>Céleri en julienne 200g</v>
      </c>
      <c r="Z309" s="51" t="str">
        <f>Migrationsartikel!Q308</f>
        <v>Sedano julienne 200g</v>
      </c>
      <c r="AA309" s="60">
        <f>Migrationsartikel!R308</f>
        <v>0.2</v>
      </c>
      <c r="AB309" s="51" t="str">
        <f>Migrationsartikel!T308</f>
        <v>Gramm</v>
      </c>
      <c r="AC309" s="62">
        <f>Migrationsartikel!S308</f>
        <v>100</v>
      </c>
      <c r="AD309" s="51" t="str">
        <f>Migrationsartikel!U308</f>
        <v>(PCE) Stück</v>
      </c>
      <c r="AE309" s="95" t="str">
        <f>Migrationsartikel!Y308</f>
        <v>3 - Reduzierter Satz</v>
      </c>
      <c r="AF309" s="64" t="str">
        <f>IF(Migrationsartikel!AA308="Kein Depotartikel","",Migrationsartikel!AA308)</f>
        <v/>
      </c>
      <c r="AG309" s="95" t="str">
        <f>Migrationsartikel!Z308</f>
        <v>Keine</v>
      </c>
      <c r="AH309" s="51" t="str">
        <f>IF(Migrationsartikel!AB308="ja","true",FALSE)</f>
        <v>true</v>
      </c>
      <c r="AI309" s="51" t="str">
        <f>IF(Migrationsartikel!AC308="ja","true",FALSE)</f>
        <v>true</v>
      </c>
      <c r="AJ309" s="51" t="str">
        <f>IF(Migrationsartikel!AD308="ja","true",FALSE)</f>
        <v>true</v>
      </c>
      <c r="AK309" s="51" t="str">
        <f>IF(Migrationsartikel!AE308="ja","true",FALSE)</f>
        <v>true</v>
      </c>
      <c r="AL309" s="51" t="str">
        <f>IF(Migrationsartikel!AF308="ja","Denner Partner","")</f>
        <v/>
      </c>
      <c r="AM309" s="51" t="str">
        <f>IF(Migrationsartikel!AG308="ja","true","false")</f>
        <v>false</v>
      </c>
      <c r="AN309" s="51" t="str">
        <f t="shared" si="5"/>
        <v>Kassentastenbelegung (ohne GTIN/PLU)</v>
      </c>
      <c r="AO309" s="63" t="s">
        <v>219</v>
      </c>
      <c r="AP309" s="62" t="s">
        <v>2736</v>
      </c>
      <c r="AQ309" s="63" t="s">
        <v>217</v>
      </c>
      <c r="AR309" s="30" t="s">
        <v>219</v>
      </c>
    </row>
    <row r="310" spans="2:44" ht="21.75" customHeight="1" x14ac:dyDescent="0.45">
      <c r="B310" s="51" t="s">
        <v>99</v>
      </c>
      <c r="E310" s="52" t="s">
        <v>87</v>
      </c>
      <c r="F310" s="51" t="str">
        <f>"Warengruppe&gt;&gt;"&amp;_xlfn.TEXTJOIN("&gt;&gt;",TRUE,Migrationsartikel!V309:X309)</f>
        <v>Warengruppe&gt;&gt;Früchte und Gemüse&gt;&gt;Früchte und Gemüse&gt;&gt;Gemüse</v>
      </c>
      <c r="H310" s="52" t="s">
        <v>109</v>
      </c>
      <c r="J310" s="51" t="str">
        <f>_xlfn.TEXTJOIN(" ",TRUE,Migrationsartikel!B309,Migrationsartikel!E309)</f>
        <v>2204751000007</v>
      </c>
      <c r="L310" s="51" t="str">
        <f>_xlfn.TEXTJOIN(" ",TRUE,Migrationsartikel!F309:H309)</f>
        <v>Knollensellerie Mittel</v>
      </c>
      <c r="M310" s="51" t="str">
        <f>_xlfn.TEXTJOIN(" ",TRUE,Migrationsartikel!J309:L309)</f>
        <v>Céleri Moyen</v>
      </c>
      <c r="N310" s="51" t="str">
        <f>_xlfn.TEXTJOIN(" ",TRUE,Migrationsartikel!N309:P309)</f>
        <v>Sedano rapa medio</v>
      </c>
      <c r="O310" s="51" t="str">
        <f>Migrationsartikel!F309</f>
        <v>Knollensellerie</v>
      </c>
      <c r="P310" s="51" t="str">
        <f>Migrationsartikel!J309</f>
        <v>Céleri</v>
      </c>
      <c r="Q310" s="51" t="str">
        <f>Migrationsartikel!N309</f>
        <v>Sedano rapa</v>
      </c>
      <c r="R310" s="51" t="str">
        <f>_xlfn.TEXTJOIN(" ",TRUE,Migrationsartikel!G309)</f>
        <v>Mittel</v>
      </c>
      <c r="S310" s="51" t="str">
        <f>_xlfn.TEXTJOIN(" ",TRUE,Migrationsartikel!K309)</f>
        <v>Moyen</v>
      </c>
      <c r="T310" s="51" t="str">
        <f>_xlfn.TEXTJOIN(" ",TRUE,Migrationsartikel!O309)</f>
        <v>medio</v>
      </c>
      <c r="U310" s="51" t="str">
        <f>_xlfn.TEXTJOIN(" ",TRUE,Migrationsartikel!H309)</f>
        <v/>
      </c>
      <c r="V310" s="51" t="str">
        <f>_xlfn.TEXTJOIN(" ",TRUE,Migrationsartikel!L309)</f>
        <v/>
      </c>
      <c r="W310" s="51" t="str">
        <f>_xlfn.TEXTJOIN(" ",TRUE,Migrationsartikel!P309)</f>
        <v/>
      </c>
      <c r="X310" s="51" t="str">
        <f>Migrationsartikel!I309</f>
        <v>Knollensellerie Mittel</v>
      </c>
      <c r="Y310" s="51" t="str">
        <f>Migrationsartikel!M309</f>
        <v>Céleri moyen</v>
      </c>
      <c r="Z310" s="51" t="str">
        <f>Migrationsartikel!Q309</f>
        <v>Sedano rapa medio</v>
      </c>
      <c r="AA310" s="60">
        <f>Migrationsartikel!R309</f>
        <v>1</v>
      </c>
      <c r="AB310" s="51" t="str">
        <f>Migrationsartikel!T309</f>
        <v>Kilogramm</v>
      </c>
      <c r="AC310" s="62">
        <f>Migrationsartikel!S309</f>
        <v>1</v>
      </c>
      <c r="AD310" s="51" t="str">
        <f>Migrationsartikel!U309</f>
        <v>(PCE) Stück</v>
      </c>
      <c r="AE310" s="95" t="str">
        <f>Migrationsartikel!Y309</f>
        <v>3 - Reduzierter Satz</v>
      </c>
      <c r="AF310" s="64" t="str">
        <f>IF(Migrationsartikel!AA309="Kein Depotartikel","",Migrationsartikel!AA309)</f>
        <v/>
      </c>
      <c r="AG310" s="95" t="str">
        <f>Migrationsartikel!Z309</f>
        <v>Keine</v>
      </c>
      <c r="AH310" s="51" t="str">
        <f>IF(Migrationsartikel!AB309="ja","true",FALSE)</f>
        <v>true</v>
      </c>
      <c r="AI310" s="51" t="str">
        <f>IF(Migrationsartikel!AC309="ja","true",FALSE)</f>
        <v>true</v>
      </c>
      <c r="AJ310" s="51" t="str">
        <f>IF(Migrationsartikel!AD309="ja","true",FALSE)</f>
        <v>true</v>
      </c>
      <c r="AK310" s="51" t="str">
        <f>IF(Migrationsartikel!AE309="ja","true",FALSE)</f>
        <v>true</v>
      </c>
      <c r="AL310" s="51" t="str">
        <f>IF(Migrationsartikel!AF309="ja","Denner Partner","")</f>
        <v/>
      </c>
      <c r="AM310" s="51" t="str">
        <f>IF(Migrationsartikel!AG309="ja","true","false")</f>
        <v>false</v>
      </c>
      <c r="AN310" s="51" t="str">
        <f t="shared" si="5"/>
        <v>Kassentastenbelegung (ohne GTIN/PLU)</v>
      </c>
      <c r="AO310" s="63" t="s">
        <v>219</v>
      </c>
      <c r="AP310" s="62" t="s">
        <v>2737</v>
      </c>
      <c r="AQ310" s="63" t="s">
        <v>217</v>
      </c>
      <c r="AR310" s="30" t="s">
        <v>219</v>
      </c>
    </row>
    <row r="311" spans="2:44" ht="21.75" customHeight="1" x14ac:dyDescent="0.45">
      <c r="B311" s="51" t="s">
        <v>99</v>
      </c>
      <c r="E311" s="52" t="s">
        <v>87</v>
      </c>
      <c r="F311" s="51" t="str">
        <f>"Warengruppe&gt;&gt;"&amp;_xlfn.TEXTJOIN("&gt;&gt;",TRUE,Migrationsartikel!V310:X310)</f>
        <v>Warengruppe&gt;&gt;Früchte und Gemüse&gt;&gt;Früchte und Gemüse&gt;&gt;Gemüse</v>
      </c>
      <c r="H311" s="52" t="s">
        <v>109</v>
      </c>
      <c r="J311" s="51" t="str">
        <f>_xlfn.TEXTJOIN(" ",TRUE,Migrationsartikel!B310,Migrationsartikel!E310)</f>
        <v>2205661000000</v>
      </c>
      <c r="L311" s="51" t="str">
        <f>_xlfn.TEXTJOIN(" ",TRUE,Migrationsartikel!F310:H310)</f>
        <v>Bio Sellerie Stangen</v>
      </c>
      <c r="M311" s="51" t="str">
        <f>_xlfn.TEXTJOIN(" ",TRUE,Migrationsartikel!J310:L310)</f>
        <v>Bio Céleri en branches</v>
      </c>
      <c r="N311" s="51" t="str">
        <f>_xlfn.TEXTJOIN(" ",TRUE,Migrationsartikel!N310:P310)</f>
        <v>Bio Sedano a coste</v>
      </c>
      <c r="O311" s="51" t="str">
        <f>Migrationsartikel!F310</f>
        <v>Bio Sellerie Stangen</v>
      </c>
      <c r="P311" s="51" t="str">
        <f>Migrationsartikel!J310</f>
        <v>Bio Céleri en branches</v>
      </c>
      <c r="Q311" s="51" t="str">
        <f>Migrationsartikel!N310</f>
        <v>Bio Sedano a coste</v>
      </c>
      <c r="R311" s="51" t="str">
        <f>_xlfn.TEXTJOIN(" ",TRUE,Migrationsartikel!G310)</f>
        <v/>
      </c>
      <c r="S311" s="51" t="str">
        <f>_xlfn.TEXTJOIN(" ",TRUE,Migrationsartikel!K310)</f>
        <v/>
      </c>
      <c r="T311" s="51" t="str">
        <f>_xlfn.TEXTJOIN(" ",TRUE,Migrationsartikel!O310)</f>
        <v/>
      </c>
      <c r="U311" s="51" t="str">
        <f>_xlfn.TEXTJOIN(" ",TRUE,Migrationsartikel!H310)</f>
        <v/>
      </c>
      <c r="V311" s="51" t="str">
        <f>_xlfn.TEXTJOIN(" ",TRUE,Migrationsartikel!L310)</f>
        <v/>
      </c>
      <c r="W311" s="51" t="str">
        <f>_xlfn.TEXTJOIN(" ",TRUE,Migrationsartikel!P310)</f>
        <v/>
      </c>
      <c r="X311" s="51" t="str">
        <f>Migrationsartikel!I310</f>
        <v>Bio Sellerie Stangen</v>
      </c>
      <c r="Y311" s="51" t="str">
        <f>Migrationsartikel!M310</f>
        <v>Bio Céleri en branche</v>
      </c>
      <c r="Z311" s="51" t="str">
        <f>Migrationsartikel!Q310</f>
        <v>Bio Sedano a coste</v>
      </c>
      <c r="AA311" s="60">
        <f>Migrationsartikel!R310</f>
        <v>1</v>
      </c>
      <c r="AB311" s="51" t="str">
        <f>Migrationsartikel!T310</f>
        <v>Kilogramm</v>
      </c>
      <c r="AC311" s="62">
        <f>Migrationsartikel!S310</f>
        <v>1</v>
      </c>
      <c r="AD311" s="51" t="str">
        <f>Migrationsartikel!U310</f>
        <v>(PCE) Stück</v>
      </c>
      <c r="AE311" s="95" t="str">
        <f>Migrationsartikel!Y310</f>
        <v>3 - Reduzierter Satz</v>
      </c>
      <c r="AF311" s="64" t="str">
        <f>IF(Migrationsartikel!AA310="Kein Depotartikel","",Migrationsartikel!AA310)</f>
        <v/>
      </c>
      <c r="AG311" s="95" t="str">
        <f>Migrationsartikel!Z310</f>
        <v>Keine</v>
      </c>
      <c r="AH311" s="51" t="str">
        <f>IF(Migrationsartikel!AB310="ja","true",FALSE)</f>
        <v>true</v>
      </c>
      <c r="AI311" s="51" t="str">
        <f>IF(Migrationsartikel!AC310="ja","true",FALSE)</f>
        <v>true</v>
      </c>
      <c r="AJ311" s="51" t="str">
        <f>IF(Migrationsartikel!AD310="ja","true",FALSE)</f>
        <v>true</v>
      </c>
      <c r="AK311" s="51" t="str">
        <f>IF(Migrationsartikel!AE310="ja","true",FALSE)</f>
        <v>true</v>
      </c>
      <c r="AL311" s="51" t="str">
        <f>IF(Migrationsartikel!AF310="ja","Denner Partner","")</f>
        <v/>
      </c>
      <c r="AM311" s="51" t="str">
        <f>IF(Migrationsartikel!AG310="ja","true","false")</f>
        <v>false</v>
      </c>
      <c r="AN311" s="51" t="str">
        <f t="shared" si="5"/>
        <v>Kassentastenbelegung (ohne GTIN/PLU)</v>
      </c>
      <c r="AO311" s="63" t="s">
        <v>219</v>
      </c>
      <c r="AP311" s="62" t="s">
        <v>2738</v>
      </c>
      <c r="AQ311" s="63" t="s">
        <v>217</v>
      </c>
      <c r="AR311" s="30" t="s">
        <v>219</v>
      </c>
    </row>
    <row r="312" spans="2:44" ht="21.75" customHeight="1" x14ac:dyDescent="0.45">
      <c r="B312" s="51" t="s">
        <v>99</v>
      </c>
      <c r="E312" s="52" t="s">
        <v>87</v>
      </c>
      <c r="F312" s="51" t="str">
        <f>"Warengruppe&gt;&gt;"&amp;_xlfn.TEXTJOIN("&gt;&gt;",TRUE,Migrationsartikel!V311:X311)</f>
        <v>Warengruppe&gt;&gt;Früchte und Gemüse&gt;&gt;Früchte und Gemüse&gt;&gt;Gemüse</v>
      </c>
      <c r="H312" s="52" t="s">
        <v>109</v>
      </c>
      <c r="J312" s="51" t="str">
        <f>_xlfn.TEXTJOIN(" ",TRUE,Migrationsartikel!B311,Migrationsartikel!E311)</f>
        <v>2201754000000</v>
      </c>
      <c r="L312" s="51" t="str">
        <f>_xlfn.TEXTJOIN(" ",TRUE,Migrationsartikel!F311:H311)</f>
        <v>Sellerie Stangen</v>
      </c>
      <c r="M312" s="51" t="str">
        <f>_xlfn.TEXTJOIN(" ",TRUE,Migrationsartikel!J311:L311)</f>
        <v>Céleri en branches</v>
      </c>
      <c r="N312" s="51" t="str">
        <f>_xlfn.TEXTJOIN(" ",TRUE,Migrationsartikel!N311:P311)</f>
        <v>Sedano a coste</v>
      </c>
      <c r="O312" s="51" t="str">
        <f>Migrationsartikel!F311</f>
        <v>Sellerie Stangen</v>
      </c>
      <c r="P312" s="51" t="str">
        <f>Migrationsartikel!J311</f>
        <v>Céleri en branches</v>
      </c>
      <c r="Q312" s="51" t="str">
        <f>Migrationsartikel!N311</f>
        <v>Sedano a coste</v>
      </c>
      <c r="R312" s="51" t="str">
        <f>_xlfn.TEXTJOIN(" ",TRUE,Migrationsartikel!G311)</f>
        <v/>
      </c>
      <c r="S312" s="51" t="str">
        <f>_xlfn.TEXTJOIN(" ",TRUE,Migrationsartikel!K311)</f>
        <v/>
      </c>
      <c r="T312" s="51" t="str">
        <f>_xlfn.TEXTJOIN(" ",TRUE,Migrationsartikel!O311)</f>
        <v/>
      </c>
      <c r="U312" s="51" t="str">
        <f>_xlfn.TEXTJOIN(" ",TRUE,Migrationsartikel!H311)</f>
        <v/>
      </c>
      <c r="V312" s="51" t="str">
        <f>_xlfn.TEXTJOIN(" ",TRUE,Migrationsartikel!L311)</f>
        <v/>
      </c>
      <c r="W312" s="51" t="str">
        <f>_xlfn.TEXTJOIN(" ",TRUE,Migrationsartikel!P311)</f>
        <v/>
      </c>
      <c r="X312" s="51" t="str">
        <f>Migrationsartikel!I311</f>
        <v>Sellerie Stangen</v>
      </c>
      <c r="Y312" s="51" t="str">
        <f>Migrationsartikel!M311</f>
        <v>Céleri en branches</v>
      </c>
      <c r="Z312" s="51" t="str">
        <f>Migrationsartikel!Q311</f>
        <v>Sedano a coste</v>
      </c>
      <c r="AA312" s="60">
        <f>Migrationsartikel!R311</f>
        <v>1</v>
      </c>
      <c r="AB312" s="51" t="str">
        <f>Migrationsartikel!T311</f>
        <v>Kilogramm</v>
      </c>
      <c r="AC312" s="62">
        <f>Migrationsartikel!S311</f>
        <v>1</v>
      </c>
      <c r="AD312" s="51" t="str">
        <f>Migrationsartikel!U311</f>
        <v>(PCE) Stück</v>
      </c>
      <c r="AE312" s="95" t="str">
        <f>Migrationsartikel!Y311</f>
        <v>3 - Reduzierter Satz</v>
      </c>
      <c r="AF312" s="64" t="str">
        <f>IF(Migrationsartikel!AA311="Kein Depotartikel","",Migrationsartikel!AA311)</f>
        <v/>
      </c>
      <c r="AG312" s="95" t="str">
        <f>Migrationsartikel!Z311</f>
        <v>Keine</v>
      </c>
      <c r="AH312" s="51" t="str">
        <f>IF(Migrationsartikel!AB311="ja","true",FALSE)</f>
        <v>true</v>
      </c>
      <c r="AI312" s="51" t="str">
        <f>IF(Migrationsartikel!AC311="ja","true",FALSE)</f>
        <v>true</v>
      </c>
      <c r="AJ312" s="51" t="str">
        <f>IF(Migrationsartikel!AD311="ja","true",FALSE)</f>
        <v>true</v>
      </c>
      <c r="AK312" s="51" t="str">
        <f>IF(Migrationsartikel!AE311="ja","true",FALSE)</f>
        <v>true</v>
      </c>
      <c r="AL312" s="51" t="str">
        <f>IF(Migrationsartikel!AF311="ja","Denner Partner","")</f>
        <v/>
      </c>
      <c r="AM312" s="51" t="str">
        <f>IF(Migrationsartikel!AG311="ja","true","false")</f>
        <v>false</v>
      </c>
      <c r="AN312" s="51" t="str">
        <f t="shared" si="5"/>
        <v>Kassentastenbelegung (ohne GTIN/PLU)</v>
      </c>
      <c r="AO312" s="63" t="s">
        <v>219</v>
      </c>
      <c r="AP312" s="62" t="s">
        <v>2739</v>
      </c>
      <c r="AQ312" s="63" t="s">
        <v>217</v>
      </c>
      <c r="AR312" s="30" t="s">
        <v>219</v>
      </c>
    </row>
    <row r="313" spans="2:44" ht="21.75" customHeight="1" x14ac:dyDescent="0.45">
      <c r="B313" s="51" t="s">
        <v>99</v>
      </c>
      <c r="E313" s="52" t="s">
        <v>87</v>
      </c>
      <c r="F313" s="51" t="str">
        <f>"Warengruppe&gt;&gt;"&amp;_xlfn.TEXTJOIN("&gt;&gt;",TRUE,Migrationsartikel!V312:X312)</f>
        <v>Warengruppe&gt;&gt;Früchte und Gemüse&gt;&gt;Früchte und Gemüse&gt;&gt;Gemüse</v>
      </c>
      <c r="H313" s="52" t="s">
        <v>109</v>
      </c>
      <c r="J313" s="51" t="str">
        <f>_xlfn.TEXTJOIN(" ",TRUE,Migrationsartikel!B312,Migrationsartikel!E312)</f>
        <v>7613399006503</v>
      </c>
      <c r="L313" s="51" t="str">
        <f>_xlfn.TEXTJOIN(" ",TRUE,Migrationsartikel!F312:H312)</f>
        <v>Selleriesalat Schale 175g</v>
      </c>
      <c r="M313" s="51" t="str">
        <f>_xlfn.TEXTJOIN(" ",TRUE,Migrationsartikel!J312:L312)</f>
        <v>Salade de céleri Barquette 175g</v>
      </c>
      <c r="N313" s="51" t="str">
        <f>_xlfn.TEXTJOIN(" ",TRUE,Migrationsartikel!N312:P312)</f>
        <v>Insalata di sedano vaschetta 175g</v>
      </c>
      <c r="O313" s="51" t="str">
        <f>Migrationsartikel!F312</f>
        <v>Selleriesalat</v>
      </c>
      <c r="P313" s="51" t="str">
        <f>Migrationsartikel!J312</f>
        <v>Salade de céleri</v>
      </c>
      <c r="Q313" s="51" t="str">
        <f>Migrationsartikel!N312</f>
        <v>Insalata di sedano</v>
      </c>
      <c r="R313" s="51" t="str">
        <f>_xlfn.TEXTJOIN(" ",TRUE,Migrationsartikel!G312)</f>
        <v>Schale</v>
      </c>
      <c r="S313" s="51" t="str">
        <f>_xlfn.TEXTJOIN(" ",TRUE,Migrationsartikel!K312)</f>
        <v>Barquette</v>
      </c>
      <c r="T313" s="51" t="str">
        <f>_xlfn.TEXTJOIN(" ",TRUE,Migrationsartikel!O312)</f>
        <v>vaschetta</v>
      </c>
      <c r="U313" s="51" t="str">
        <f>_xlfn.TEXTJOIN(" ",TRUE,Migrationsartikel!H312)</f>
        <v>175g</v>
      </c>
      <c r="V313" s="51" t="str">
        <f>_xlfn.TEXTJOIN(" ",TRUE,Migrationsartikel!L312)</f>
        <v>175g</v>
      </c>
      <c r="W313" s="51" t="str">
        <f>_xlfn.TEXTJOIN(" ",TRUE,Migrationsartikel!P312)</f>
        <v>175g</v>
      </c>
      <c r="X313" s="51" t="str">
        <f>Migrationsartikel!I312</f>
        <v>Selleriesalat Schale 175g</v>
      </c>
      <c r="Y313" s="51" t="str">
        <f>Migrationsartikel!M312</f>
        <v>Salade de célerie 175g</v>
      </c>
      <c r="Z313" s="51" t="str">
        <f>Migrationsartikel!Q312</f>
        <v>Insalata di sedano vas. 175g</v>
      </c>
      <c r="AA313" s="60">
        <f>Migrationsartikel!R312</f>
        <v>0.17499999999999999</v>
      </c>
      <c r="AB313" s="51" t="str">
        <f>Migrationsartikel!T312</f>
        <v>Gramm</v>
      </c>
      <c r="AC313" s="62">
        <f>Migrationsartikel!S312</f>
        <v>100</v>
      </c>
      <c r="AD313" s="51" t="str">
        <f>Migrationsartikel!U312</f>
        <v>(PCE) Stück</v>
      </c>
      <c r="AE313" s="95" t="str">
        <f>Migrationsartikel!Y312</f>
        <v>3 - Reduzierter Satz</v>
      </c>
      <c r="AF313" s="64" t="str">
        <f>IF(Migrationsartikel!AA312="Kein Depotartikel","",Migrationsartikel!AA312)</f>
        <v/>
      </c>
      <c r="AG313" s="95" t="str">
        <f>Migrationsartikel!Z312</f>
        <v>Keine</v>
      </c>
      <c r="AH313" s="51" t="str">
        <f>IF(Migrationsartikel!AB312="ja","true",FALSE)</f>
        <v>true</v>
      </c>
      <c r="AI313" s="51" t="str">
        <f>IF(Migrationsartikel!AC312="ja","true",FALSE)</f>
        <v>true</v>
      </c>
      <c r="AJ313" s="51" t="str">
        <f>IF(Migrationsartikel!AD312="ja","true",FALSE)</f>
        <v>true</v>
      </c>
      <c r="AK313" s="51" t="str">
        <f>IF(Migrationsartikel!AE312="ja","true",FALSE)</f>
        <v>true</v>
      </c>
      <c r="AL313" s="51" t="str">
        <f>IF(Migrationsartikel!AF312="ja","Denner Partner","")</f>
        <v/>
      </c>
      <c r="AM313" s="51" t="str">
        <f>IF(Migrationsartikel!AG312="ja","true","false")</f>
        <v>false</v>
      </c>
      <c r="AN313" s="51" t="str">
        <f t="shared" si="5"/>
        <v>Kassentastenbelegung (ohne GTIN/PLU)</v>
      </c>
      <c r="AO313" s="63" t="s">
        <v>219</v>
      </c>
      <c r="AP313" s="62" t="s">
        <v>2740</v>
      </c>
      <c r="AQ313" s="63" t="s">
        <v>217</v>
      </c>
      <c r="AR313" s="30" t="s">
        <v>219</v>
      </c>
    </row>
    <row r="314" spans="2:44" ht="21.75" customHeight="1" x14ac:dyDescent="0.45">
      <c r="B314" s="51" t="s">
        <v>99</v>
      </c>
      <c r="E314" s="52" t="s">
        <v>87</v>
      </c>
      <c r="F314" s="51" t="str">
        <f>"Warengruppe&gt;&gt;"&amp;_xlfn.TEXTJOIN("&gt;&gt;",TRUE,Migrationsartikel!V313:X313)</f>
        <v>Warengruppe&gt;&gt;Früchte und Gemüse&gt;&gt;Früchte und Gemüse&gt;&gt;Gemüse</v>
      </c>
      <c r="H314" s="52" t="s">
        <v>109</v>
      </c>
      <c r="J314" s="51" t="str">
        <f>_xlfn.TEXTJOIN(" ",TRUE,Migrationsartikel!B313,Migrationsartikel!E313)</f>
        <v>7613399046288</v>
      </c>
      <c r="L314" s="51" t="str">
        <f>_xlfn.TEXTJOIN(" ",TRUE,Migrationsartikel!F313:H313)</f>
        <v>Sommersalat 120g</v>
      </c>
      <c r="M314" s="51" t="str">
        <f>_xlfn.TEXTJOIN(" ",TRUE,Migrationsartikel!J313:L313)</f>
        <v>Salade estivale 120g</v>
      </c>
      <c r="N314" s="51" t="str">
        <f>_xlfn.TEXTJOIN(" ",TRUE,Migrationsartikel!N313:P313)</f>
        <v>Insalata estiva 120g</v>
      </c>
      <c r="O314" s="51" t="str">
        <f>Migrationsartikel!F313</f>
        <v>Sommersalat</v>
      </c>
      <c r="P314" s="51" t="str">
        <f>Migrationsartikel!J313</f>
        <v>Salade estivale</v>
      </c>
      <c r="Q314" s="51" t="str">
        <f>Migrationsartikel!N313</f>
        <v>Insalata estiva</v>
      </c>
      <c r="R314" s="51" t="str">
        <f>_xlfn.TEXTJOIN(" ",TRUE,Migrationsartikel!G313)</f>
        <v/>
      </c>
      <c r="S314" s="51" t="str">
        <f>_xlfn.TEXTJOIN(" ",TRUE,Migrationsartikel!K313)</f>
        <v/>
      </c>
      <c r="T314" s="51" t="str">
        <f>_xlfn.TEXTJOIN(" ",TRUE,Migrationsartikel!O313)</f>
        <v/>
      </c>
      <c r="U314" s="51" t="str">
        <f>_xlfn.TEXTJOIN(" ",TRUE,Migrationsartikel!H313)</f>
        <v>120g</v>
      </c>
      <c r="V314" s="51" t="str">
        <f>_xlfn.TEXTJOIN(" ",TRUE,Migrationsartikel!L313)</f>
        <v>120g</v>
      </c>
      <c r="W314" s="51" t="str">
        <f>_xlfn.TEXTJOIN(" ",TRUE,Migrationsartikel!P313)</f>
        <v>120g</v>
      </c>
      <c r="X314" s="51" t="str">
        <f>Migrationsartikel!I313</f>
        <v>Sommersalat 120g</v>
      </c>
      <c r="Y314" s="51" t="str">
        <f>Migrationsartikel!M313</f>
        <v>Salade estival 120g</v>
      </c>
      <c r="Z314" s="51" t="str">
        <f>Migrationsartikel!Q313</f>
        <v>Insalata estiva 120g</v>
      </c>
      <c r="AA314" s="60">
        <f>Migrationsartikel!R313</f>
        <v>0.12</v>
      </c>
      <c r="AB314" s="51" t="str">
        <f>Migrationsartikel!T313</f>
        <v>Gramm</v>
      </c>
      <c r="AC314" s="62">
        <f>Migrationsartikel!S313</f>
        <v>100</v>
      </c>
      <c r="AD314" s="51" t="str">
        <f>Migrationsartikel!U313</f>
        <v>(PCE) Stück</v>
      </c>
      <c r="AE314" s="95" t="str">
        <f>Migrationsartikel!Y313</f>
        <v>3 - Reduzierter Satz</v>
      </c>
      <c r="AF314" s="64" t="str">
        <f>IF(Migrationsartikel!AA313="Kein Depotartikel","",Migrationsartikel!AA313)</f>
        <v/>
      </c>
      <c r="AG314" s="95" t="str">
        <f>Migrationsartikel!Z313</f>
        <v>Keine</v>
      </c>
      <c r="AH314" s="51" t="str">
        <f>IF(Migrationsartikel!AB313="ja","true",FALSE)</f>
        <v>true</v>
      </c>
      <c r="AI314" s="51" t="str">
        <f>IF(Migrationsartikel!AC313="ja","true",FALSE)</f>
        <v>true</v>
      </c>
      <c r="AJ314" s="51" t="str">
        <f>IF(Migrationsartikel!AD313="ja","true",FALSE)</f>
        <v>true</v>
      </c>
      <c r="AK314" s="51" t="str">
        <f>IF(Migrationsartikel!AE313="ja","true",FALSE)</f>
        <v>true</v>
      </c>
      <c r="AL314" s="51" t="str">
        <f>IF(Migrationsartikel!AF313="ja","Denner Partner","")</f>
        <v/>
      </c>
      <c r="AM314" s="51" t="str">
        <f>IF(Migrationsartikel!AG313="ja","true","false")</f>
        <v>false</v>
      </c>
      <c r="AN314" s="51" t="str">
        <f t="shared" si="5"/>
        <v>Kassentastenbelegung (ohne GTIN/PLU)</v>
      </c>
      <c r="AO314" s="63" t="s">
        <v>219</v>
      </c>
      <c r="AP314" s="62" t="s">
        <v>2741</v>
      </c>
      <c r="AQ314" s="63" t="s">
        <v>217</v>
      </c>
      <c r="AR314" s="30" t="s">
        <v>219</v>
      </c>
    </row>
    <row r="315" spans="2:44" ht="21.75" customHeight="1" x14ac:dyDescent="0.45">
      <c r="B315" s="51" t="s">
        <v>99</v>
      </c>
      <c r="E315" s="52" t="s">
        <v>87</v>
      </c>
      <c r="F315" s="51" t="str">
        <f>"Warengruppe&gt;&gt;"&amp;_xlfn.TEXTJOIN("&gt;&gt;",TRUE,Migrationsartikel!V314:X314)</f>
        <v>Warengruppe&gt;&gt;Früchte und Gemüse&gt;&gt;Früchte und Gemüse&gt;&gt;Gemüse</v>
      </c>
      <c r="H315" s="52" t="s">
        <v>109</v>
      </c>
      <c r="J315" s="51" t="str">
        <f>_xlfn.TEXTJOIN(" ",TRUE,Migrationsartikel!B314,Migrationsartikel!E314)</f>
        <v>133</v>
      </c>
      <c r="L315" s="51" t="str">
        <f>_xlfn.TEXTJOIN(" ",TRUE,Migrationsartikel!F314:H314)</f>
        <v>Erdnüsse spanisch Offen</v>
      </c>
      <c r="M315" s="51" t="str">
        <f>_xlfn.TEXTJOIN(" ",TRUE,Migrationsartikel!J314:L314)</f>
        <v>Cacahuètes Espagne En vrac</v>
      </c>
      <c r="N315" s="51" t="str">
        <f>_xlfn.TEXTJOIN(" ",TRUE,Migrationsartikel!N314:P314)</f>
        <v>Arachidi vendita sfusa</v>
      </c>
      <c r="O315" s="51" t="str">
        <f>Migrationsartikel!F314</f>
        <v>Erdnüsse spanisch</v>
      </c>
      <c r="P315" s="51" t="str">
        <f>Migrationsartikel!J314</f>
        <v>Cacahuètes Espagne</v>
      </c>
      <c r="Q315" s="51" t="str">
        <f>Migrationsartikel!N314</f>
        <v>Arachidi</v>
      </c>
      <c r="R315" s="51" t="str">
        <f>_xlfn.TEXTJOIN(" ",TRUE,Migrationsartikel!G314)</f>
        <v>Offen</v>
      </c>
      <c r="S315" s="51" t="str">
        <f>_xlfn.TEXTJOIN(" ",TRUE,Migrationsartikel!K314)</f>
        <v>En vrac</v>
      </c>
      <c r="T315" s="51" t="str">
        <f>_xlfn.TEXTJOIN(" ",TRUE,Migrationsartikel!O314)</f>
        <v>vendita sfusa</v>
      </c>
      <c r="U315" s="51" t="str">
        <f>_xlfn.TEXTJOIN(" ",TRUE,Migrationsartikel!H314)</f>
        <v/>
      </c>
      <c r="V315" s="51" t="str">
        <f>_xlfn.TEXTJOIN(" ",TRUE,Migrationsartikel!L314)</f>
        <v/>
      </c>
      <c r="W315" s="51" t="str">
        <f>_xlfn.TEXTJOIN(" ",TRUE,Migrationsartikel!P314)</f>
        <v/>
      </c>
      <c r="X315" s="51" t="str">
        <f>Migrationsartikel!I314</f>
        <v>Erdnüsse spanisch Offen</v>
      </c>
      <c r="Y315" s="51" t="str">
        <f>Migrationsartikel!M314</f>
        <v>Cacahuètes Espagne en vrac</v>
      </c>
      <c r="Z315" s="51" t="str">
        <f>Migrationsartikel!Q314</f>
        <v>Arachidi vendita sfusa</v>
      </c>
      <c r="AA315" s="60">
        <f>Migrationsartikel!R314</f>
        <v>1</v>
      </c>
      <c r="AB315" s="51" t="str">
        <f>Migrationsartikel!T314</f>
        <v>Kilogramm</v>
      </c>
      <c r="AC315" s="62">
        <f>Migrationsartikel!S314</f>
        <v>1</v>
      </c>
      <c r="AD315" s="51" t="str">
        <f>Migrationsartikel!U314</f>
        <v>(KGM) KG</v>
      </c>
      <c r="AE315" s="95" t="str">
        <f>Migrationsartikel!Y314</f>
        <v>3 - Reduzierter Satz</v>
      </c>
      <c r="AF315" s="64" t="str">
        <f>IF(Migrationsartikel!AA314="Kein Depotartikel","",Migrationsartikel!AA314)</f>
        <v/>
      </c>
      <c r="AG315" s="95" t="str">
        <f>Migrationsartikel!Z314</f>
        <v>Keine</v>
      </c>
      <c r="AH315" s="51" t="str">
        <f>IF(Migrationsartikel!AB314="ja","true",FALSE)</f>
        <v>true</v>
      </c>
      <c r="AI315" s="51" t="str">
        <f>IF(Migrationsartikel!AC314="ja","true",FALSE)</f>
        <v>true</v>
      </c>
      <c r="AJ315" s="51" t="str">
        <f>IF(Migrationsartikel!AD314="ja","true",FALSE)</f>
        <v>true</v>
      </c>
      <c r="AK315" s="51" t="str">
        <f>IF(Migrationsartikel!AE314="ja","true",FALSE)</f>
        <v>true</v>
      </c>
      <c r="AL315" s="51" t="str">
        <f>IF(Migrationsartikel!AF314="ja","Denner Partner","")</f>
        <v/>
      </c>
      <c r="AM315" s="51" t="str">
        <f>IF(Migrationsartikel!AG314="ja","true","false")</f>
        <v>false</v>
      </c>
      <c r="AN315" s="51" t="str">
        <f t="shared" si="5"/>
        <v>Kassentastenbelegung (ohne GTIN/PLU)</v>
      </c>
      <c r="AO315" s="63" t="s">
        <v>219</v>
      </c>
      <c r="AP315" s="62" t="s">
        <v>2742</v>
      </c>
      <c r="AQ315" s="63" t="s">
        <v>217</v>
      </c>
      <c r="AR315" s="30" t="s">
        <v>219</v>
      </c>
    </row>
    <row r="316" spans="2:44" ht="21.75" customHeight="1" x14ac:dyDescent="0.45">
      <c r="B316" s="51" t="s">
        <v>99</v>
      </c>
      <c r="E316" s="52" t="s">
        <v>87</v>
      </c>
      <c r="F316" s="51" t="str">
        <f>"Warengruppe&gt;&gt;"&amp;_xlfn.TEXTJOIN("&gt;&gt;",TRUE,Migrationsartikel!V315:X315)</f>
        <v>Warengruppe&gt;&gt;Früchte und Gemüse&gt;&gt;Früchte und Gemüse&gt;&gt;Gemüse</v>
      </c>
      <c r="H316" s="52" t="s">
        <v>109</v>
      </c>
      <c r="J316" s="51" t="str">
        <f>_xlfn.TEXTJOIN(" ",TRUE,Migrationsartikel!B315,Migrationsartikel!E315)</f>
        <v>7613399009702</v>
      </c>
      <c r="L316" s="51" t="str">
        <f>_xlfn.TEXTJOIN(" ",TRUE,Migrationsartikel!F315:H315)</f>
        <v>Spargeln grün 1kg</v>
      </c>
      <c r="M316" s="51" t="str">
        <f>_xlfn.TEXTJOIN(" ",TRUE,Migrationsartikel!J315:L315)</f>
        <v>Asperges vertes 1kg</v>
      </c>
      <c r="N316" s="51" t="str">
        <f>_xlfn.TEXTJOIN(" ",TRUE,Migrationsartikel!N315:P315)</f>
        <v>Asparagi verdi 1kg</v>
      </c>
      <c r="O316" s="51" t="str">
        <f>Migrationsartikel!F315</f>
        <v>Spargeln grün</v>
      </c>
      <c r="P316" s="51" t="str">
        <f>Migrationsartikel!J315</f>
        <v>Asperges vertes</v>
      </c>
      <c r="Q316" s="51" t="str">
        <f>Migrationsartikel!N315</f>
        <v>Asparagi verdi</v>
      </c>
      <c r="R316" s="51" t="str">
        <f>_xlfn.TEXTJOIN(" ",TRUE,Migrationsartikel!G315)</f>
        <v/>
      </c>
      <c r="S316" s="51" t="str">
        <f>_xlfn.TEXTJOIN(" ",TRUE,Migrationsartikel!K315)</f>
        <v/>
      </c>
      <c r="T316" s="51" t="str">
        <f>_xlfn.TEXTJOIN(" ",TRUE,Migrationsartikel!O315)</f>
        <v/>
      </c>
      <c r="U316" s="51" t="str">
        <f>_xlfn.TEXTJOIN(" ",TRUE,Migrationsartikel!H315)</f>
        <v>1kg</v>
      </c>
      <c r="V316" s="51" t="str">
        <f>_xlfn.TEXTJOIN(" ",TRUE,Migrationsartikel!L315)</f>
        <v>1kg</v>
      </c>
      <c r="W316" s="51" t="str">
        <f>_xlfn.TEXTJOIN(" ",TRUE,Migrationsartikel!P315)</f>
        <v>1kg</v>
      </c>
      <c r="X316" s="51" t="str">
        <f>Migrationsartikel!I315</f>
        <v>Spargeln grün 1 kg</v>
      </c>
      <c r="Y316" s="51" t="str">
        <f>Migrationsartikel!M315</f>
        <v>Asperges vertes 1kg</v>
      </c>
      <c r="Z316" s="51" t="str">
        <f>Migrationsartikel!Q315</f>
        <v>Asparagi verdi 1kg</v>
      </c>
      <c r="AA316" s="60">
        <f>Migrationsartikel!R315</f>
        <v>1</v>
      </c>
      <c r="AB316" s="51" t="str">
        <f>Migrationsartikel!T315</f>
        <v>Kilogramm</v>
      </c>
      <c r="AC316" s="62">
        <f>Migrationsartikel!S315</f>
        <v>1</v>
      </c>
      <c r="AD316" s="51" t="str">
        <f>Migrationsartikel!U315</f>
        <v>(PCE) Stück</v>
      </c>
      <c r="AE316" s="95" t="str">
        <f>Migrationsartikel!Y315</f>
        <v>3 - Reduzierter Satz</v>
      </c>
      <c r="AF316" s="64" t="str">
        <f>IF(Migrationsartikel!AA315="Kein Depotartikel","",Migrationsartikel!AA315)</f>
        <v/>
      </c>
      <c r="AG316" s="95" t="str">
        <f>Migrationsartikel!Z315</f>
        <v>Keine</v>
      </c>
      <c r="AH316" s="51" t="str">
        <f>IF(Migrationsartikel!AB315="ja","true",FALSE)</f>
        <v>true</v>
      </c>
      <c r="AI316" s="51" t="str">
        <f>IF(Migrationsartikel!AC315="ja","true",FALSE)</f>
        <v>true</v>
      </c>
      <c r="AJ316" s="51" t="str">
        <f>IF(Migrationsartikel!AD315="ja","true",FALSE)</f>
        <v>true</v>
      </c>
      <c r="AK316" s="51" t="str">
        <f>IF(Migrationsartikel!AE315="ja","true",FALSE)</f>
        <v>true</v>
      </c>
      <c r="AL316" s="51" t="str">
        <f>IF(Migrationsartikel!AF315="ja","Denner Partner","")</f>
        <v/>
      </c>
      <c r="AM316" s="51" t="str">
        <f>IF(Migrationsartikel!AG315="ja","true","false")</f>
        <v>false</v>
      </c>
      <c r="AN316" s="51" t="str">
        <f t="shared" si="5"/>
        <v>Kassentastenbelegung (ohne GTIN/PLU)</v>
      </c>
      <c r="AO316" s="63" t="s">
        <v>219</v>
      </c>
      <c r="AP316" s="62" t="s">
        <v>2743</v>
      </c>
      <c r="AQ316" s="63" t="s">
        <v>217</v>
      </c>
      <c r="AR316" s="30" t="s">
        <v>219</v>
      </c>
    </row>
    <row r="317" spans="2:44" ht="21.75" customHeight="1" x14ac:dyDescent="0.45">
      <c r="B317" s="51" t="s">
        <v>99</v>
      </c>
      <c r="E317" s="52" t="s">
        <v>87</v>
      </c>
      <c r="F317" s="51" t="str">
        <f>"Warengruppe&gt;&gt;"&amp;_xlfn.TEXTJOIN("&gt;&gt;",TRUE,Migrationsartikel!V316:X316)</f>
        <v>Warengruppe&gt;&gt;Früchte und Gemüse&gt;&gt;Früchte und Gemüse&gt;&gt;Gemüse</v>
      </c>
      <c r="H317" s="52" t="s">
        <v>109</v>
      </c>
      <c r="J317" s="51" t="str">
        <f>_xlfn.TEXTJOIN(" ",TRUE,Migrationsartikel!B316,Migrationsartikel!E316)</f>
        <v>2216691000009</v>
      </c>
      <c r="L317" s="51" t="str">
        <f>_xlfn.TEXTJOIN(" ",TRUE,Migrationsartikel!F316:H316)</f>
        <v>Spargeln weiss 1kg</v>
      </c>
      <c r="M317" s="51" t="str">
        <f>_xlfn.TEXTJOIN(" ",TRUE,Migrationsartikel!J316:L316)</f>
        <v>Asperges blanches 1kg</v>
      </c>
      <c r="N317" s="51" t="str">
        <f>_xlfn.TEXTJOIN(" ",TRUE,Migrationsartikel!N316:P316)</f>
        <v>Asparagi bianchi 1kg</v>
      </c>
      <c r="O317" s="51" t="str">
        <f>Migrationsartikel!F316</f>
        <v>Spargeln weiss</v>
      </c>
      <c r="P317" s="51" t="str">
        <f>Migrationsartikel!J316</f>
        <v>Asperges blanches</v>
      </c>
      <c r="Q317" s="51" t="str">
        <f>Migrationsartikel!N316</f>
        <v>Asparagi bianchi</v>
      </c>
      <c r="R317" s="51" t="str">
        <f>_xlfn.TEXTJOIN(" ",TRUE,Migrationsartikel!G316)</f>
        <v/>
      </c>
      <c r="S317" s="51" t="str">
        <f>_xlfn.TEXTJOIN(" ",TRUE,Migrationsartikel!K316)</f>
        <v/>
      </c>
      <c r="T317" s="51" t="str">
        <f>_xlfn.TEXTJOIN(" ",TRUE,Migrationsartikel!O316)</f>
        <v/>
      </c>
      <c r="U317" s="51" t="str">
        <f>_xlfn.TEXTJOIN(" ",TRUE,Migrationsartikel!H316)</f>
        <v>1kg</v>
      </c>
      <c r="V317" s="51" t="str">
        <f>_xlfn.TEXTJOIN(" ",TRUE,Migrationsartikel!L316)</f>
        <v>1kg</v>
      </c>
      <c r="W317" s="51" t="str">
        <f>_xlfn.TEXTJOIN(" ",TRUE,Migrationsartikel!P316)</f>
        <v>1kg</v>
      </c>
      <c r="X317" s="51" t="str">
        <f>Migrationsartikel!I316</f>
        <v>Spargeln weiss 1kg</v>
      </c>
      <c r="Y317" s="51" t="str">
        <f>Migrationsartikel!M316</f>
        <v>Asperges blanches 1kg</v>
      </c>
      <c r="Z317" s="51" t="str">
        <f>Migrationsartikel!Q316</f>
        <v>Asparagi bianchi 1kg</v>
      </c>
      <c r="AA317" s="60">
        <f>Migrationsartikel!R316</f>
        <v>1</v>
      </c>
      <c r="AB317" s="51" t="str">
        <f>Migrationsartikel!T316</f>
        <v>Kilogramm</v>
      </c>
      <c r="AC317" s="62">
        <f>Migrationsartikel!S316</f>
        <v>1</v>
      </c>
      <c r="AD317" s="51" t="str">
        <f>Migrationsartikel!U316</f>
        <v>(PCE) Stück</v>
      </c>
      <c r="AE317" s="95" t="str">
        <f>Migrationsartikel!Y316</f>
        <v>3 - Reduzierter Satz</v>
      </c>
      <c r="AF317" s="64" t="str">
        <f>IF(Migrationsartikel!AA316="Kein Depotartikel","",Migrationsartikel!AA316)</f>
        <v/>
      </c>
      <c r="AG317" s="95" t="str">
        <f>Migrationsartikel!Z316</f>
        <v>Keine</v>
      </c>
      <c r="AH317" s="51" t="str">
        <f>IF(Migrationsartikel!AB316="ja","true",FALSE)</f>
        <v>true</v>
      </c>
      <c r="AI317" s="51" t="str">
        <f>IF(Migrationsartikel!AC316="ja","true",FALSE)</f>
        <v>true</v>
      </c>
      <c r="AJ317" s="51" t="str">
        <f>IF(Migrationsartikel!AD316="ja","true",FALSE)</f>
        <v>true</v>
      </c>
      <c r="AK317" s="51" t="str">
        <f>IF(Migrationsartikel!AE316="ja","true",FALSE)</f>
        <v>true</v>
      </c>
      <c r="AL317" s="51" t="str">
        <f>IF(Migrationsartikel!AF316="ja","Denner Partner","")</f>
        <v/>
      </c>
      <c r="AM317" s="51" t="str">
        <f>IF(Migrationsartikel!AG316="ja","true","false")</f>
        <v>false</v>
      </c>
      <c r="AN317" s="51" t="str">
        <f t="shared" si="5"/>
        <v>Kassentastenbelegung (ohne GTIN/PLU)</v>
      </c>
      <c r="AO317" s="63" t="s">
        <v>219</v>
      </c>
      <c r="AP317" s="62" t="s">
        <v>2744</v>
      </c>
      <c r="AQ317" s="63" t="s">
        <v>217</v>
      </c>
      <c r="AR317" s="30" t="s">
        <v>219</v>
      </c>
    </row>
    <row r="318" spans="2:44" ht="21.75" customHeight="1" x14ac:dyDescent="0.45">
      <c r="B318" s="51" t="s">
        <v>99</v>
      </c>
      <c r="E318" s="52" t="s">
        <v>87</v>
      </c>
      <c r="F318" s="51" t="str">
        <f>"Warengruppe&gt;&gt;"&amp;_xlfn.TEXTJOIN("&gt;&gt;",TRUE,Migrationsartikel!V317:X317)</f>
        <v>Warengruppe&gt;&gt;Früchte und Gemüse&gt;&gt;Früchte und Gemüse&gt;&gt;Gemüse</v>
      </c>
      <c r="H318" s="52" t="s">
        <v>109</v>
      </c>
      <c r="J318" s="51" t="str">
        <f>_xlfn.TEXTJOIN(" ",TRUE,Migrationsartikel!B317,Migrationsartikel!E317)</f>
        <v>7613399045632</v>
      </c>
      <c r="L318" s="51" t="str">
        <f>_xlfn.TEXTJOIN(" ",TRUE,Migrationsartikel!F317:H317)</f>
        <v>Bio Spargeln weiss 500g</v>
      </c>
      <c r="M318" s="51" t="str">
        <f>_xlfn.TEXTJOIN(" ",TRUE,Migrationsartikel!J317:L317)</f>
        <v>Bio Asperges blanches 500g</v>
      </c>
      <c r="N318" s="51" t="str">
        <f>_xlfn.TEXTJOIN(" ",TRUE,Migrationsartikel!N317:P317)</f>
        <v>Bio Asparagi bianchi 500g</v>
      </c>
      <c r="O318" s="51" t="str">
        <f>Migrationsartikel!F317</f>
        <v>Bio Spargeln weiss</v>
      </c>
      <c r="P318" s="51" t="str">
        <f>Migrationsartikel!J317</f>
        <v>Bio Asperges blanches</v>
      </c>
      <c r="Q318" s="51" t="str">
        <f>Migrationsartikel!N317</f>
        <v>Bio Asparagi bianchi</v>
      </c>
      <c r="R318" s="51" t="str">
        <f>_xlfn.TEXTJOIN(" ",TRUE,Migrationsartikel!G317)</f>
        <v/>
      </c>
      <c r="S318" s="51" t="str">
        <f>_xlfn.TEXTJOIN(" ",TRUE,Migrationsartikel!K317)</f>
        <v/>
      </c>
      <c r="T318" s="51" t="str">
        <f>_xlfn.TEXTJOIN(" ",TRUE,Migrationsartikel!O317)</f>
        <v/>
      </c>
      <c r="U318" s="51" t="str">
        <f>_xlfn.TEXTJOIN(" ",TRUE,Migrationsartikel!H317)</f>
        <v>500g</v>
      </c>
      <c r="V318" s="51" t="str">
        <f>_xlfn.TEXTJOIN(" ",TRUE,Migrationsartikel!L317)</f>
        <v>500g</v>
      </c>
      <c r="W318" s="51" t="str">
        <f>_xlfn.TEXTJOIN(" ",TRUE,Migrationsartikel!P317)</f>
        <v>500g</v>
      </c>
      <c r="X318" s="51" t="str">
        <f>Migrationsartikel!I317</f>
        <v>Bio Spargeln weiss 500g</v>
      </c>
      <c r="Y318" s="51" t="str">
        <f>Migrationsartikel!M317</f>
        <v>Bio Asperges blanches 500g</v>
      </c>
      <c r="Z318" s="51" t="str">
        <f>Migrationsartikel!Q317</f>
        <v>Bio Asparagi bianchi 500g</v>
      </c>
      <c r="AA318" s="60">
        <f>Migrationsartikel!R317</f>
        <v>0.5</v>
      </c>
      <c r="AB318" s="51" t="str">
        <f>Migrationsartikel!T317</f>
        <v>Kilogramm</v>
      </c>
      <c r="AC318" s="62">
        <f>Migrationsartikel!S317</f>
        <v>1</v>
      </c>
      <c r="AD318" s="51" t="str">
        <f>Migrationsartikel!U317</f>
        <v>(PCE) Stück</v>
      </c>
      <c r="AE318" s="95" t="str">
        <f>Migrationsartikel!Y317</f>
        <v>3 - Reduzierter Satz</v>
      </c>
      <c r="AF318" s="64" t="str">
        <f>IF(Migrationsartikel!AA317="Kein Depotartikel","",Migrationsartikel!AA317)</f>
        <v/>
      </c>
      <c r="AG318" s="95" t="str">
        <f>Migrationsartikel!Z317</f>
        <v>Keine</v>
      </c>
      <c r="AH318" s="51" t="str">
        <f>IF(Migrationsartikel!AB317="ja","true",FALSE)</f>
        <v>true</v>
      </c>
      <c r="AI318" s="51" t="str">
        <f>IF(Migrationsartikel!AC317="ja","true",FALSE)</f>
        <v>true</v>
      </c>
      <c r="AJ318" s="51" t="str">
        <f>IF(Migrationsartikel!AD317="ja","true",FALSE)</f>
        <v>true</v>
      </c>
      <c r="AK318" s="51" t="str">
        <f>IF(Migrationsartikel!AE317="ja","true",FALSE)</f>
        <v>true</v>
      </c>
      <c r="AL318" s="51" t="str">
        <f>IF(Migrationsartikel!AF317="ja","Denner Partner","")</f>
        <v/>
      </c>
      <c r="AM318" s="51" t="str">
        <f>IF(Migrationsartikel!AG317="ja","true","false")</f>
        <v>false</v>
      </c>
      <c r="AN318" s="51" t="str">
        <f t="shared" si="5"/>
        <v>Kassentastenbelegung (ohne GTIN/PLU)</v>
      </c>
      <c r="AO318" s="63" t="s">
        <v>219</v>
      </c>
      <c r="AP318" s="62" t="s">
        <v>2745</v>
      </c>
      <c r="AQ318" s="63" t="s">
        <v>217</v>
      </c>
      <c r="AR318" s="30" t="s">
        <v>219</v>
      </c>
    </row>
    <row r="319" spans="2:44" ht="21.75" customHeight="1" x14ac:dyDescent="0.45">
      <c r="B319" s="51" t="s">
        <v>99</v>
      </c>
      <c r="E319" s="52" t="s">
        <v>87</v>
      </c>
      <c r="F319" s="51" t="str">
        <f>"Warengruppe&gt;&gt;"&amp;_xlfn.TEXTJOIN("&gt;&gt;",TRUE,Migrationsartikel!V318:X318)</f>
        <v>Warengruppe&gt;&gt;Früchte und Gemüse&gt;&gt;Früchte und Gemüse&gt;&gt;Gemüse</v>
      </c>
      <c r="H319" s="52" t="s">
        <v>109</v>
      </c>
      <c r="J319" s="51" t="str">
        <f>_xlfn.TEXTJOIN(" ",TRUE,Migrationsartikel!B318,Migrationsartikel!E318)</f>
        <v>7613399053811</v>
      </c>
      <c r="L319" s="51" t="str">
        <f>_xlfn.TEXTJOIN(" ",TRUE,Migrationsartikel!F318:H318)</f>
        <v>Spargeln wild grün 450g</v>
      </c>
      <c r="M319" s="51" t="str">
        <f>_xlfn.TEXTJOIN(" ",TRUE,Migrationsartikel!J318:L318)</f>
        <v>Asperges sauv. vertes 450g</v>
      </c>
      <c r="N319" s="51" t="str">
        <f>_xlfn.TEXTJOIN(" ",TRUE,Migrationsartikel!N318:P318)</f>
        <v>Asparagi verdi selvatici 450g</v>
      </c>
      <c r="O319" s="51" t="str">
        <f>Migrationsartikel!F318</f>
        <v>Spargeln wild grün</v>
      </c>
      <c r="P319" s="51" t="str">
        <f>Migrationsartikel!J318</f>
        <v>Asperges sauv. vertes</v>
      </c>
      <c r="Q319" s="51" t="str">
        <f>Migrationsartikel!N318</f>
        <v>Asparagi verdi</v>
      </c>
      <c r="R319" s="51" t="str">
        <f>_xlfn.TEXTJOIN(" ",TRUE,Migrationsartikel!G318)</f>
        <v/>
      </c>
      <c r="S319" s="51" t="str">
        <f>_xlfn.TEXTJOIN(" ",TRUE,Migrationsartikel!K318)</f>
        <v/>
      </c>
      <c r="T319" s="51" t="str">
        <f>_xlfn.TEXTJOIN(" ",TRUE,Migrationsartikel!O318)</f>
        <v>selvatici</v>
      </c>
      <c r="U319" s="51" t="str">
        <f>_xlfn.TEXTJOIN(" ",TRUE,Migrationsartikel!H318)</f>
        <v>450g</v>
      </c>
      <c r="V319" s="51" t="str">
        <f>_xlfn.TEXTJOIN(" ",TRUE,Migrationsartikel!L318)</f>
        <v>450g</v>
      </c>
      <c r="W319" s="51" t="str">
        <f>_xlfn.TEXTJOIN(" ",TRUE,Migrationsartikel!P318)</f>
        <v>450g</v>
      </c>
      <c r="X319" s="51" t="str">
        <f>Migrationsartikel!I318</f>
        <v>Spargeln wild grün 450g</v>
      </c>
      <c r="Y319" s="51" t="str">
        <f>Migrationsartikel!M318</f>
        <v>Asperges sauv. Vertes 450g</v>
      </c>
      <c r="Z319" s="51" t="str">
        <f>Migrationsartikel!Q318</f>
        <v>Asparagi verdi selvat. 450g</v>
      </c>
      <c r="AA319" s="60">
        <f>Migrationsartikel!R318</f>
        <v>0.45</v>
      </c>
      <c r="AB319" s="51" t="str">
        <f>Migrationsartikel!T318</f>
        <v>Kilogramm</v>
      </c>
      <c r="AC319" s="62">
        <f>Migrationsartikel!S318</f>
        <v>1</v>
      </c>
      <c r="AD319" s="51" t="str">
        <f>Migrationsartikel!U318</f>
        <v>(PCE) Stück</v>
      </c>
      <c r="AE319" s="95" t="str">
        <f>Migrationsartikel!Y318</f>
        <v>3 - Reduzierter Satz</v>
      </c>
      <c r="AF319" s="64" t="str">
        <f>IF(Migrationsartikel!AA318="Kein Depotartikel","",Migrationsartikel!AA318)</f>
        <v/>
      </c>
      <c r="AG319" s="95" t="str">
        <f>Migrationsartikel!Z318</f>
        <v>Keine</v>
      </c>
      <c r="AH319" s="51" t="str">
        <f>IF(Migrationsartikel!AB318="ja","true",FALSE)</f>
        <v>true</v>
      </c>
      <c r="AI319" s="51" t="str">
        <f>IF(Migrationsartikel!AC318="ja","true",FALSE)</f>
        <v>true</v>
      </c>
      <c r="AJ319" s="51" t="str">
        <f>IF(Migrationsartikel!AD318="ja","true",FALSE)</f>
        <v>true</v>
      </c>
      <c r="AK319" s="51" t="str">
        <f>IF(Migrationsartikel!AE318="ja","true",FALSE)</f>
        <v>true</v>
      </c>
      <c r="AL319" s="51" t="str">
        <f>IF(Migrationsartikel!AF318="ja","Denner Partner","")</f>
        <v/>
      </c>
      <c r="AM319" s="51" t="str">
        <f>IF(Migrationsartikel!AG318="ja","true","false")</f>
        <v>false</v>
      </c>
      <c r="AN319" s="51" t="str">
        <f t="shared" si="5"/>
        <v>Kassentastenbelegung (ohne GTIN/PLU)</v>
      </c>
      <c r="AO319" s="63" t="s">
        <v>219</v>
      </c>
      <c r="AP319" s="62" t="s">
        <v>2746</v>
      </c>
      <c r="AQ319" s="63" t="s">
        <v>217</v>
      </c>
      <c r="AR319" s="30" t="s">
        <v>219</v>
      </c>
    </row>
    <row r="320" spans="2:44" ht="21.75" customHeight="1" x14ac:dyDescent="0.45">
      <c r="B320" s="51" t="s">
        <v>99</v>
      </c>
      <c r="E320" s="52" t="s">
        <v>87</v>
      </c>
      <c r="F320" s="51" t="str">
        <f>"Warengruppe&gt;&gt;"&amp;_xlfn.TEXTJOIN("&gt;&gt;",TRUE,Migrationsartikel!V319:X319)</f>
        <v>Warengruppe&gt;&gt;Früchte und Gemüse&gt;&gt;Früchte und Gemüse&gt;&gt;Gemüse</v>
      </c>
      <c r="H320" s="52" t="s">
        <v>109</v>
      </c>
      <c r="J320" s="51" t="str">
        <f>_xlfn.TEXTJOIN(" ",TRUE,Migrationsartikel!B319,Migrationsartikel!E319)</f>
        <v>2201331000001</v>
      </c>
      <c r="L320" s="51" t="str">
        <f>_xlfn.TEXTJOIN(" ",TRUE,Migrationsartikel!F319:H319)</f>
        <v>Erdnüsse spanisch 300g</v>
      </c>
      <c r="M320" s="51" t="str">
        <f>_xlfn.TEXTJOIN(" ",TRUE,Migrationsartikel!J319:L319)</f>
        <v>Cacahuètes Espagne 300g</v>
      </c>
      <c r="N320" s="51" t="str">
        <f>_xlfn.TEXTJOIN(" ",TRUE,Migrationsartikel!N319:P319)</f>
        <v>Arachidi 300g</v>
      </c>
      <c r="O320" s="51" t="str">
        <f>Migrationsartikel!F319</f>
        <v>Erdnüsse spanisch</v>
      </c>
      <c r="P320" s="51" t="str">
        <f>Migrationsartikel!J319</f>
        <v>Cacahuètes Espagne</v>
      </c>
      <c r="Q320" s="51" t="str">
        <f>Migrationsartikel!N319</f>
        <v>Arachidi</v>
      </c>
      <c r="R320" s="51" t="str">
        <f>_xlfn.TEXTJOIN(" ",TRUE,Migrationsartikel!G319)</f>
        <v/>
      </c>
      <c r="S320" s="51" t="str">
        <f>_xlfn.TEXTJOIN(" ",TRUE,Migrationsartikel!K319)</f>
        <v/>
      </c>
      <c r="T320" s="51" t="str">
        <f>_xlfn.TEXTJOIN(" ",TRUE,Migrationsartikel!O319)</f>
        <v/>
      </c>
      <c r="U320" s="51" t="str">
        <f>_xlfn.TEXTJOIN(" ",TRUE,Migrationsartikel!H319)</f>
        <v>300g</v>
      </c>
      <c r="V320" s="51" t="str">
        <f>_xlfn.TEXTJOIN(" ",TRUE,Migrationsartikel!L319)</f>
        <v>300g</v>
      </c>
      <c r="W320" s="51" t="str">
        <f>_xlfn.TEXTJOIN(" ",TRUE,Migrationsartikel!P319)</f>
        <v>300g</v>
      </c>
      <c r="X320" s="51" t="str">
        <f>Migrationsartikel!I319</f>
        <v>Erdnüsse spanisch 300g</v>
      </c>
      <c r="Y320" s="51" t="str">
        <f>Migrationsartikel!M319</f>
        <v>Cacahuètes Espagne 300g</v>
      </c>
      <c r="Z320" s="51" t="str">
        <f>Migrationsartikel!Q319</f>
        <v>Arachidi 300g</v>
      </c>
      <c r="AA320" s="60">
        <f>Migrationsartikel!R319</f>
        <v>0.3</v>
      </c>
      <c r="AB320" s="51" t="str">
        <f>Migrationsartikel!T319</f>
        <v>Gramm</v>
      </c>
      <c r="AC320" s="62">
        <f>Migrationsartikel!S319</f>
        <v>100</v>
      </c>
      <c r="AD320" s="51" t="str">
        <f>Migrationsartikel!U319</f>
        <v>(PCE) Stück</v>
      </c>
      <c r="AE320" s="95" t="str">
        <f>Migrationsartikel!Y319</f>
        <v>3 - Reduzierter Satz</v>
      </c>
      <c r="AF320" s="64" t="str">
        <f>IF(Migrationsartikel!AA319="Kein Depotartikel","",Migrationsartikel!AA319)</f>
        <v/>
      </c>
      <c r="AG320" s="95" t="str">
        <f>Migrationsartikel!Z319</f>
        <v>Keine</v>
      </c>
      <c r="AH320" s="51" t="str">
        <f>IF(Migrationsartikel!AB319="ja","true",FALSE)</f>
        <v>true</v>
      </c>
      <c r="AI320" s="51" t="str">
        <f>IF(Migrationsartikel!AC319="ja","true",FALSE)</f>
        <v>true</v>
      </c>
      <c r="AJ320" s="51" t="str">
        <f>IF(Migrationsartikel!AD319="ja","true",FALSE)</f>
        <v>true</v>
      </c>
      <c r="AK320" s="51" t="str">
        <f>IF(Migrationsartikel!AE319="ja","true",FALSE)</f>
        <v>true</v>
      </c>
      <c r="AL320" s="51" t="str">
        <f>IF(Migrationsartikel!AF319="ja","Denner Partner","")</f>
        <v/>
      </c>
      <c r="AM320" s="51" t="str">
        <f>IF(Migrationsartikel!AG319="ja","true","false")</f>
        <v>false</v>
      </c>
      <c r="AN320" s="51" t="str">
        <f t="shared" si="5"/>
        <v>Kassentastenbelegung (ohne GTIN/PLU)</v>
      </c>
      <c r="AO320" s="63" t="s">
        <v>219</v>
      </c>
      <c r="AP320" s="62" t="s">
        <v>2747</v>
      </c>
      <c r="AQ320" s="63" t="s">
        <v>217</v>
      </c>
      <c r="AR320" s="30" t="s">
        <v>219</v>
      </c>
    </row>
    <row r="321" spans="2:44" ht="21.75" customHeight="1" x14ac:dyDescent="0.45">
      <c r="B321" s="51" t="s">
        <v>99</v>
      </c>
      <c r="E321" s="52" t="s">
        <v>87</v>
      </c>
      <c r="F321" s="51" t="str">
        <f>"Warengruppe&gt;&gt;"&amp;_xlfn.TEXTJOIN("&gt;&gt;",TRUE,Migrationsartikel!V320:X320)</f>
        <v>Warengruppe&gt;&gt;Früchte und Gemüse&gt;&gt;Früchte und Gemüse&gt;&gt;Gemüse</v>
      </c>
      <c r="H321" s="52" t="s">
        <v>109</v>
      </c>
      <c r="J321" s="51" t="str">
        <f>_xlfn.TEXTJOIN(" ",TRUE,Migrationsartikel!B320,Migrationsartikel!E320)</f>
        <v>2204061000001</v>
      </c>
      <c r="L321" s="51" t="str">
        <f>_xlfn.TEXTJOIN(" ",TRUE,Migrationsartikel!F320:H320)</f>
        <v>Spinat Beutel 500g</v>
      </c>
      <c r="M321" s="51" t="str">
        <f>_xlfn.TEXTJOIN(" ",TRUE,Migrationsartikel!J320:L320)</f>
        <v>Épinards Sachet 500g</v>
      </c>
      <c r="N321" s="51" t="str">
        <f>_xlfn.TEXTJOIN(" ",TRUE,Migrationsartikel!N320:P320)</f>
        <v>Spinaci sacchetto 500g</v>
      </c>
      <c r="O321" s="51" t="str">
        <f>Migrationsartikel!F320</f>
        <v>Spinat</v>
      </c>
      <c r="P321" s="51" t="str">
        <f>Migrationsartikel!J320</f>
        <v>Épinards</v>
      </c>
      <c r="Q321" s="51" t="str">
        <f>Migrationsartikel!N320</f>
        <v>Spinaci</v>
      </c>
      <c r="R321" s="51" t="str">
        <f>_xlfn.TEXTJOIN(" ",TRUE,Migrationsartikel!G320)</f>
        <v>Beutel</v>
      </c>
      <c r="S321" s="51" t="str">
        <f>_xlfn.TEXTJOIN(" ",TRUE,Migrationsartikel!K320)</f>
        <v>Sachet</v>
      </c>
      <c r="T321" s="51" t="str">
        <f>_xlfn.TEXTJOIN(" ",TRUE,Migrationsartikel!O320)</f>
        <v>sacchetto</v>
      </c>
      <c r="U321" s="51" t="str">
        <f>_xlfn.TEXTJOIN(" ",TRUE,Migrationsartikel!H320)</f>
        <v>500g</v>
      </c>
      <c r="V321" s="51" t="str">
        <f>_xlfn.TEXTJOIN(" ",TRUE,Migrationsartikel!L320)</f>
        <v>500g</v>
      </c>
      <c r="W321" s="51" t="str">
        <f>_xlfn.TEXTJOIN(" ",TRUE,Migrationsartikel!P320)</f>
        <v>500g</v>
      </c>
      <c r="X321" s="51" t="str">
        <f>Migrationsartikel!I320</f>
        <v>Spinat Beutel 500g</v>
      </c>
      <c r="Y321" s="51" t="str">
        <f>Migrationsartikel!M320</f>
        <v>Épinards sachets 500g</v>
      </c>
      <c r="Z321" s="51" t="str">
        <f>Migrationsartikel!Q320</f>
        <v>Spinaci sacchetto 500g</v>
      </c>
      <c r="AA321" s="60">
        <f>Migrationsartikel!R320</f>
        <v>0.5</v>
      </c>
      <c r="AB321" s="51" t="str">
        <f>Migrationsartikel!T320</f>
        <v>Kilogramm</v>
      </c>
      <c r="AC321" s="62">
        <f>Migrationsartikel!S320</f>
        <v>1</v>
      </c>
      <c r="AD321" s="51" t="str">
        <f>Migrationsartikel!U320</f>
        <v>(PCE) Stück</v>
      </c>
      <c r="AE321" s="95" t="str">
        <f>Migrationsartikel!Y320</f>
        <v>3 - Reduzierter Satz</v>
      </c>
      <c r="AF321" s="64" t="str">
        <f>IF(Migrationsartikel!AA320="Kein Depotartikel","",Migrationsartikel!AA320)</f>
        <v/>
      </c>
      <c r="AG321" s="95" t="str">
        <f>Migrationsartikel!Z320</f>
        <v>Keine</v>
      </c>
      <c r="AH321" s="51" t="str">
        <f>IF(Migrationsartikel!AB320="ja","true",FALSE)</f>
        <v>true</v>
      </c>
      <c r="AI321" s="51" t="str">
        <f>IF(Migrationsartikel!AC320="ja","true",FALSE)</f>
        <v>true</v>
      </c>
      <c r="AJ321" s="51" t="str">
        <f>IF(Migrationsartikel!AD320="ja","true",FALSE)</f>
        <v>true</v>
      </c>
      <c r="AK321" s="51" t="str">
        <f>IF(Migrationsartikel!AE320="ja","true",FALSE)</f>
        <v>true</v>
      </c>
      <c r="AL321" s="51" t="str">
        <f>IF(Migrationsartikel!AF320="ja","Denner Partner","")</f>
        <v/>
      </c>
      <c r="AM321" s="51" t="str">
        <f>IF(Migrationsartikel!AG320="ja","true","false")</f>
        <v>false</v>
      </c>
      <c r="AN321" s="51" t="str">
        <f t="shared" si="5"/>
        <v>Kassentastenbelegung (ohne GTIN/PLU)</v>
      </c>
      <c r="AO321" s="63" t="s">
        <v>219</v>
      </c>
      <c r="AP321" s="62" t="s">
        <v>2748</v>
      </c>
      <c r="AQ321" s="63" t="s">
        <v>217</v>
      </c>
      <c r="AR321" s="30" t="s">
        <v>219</v>
      </c>
    </row>
    <row r="322" spans="2:44" ht="21.75" customHeight="1" x14ac:dyDescent="0.45">
      <c r="B322" s="51" t="s">
        <v>99</v>
      </c>
      <c r="E322" s="52" t="s">
        <v>87</v>
      </c>
      <c r="F322" s="51" t="str">
        <f>"Warengruppe&gt;&gt;"&amp;_xlfn.TEXTJOIN("&gt;&gt;",TRUE,Migrationsartikel!V321:X321)</f>
        <v>Warengruppe&gt;&gt;Früchte und Gemüse&gt;&gt;Früchte und Gemüse&gt;&gt;Gemüse</v>
      </c>
      <c r="H322" s="52" t="s">
        <v>109</v>
      </c>
      <c r="J322" s="51" t="str">
        <f>_xlfn.TEXTJOIN(" ",TRUE,Migrationsartikel!B321,Migrationsartikel!E321)</f>
        <v>2207081000006</v>
      </c>
      <c r="L322" s="51" t="str">
        <f>_xlfn.TEXTJOIN(" ",TRUE,Migrationsartikel!F321:H321)</f>
        <v>Spitzkabis</v>
      </c>
      <c r="M322" s="51" t="str">
        <f>_xlfn.TEXTJOIN(" ",TRUE,Migrationsartikel!J321:L321)</f>
        <v>Chou pointu Chou pointu</v>
      </c>
      <c r="N322" s="51" t="str">
        <f>_xlfn.TEXTJOIN(" ",TRUE,Migrationsartikel!N321:P321)</f>
        <v>Cavolo a punta</v>
      </c>
      <c r="O322" s="51" t="str">
        <f>Migrationsartikel!F321</f>
        <v>Spitzkabis</v>
      </c>
      <c r="P322" s="51" t="str">
        <f>Migrationsartikel!J321</f>
        <v>Chou pointu</v>
      </c>
      <c r="Q322" s="51" t="str">
        <f>Migrationsartikel!N321</f>
        <v>Cavolo a punta</v>
      </c>
      <c r="R322" s="51" t="str">
        <f>_xlfn.TEXTJOIN(" ",TRUE,Migrationsartikel!G321)</f>
        <v/>
      </c>
      <c r="S322" s="51" t="str">
        <f>_xlfn.TEXTJOIN(" ",TRUE,Migrationsartikel!K321)</f>
        <v>Chou pointu</v>
      </c>
      <c r="T322" s="51" t="str">
        <f>_xlfn.TEXTJOIN(" ",TRUE,Migrationsartikel!O321)</f>
        <v/>
      </c>
      <c r="U322" s="51" t="str">
        <f>_xlfn.TEXTJOIN(" ",TRUE,Migrationsartikel!H321)</f>
        <v/>
      </c>
      <c r="V322" s="51" t="str">
        <f>_xlfn.TEXTJOIN(" ",TRUE,Migrationsartikel!L321)</f>
        <v/>
      </c>
      <c r="W322" s="51" t="str">
        <f>_xlfn.TEXTJOIN(" ",TRUE,Migrationsartikel!P321)</f>
        <v/>
      </c>
      <c r="X322" s="51" t="str">
        <f>Migrationsartikel!I321</f>
        <v>Spitzkabis</v>
      </c>
      <c r="Y322" s="51" t="str">
        <f>Migrationsartikel!M321</f>
        <v>Chou pointu</v>
      </c>
      <c r="Z322" s="51" t="str">
        <f>Migrationsartikel!Q321</f>
        <v>Cavolo a punta</v>
      </c>
      <c r="AA322" s="60">
        <f>Migrationsartikel!R321</f>
        <v>1</v>
      </c>
      <c r="AB322" s="51" t="str">
        <f>Migrationsartikel!T321</f>
        <v>Kilogramm</v>
      </c>
      <c r="AC322" s="62">
        <f>Migrationsartikel!S321</f>
        <v>1</v>
      </c>
      <c r="AD322" s="51" t="str">
        <f>Migrationsartikel!U321</f>
        <v>(PCE) Stück</v>
      </c>
      <c r="AE322" s="95" t="str">
        <f>Migrationsartikel!Y321</f>
        <v>3 - Reduzierter Satz</v>
      </c>
      <c r="AF322" s="64" t="str">
        <f>IF(Migrationsartikel!AA321="Kein Depotartikel","",Migrationsartikel!AA321)</f>
        <v/>
      </c>
      <c r="AG322" s="95" t="str">
        <f>Migrationsartikel!Z321</f>
        <v>Keine</v>
      </c>
      <c r="AH322" s="51" t="str">
        <f>IF(Migrationsartikel!AB321="ja","true",FALSE)</f>
        <v>true</v>
      </c>
      <c r="AI322" s="51" t="str">
        <f>IF(Migrationsartikel!AC321="ja","true",FALSE)</f>
        <v>true</v>
      </c>
      <c r="AJ322" s="51" t="str">
        <f>IF(Migrationsartikel!AD321="ja","true",FALSE)</f>
        <v>true</v>
      </c>
      <c r="AK322" s="51" t="str">
        <f>IF(Migrationsartikel!AE321="ja","true",FALSE)</f>
        <v>true</v>
      </c>
      <c r="AL322" s="51" t="str">
        <f>IF(Migrationsartikel!AF321="ja","Denner Partner","")</f>
        <v/>
      </c>
      <c r="AM322" s="51" t="str">
        <f>IF(Migrationsartikel!AG321="ja","true","false")</f>
        <v>false</v>
      </c>
      <c r="AN322" s="51" t="str">
        <f t="shared" si="5"/>
        <v>Kassentastenbelegung (ohne GTIN/PLU)</v>
      </c>
      <c r="AO322" s="63" t="s">
        <v>219</v>
      </c>
      <c r="AP322" s="62" t="s">
        <v>2749</v>
      </c>
      <c r="AQ322" s="63" t="s">
        <v>217</v>
      </c>
      <c r="AR322" s="30" t="s">
        <v>219</v>
      </c>
    </row>
    <row r="323" spans="2:44" ht="21.75" customHeight="1" x14ac:dyDescent="0.45">
      <c r="B323" s="51" t="s">
        <v>99</v>
      </c>
      <c r="E323" s="52" t="s">
        <v>87</v>
      </c>
      <c r="F323" s="51" t="str">
        <f>"Warengruppe&gt;&gt;"&amp;_xlfn.TEXTJOIN("&gt;&gt;",TRUE,Migrationsartikel!V322:X322)</f>
        <v>Warengruppe&gt;&gt;Früchte und Gemüse&gt;&gt;Früchte und Gemüse&gt;&gt;Gemüse</v>
      </c>
      <c r="H323" s="52" t="s">
        <v>109</v>
      </c>
      <c r="J323" s="51" t="str">
        <f>_xlfn.TEXTJOIN(" ",TRUE,Migrationsartikel!B322,Migrationsartikel!E322)</f>
        <v>2264491000002</v>
      </c>
      <c r="L323" s="51" t="str">
        <f>_xlfn.TEXTJOIN(" ",TRUE,Migrationsartikel!F322:H322)</f>
        <v>Süsskartoffeln Gross</v>
      </c>
      <c r="M323" s="51" t="str">
        <f>_xlfn.TEXTJOIN(" ",TRUE,Migrationsartikel!J322:L322)</f>
        <v>Patates douces Grande</v>
      </c>
      <c r="N323" s="51" t="str">
        <f>_xlfn.TEXTJOIN(" ",TRUE,Migrationsartikel!N322:P322)</f>
        <v>Patate dolci grandi</v>
      </c>
      <c r="O323" s="51" t="str">
        <f>Migrationsartikel!F322</f>
        <v>Süsskartoffeln</v>
      </c>
      <c r="P323" s="51" t="str">
        <f>Migrationsartikel!J322</f>
        <v>Patates douces</v>
      </c>
      <c r="Q323" s="51" t="str">
        <f>Migrationsartikel!N322</f>
        <v>Patate dolci</v>
      </c>
      <c r="R323" s="51" t="str">
        <f>_xlfn.TEXTJOIN(" ",TRUE,Migrationsartikel!G322)</f>
        <v>Gross</v>
      </c>
      <c r="S323" s="51" t="str">
        <f>_xlfn.TEXTJOIN(" ",TRUE,Migrationsartikel!K322)</f>
        <v>Grande</v>
      </c>
      <c r="T323" s="51" t="str">
        <f>_xlfn.TEXTJOIN(" ",TRUE,Migrationsartikel!O322)</f>
        <v>grandi</v>
      </c>
      <c r="U323" s="51" t="str">
        <f>_xlfn.TEXTJOIN(" ",TRUE,Migrationsartikel!H322)</f>
        <v/>
      </c>
      <c r="V323" s="51" t="str">
        <f>_xlfn.TEXTJOIN(" ",TRUE,Migrationsartikel!L322)</f>
        <v/>
      </c>
      <c r="W323" s="51" t="str">
        <f>_xlfn.TEXTJOIN(" ",TRUE,Migrationsartikel!P322)</f>
        <v/>
      </c>
      <c r="X323" s="51" t="str">
        <f>Migrationsartikel!I322</f>
        <v>Süsskartoffeln Gross</v>
      </c>
      <c r="Y323" s="51" t="str">
        <f>Migrationsartikel!M322</f>
        <v>Patates douces grandes</v>
      </c>
      <c r="Z323" s="51" t="str">
        <f>Migrationsartikel!Q322</f>
        <v>Patate dolci</v>
      </c>
      <c r="AA323" s="60">
        <f>Migrationsartikel!R322</f>
        <v>1</v>
      </c>
      <c r="AB323" s="51" t="str">
        <f>Migrationsartikel!T322</f>
        <v>Kilogramm</v>
      </c>
      <c r="AC323" s="62">
        <f>Migrationsartikel!S322</f>
        <v>1</v>
      </c>
      <c r="AD323" s="51" t="str">
        <f>Migrationsartikel!U322</f>
        <v>(PCE) Stück</v>
      </c>
      <c r="AE323" s="95" t="str">
        <f>Migrationsartikel!Y322</f>
        <v>3 - Reduzierter Satz</v>
      </c>
      <c r="AF323" s="64" t="str">
        <f>IF(Migrationsartikel!AA322="Kein Depotartikel","",Migrationsartikel!AA322)</f>
        <v/>
      </c>
      <c r="AG323" s="95" t="str">
        <f>Migrationsartikel!Z322</f>
        <v>Keine</v>
      </c>
      <c r="AH323" s="51" t="str">
        <f>IF(Migrationsartikel!AB322="ja","true",FALSE)</f>
        <v>true</v>
      </c>
      <c r="AI323" s="51" t="str">
        <f>IF(Migrationsartikel!AC322="ja","true",FALSE)</f>
        <v>true</v>
      </c>
      <c r="AJ323" s="51" t="str">
        <f>IF(Migrationsartikel!AD322="ja","true",FALSE)</f>
        <v>true</v>
      </c>
      <c r="AK323" s="51" t="str">
        <f>IF(Migrationsartikel!AE322="ja","true",FALSE)</f>
        <v>true</v>
      </c>
      <c r="AL323" s="51" t="str">
        <f>IF(Migrationsartikel!AF322="ja","Denner Partner","")</f>
        <v/>
      </c>
      <c r="AM323" s="51" t="str">
        <f>IF(Migrationsartikel!AG322="ja","true","false")</f>
        <v>false</v>
      </c>
      <c r="AN323" s="51" t="str">
        <f t="shared" si="5"/>
        <v>Kassentastenbelegung (ohne GTIN/PLU)</v>
      </c>
      <c r="AO323" s="63" t="s">
        <v>219</v>
      </c>
      <c r="AP323" s="62" t="s">
        <v>2750</v>
      </c>
      <c r="AQ323" s="63" t="s">
        <v>217</v>
      </c>
      <c r="AR323" s="30" t="s">
        <v>219</v>
      </c>
    </row>
    <row r="324" spans="2:44" ht="21.75" customHeight="1" x14ac:dyDescent="0.45">
      <c r="B324" s="51" t="s">
        <v>99</v>
      </c>
      <c r="E324" s="52" t="s">
        <v>87</v>
      </c>
      <c r="F324" s="51" t="str">
        <f>"Warengruppe&gt;&gt;"&amp;_xlfn.TEXTJOIN("&gt;&gt;",TRUE,Migrationsartikel!V323:X323)</f>
        <v>Warengruppe&gt;&gt;Früchte und Gemüse&gt;&gt;Früchte und Gemüse&gt;&gt;Gemüse</v>
      </c>
      <c r="H324" s="52" t="s">
        <v>109</v>
      </c>
      <c r="J324" s="51" t="str">
        <f>_xlfn.TEXTJOIN(" ",TRUE,Migrationsartikel!B323,Migrationsartikel!E323)</f>
        <v>7613399041979</v>
      </c>
      <c r="L324" s="51" t="str">
        <f>_xlfn.TEXTJOIN(" ",TRUE,Migrationsartikel!F323:H323)</f>
        <v>Thymian Schale 20g</v>
      </c>
      <c r="M324" s="51" t="str">
        <f>_xlfn.TEXTJOIN(" ",TRUE,Migrationsartikel!J323:L323)</f>
        <v>Thym Barquette 20g</v>
      </c>
      <c r="N324" s="51" t="str">
        <f>_xlfn.TEXTJOIN(" ",TRUE,Migrationsartikel!N323:P323)</f>
        <v>Timo vaschetta 20g</v>
      </c>
      <c r="O324" s="51" t="str">
        <f>Migrationsartikel!F323</f>
        <v>Thymian</v>
      </c>
      <c r="P324" s="51" t="str">
        <f>Migrationsartikel!J323</f>
        <v>Thym</v>
      </c>
      <c r="Q324" s="51" t="str">
        <f>Migrationsartikel!N323</f>
        <v>Timo</v>
      </c>
      <c r="R324" s="51" t="str">
        <f>_xlfn.TEXTJOIN(" ",TRUE,Migrationsartikel!G323)</f>
        <v>Schale</v>
      </c>
      <c r="S324" s="51" t="str">
        <f>_xlfn.TEXTJOIN(" ",TRUE,Migrationsartikel!K323)</f>
        <v>Barquette</v>
      </c>
      <c r="T324" s="51" t="str">
        <f>_xlfn.TEXTJOIN(" ",TRUE,Migrationsartikel!O323)</f>
        <v>vaschetta</v>
      </c>
      <c r="U324" s="51" t="str">
        <f>_xlfn.TEXTJOIN(" ",TRUE,Migrationsartikel!H323)</f>
        <v>20g</v>
      </c>
      <c r="V324" s="51" t="str">
        <f>_xlfn.TEXTJOIN(" ",TRUE,Migrationsartikel!L323)</f>
        <v>20g</v>
      </c>
      <c r="W324" s="51" t="str">
        <f>_xlfn.TEXTJOIN(" ",TRUE,Migrationsartikel!P323)</f>
        <v>20g</v>
      </c>
      <c r="X324" s="51" t="str">
        <f>Migrationsartikel!I323</f>
        <v>Thymian Schale 20g</v>
      </c>
      <c r="Y324" s="51" t="str">
        <f>Migrationsartikel!M323</f>
        <v>Thym barquette 20g</v>
      </c>
      <c r="Z324" s="51" t="str">
        <f>Migrationsartikel!Q323</f>
        <v>Timo vaschetta 20g</v>
      </c>
      <c r="AA324" s="60">
        <f>Migrationsartikel!R323</f>
        <v>0.02</v>
      </c>
      <c r="AB324" s="51" t="str">
        <f>Migrationsartikel!T323</f>
        <v>Gramm</v>
      </c>
      <c r="AC324" s="62">
        <f>Migrationsartikel!S323</f>
        <v>100</v>
      </c>
      <c r="AD324" s="51" t="str">
        <f>Migrationsartikel!U323</f>
        <v>(PCE) Stück</v>
      </c>
      <c r="AE324" s="95" t="str">
        <f>Migrationsartikel!Y323</f>
        <v>3 - Reduzierter Satz</v>
      </c>
      <c r="AF324" s="64" t="str">
        <f>IF(Migrationsartikel!AA323="Kein Depotartikel","",Migrationsartikel!AA323)</f>
        <v/>
      </c>
      <c r="AG324" s="95" t="str">
        <f>Migrationsartikel!Z323</f>
        <v>Keine</v>
      </c>
      <c r="AH324" s="51" t="str">
        <f>IF(Migrationsartikel!AB323="ja","true",FALSE)</f>
        <v>true</v>
      </c>
      <c r="AI324" s="51" t="str">
        <f>IF(Migrationsartikel!AC323="ja","true",FALSE)</f>
        <v>true</v>
      </c>
      <c r="AJ324" s="51" t="str">
        <f>IF(Migrationsartikel!AD323="ja","true",FALSE)</f>
        <v>true</v>
      </c>
      <c r="AK324" s="51" t="str">
        <f>IF(Migrationsartikel!AE323="ja","true",FALSE)</f>
        <v>true</v>
      </c>
      <c r="AL324" s="51" t="str">
        <f>IF(Migrationsartikel!AF323="ja","Denner Partner","")</f>
        <v/>
      </c>
      <c r="AM324" s="51" t="str">
        <f>IF(Migrationsartikel!AG323="ja","true","false")</f>
        <v>false</v>
      </c>
      <c r="AN324" s="51" t="str">
        <f t="shared" ref="AN324:AN375" si="6">IF(AND(ISNUMBER(J324),J324&gt;=100,J324&lt;=999),"PLU",IF(AND(ISNUMBER(J324),J324&gt;999),"GTIN","Kassentastenbelegung (ohne GTIN/PLU)"))</f>
        <v>Kassentastenbelegung (ohne GTIN/PLU)</v>
      </c>
      <c r="AO324" s="63" t="s">
        <v>219</v>
      </c>
      <c r="AP324" s="62" t="s">
        <v>2751</v>
      </c>
      <c r="AQ324" s="63" t="s">
        <v>217</v>
      </c>
      <c r="AR324" s="30" t="s">
        <v>219</v>
      </c>
    </row>
    <row r="325" spans="2:44" ht="21.75" customHeight="1" x14ac:dyDescent="0.45">
      <c r="B325" s="51" t="s">
        <v>99</v>
      </c>
      <c r="E325" s="52" t="s">
        <v>87</v>
      </c>
      <c r="F325" s="51" t="str">
        <f>"Warengruppe&gt;&gt;"&amp;_xlfn.TEXTJOIN("&gt;&gt;",TRUE,Migrationsartikel!V324:X324)</f>
        <v>Warengruppe&gt;&gt;Früchte und Gemüse&gt;&gt;Früchte und Gemüse&gt;&gt;Gemüse</v>
      </c>
      <c r="H325" s="52" t="s">
        <v>109</v>
      </c>
      <c r="J325" s="51" t="str">
        <f>_xlfn.TEXTJOIN(" ",TRUE,Migrationsartikel!B324,Migrationsartikel!E324)</f>
        <v>2282381000000</v>
      </c>
      <c r="L325" s="51" t="str">
        <f>_xlfn.TEXTJOIN(" ",TRUE,Migrationsartikel!F324:H324)</f>
        <v>Tomaten Cherry Rispen Schale 500g</v>
      </c>
      <c r="M325" s="51" t="str">
        <f>_xlfn.TEXTJOIN(" ",TRUE,Migrationsartikel!J324:L324)</f>
        <v>Tom. cerises en grappe Barquette 500g</v>
      </c>
      <c r="N325" s="51" t="str">
        <f>_xlfn.TEXTJOIN(" ",TRUE,Migrationsartikel!N324:P324)</f>
        <v>Pomodorini ramati vaschetta 500g</v>
      </c>
      <c r="O325" s="51" t="str">
        <f>Migrationsartikel!F324</f>
        <v>Tomaten Cherry Rispen</v>
      </c>
      <c r="P325" s="51" t="str">
        <f>Migrationsartikel!J324</f>
        <v>Tom. cerises en grappe</v>
      </c>
      <c r="Q325" s="51" t="str">
        <f>Migrationsartikel!N324</f>
        <v>Pomodorini ramati</v>
      </c>
      <c r="R325" s="51" t="str">
        <f>_xlfn.TEXTJOIN(" ",TRUE,Migrationsartikel!G324)</f>
        <v>Schale</v>
      </c>
      <c r="S325" s="51" t="str">
        <f>_xlfn.TEXTJOIN(" ",TRUE,Migrationsartikel!K324)</f>
        <v>Barquette</v>
      </c>
      <c r="T325" s="51" t="str">
        <f>_xlfn.TEXTJOIN(" ",TRUE,Migrationsartikel!O324)</f>
        <v>vaschetta</v>
      </c>
      <c r="U325" s="51" t="str">
        <f>_xlfn.TEXTJOIN(" ",TRUE,Migrationsartikel!H324)</f>
        <v>500g</v>
      </c>
      <c r="V325" s="51" t="str">
        <f>_xlfn.TEXTJOIN(" ",TRUE,Migrationsartikel!L324)</f>
        <v>500g</v>
      </c>
      <c r="W325" s="51" t="str">
        <f>_xlfn.TEXTJOIN(" ",TRUE,Migrationsartikel!P324)</f>
        <v>500g</v>
      </c>
      <c r="X325" s="51" t="str">
        <f>Migrationsartikel!I324</f>
        <v>Tomaten Cherry Rispen 500g</v>
      </c>
      <c r="Y325" s="51" t="str">
        <f>Migrationsartikel!M324</f>
        <v>Tom. Cerises en grappe 500g</v>
      </c>
      <c r="Z325" s="51" t="str">
        <f>Migrationsartikel!Q324</f>
        <v>Pomodorini ramati vasch 500g</v>
      </c>
      <c r="AA325" s="60">
        <f>Migrationsartikel!R324</f>
        <v>0.5</v>
      </c>
      <c r="AB325" s="51" t="str">
        <f>Migrationsartikel!T324</f>
        <v>Gramm</v>
      </c>
      <c r="AC325" s="62">
        <f>Migrationsartikel!S324</f>
        <v>100</v>
      </c>
      <c r="AD325" s="51" t="str">
        <f>Migrationsartikel!U324</f>
        <v>(PCE) Stück</v>
      </c>
      <c r="AE325" s="95" t="str">
        <f>Migrationsartikel!Y324</f>
        <v>3 - Reduzierter Satz</v>
      </c>
      <c r="AF325" s="64" t="str">
        <f>IF(Migrationsartikel!AA324="Kein Depotartikel","",Migrationsartikel!AA324)</f>
        <v/>
      </c>
      <c r="AG325" s="95" t="str">
        <f>Migrationsartikel!Z324</f>
        <v>Keine</v>
      </c>
      <c r="AH325" s="51" t="str">
        <f>IF(Migrationsartikel!AB324="ja","true",FALSE)</f>
        <v>true</v>
      </c>
      <c r="AI325" s="51" t="str">
        <f>IF(Migrationsartikel!AC324="ja","true",FALSE)</f>
        <v>true</v>
      </c>
      <c r="AJ325" s="51" t="str">
        <f>IF(Migrationsartikel!AD324="ja","true",FALSE)</f>
        <v>true</v>
      </c>
      <c r="AK325" s="51" t="str">
        <f>IF(Migrationsartikel!AE324="ja","true",FALSE)</f>
        <v>true</v>
      </c>
      <c r="AL325" s="51" t="str">
        <f>IF(Migrationsartikel!AF324="ja","Denner Partner","")</f>
        <v/>
      </c>
      <c r="AM325" s="51" t="str">
        <f>IF(Migrationsartikel!AG324="ja","true","false")</f>
        <v>false</v>
      </c>
      <c r="AN325" s="51" t="str">
        <f t="shared" si="6"/>
        <v>Kassentastenbelegung (ohne GTIN/PLU)</v>
      </c>
      <c r="AO325" s="63" t="s">
        <v>219</v>
      </c>
      <c r="AP325" s="62" t="s">
        <v>2752</v>
      </c>
      <c r="AQ325" s="63" t="s">
        <v>217</v>
      </c>
      <c r="AR325" s="30" t="s">
        <v>219</v>
      </c>
    </row>
    <row r="326" spans="2:44" ht="21.75" customHeight="1" x14ac:dyDescent="0.45">
      <c r="B326" s="51" t="s">
        <v>99</v>
      </c>
      <c r="E326" s="52" t="s">
        <v>87</v>
      </c>
      <c r="F326" s="51" t="str">
        <f>"Warengruppe&gt;&gt;"&amp;_xlfn.TEXTJOIN("&gt;&gt;",TRUE,Migrationsartikel!V325:X325)</f>
        <v>Warengruppe&gt;&gt;Früchte und Gemüse&gt;&gt;Früchte und Gemüse&gt;&gt;Gemüse</v>
      </c>
      <c r="H326" s="52" t="s">
        <v>109</v>
      </c>
      <c r="J326" s="51" t="str">
        <f>_xlfn.TEXTJOIN(" ",TRUE,Migrationsartikel!B325,Migrationsartikel!E325)</f>
        <v>2205666000000</v>
      </c>
      <c r="L326" s="51" t="str">
        <f>_xlfn.TEXTJOIN(" ",TRUE,Migrationsartikel!F325:H325)</f>
        <v>Bio Tomaten Berner Rosen, Schale kg</v>
      </c>
      <c r="M326" s="51" t="str">
        <f>_xlfn.TEXTJOIN(" ",TRUE,Migrationsartikel!J325:L325)</f>
        <v>Bio Tom. Rose de Berne Barquette kg</v>
      </c>
      <c r="N326" s="51" t="str">
        <f>_xlfn.TEXTJOIN(" ",TRUE,Migrationsartikel!N325:P325)</f>
        <v>Bio Pomod. Bern. Rosen vaschetta kg</v>
      </c>
      <c r="O326" s="51" t="str">
        <f>Migrationsartikel!F325</f>
        <v>Bio Tomaten</v>
      </c>
      <c r="P326" s="51" t="str">
        <f>Migrationsartikel!J325</f>
        <v>Bio Tom. Rose de Berne</v>
      </c>
      <c r="Q326" s="51" t="str">
        <f>Migrationsartikel!N325</f>
        <v>Bio Pomod. Bern. Rosen</v>
      </c>
      <c r="R326" s="51" t="str">
        <f>_xlfn.TEXTJOIN(" ",TRUE,Migrationsartikel!G325)</f>
        <v>Berner Rosen, Schale</v>
      </c>
      <c r="S326" s="51" t="str">
        <f>_xlfn.TEXTJOIN(" ",TRUE,Migrationsartikel!K325)</f>
        <v>Barquette</v>
      </c>
      <c r="T326" s="51" t="str">
        <f>_xlfn.TEXTJOIN(" ",TRUE,Migrationsartikel!O325)</f>
        <v>vaschetta</v>
      </c>
      <c r="U326" s="51" t="str">
        <f>_xlfn.TEXTJOIN(" ",TRUE,Migrationsartikel!H325)</f>
        <v>kg</v>
      </c>
      <c r="V326" s="51" t="str">
        <f>_xlfn.TEXTJOIN(" ",TRUE,Migrationsartikel!L325)</f>
        <v>kg</v>
      </c>
      <c r="W326" s="51" t="str">
        <f>_xlfn.TEXTJOIN(" ",TRUE,Migrationsartikel!P325)</f>
        <v>kg</v>
      </c>
      <c r="X326" s="51" t="str">
        <f>Migrationsartikel!I325</f>
        <v>Bio Tomaten Bern. Ros. kg</v>
      </c>
      <c r="Y326" s="51" t="str">
        <f>Migrationsartikel!M325</f>
        <v>Bio Tom. Rose de Berne kg</v>
      </c>
      <c r="Z326" s="51" t="str">
        <f>Migrationsartikel!Q325</f>
        <v>Bio Pomod. Bern. Rosen kg</v>
      </c>
      <c r="AA326" s="60">
        <f>Migrationsartikel!R325</f>
        <v>1</v>
      </c>
      <c r="AB326" s="51" t="str">
        <f>Migrationsartikel!T325</f>
        <v>Stück</v>
      </c>
      <c r="AC326" s="62">
        <f>Migrationsartikel!S325</f>
        <v>1</v>
      </c>
      <c r="AD326" s="51" t="str">
        <f>Migrationsartikel!U325</f>
        <v>(PCE) Stück</v>
      </c>
      <c r="AE326" s="95" t="str">
        <f>Migrationsartikel!Y325</f>
        <v>3 - Reduzierter Satz</v>
      </c>
      <c r="AF326" s="64" t="str">
        <f>IF(Migrationsartikel!AA325="Kein Depotartikel","",Migrationsartikel!AA325)</f>
        <v/>
      </c>
      <c r="AG326" s="95" t="str">
        <f>Migrationsartikel!Z325</f>
        <v>Keine</v>
      </c>
      <c r="AH326" s="51" t="str">
        <f>IF(Migrationsartikel!AB325="ja","true",FALSE)</f>
        <v>true</v>
      </c>
      <c r="AI326" s="51" t="str">
        <f>IF(Migrationsartikel!AC325="ja","true",FALSE)</f>
        <v>true</v>
      </c>
      <c r="AJ326" s="51" t="str">
        <f>IF(Migrationsartikel!AD325="ja","true",FALSE)</f>
        <v>true</v>
      </c>
      <c r="AK326" s="51" t="str">
        <f>IF(Migrationsartikel!AE325="ja","true",FALSE)</f>
        <v>true</v>
      </c>
      <c r="AL326" s="51" t="str">
        <f>IF(Migrationsartikel!AF325="ja","Denner Partner","")</f>
        <v/>
      </c>
      <c r="AM326" s="51" t="str">
        <f>IF(Migrationsartikel!AG325="ja","true","false")</f>
        <v>false</v>
      </c>
      <c r="AN326" s="51" t="str">
        <f t="shared" si="6"/>
        <v>Kassentastenbelegung (ohne GTIN/PLU)</v>
      </c>
      <c r="AO326" s="63" t="s">
        <v>219</v>
      </c>
      <c r="AP326" s="62" t="s">
        <v>2753</v>
      </c>
      <c r="AQ326" s="63" t="s">
        <v>217</v>
      </c>
      <c r="AR326" s="30" t="s">
        <v>219</v>
      </c>
    </row>
    <row r="327" spans="2:44" ht="21.75" customHeight="1" x14ac:dyDescent="0.45">
      <c r="B327" s="51" t="s">
        <v>99</v>
      </c>
      <c r="E327" s="52" t="s">
        <v>87</v>
      </c>
      <c r="F327" s="51" t="str">
        <f>"Warengruppe&gt;&gt;"&amp;_xlfn.TEXTJOIN("&gt;&gt;",TRUE,Migrationsartikel!V326:X326)</f>
        <v>Warengruppe&gt;&gt;Früchte und Gemüse&gt;&gt;Früchte und Gemüse&gt;&gt;Gemüse</v>
      </c>
      <c r="H327" s="52" t="s">
        <v>109</v>
      </c>
      <c r="J327" s="51" t="str">
        <f>_xlfn.TEXTJOIN(" ",TRUE,Migrationsartikel!B326,Migrationsartikel!E326)</f>
        <v>258</v>
      </c>
      <c r="L327" s="51" t="str">
        <f>_xlfn.TEXTJOIN(" ",TRUE,Migrationsartikel!F326:H326)</f>
        <v>Tomaten Berner Rosen Offen</v>
      </c>
      <c r="M327" s="51" t="str">
        <f>_xlfn.TEXTJOIN(" ",TRUE,Migrationsartikel!J326:L326)</f>
        <v>Tomates Rose de Berne En vrac</v>
      </c>
      <c r="N327" s="51" t="str">
        <f>_xlfn.TEXTJOIN(" ",TRUE,Migrationsartikel!N326:P326)</f>
        <v>Pomodori Berner Rosen vendita sfusa</v>
      </c>
      <c r="O327" s="51" t="str">
        <f>Migrationsartikel!F326</f>
        <v>Tomaten Berner Rosen</v>
      </c>
      <c r="P327" s="51" t="str">
        <f>Migrationsartikel!J326</f>
        <v>Tomates Rose de Berne</v>
      </c>
      <c r="Q327" s="51" t="str">
        <f>Migrationsartikel!N326</f>
        <v>Pomodori Berner Rosen</v>
      </c>
      <c r="R327" s="51" t="str">
        <f>_xlfn.TEXTJOIN(" ",TRUE,Migrationsartikel!G326)</f>
        <v>Offen</v>
      </c>
      <c r="S327" s="51" t="str">
        <f>_xlfn.TEXTJOIN(" ",TRUE,Migrationsartikel!K326)</f>
        <v>En vrac</v>
      </c>
      <c r="T327" s="51" t="str">
        <f>_xlfn.TEXTJOIN(" ",TRUE,Migrationsartikel!O326)</f>
        <v>vendita sfusa</v>
      </c>
      <c r="U327" s="51" t="str">
        <f>_xlfn.TEXTJOIN(" ",TRUE,Migrationsartikel!H326)</f>
        <v/>
      </c>
      <c r="V327" s="51" t="str">
        <f>_xlfn.TEXTJOIN(" ",TRUE,Migrationsartikel!L326)</f>
        <v/>
      </c>
      <c r="W327" s="51" t="str">
        <f>_xlfn.TEXTJOIN(" ",TRUE,Migrationsartikel!P326)</f>
        <v/>
      </c>
      <c r="X327" s="51" t="str">
        <f>Migrationsartikel!I326</f>
        <v>Tomaten Berner Rosen Offen</v>
      </c>
      <c r="Y327" s="51" t="str">
        <f>Migrationsartikel!M326</f>
        <v>Tomates Rose de Berne en v.</v>
      </c>
      <c r="Z327" s="51" t="str">
        <f>Migrationsartikel!Q326</f>
        <v>Pomodori Berner Rosen v. s.</v>
      </c>
      <c r="AA327" s="60">
        <f>Migrationsartikel!R326</f>
        <v>1</v>
      </c>
      <c r="AB327" s="51" t="str">
        <f>Migrationsartikel!T326</f>
        <v>Kilogramm</v>
      </c>
      <c r="AC327" s="62">
        <f>Migrationsartikel!S326</f>
        <v>1</v>
      </c>
      <c r="AD327" s="51" t="str">
        <f>Migrationsartikel!U326</f>
        <v>(KGM) KG</v>
      </c>
      <c r="AE327" s="95" t="str">
        <f>Migrationsartikel!Y326</f>
        <v>3 - Reduzierter Satz</v>
      </c>
      <c r="AF327" s="64" t="str">
        <f>IF(Migrationsartikel!AA326="Kein Depotartikel","",Migrationsartikel!AA326)</f>
        <v/>
      </c>
      <c r="AG327" s="95" t="str">
        <f>Migrationsartikel!Z326</f>
        <v>Keine</v>
      </c>
      <c r="AH327" s="51" t="str">
        <f>IF(Migrationsartikel!AB326="ja","true",FALSE)</f>
        <v>true</v>
      </c>
      <c r="AI327" s="51" t="str">
        <f>IF(Migrationsartikel!AC326="ja","true",FALSE)</f>
        <v>true</v>
      </c>
      <c r="AJ327" s="51" t="str">
        <f>IF(Migrationsartikel!AD326="ja","true",FALSE)</f>
        <v>true</v>
      </c>
      <c r="AK327" s="51" t="str">
        <f>IF(Migrationsartikel!AE326="ja","true",FALSE)</f>
        <v>true</v>
      </c>
      <c r="AL327" s="51" t="str">
        <f>IF(Migrationsartikel!AF326="ja","Denner Partner","")</f>
        <v/>
      </c>
      <c r="AM327" s="51" t="str">
        <f>IF(Migrationsartikel!AG326="ja","true","false")</f>
        <v>false</v>
      </c>
      <c r="AN327" s="51" t="str">
        <f t="shared" si="6"/>
        <v>Kassentastenbelegung (ohne GTIN/PLU)</v>
      </c>
      <c r="AO327" s="63" t="s">
        <v>219</v>
      </c>
      <c r="AP327" s="62" t="s">
        <v>2754</v>
      </c>
      <c r="AQ327" s="63" t="s">
        <v>217</v>
      </c>
      <c r="AR327" s="30" t="s">
        <v>219</v>
      </c>
    </row>
    <row r="328" spans="2:44" ht="21.75" customHeight="1" x14ac:dyDescent="0.45">
      <c r="B328" s="51" t="s">
        <v>99</v>
      </c>
      <c r="E328" s="52" t="s">
        <v>87</v>
      </c>
      <c r="F328" s="51" t="str">
        <f>"Warengruppe&gt;&gt;"&amp;_xlfn.TEXTJOIN("&gt;&gt;",TRUE,Migrationsartikel!V327:X327)</f>
        <v>Warengruppe&gt;&gt;Früchte und Gemüse&gt;&gt;Früchte und Gemüse&gt;&gt;Gemüse</v>
      </c>
      <c r="H328" s="52" t="s">
        <v>109</v>
      </c>
      <c r="J328" s="51" t="str">
        <f>_xlfn.TEXTJOIN(" ",TRUE,Migrationsartikel!B327,Migrationsartikel!E327)</f>
        <v>2201522000003</v>
      </c>
      <c r="L328" s="51" t="str">
        <f>_xlfn.TEXTJOIN(" ",TRUE,Migrationsartikel!F327:H327)</f>
        <v>Bio Tomaten Schale</v>
      </c>
      <c r="M328" s="51" t="str">
        <f>_xlfn.TEXTJOIN(" ",TRUE,Migrationsartikel!J327:L327)</f>
        <v>Bio Tomates Barquette</v>
      </c>
      <c r="N328" s="51" t="str">
        <f>_xlfn.TEXTJOIN(" ",TRUE,Migrationsartikel!N327:P327)</f>
        <v>Bio Pomodori vaschetta</v>
      </c>
      <c r="O328" s="51" t="str">
        <f>Migrationsartikel!F327</f>
        <v>Bio Tomaten</v>
      </c>
      <c r="P328" s="51" t="str">
        <f>Migrationsartikel!J327</f>
        <v>Bio Tomates</v>
      </c>
      <c r="Q328" s="51" t="str">
        <f>Migrationsartikel!N327</f>
        <v>Bio Pomodori</v>
      </c>
      <c r="R328" s="51" t="str">
        <f>_xlfn.TEXTJOIN(" ",TRUE,Migrationsartikel!G327)</f>
        <v>Schale</v>
      </c>
      <c r="S328" s="51" t="str">
        <f>_xlfn.TEXTJOIN(" ",TRUE,Migrationsartikel!K327)</f>
        <v>Barquette</v>
      </c>
      <c r="T328" s="51" t="str">
        <f>_xlfn.TEXTJOIN(" ",TRUE,Migrationsartikel!O327)</f>
        <v>vaschetta</v>
      </c>
      <c r="U328" s="51" t="str">
        <f>_xlfn.TEXTJOIN(" ",TRUE,Migrationsartikel!H327)</f>
        <v/>
      </c>
      <c r="V328" s="51" t="str">
        <f>_xlfn.TEXTJOIN(" ",TRUE,Migrationsartikel!L327)</f>
        <v/>
      </c>
      <c r="W328" s="51" t="str">
        <f>_xlfn.TEXTJOIN(" ",TRUE,Migrationsartikel!P327)</f>
        <v/>
      </c>
      <c r="X328" s="51" t="str">
        <f>Migrationsartikel!I327</f>
        <v>Bio Tomaten Schale</v>
      </c>
      <c r="Y328" s="51" t="str">
        <f>Migrationsartikel!M327</f>
        <v>Bio Tomates Barquette</v>
      </c>
      <c r="Z328" s="51" t="str">
        <f>Migrationsartikel!Q327</f>
        <v>Bio Pomodori vaschetta</v>
      </c>
      <c r="AA328" s="60">
        <f>Migrationsartikel!R327</f>
        <v>1</v>
      </c>
      <c r="AB328" s="51" t="str">
        <f>Migrationsartikel!T327</f>
        <v>Kilogramm</v>
      </c>
      <c r="AC328" s="62">
        <f>Migrationsartikel!S327</f>
        <v>1</v>
      </c>
      <c r="AD328" s="51" t="str">
        <f>Migrationsartikel!U327</f>
        <v>(PCE) Stück</v>
      </c>
      <c r="AE328" s="95" t="str">
        <f>Migrationsartikel!Y327</f>
        <v>3 - Reduzierter Satz</v>
      </c>
      <c r="AF328" s="64" t="str">
        <f>IF(Migrationsartikel!AA327="Kein Depotartikel","",Migrationsartikel!AA327)</f>
        <v/>
      </c>
      <c r="AG328" s="95" t="str">
        <f>Migrationsartikel!Z327</f>
        <v>Keine</v>
      </c>
      <c r="AH328" s="51" t="str">
        <f>IF(Migrationsartikel!AB327="ja","true",FALSE)</f>
        <v>true</v>
      </c>
      <c r="AI328" s="51" t="str">
        <f>IF(Migrationsartikel!AC327="ja","true",FALSE)</f>
        <v>true</v>
      </c>
      <c r="AJ328" s="51" t="str">
        <f>IF(Migrationsartikel!AD327="ja","true",FALSE)</f>
        <v>true</v>
      </c>
      <c r="AK328" s="51" t="str">
        <f>IF(Migrationsartikel!AE327="ja","true",FALSE)</f>
        <v>true</v>
      </c>
      <c r="AL328" s="51" t="str">
        <f>IF(Migrationsartikel!AF327="ja","Denner Partner","")</f>
        <v/>
      </c>
      <c r="AM328" s="51" t="str">
        <f>IF(Migrationsartikel!AG327="ja","true","false")</f>
        <v>false</v>
      </c>
      <c r="AN328" s="51" t="str">
        <f t="shared" si="6"/>
        <v>Kassentastenbelegung (ohne GTIN/PLU)</v>
      </c>
      <c r="AO328" s="63" t="s">
        <v>219</v>
      </c>
      <c r="AP328" s="62" t="s">
        <v>2755</v>
      </c>
      <c r="AQ328" s="63" t="s">
        <v>217</v>
      </c>
      <c r="AR328" s="30" t="s">
        <v>219</v>
      </c>
    </row>
    <row r="329" spans="2:44" ht="21.75" customHeight="1" x14ac:dyDescent="0.45">
      <c r="B329" s="51" t="s">
        <v>99</v>
      </c>
      <c r="E329" s="52" t="s">
        <v>87</v>
      </c>
      <c r="F329" s="51" t="str">
        <f>"Warengruppe&gt;&gt;"&amp;_xlfn.TEXTJOIN("&gt;&gt;",TRUE,Migrationsartikel!V328:X328)</f>
        <v>Warengruppe&gt;&gt;Früchte und Gemüse&gt;&gt;Früchte und Gemüse&gt;&gt;Gemüse</v>
      </c>
      <c r="H329" s="52" t="s">
        <v>109</v>
      </c>
      <c r="J329" s="51" t="str">
        <f>_xlfn.TEXTJOIN(" ",TRUE,Migrationsartikel!B328,Migrationsartikel!E328)</f>
        <v/>
      </c>
      <c r="L329" s="51" t="str">
        <f>_xlfn.TEXTJOIN(" ",TRUE,Migrationsartikel!F328:H328)</f>
        <v>Tomaten Cherry Schale 250g</v>
      </c>
      <c r="M329" s="51" t="str">
        <f>_xlfn.TEXTJOIN(" ",TRUE,Migrationsartikel!J328:L328)</f>
        <v>Tomates cerises Barquette 250g</v>
      </c>
      <c r="N329" s="51" t="str">
        <f>_xlfn.TEXTJOIN(" ",TRUE,Migrationsartikel!N328:P328)</f>
        <v>Pomodorini ciliegia vaschetta 250g</v>
      </c>
      <c r="O329" s="51" t="str">
        <f>Migrationsartikel!F328</f>
        <v>Tomaten Cherry</v>
      </c>
      <c r="P329" s="51" t="str">
        <f>Migrationsartikel!J328</f>
        <v>Tomates cerises</v>
      </c>
      <c r="Q329" s="51" t="str">
        <f>Migrationsartikel!N328</f>
        <v>Pomodorini ciliegia</v>
      </c>
      <c r="R329" s="51" t="str">
        <f>_xlfn.TEXTJOIN(" ",TRUE,Migrationsartikel!G328)</f>
        <v>Schale</v>
      </c>
      <c r="S329" s="51" t="str">
        <f>_xlfn.TEXTJOIN(" ",TRUE,Migrationsartikel!K328)</f>
        <v>Barquette</v>
      </c>
      <c r="T329" s="51" t="str">
        <f>_xlfn.TEXTJOIN(" ",TRUE,Migrationsartikel!O328)</f>
        <v>vaschetta</v>
      </c>
      <c r="U329" s="51" t="str">
        <f>_xlfn.TEXTJOIN(" ",TRUE,Migrationsartikel!H328)</f>
        <v>250g</v>
      </c>
      <c r="V329" s="51" t="str">
        <f>_xlfn.TEXTJOIN(" ",TRUE,Migrationsartikel!L328)</f>
        <v>250g</v>
      </c>
      <c r="W329" s="51" t="str">
        <f>_xlfn.TEXTJOIN(" ",TRUE,Migrationsartikel!P328)</f>
        <v>250g</v>
      </c>
      <c r="X329" s="51" t="str">
        <f>Migrationsartikel!I328</f>
        <v>Tomaten Cherry Schale 250g</v>
      </c>
      <c r="Y329" s="51" t="str">
        <f>Migrationsartikel!M328</f>
        <v>Tomates cerises 250g</v>
      </c>
      <c r="Z329" s="51" t="str">
        <f>Migrationsartikel!Q328</f>
        <v>Pomodorini ciliegia vas 250g</v>
      </c>
      <c r="AA329" s="60">
        <f>Migrationsartikel!R328</f>
        <v>0.25</v>
      </c>
      <c r="AB329" s="51" t="str">
        <f>Migrationsartikel!T328</f>
        <v>Gramm</v>
      </c>
      <c r="AC329" s="62">
        <f>Migrationsartikel!S328</f>
        <v>100</v>
      </c>
      <c r="AD329" s="51" t="str">
        <f>Migrationsartikel!U328</f>
        <v>(PCE) Stück</v>
      </c>
      <c r="AE329" s="95" t="str">
        <f>Migrationsartikel!Y328</f>
        <v>3 - Reduzierter Satz</v>
      </c>
      <c r="AF329" s="64" t="str">
        <f>IF(Migrationsartikel!AA328="Kein Depotartikel","",Migrationsartikel!AA328)</f>
        <v/>
      </c>
      <c r="AG329" s="95" t="str">
        <f>Migrationsartikel!Z328</f>
        <v>Keine</v>
      </c>
      <c r="AH329" s="51" t="str">
        <f>IF(Migrationsartikel!AB328="ja","true",FALSE)</f>
        <v>true</v>
      </c>
      <c r="AI329" s="51" t="str">
        <f>IF(Migrationsartikel!AC328="ja","true",FALSE)</f>
        <v>true</v>
      </c>
      <c r="AJ329" s="51" t="str">
        <f>IF(Migrationsartikel!AD328="ja","true",FALSE)</f>
        <v>true</v>
      </c>
      <c r="AK329" s="51" t="str">
        <f>IF(Migrationsartikel!AE328="ja","true",FALSE)</f>
        <v>true</v>
      </c>
      <c r="AL329" s="51" t="str">
        <f>IF(Migrationsartikel!AF328="ja","Denner Partner","")</f>
        <v/>
      </c>
      <c r="AM329" s="51" t="str">
        <f>IF(Migrationsartikel!AG328="ja","true","false")</f>
        <v>false</v>
      </c>
      <c r="AN329" s="51" t="str">
        <f t="shared" si="6"/>
        <v>Kassentastenbelegung (ohne GTIN/PLU)</v>
      </c>
      <c r="AO329" s="63" t="s">
        <v>219</v>
      </c>
      <c r="AP329" s="62" t="s">
        <v>2756</v>
      </c>
      <c r="AQ329" s="63" t="s">
        <v>217</v>
      </c>
      <c r="AR329" s="30" t="s">
        <v>219</v>
      </c>
    </row>
    <row r="330" spans="2:44" ht="21.75" customHeight="1" x14ac:dyDescent="0.45">
      <c r="B330" s="51" t="s">
        <v>99</v>
      </c>
      <c r="E330" s="52" t="s">
        <v>87</v>
      </c>
      <c r="F330" s="51" t="str">
        <f>"Warengruppe&gt;&gt;"&amp;_xlfn.TEXTJOIN("&gt;&gt;",TRUE,Migrationsartikel!V329:X329)</f>
        <v>Warengruppe&gt;&gt;Früchte und Gemüse&gt;&gt;Früchte und Gemüse&gt;&gt;Gemüse</v>
      </c>
      <c r="H330" s="52" t="s">
        <v>109</v>
      </c>
      <c r="J330" s="51" t="str">
        <f>_xlfn.TEXTJOIN(" ",TRUE,Migrationsartikel!B329,Migrationsartikel!E329)</f>
        <v>2216871000003</v>
      </c>
      <c r="L330" s="51" t="str">
        <f>_xlfn.TEXTJOIN(" ",TRUE,Migrationsartikel!F329:H329)</f>
        <v>Tomaten Cherry gelb Schale 250g</v>
      </c>
      <c r="M330" s="51" t="str">
        <f>_xlfn.TEXTJOIN(" ",TRUE,Migrationsartikel!J329:L329)</f>
        <v>Tomates cerises jaunes Barquette 250g</v>
      </c>
      <c r="N330" s="51" t="str">
        <f>_xlfn.TEXTJOIN(" ",TRUE,Migrationsartikel!N329:P329)</f>
        <v>Pomodorini gialli vaschetta 250g</v>
      </c>
      <c r="O330" s="51" t="str">
        <f>Migrationsartikel!F329</f>
        <v>Tomaten Cherry gelb</v>
      </c>
      <c r="P330" s="51" t="str">
        <f>Migrationsartikel!J329</f>
        <v>Tomates cerises jaunes</v>
      </c>
      <c r="Q330" s="51" t="str">
        <f>Migrationsartikel!N329</f>
        <v>Pomodorini gialli</v>
      </c>
      <c r="R330" s="51" t="str">
        <f>_xlfn.TEXTJOIN(" ",TRUE,Migrationsartikel!G329)</f>
        <v>Schale</v>
      </c>
      <c r="S330" s="51" t="str">
        <f>_xlfn.TEXTJOIN(" ",TRUE,Migrationsartikel!K329)</f>
        <v>Barquette</v>
      </c>
      <c r="T330" s="51" t="str">
        <f>_xlfn.TEXTJOIN(" ",TRUE,Migrationsartikel!O329)</f>
        <v>vaschetta</v>
      </c>
      <c r="U330" s="51" t="str">
        <f>_xlfn.TEXTJOIN(" ",TRUE,Migrationsartikel!H329)</f>
        <v>250g</v>
      </c>
      <c r="V330" s="51" t="str">
        <f>_xlfn.TEXTJOIN(" ",TRUE,Migrationsartikel!L329)</f>
        <v>250g</v>
      </c>
      <c r="W330" s="51" t="str">
        <f>_xlfn.TEXTJOIN(" ",TRUE,Migrationsartikel!P329)</f>
        <v>250g</v>
      </c>
      <c r="X330" s="51" t="str">
        <f>Migrationsartikel!I329</f>
        <v>Tomaten Cherry gelb 250g</v>
      </c>
      <c r="Y330" s="51" t="str">
        <f>Migrationsartikel!M329</f>
        <v>Tomates cerises jaunes 250g</v>
      </c>
      <c r="Z330" s="51" t="str">
        <f>Migrationsartikel!Q329</f>
        <v>Pomodorini gialli vas. 250g</v>
      </c>
      <c r="AA330" s="60">
        <f>Migrationsartikel!R329</f>
        <v>0.25</v>
      </c>
      <c r="AB330" s="51" t="str">
        <f>Migrationsartikel!T329</f>
        <v>Gramm</v>
      </c>
      <c r="AC330" s="62">
        <f>Migrationsartikel!S329</f>
        <v>100</v>
      </c>
      <c r="AD330" s="51" t="str">
        <f>Migrationsartikel!U329</f>
        <v>(PCE) Stück</v>
      </c>
      <c r="AE330" s="95" t="str">
        <f>Migrationsartikel!Y329</f>
        <v>3 - Reduzierter Satz</v>
      </c>
      <c r="AF330" s="64" t="str">
        <f>IF(Migrationsartikel!AA329="Kein Depotartikel","",Migrationsartikel!AA329)</f>
        <v/>
      </c>
      <c r="AG330" s="95" t="str">
        <f>Migrationsartikel!Z329</f>
        <v>Keine</v>
      </c>
      <c r="AH330" s="51" t="str">
        <f>IF(Migrationsartikel!AB329="ja","true",FALSE)</f>
        <v>true</v>
      </c>
      <c r="AI330" s="51" t="str">
        <f>IF(Migrationsartikel!AC329="ja","true",FALSE)</f>
        <v>true</v>
      </c>
      <c r="AJ330" s="51" t="str">
        <f>IF(Migrationsartikel!AD329="ja","true",FALSE)</f>
        <v>true</v>
      </c>
      <c r="AK330" s="51" t="str">
        <f>IF(Migrationsartikel!AE329="ja","true",FALSE)</f>
        <v>true</v>
      </c>
      <c r="AL330" s="51" t="str">
        <f>IF(Migrationsartikel!AF329="ja","Denner Partner","")</f>
        <v/>
      </c>
      <c r="AM330" s="51" t="str">
        <f>IF(Migrationsartikel!AG329="ja","true","false")</f>
        <v>false</v>
      </c>
      <c r="AN330" s="51" t="str">
        <f t="shared" si="6"/>
        <v>Kassentastenbelegung (ohne GTIN/PLU)</v>
      </c>
      <c r="AO330" s="63" t="s">
        <v>219</v>
      </c>
      <c r="AP330" s="62" t="s">
        <v>2757</v>
      </c>
      <c r="AQ330" s="63" t="s">
        <v>217</v>
      </c>
      <c r="AR330" s="30" t="s">
        <v>219</v>
      </c>
    </row>
    <row r="331" spans="2:44" ht="21.75" customHeight="1" x14ac:dyDescent="0.45">
      <c r="B331" s="51" t="s">
        <v>99</v>
      </c>
      <c r="E331" s="52" t="s">
        <v>87</v>
      </c>
      <c r="F331" s="51" t="str">
        <f>"Warengruppe&gt;&gt;"&amp;_xlfn.TEXTJOIN("&gt;&gt;",TRUE,Migrationsartikel!V330:X330)</f>
        <v>Warengruppe&gt;&gt;Früchte und Gemüse&gt;&gt;Früchte und Gemüse&gt;&gt;Gemüse</v>
      </c>
      <c r="H331" s="52" t="s">
        <v>109</v>
      </c>
      <c r="J331" s="51" t="str">
        <f>_xlfn.TEXTJOIN(" ",TRUE,Migrationsartikel!B330,Migrationsartikel!E330)</f>
        <v>2216871000000</v>
      </c>
      <c r="L331" s="51" t="str">
        <f>_xlfn.TEXTJOIN(" ",TRUE,Migrationsartikel!F330:H330)</f>
        <v>Tomaten Cherry mix Schale 250g</v>
      </c>
      <c r="M331" s="51" t="str">
        <f>_xlfn.TEXTJOIN(" ",TRUE,Migrationsartikel!J330:L330)</f>
        <v>Tomates cerises mix Barquette 250g</v>
      </c>
      <c r="N331" s="51" t="str">
        <f>_xlfn.TEXTJOIN(" ",TRUE,Migrationsartikel!N330:P330)</f>
        <v>Pomodorini Cherry mix vaschetta 250g</v>
      </c>
      <c r="O331" s="51" t="str">
        <f>Migrationsartikel!F330</f>
        <v>Tomaten Cherry mix</v>
      </c>
      <c r="P331" s="51" t="str">
        <f>Migrationsartikel!J330</f>
        <v>Tomates cerises mix</v>
      </c>
      <c r="Q331" s="51" t="str">
        <f>Migrationsartikel!N330</f>
        <v>Pomodorini Cherry mix</v>
      </c>
      <c r="R331" s="51" t="str">
        <f>_xlfn.TEXTJOIN(" ",TRUE,Migrationsartikel!G330)</f>
        <v>Schale</v>
      </c>
      <c r="S331" s="51" t="str">
        <f>_xlfn.TEXTJOIN(" ",TRUE,Migrationsartikel!K330)</f>
        <v>Barquette</v>
      </c>
      <c r="T331" s="51" t="str">
        <f>_xlfn.TEXTJOIN(" ",TRUE,Migrationsartikel!O330)</f>
        <v>vaschetta</v>
      </c>
      <c r="U331" s="51" t="str">
        <f>_xlfn.TEXTJOIN(" ",TRUE,Migrationsartikel!H330)</f>
        <v>250g</v>
      </c>
      <c r="V331" s="51" t="str">
        <f>_xlfn.TEXTJOIN(" ",TRUE,Migrationsartikel!L330)</f>
        <v>250g</v>
      </c>
      <c r="W331" s="51" t="str">
        <f>_xlfn.TEXTJOIN(" ",TRUE,Migrationsartikel!P330)</f>
        <v>250g</v>
      </c>
      <c r="X331" s="51" t="str">
        <f>Migrationsartikel!I330</f>
        <v>Tomaten Cherry mix 250g</v>
      </c>
      <c r="Y331" s="51" t="str">
        <f>Migrationsartikel!M330</f>
        <v>Tomates cerises mix 250g</v>
      </c>
      <c r="Z331" s="51" t="str">
        <f>Migrationsartikel!Q330</f>
        <v>Pomodorini Cherry mix 250g</v>
      </c>
      <c r="AA331" s="60">
        <f>Migrationsartikel!R330</f>
        <v>0.25</v>
      </c>
      <c r="AB331" s="51" t="str">
        <f>Migrationsartikel!T330</f>
        <v>Gramm</v>
      </c>
      <c r="AC331" s="62">
        <f>Migrationsartikel!S330</f>
        <v>100</v>
      </c>
      <c r="AD331" s="51" t="str">
        <f>Migrationsartikel!U330</f>
        <v>(PCE) Stück</v>
      </c>
      <c r="AE331" s="95" t="str">
        <f>Migrationsartikel!Y330</f>
        <v>3 - Reduzierter Satz</v>
      </c>
      <c r="AF331" s="64" t="str">
        <f>IF(Migrationsartikel!AA330="Kein Depotartikel","",Migrationsartikel!AA330)</f>
        <v/>
      </c>
      <c r="AG331" s="95" t="str">
        <f>Migrationsartikel!Z330</f>
        <v>Keine</v>
      </c>
      <c r="AH331" s="51" t="str">
        <f>IF(Migrationsartikel!AB330="ja","true",FALSE)</f>
        <v>true</v>
      </c>
      <c r="AI331" s="51" t="str">
        <f>IF(Migrationsartikel!AC330="ja","true",FALSE)</f>
        <v>true</v>
      </c>
      <c r="AJ331" s="51" t="str">
        <f>IF(Migrationsartikel!AD330="ja","true",FALSE)</f>
        <v>true</v>
      </c>
      <c r="AK331" s="51" t="str">
        <f>IF(Migrationsartikel!AE330="ja","true",FALSE)</f>
        <v>true</v>
      </c>
      <c r="AL331" s="51" t="str">
        <f>IF(Migrationsartikel!AF330="ja","Denner Partner","")</f>
        <v/>
      </c>
      <c r="AM331" s="51" t="str">
        <f>IF(Migrationsartikel!AG330="ja","true","false")</f>
        <v>false</v>
      </c>
      <c r="AN331" s="51" t="str">
        <f t="shared" si="6"/>
        <v>Kassentastenbelegung (ohne GTIN/PLU)</v>
      </c>
      <c r="AO331" s="63" t="s">
        <v>219</v>
      </c>
      <c r="AP331" s="62" t="s">
        <v>2758</v>
      </c>
      <c r="AQ331" s="63" t="s">
        <v>217</v>
      </c>
      <c r="AR331" s="30" t="s">
        <v>219</v>
      </c>
    </row>
    <row r="332" spans="2:44" ht="21.75" customHeight="1" x14ac:dyDescent="0.45">
      <c r="B332" s="51" t="s">
        <v>99</v>
      </c>
      <c r="E332" s="52" t="s">
        <v>87</v>
      </c>
      <c r="F332" s="51" t="str">
        <f>"Warengruppe&gt;&gt;"&amp;_xlfn.TEXTJOIN("&gt;&gt;",TRUE,Migrationsartikel!V331:X331)</f>
        <v>Warengruppe&gt;&gt;Früchte und Gemüse&gt;&gt;Früchte und Gemüse&gt;&gt;Gemüse</v>
      </c>
      <c r="H332" s="52" t="s">
        <v>109</v>
      </c>
      <c r="J332" s="51" t="str">
        <f>_xlfn.TEXTJOIN(" ",TRUE,Migrationsartikel!B331,Migrationsartikel!E331)</f>
        <v>2204071000008</v>
      </c>
      <c r="L332" s="51" t="str">
        <f>_xlfn.TEXTJOIN(" ",TRUE,Migrationsartikel!F331:H331)</f>
        <v>Tomaten Cherry mix Schale 350g</v>
      </c>
      <c r="M332" s="51" t="str">
        <f>_xlfn.TEXTJOIN(" ",TRUE,Migrationsartikel!J331:L331)</f>
        <v>Tomates cerises mix Barquette 350g</v>
      </c>
      <c r="N332" s="51" t="str">
        <f>_xlfn.TEXTJOIN(" ",TRUE,Migrationsartikel!N331:P331)</f>
        <v>Pomodorini Cherry mix vaschetta 350g</v>
      </c>
      <c r="O332" s="51" t="str">
        <f>Migrationsartikel!F331</f>
        <v>Tomaten Cherry mix</v>
      </c>
      <c r="P332" s="51" t="str">
        <f>Migrationsartikel!J331</f>
        <v>Tomates cerises mix</v>
      </c>
      <c r="Q332" s="51" t="str">
        <f>Migrationsartikel!N331</f>
        <v>Pomodorini Cherry mix</v>
      </c>
      <c r="R332" s="51" t="str">
        <f>_xlfn.TEXTJOIN(" ",TRUE,Migrationsartikel!G331)</f>
        <v>Schale</v>
      </c>
      <c r="S332" s="51" t="str">
        <f>_xlfn.TEXTJOIN(" ",TRUE,Migrationsartikel!K331)</f>
        <v>Barquette</v>
      </c>
      <c r="T332" s="51" t="str">
        <f>_xlfn.TEXTJOIN(" ",TRUE,Migrationsartikel!O331)</f>
        <v>vaschetta</v>
      </c>
      <c r="U332" s="51" t="str">
        <f>_xlfn.TEXTJOIN(" ",TRUE,Migrationsartikel!H331)</f>
        <v>350g</v>
      </c>
      <c r="V332" s="51" t="str">
        <f>_xlfn.TEXTJOIN(" ",TRUE,Migrationsartikel!L331)</f>
        <v>350g</v>
      </c>
      <c r="W332" s="51" t="str">
        <f>_xlfn.TEXTJOIN(" ",TRUE,Migrationsartikel!P331)</f>
        <v>350g</v>
      </c>
      <c r="X332" s="51" t="str">
        <f>Migrationsartikel!I331</f>
        <v>Tomaten Cherry mix 350g</v>
      </c>
      <c r="Y332" s="51" t="str">
        <f>Migrationsartikel!M331</f>
        <v>Tomates cerises mix 350g</v>
      </c>
      <c r="Z332" s="51" t="str">
        <f>Migrationsartikel!Q331</f>
        <v>Pomodorini Cherry mix 350g</v>
      </c>
      <c r="AA332" s="60">
        <f>Migrationsartikel!R331</f>
        <v>0.35</v>
      </c>
      <c r="AB332" s="51" t="str">
        <f>Migrationsartikel!T331</f>
        <v>Gramm</v>
      </c>
      <c r="AC332" s="62">
        <f>Migrationsartikel!S331</f>
        <v>100</v>
      </c>
      <c r="AD332" s="51" t="str">
        <f>Migrationsartikel!U331</f>
        <v>(PCE) Stück</v>
      </c>
      <c r="AE332" s="95" t="str">
        <f>Migrationsartikel!Y331</f>
        <v>3 - Reduzierter Satz</v>
      </c>
      <c r="AF332" s="64" t="str">
        <f>IF(Migrationsartikel!AA331="Kein Depotartikel","",Migrationsartikel!AA331)</f>
        <v/>
      </c>
      <c r="AG332" s="95" t="str">
        <f>Migrationsartikel!Z331</f>
        <v>Keine</v>
      </c>
      <c r="AH332" s="51" t="str">
        <f>IF(Migrationsartikel!AB331="ja","true",FALSE)</f>
        <v>true</v>
      </c>
      <c r="AI332" s="51" t="str">
        <f>IF(Migrationsartikel!AC331="ja","true",FALSE)</f>
        <v>true</v>
      </c>
      <c r="AJ332" s="51" t="str">
        <f>IF(Migrationsartikel!AD331="ja","true",FALSE)</f>
        <v>true</v>
      </c>
      <c r="AK332" s="51" t="str">
        <f>IF(Migrationsartikel!AE331="ja","true",FALSE)</f>
        <v>true</v>
      </c>
      <c r="AL332" s="51" t="str">
        <f>IF(Migrationsartikel!AF331="ja","Denner Partner","")</f>
        <v/>
      </c>
      <c r="AM332" s="51" t="str">
        <f>IF(Migrationsartikel!AG331="ja","true","false")</f>
        <v>false</v>
      </c>
      <c r="AN332" s="51" t="str">
        <f t="shared" si="6"/>
        <v>Kassentastenbelegung (ohne GTIN/PLU)</v>
      </c>
      <c r="AO332" s="63" t="s">
        <v>219</v>
      </c>
      <c r="AP332" s="62" t="s">
        <v>2759</v>
      </c>
      <c r="AQ332" s="63" t="s">
        <v>217</v>
      </c>
      <c r="AR332" s="30" t="s">
        <v>219</v>
      </c>
    </row>
    <row r="333" spans="2:44" ht="21.75" customHeight="1" x14ac:dyDescent="0.45">
      <c r="B333" s="51" t="s">
        <v>99</v>
      </c>
      <c r="E333" s="52" t="s">
        <v>87</v>
      </c>
      <c r="F333" s="51" t="str">
        <f>"Warengruppe&gt;&gt;"&amp;_xlfn.TEXTJOIN("&gt;&gt;",TRUE,Migrationsartikel!V332:X332)</f>
        <v>Warengruppe&gt;&gt;Früchte und Gemüse&gt;&gt;Früchte und Gemüse&gt;&gt;Gemüse</v>
      </c>
      <c r="H333" s="52" t="s">
        <v>109</v>
      </c>
      <c r="J333" s="51" t="str">
        <f>_xlfn.TEXTJOIN(" ",TRUE,Migrationsartikel!B332,Migrationsartikel!E332)</f>
        <v>259</v>
      </c>
      <c r="L333" s="51" t="str">
        <f>_xlfn.TEXTJOIN(" ",TRUE,Migrationsartikel!F332:H332)</f>
        <v>Tomaten Cherry Rispen Offen</v>
      </c>
      <c r="M333" s="51" t="str">
        <f>_xlfn.TEXTJOIN(" ",TRUE,Migrationsartikel!J332:L332)</f>
        <v>Tom. cerises en grappe En vrac</v>
      </c>
      <c r="N333" s="51" t="str">
        <f>_xlfn.TEXTJOIN(" ",TRUE,Migrationsartikel!N332:P332)</f>
        <v>Pomodorini Cherry ram. vendita sfusa</v>
      </c>
      <c r="O333" s="51" t="str">
        <f>Migrationsartikel!F332</f>
        <v>Tomaten Cherry Rispen</v>
      </c>
      <c r="P333" s="51" t="str">
        <f>Migrationsartikel!J332</f>
        <v>Tom. cerises en grappe</v>
      </c>
      <c r="Q333" s="51" t="str">
        <f>Migrationsartikel!N332</f>
        <v>Pomodorini Cherry ram.</v>
      </c>
      <c r="R333" s="51" t="str">
        <f>_xlfn.TEXTJOIN(" ",TRUE,Migrationsartikel!G332)</f>
        <v>Offen</v>
      </c>
      <c r="S333" s="51" t="str">
        <f>_xlfn.TEXTJOIN(" ",TRUE,Migrationsartikel!K332)</f>
        <v>En vrac</v>
      </c>
      <c r="T333" s="51" t="str">
        <f>_xlfn.TEXTJOIN(" ",TRUE,Migrationsartikel!O332)</f>
        <v>vendita sfusa</v>
      </c>
      <c r="U333" s="51" t="str">
        <f>_xlfn.TEXTJOIN(" ",TRUE,Migrationsartikel!H332)</f>
        <v/>
      </c>
      <c r="V333" s="51" t="str">
        <f>_xlfn.TEXTJOIN(" ",TRUE,Migrationsartikel!L332)</f>
        <v/>
      </c>
      <c r="W333" s="51" t="str">
        <f>_xlfn.TEXTJOIN(" ",TRUE,Migrationsartikel!P332)</f>
        <v/>
      </c>
      <c r="X333" s="51" t="str">
        <f>Migrationsartikel!I332</f>
        <v>Tomaten Cherry Rispen Offen</v>
      </c>
      <c r="Y333" s="51" t="str">
        <f>Migrationsartikel!M332</f>
        <v>Tom. cerises en grappe en v.</v>
      </c>
      <c r="Z333" s="51" t="str">
        <f>Migrationsartikel!Q332</f>
        <v>Pomodorini Cherry ram. v.s.</v>
      </c>
      <c r="AA333" s="60">
        <f>Migrationsartikel!R332</f>
        <v>1</v>
      </c>
      <c r="AB333" s="51" t="str">
        <f>Migrationsartikel!T332</f>
        <v>Kilogramm</v>
      </c>
      <c r="AC333" s="62">
        <f>Migrationsartikel!S332</f>
        <v>1</v>
      </c>
      <c r="AD333" s="51" t="str">
        <f>Migrationsartikel!U332</f>
        <v>(KGM) KG</v>
      </c>
      <c r="AE333" s="95" t="str">
        <f>Migrationsartikel!Y332</f>
        <v>3 - Reduzierter Satz</v>
      </c>
      <c r="AF333" s="64" t="str">
        <f>IF(Migrationsartikel!AA332="Kein Depotartikel","",Migrationsartikel!AA332)</f>
        <v/>
      </c>
      <c r="AG333" s="95" t="str">
        <f>Migrationsartikel!Z332</f>
        <v>Keine</v>
      </c>
      <c r="AH333" s="51" t="str">
        <f>IF(Migrationsartikel!AB332="ja","true",FALSE)</f>
        <v>true</v>
      </c>
      <c r="AI333" s="51" t="str">
        <f>IF(Migrationsartikel!AC332="ja","true",FALSE)</f>
        <v>true</v>
      </c>
      <c r="AJ333" s="51" t="str">
        <f>IF(Migrationsartikel!AD332="ja","true",FALSE)</f>
        <v>true</v>
      </c>
      <c r="AK333" s="51" t="str">
        <f>IF(Migrationsartikel!AE332="ja","true",FALSE)</f>
        <v>true</v>
      </c>
      <c r="AL333" s="51" t="str">
        <f>IF(Migrationsartikel!AF332="ja","Denner Partner","")</f>
        <v/>
      </c>
      <c r="AM333" s="51" t="str">
        <f>IF(Migrationsartikel!AG332="ja","true","false")</f>
        <v>false</v>
      </c>
      <c r="AN333" s="51" t="str">
        <f t="shared" si="6"/>
        <v>Kassentastenbelegung (ohne GTIN/PLU)</v>
      </c>
      <c r="AO333" s="63" t="s">
        <v>219</v>
      </c>
      <c r="AP333" s="62" t="s">
        <v>2760</v>
      </c>
      <c r="AQ333" s="63" t="s">
        <v>217</v>
      </c>
      <c r="AR333" s="30" t="s">
        <v>219</v>
      </c>
    </row>
    <row r="334" spans="2:44" ht="21.75" customHeight="1" x14ac:dyDescent="0.45">
      <c r="B334" s="51" t="s">
        <v>99</v>
      </c>
      <c r="E334" s="52" t="s">
        <v>87</v>
      </c>
      <c r="F334" s="51" t="str">
        <f>"Warengruppe&gt;&gt;"&amp;_xlfn.TEXTJOIN("&gt;&gt;",TRUE,Migrationsartikel!V333:X333)</f>
        <v>Warengruppe&gt;&gt;Früchte und Gemüse&gt;&gt;Früchte und Gemüse&gt;&gt;Gemüse</v>
      </c>
      <c r="H334" s="52" t="s">
        <v>109</v>
      </c>
      <c r="J334" s="51" t="str">
        <f>_xlfn.TEXTJOIN(" ",TRUE,Migrationsartikel!B333,Migrationsartikel!E333)</f>
        <v>7613399006480</v>
      </c>
      <c r="L334" s="51" t="str">
        <f>_xlfn.TEXTJOIN(" ",TRUE,Migrationsartikel!F333:H333)</f>
        <v>Tomaten Cherry rot Schale 250g</v>
      </c>
      <c r="M334" s="51" t="str">
        <f>_xlfn.TEXTJOIN(" ",TRUE,Migrationsartikel!J333:L333)</f>
        <v>Tomates cerises rouges Barquette 250g</v>
      </c>
      <c r="N334" s="51" t="str">
        <f>_xlfn.TEXTJOIN(" ",TRUE,Migrationsartikel!N333:P333)</f>
        <v>Pomodorini Cherry ros. vaschetta 250g</v>
      </c>
      <c r="O334" s="51" t="str">
        <f>Migrationsartikel!F333</f>
        <v>Tomaten Cherry rot</v>
      </c>
      <c r="P334" s="51" t="str">
        <f>Migrationsartikel!J333</f>
        <v>Tomates cerises rouges</v>
      </c>
      <c r="Q334" s="51" t="str">
        <f>Migrationsartikel!N333</f>
        <v>Pomodorini Cherry ros.</v>
      </c>
      <c r="R334" s="51" t="str">
        <f>_xlfn.TEXTJOIN(" ",TRUE,Migrationsartikel!G333)</f>
        <v>Schale</v>
      </c>
      <c r="S334" s="51" t="str">
        <f>_xlfn.TEXTJOIN(" ",TRUE,Migrationsartikel!K333)</f>
        <v>Barquette</v>
      </c>
      <c r="T334" s="51" t="str">
        <f>_xlfn.TEXTJOIN(" ",TRUE,Migrationsartikel!O333)</f>
        <v>vaschetta</v>
      </c>
      <c r="U334" s="51" t="str">
        <f>_xlfn.TEXTJOIN(" ",TRUE,Migrationsartikel!H333)</f>
        <v>250g</v>
      </c>
      <c r="V334" s="51" t="str">
        <f>_xlfn.TEXTJOIN(" ",TRUE,Migrationsartikel!L333)</f>
        <v>250g</v>
      </c>
      <c r="W334" s="51" t="str">
        <f>_xlfn.TEXTJOIN(" ",TRUE,Migrationsartikel!P333)</f>
        <v>250g</v>
      </c>
      <c r="X334" s="51" t="str">
        <f>Migrationsartikel!I333</f>
        <v>Tomaten Cherry rot Sch. 250g</v>
      </c>
      <c r="Y334" s="51" t="str">
        <f>Migrationsartikel!M333</f>
        <v>Tomates cerises rouges 250g</v>
      </c>
      <c r="Z334" s="51" t="str">
        <f>Migrationsartikel!Q333</f>
        <v>Pomodorini Cherry ros. 250g</v>
      </c>
      <c r="AA334" s="60">
        <f>Migrationsartikel!R333</f>
        <v>0.25</v>
      </c>
      <c r="AB334" s="51" t="str">
        <f>Migrationsartikel!T333</f>
        <v>Gramm</v>
      </c>
      <c r="AC334" s="62">
        <f>Migrationsartikel!S333</f>
        <v>100</v>
      </c>
      <c r="AD334" s="51" t="str">
        <f>Migrationsartikel!U333</f>
        <v>(PCE) Stück</v>
      </c>
      <c r="AE334" s="95" t="str">
        <f>Migrationsartikel!Y333</f>
        <v>3 - Reduzierter Satz</v>
      </c>
      <c r="AF334" s="64" t="str">
        <f>IF(Migrationsartikel!AA333="Kein Depotartikel","",Migrationsartikel!AA333)</f>
        <v/>
      </c>
      <c r="AG334" s="95" t="str">
        <f>Migrationsartikel!Z333</f>
        <v>Keine</v>
      </c>
      <c r="AH334" s="51" t="str">
        <f>IF(Migrationsartikel!AB333="ja","true",FALSE)</f>
        <v>true</v>
      </c>
      <c r="AI334" s="51" t="str">
        <f>IF(Migrationsartikel!AC333="ja","true",FALSE)</f>
        <v>true</v>
      </c>
      <c r="AJ334" s="51" t="str">
        <f>IF(Migrationsartikel!AD333="ja","true",FALSE)</f>
        <v>true</v>
      </c>
      <c r="AK334" s="51" t="str">
        <f>IF(Migrationsartikel!AE333="ja","true",FALSE)</f>
        <v>true</v>
      </c>
      <c r="AL334" s="51" t="str">
        <f>IF(Migrationsartikel!AF333="ja","Denner Partner","")</f>
        <v/>
      </c>
      <c r="AM334" s="51" t="str">
        <f>IF(Migrationsartikel!AG333="ja","true","false")</f>
        <v>false</v>
      </c>
      <c r="AN334" s="51" t="str">
        <f t="shared" si="6"/>
        <v>Kassentastenbelegung (ohne GTIN/PLU)</v>
      </c>
      <c r="AO334" s="63" t="s">
        <v>219</v>
      </c>
      <c r="AP334" s="62" t="s">
        <v>2761</v>
      </c>
      <c r="AQ334" s="63" t="s">
        <v>217</v>
      </c>
      <c r="AR334" s="30" t="s">
        <v>219</v>
      </c>
    </row>
    <row r="335" spans="2:44" ht="21.75" customHeight="1" x14ac:dyDescent="0.45">
      <c r="B335" s="51" t="s">
        <v>99</v>
      </c>
      <c r="E335" s="52" t="s">
        <v>87</v>
      </c>
      <c r="F335" s="51" t="str">
        <f>"Warengruppe&gt;&gt;"&amp;_xlfn.TEXTJOIN("&gt;&gt;",TRUE,Migrationsartikel!V334:X334)</f>
        <v>Warengruppe&gt;&gt;Früchte und Gemüse&gt;&gt;Früchte und Gemüse&gt;&gt;Gemüse</v>
      </c>
      <c r="H335" s="52" t="s">
        <v>109</v>
      </c>
      <c r="J335" s="51" t="str">
        <f>_xlfn.TEXTJOIN(" ",TRUE,Migrationsartikel!B334,Migrationsartikel!E334)</f>
        <v>260</v>
      </c>
      <c r="L335" s="51" t="str">
        <f>_xlfn.TEXTJOIN(" ",TRUE,Migrationsartikel!F334:H334)</f>
        <v>Tomaten coeur de boeuf Offen</v>
      </c>
      <c r="M335" s="51" t="str">
        <f>_xlfn.TEXTJOIN(" ",TRUE,Migrationsartikel!J334:L334)</f>
        <v>Tomates Cœur de Bœuf En vrac</v>
      </c>
      <c r="N335" s="51" t="str">
        <f>_xlfn.TEXTJOIN(" ",TRUE,Migrationsartikel!N334:P334)</f>
        <v>Pomodori Cuore di bue vendita sfusa</v>
      </c>
      <c r="O335" s="51" t="str">
        <f>Migrationsartikel!F334</f>
        <v>Tomaten coeur de boeuf</v>
      </c>
      <c r="P335" s="51" t="str">
        <f>Migrationsartikel!J334</f>
        <v>Tomates Cœur de Bœuf</v>
      </c>
      <c r="Q335" s="51" t="str">
        <f>Migrationsartikel!N334</f>
        <v>Pomodori Cuore di bue</v>
      </c>
      <c r="R335" s="51" t="str">
        <f>_xlfn.TEXTJOIN(" ",TRUE,Migrationsartikel!G334)</f>
        <v>Offen</v>
      </c>
      <c r="S335" s="51" t="str">
        <f>_xlfn.TEXTJOIN(" ",TRUE,Migrationsartikel!K334)</f>
        <v>En vrac</v>
      </c>
      <c r="T335" s="51" t="str">
        <f>_xlfn.TEXTJOIN(" ",TRUE,Migrationsartikel!O334)</f>
        <v>vendita sfusa</v>
      </c>
      <c r="U335" s="51" t="str">
        <f>_xlfn.TEXTJOIN(" ",TRUE,Migrationsartikel!H334)</f>
        <v/>
      </c>
      <c r="V335" s="51" t="str">
        <f>_xlfn.TEXTJOIN(" ",TRUE,Migrationsartikel!L334)</f>
        <v/>
      </c>
      <c r="W335" s="51" t="str">
        <f>_xlfn.TEXTJOIN(" ",TRUE,Migrationsartikel!P334)</f>
        <v/>
      </c>
      <c r="X335" s="51" t="str">
        <f>Migrationsartikel!I334</f>
        <v>Tomaten coeur boeuf Offen</v>
      </c>
      <c r="Y335" s="51" t="str">
        <f>Migrationsartikel!M334</f>
        <v>Tomates Coeur de Boeuf Bar.</v>
      </c>
      <c r="Z335" s="51" t="str">
        <f>Migrationsartikel!Q334</f>
        <v>Pomodori Cuore di bue v.s.</v>
      </c>
      <c r="AA335" s="60">
        <f>Migrationsartikel!R334</f>
        <v>1</v>
      </c>
      <c r="AB335" s="51" t="str">
        <f>Migrationsartikel!T334</f>
        <v>Kilogramm</v>
      </c>
      <c r="AC335" s="62">
        <f>Migrationsartikel!S334</f>
        <v>1</v>
      </c>
      <c r="AD335" s="51" t="str">
        <f>Migrationsartikel!U334</f>
        <v>(KGM) KG</v>
      </c>
      <c r="AE335" s="95" t="str">
        <f>Migrationsartikel!Y334</f>
        <v>3 - Reduzierter Satz</v>
      </c>
      <c r="AF335" s="64" t="str">
        <f>IF(Migrationsartikel!AA334="Kein Depotartikel","",Migrationsartikel!AA334)</f>
        <v/>
      </c>
      <c r="AG335" s="95" t="str">
        <f>Migrationsartikel!Z334</f>
        <v>Keine</v>
      </c>
      <c r="AH335" s="51" t="str">
        <f>IF(Migrationsartikel!AB334="ja","true",FALSE)</f>
        <v>true</v>
      </c>
      <c r="AI335" s="51" t="str">
        <f>IF(Migrationsartikel!AC334="ja","true",FALSE)</f>
        <v>true</v>
      </c>
      <c r="AJ335" s="51" t="str">
        <f>IF(Migrationsartikel!AD334="ja","true",FALSE)</f>
        <v>true</v>
      </c>
      <c r="AK335" s="51" t="str">
        <f>IF(Migrationsartikel!AE334="ja","true",FALSE)</f>
        <v>true</v>
      </c>
      <c r="AL335" s="51" t="str">
        <f>IF(Migrationsartikel!AF334="ja","Denner Partner","")</f>
        <v/>
      </c>
      <c r="AM335" s="51" t="str">
        <f>IF(Migrationsartikel!AG334="ja","true","false")</f>
        <v>false</v>
      </c>
      <c r="AN335" s="51" t="str">
        <f t="shared" si="6"/>
        <v>Kassentastenbelegung (ohne GTIN/PLU)</v>
      </c>
      <c r="AO335" s="63" t="s">
        <v>219</v>
      </c>
      <c r="AP335" s="62" t="s">
        <v>2762</v>
      </c>
      <c r="AQ335" s="63" t="s">
        <v>217</v>
      </c>
      <c r="AR335" s="30" t="s">
        <v>219</v>
      </c>
    </row>
    <row r="336" spans="2:44" ht="21.75" customHeight="1" x14ac:dyDescent="0.45">
      <c r="B336" s="51" t="s">
        <v>99</v>
      </c>
      <c r="E336" s="52" t="s">
        <v>87</v>
      </c>
      <c r="F336" s="51" t="str">
        <f>"Warengruppe&gt;&gt;"&amp;_xlfn.TEXTJOIN("&gt;&gt;",TRUE,Migrationsartikel!V335:X335)</f>
        <v>Warengruppe&gt;&gt;Früchte und Gemüse&gt;&gt;Früchte und Gemüse&gt;&gt;Gemüse</v>
      </c>
      <c r="H336" s="52" t="s">
        <v>109</v>
      </c>
      <c r="J336" s="51" t="str">
        <f>_xlfn.TEXTJOIN(" ",TRUE,Migrationsartikel!B335,Migrationsartikel!E335)</f>
        <v>2204745000000</v>
      </c>
      <c r="L336" s="51" t="str">
        <f>_xlfn.TEXTJOIN(" ",TRUE,Migrationsartikel!F335:H335)</f>
        <v>Tomaten coeur de boeuf Schale</v>
      </c>
      <c r="M336" s="51" t="str">
        <f>_xlfn.TEXTJOIN(" ",TRUE,Migrationsartikel!J335:L335)</f>
        <v>Tomates Cœur de Bœuf Barquette</v>
      </c>
      <c r="N336" s="51" t="str">
        <f>_xlfn.TEXTJOIN(" ",TRUE,Migrationsartikel!N335:P335)</f>
        <v>Pomodori Cuore di bue vaschetta</v>
      </c>
      <c r="O336" s="51" t="str">
        <f>Migrationsartikel!F335</f>
        <v>Tomaten coeur de boeuf</v>
      </c>
      <c r="P336" s="51" t="str">
        <f>Migrationsartikel!J335</f>
        <v>Tomates Cœur de Bœuf</v>
      </c>
      <c r="Q336" s="51" t="str">
        <f>Migrationsartikel!N335</f>
        <v>Pomodori Cuore di bue</v>
      </c>
      <c r="R336" s="51" t="str">
        <f>_xlfn.TEXTJOIN(" ",TRUE,Migrationsartikel!G335)</f>
        <v>Schale</v>
      </c>
      <c r="S336" s="51" t="str">
        <f>_xlfn.TEXTJOIN(" ",TRUE,Migrationsartikel!K335)</f>
        <v>Barquette</v>
      </c>
      <c r="T336" s="51" t="str">
        <f>_xlfn.TEXTJOIN(" ",TRUE,Migrationsartikel!O335)</f>
        <v>vaschetta</v>
      </c>
      <c r="U336" s="51" t="str">
        <f>_xlfn.TEXTJOIN(" ",TRUE,Migrationsartikel!H335)</f>
        <v/>
      </c>
      <c r="V336" s="51" t="str">
        <f>_xlfn.TEXTJOIN(" ",TRUE,Migrationsartikel!L335)</f>
        <v/>
      </c>
      <c r="W336" s="51" t="str">
        <f>_xlfn.TEXTJOIN(" ",TRUE,Migrationsartikel!P335)</f>
        <v/>
      </c>
      <c r="X336" s="51" t="str">
        <f>Migrationsartikel!I335</f>
        <v>Tomaten coeur boeuf Schale</v>
      </c>
      <c r="Y336" s="51" t="str">
        <f>Migrationsartikel!M335</f>
        <v>Tomates Coeur de Boeuf Bar.</v>
      </c>
      <c r="Z336" s="51" t="str">
        <f>Migrationsartikel!Q335</f>
        <v>Pomodori Cuore di bue vasch.</v>
      </c>
      <c r="AA336" s="60">
        <f>Migrationsartikel!R335</f>
        <v>1</v>
      </c>
      <c r="AB336" s="51" t="str">
        <f>Migrationsartikel!T335</f>
        <v>Kilogramm</v>
      </c>
      <c r="AC336" s="62">
        <f>Migrationsartikel!S335</f>
        <v>1</v>
      </c>
      <c r="AD336" s="51" t="str">
        <f>Migrationsartikel!U335</f>
        <v>(PCE) Stück</v>
      </c>
      <c r="AE336" s="95" t="str">
        <f>Migrationsartikel!Y335</f>
        <v>3 - Reduzierter Satz</v>
      </c>
      <c r="AF336" s="64" t="str">
        <f>IF(Migrationsartikel!AA335="Kein Depotartikel","",Migrationsartikel!AA335)</f>
        <v/>
      </c>
      <c r="AG336" s="95" t="str">
        <f>Migrationsartikel!Z335</f>
        <v>Keine</v>
      </c>
      <c r="AH336" s="51" t="str">
        <f>IF(Migrationsartikel!AB335="ja","true",FALSE)</f>
        <v>true</v>
      </c>
      <c r="AI336" s="51" t="str">
        <f>IF(Migrationsartikel!AC335="ja","true",FALSE)</f>
        <v>true</v>
      </c>
      <c r="AJ336" s="51" t="str">
        <f>IF(Migrationsartikel!AD335="ja","true",FALSE)</f>
        <v>true</v>
      </c>
      <c r="AK336" s="51" t="str">
        <f>IF(Migrationsartikel!AE335="ja","true",FALSE)</f>
        <v>true</v>
      </c>
      <c r="AL336" s="51" t="str">
        <f>IF(Migrationsartikel!AF335="ja","Denner Partner","")</f>
        <v/>
      </c>
      <c r="AM336" s="51" t="str">
        <f>IF(Migrationsartikel!AG335="ja","true","false")</f>
        <v>false</v>
      </c>
      <c r="AN336" s="51" t="str">
        <f t="shared" si="6"/>
        <v>Kassentastenbelegung (ohne GTIN/PLU)</v>
      </c>
      <c r="AO336" s="63" t="s">
        <v>219</v>
      </c>
      <c r="AP336" s="62" t="s">
        <v>2763</v>
      </c>
      <c r="AQ336" s="63" t="s">
        <v>217</v>
      </c>
      <c r="AR336" s="30" t="s">
        <v>219</v>
      </c>
    </row>
    <row r="337" spans="2:44" ht="21.75" customHeight="1" x14ac:dyDescent="0.45">
      <c r="B337" s="51" t="s">
        <v>99</v>
      </c>
      <c r="E337" s="52" t="s">
        <v>87</v>
      </c>
      <c r="F337" s="51" t="str">
        <f>"Warengruppe&gt;&gt;"&amp;_xlfn.TEXTJOIN("&gt;&gt;",TRUE,Migrationsartikel!V336:X336)</f>
        <v>Warengruppe&gt;&gt;Früchte und Gemüse&gt;&gt;Früchte und Gemüse&gt;&gt;Gemüse</v>
      </c>
      <c r="H337" s="52" t="s">
        <v>109</v>
      </c>
      <c r="J337" s="51" t="str">
        <f>_xlfn.TEXTJOIN(" ",TRUE,Migrationsartikel!B336,Migrationsartikel!E336)</f>
        <v>2216872000002</v>
      </c>
      <c r="L337" s="51" t="str">
        <f>_xlfn.TEXTJOIN(" ",TRUE,Migrationsartikel!F336:H336)</f>
        <v>Tomaten Datterino Schale 250g</v>
      </c>
      <c r="M337" s="51" t="str">
        <f>_xlfn.TEXTJOIN(" ",TRUE,Migrationsartikel!J336:L336)</f>
        <v>Tomates Datterino Barquette 250g</v>
      </c>
      <c r="N337" s="51" t="str">
        <f>_xlfn.TEXTJOIN(" ",TRUE,Migrationsartikel!N336:P336)</f>
        <v>Pomodori Datterino vaschetta 250g</v>
      </c>
      <c r="O337" s="51" t="str">
        <f>Migrationsartikel!F336</f>
        <v>Tomaten Datterino</v>
      </c>
      <c r="P337" s="51" t="str">
        <f>Migrationsartikel!J336</f>
        <v>Tomates Datterino</v>
      </c>
      <c r="Q337" s="51" t="str">
        <f>Migrationsartikel!N336</f>
        <v>Pomodori Datterino</v>
      </c>
      <c r="R337" s="51" t="str">
        <f>_xlfn.TEXTJOIN(" ",TRUE,Migrationsartikel!G336)</f>
        <v>Schale</v>
      </c>
      <c r="S337" s="51" t="str">
        <f>_xlfn.TEXTJOIN(" ",TRUE,Migrationsartikel!K336)</f>
        <v>Barquette</v>
      </c>
      <c r="T337" s="51" t="str">
        <f>_xlfn.TEXTJOIN(" ",TRUE,Migrationsartikel!O336)</f>
        <v>vaschetta</v>
      </c>
      <c r="U337" s="51" t="str">
        <f>_xlfn.TEXTJOIN(" ",TRUE,Migrationsartikel!H336)</f>
        <v>250g</v>
      </c>
      <c r="V337" s="51" t="str">
        <f>_xlfn.TEXTJOIN(" ",TRUE,Migrationsartikel!L336)</f>
        <v>250g</v>
      </c>
      <c r="W337" s="51" t="str">
        <f>_xlfn.TEXTJOIN(" ",TRUE,Migrationsartikel!P336)</f>
        <v>250g</v>
      </c>
      <c r="X337" s="51" t="str">
        <f>Migrationsartikel!I336</f>
        <v>Tomaten Datterino Sch. 250g</v>
      </c>
      <c r="Y337" s="51" t="str">
        <f>Migrationsartikel!M336</f>
        <v>Tomates Datterino 250g</v>
      </c>
      <c r="Z337" s="51" t="str">
        <f>Migrationsartikel!Q336</f>
        <v>Pomodori Datterino vas. 250g</v>
      </c>
      <c r="AA337" s="60">
        <f>Migrationsartikel!R336</f>
        <v>0.25</v>
      </c>
      <c r="AB337" s="51" t="str">
        <f>Migrationsartikel!T336</f>
        <v>Gramm</v>
      </c>
      <c r="AC337" s="62">
        <f>Migrationsartikel!S336</f>
        <v>100</v>
      </c>
      <c r="AD337" s="51" t="str">
        <f>Migrationsartikel!U336</f>
        <v>(PCE) Stück</v>
      </c>
      <c r="AE337" s="95" t="str">
        <f>Migrationsartikel!Y336</f>
        <v>3 - Reduzierter Satz</v>
      </c>
      <c r="AF337" s="64" t="str">
        <f>IF(Migrationsartikel!AA336="Kein Depotartikel","",Migrationsartikel!AA336)</f>
        <v/>
      </c>
      <c r="AG337" s="95" t="str">
        <f>Migrationsartikel!Z336</f>
        <v>Keine</v>
      </c>
      <c r="AH337" s="51" t="str">
        <f>IF(Migrationsartikel!AB336="ja","true",FALSE)</f>
        <v>true</v>
      </c>
      <c r="AI337" s="51" t="str">
        <f>IF(Migrationsartikel!AC336="ja","true",FALSE)</f>
        <v>true</v>
      </c>
      <c r="AJ337" s="51" t="str">
        <f>IF(Migrationsartikel!AD336="ja","true",FALSE)</f>
        <v>true</v>
      </c>
      <c r="AK337" s="51" t="str">
        <f>IF(Migrationsartikel!AE336="ja","true",FALSE)</f>
        <v>true</v>
      </c>
      <c r="AL337" s="51" t="str">
        <f>IF(Migrationsartikel!AF336="ja","Denner Partner","")</f>
        <v/>
      </c>
      <c r="AM337" s="51" t="str">
        <f>IF(Migrationsartikel!AG336="ja","true","false")</f>
        <v>false</v>
      </c>
      <c r="AN337" s="51" t="str">
        <f t="shared" si="6"/>
        <v>Kassentastenbelegung (ohne GTIN/PLU)</v>
      </c>
      <c r="AO337" s="63" t="s">
        <v>219</v>
      </c>
      <c r="AP337" s="62" t="s">
        <v>2764</v>
      </c>
      <c r="AQ337" s="63" t="s">
        <v>217</v>
      </c>
      <c r="AR337" s="30" t="s">
        <v>219</v>
      </c>
    </row>
    <row r="338" spans="2:44" ht="21.75" customHeight="1" x14ac:dyDescent="0.45">
      <c r="B338" s="51" t="s">
        <v>99</v>
      </c>
      <c r="E338" s="52" t="s">
        <v>87</v>
      </c>
      <c r="F338" s="51" t="str">
        <f>"Warengruppe&gt;&gt;"&amp;_xlfn.TEXTJOIN("&gt;&gt;",TRUE,Migrationsartikel!V337:X337)</f>
        <v>Warengruppe&gt;&gt;Früchte und Gemüse&gt;&gt;Früchte und Gemüse&gt;&gt;Gemüse</v>
      </c>
      <c r="H338" s="52" t="s">
        <v>109</v>
      </c>
      <c r="J338" s="51" t="str">
        <f>_xlfn.TEXTJOIN(" ",TRUE,Migrationsartikel!B337,Migrationsartikel!E337)</f>
        <v>2205619000002</v>
      </c>
      <c r="L338" s="51" t="str">
        <f>_xlfn.TEXTJOIN(" ",TRUE,Migrationsartikel!F337:H337)</f>
        <v>Tomaten Datterino Mix Schale</v>
      </c>
      <c r="M338" s="51" t="str">
        <f>_xlfn.TEXTJOIN(" ",TRUE,Migrationsartikel!J337:L337)</f>
        <v>Tomates Datterino Barquette, mix</v>
      </c>
      <c r="N338" s="51" t="str">
        <f>_xlfn.TEXTJOIN(" ",TRUE,Migrationsartikel!N337:P337)</f>
        <v>Pomodori Datterino vaschetta mix</v>
      </c>
      <c r="O338" s="51" t="str">
        <f>Migrationsartikel!F337</f>
        <v>Tomaten Datterino</v>
      </c>
      <c r="P338" s="51" t="str">
        <f>Migrationsartikel!J337</f>
        <v>Tomates Datterino</v>
      </c>
      <c r="Q338" s="51" t="str">
        <f>Migrationsartikel!N337</f>
        <v>Pomodori Datterino</v>
      </c>
      <c r="R338" s="51" t="str">
        <f>_xlfn.TEXTJOIN(" ",TRUE,Migrationsartikel!G337)</f>
        <v>Mix Schale</v>
      </c>
      <c r="S338" s="51" t="str">
        <f>_xlfn.TEXTJOIN(" ",TRUE,Migrationsartikel!K337)</f>
        <v>Barquette, mix</v>
      </c>
      <c r="T338" s="51" t="str">
        <f>_xlfn.TEXTJOIN(" ",TRUE,Migrationsartikel!O337)</f>
        <v>vaschetta mix</v>
      </c>
      <c r="U338" s="51" t="str">
        <f>_xlfn.TEXTJOIN(" ",TRUE,Migrationsartikel!H337)</f>
        <v/>
      </c>
      <c r="V338" s="51" t="str">
        <f>_xlfn.TEXTJOIN(" ",TRUE,Migrationsartikel!L337)</f>
        <v/>
      </c>
      <c r="W338" s="51" t="str">
        <f>_xlfn.TEXTJOIN(" ",TRUE,Migrationsartikel!P337)</f>
        <v/>
      </c>
      <c r="X338" s="51" t="str">
        <f>Migrationsartikel!I337</f>
        <v>Tomaten Datterino Mix Schale</v>
      </c>
      <c r="Y338" s="51" t="str">
        <f>Migrationsartikel!M337</f>
        <v>Tomates Datterino Barq. mix</v>
      </c>
      <c r="Z338" s="51" t="str">
        <f>Migrationsartikel!Q337</f>
        <v>Pomodori Datterino vas. mix</v>
      </c>
      <c r="AA338" s="60">
        <f>Migrationsartikel!R337</f>
        <v>1</v>
      </c>
      <c r="AB338" s="51" t="str">
        <f>Migrationsartikel!T337</f>
        <v>Kilogramm</v>
      </c>
      <c r="AC338" s="62">
        <f>Migrationsartikel!S337</f>
        <v>1</v>
      </c>
      <c r="AD338" s="51" t="str">
        <f>Migrationsartikel!U337</f>
        <v>(PCE) Stück</v>
      </c>
      <c r="AE338" s="95" t="str">
        <f>Migrationsartikel!Y337</f>
        <v>3 - Reduzierter Satz</v>
      </c>
      <c r="AF338" s="64" t="str">
        <f>IF(Migrationsartikel!AA337="Kein Depotartikel","",Migrationsartikel!AA337)</f>
        <v/>
      </c>
      <c r="AG338" s="95" t="str">
        <f>Migrationsartikel!Z337</f>
        <v>Keine</v>
      </c>
      <c r="AH338" s="51" t="str">
        <f>IF(Migrationsartikel!AB337="ja","true",FALSE)</f>
        <v>true</v>
      </c>
      <c r="AI338" s="51" t="str">
        <f>IF(Migrationsartikel!AC337="ja","true",FALSE)</f>
        <v>true</v>
      </c>
      <c r="AJ338" s="51" t="str">
        <f>IF(Migrationsartikel!AD337="ja","true",FALSE)</f>
        <v>true</v>
      </c>
      <c r="AK338" s="51" t="str">
        <f>IF(Migrationsartikel!AE337="ja","true",FALSE)</f>
        <v>true</v>
      </c>
      <c r="AL338" s="51" t="str">
        <f>IF(Migrationsartikel!AF337="ja","Denner Partner","")</f>
        <v/>
      </c>
      <c r="AM338" s="51" t="str">
        <f>IF(Migrationsartikel!AG337="ja","true","false")</f>
        <v>false</v>
      </c>
      <c r="AN338" s="51" t="str">
        <f t="shared" si="6"/>
        <v>Kassentastenbelegung (ohne GTIN/PLU)</v>
      </c>
      <c r="AO338" s="63" t="s">
        <v>219</v>
      </c>
      <c r="AP338" s="62" t="s">
        <v>2765</v>
      </c>
      <c r="AQ338" s="63" t="s">
        <v>217</v>
      </c>
      <c r="AR338" s="30" t="s">
        <v>219</v>
      </c>
    </row>
    <row r="339" spans="2:44" ht="21.75" customHeight="1" x14ac:dyDescent="0.45">
      <c r="B339" s="51" t="s">
        <v>99</v>
      </c>
      <c r="E339" s="52" t="s">
        <v>87</v>
      </c>
      <c r="F339" s="51" t="str">
        <f>"Warengruppe&gt;&gt;"&amp;_xlfn.TEXTJOIN("&gt;&gt;",TRUE,Migrationsartikel!V338:X338)</f>
        <v>Warengruppe&gt;&gt;Früchte und Gemüse&gt;&gt;Früchte und Gemüse&gt;&gt;Gemüse</v>
      </c>
      <c r="H339" s="52" t="s">
        <v>109</v>
      </c>
      <c r="J339" s="51" t="str">
        <f>_xlfn.TEXTJOIN(" ",TRUE,Migrationsartikel!B338,Migrationsartikel!E338)</f>
        <v>261</v>
      </c>
      <c r="L339" s="51" t="str">
        <f>_xlfn.TEXTJOIN(" ",TRUE,Migrationsartikel!F338:H338)</f>
        <v>Tomaten Fleisch Offen</v>
      </c>
      <c r="M339" s="51" t="str">
        <f>_xlfn.TEXTJOIN(" ",TRUE,Migrationsartikel!J338:L338)</f>
        <v>Tomates charnues En vrac</v>
      </c>
      <c r="N339" s="51" t="str">
        <f>_xlfn.TEXTJOIN(" ",TRUE,Migrationsartikel!N338:P338)</f>
        <v>Pomodori carnosi vendita sfusa</v>
      </c>
      <c r="O339" s="51" t="str">
        <f>Migrationsartikel!F338</f>
        <v>Tomaten Fleisch</v>
      </c>
      <c r="P339" s="51" t="str">
        <f>Migrationsartikel!J338</f>
        <v>Tomates charnues</v>
      </c>
      <c r="Q339" s="51" t="str">
        <f>Migrationsartikel!N338</f>
        <v>Pomodori carnosi</v>
      </c>
      <c r="R339" s="51" t="str">
        <f>_xlfn.TEXTJOIN(" ",TRUE,Migrationsartikel!G338)</f>
        <v>Offen</v>
      </c>
      <c r="S339" s="51" t="str">
        <f>_xlfn.TEXTJOIN(" ",TRUE,Migrationsartikel!K338)</f>
        <v>En vrac</v>
      </c>
      <c r="T339" s="51" t="str">
        <f>_xlfn.TEXTJOIN(" ",TRUE,Migrationsartikel!O338)</f>
        <v>vendita sfusa</v>
      </c>
      <c r="U339" s="51" t="str">
        <f>_xlfn.TEXTJOIN(" ",TRUE,Migrationsartikel!H338)</f>
        <v/>
      </c>
      <c r="V339" s="51" t="str">
        <f>_xlfn.TEXTJOIN(" ",TRUE,Migrationsartikel!L338)</f>
        <v/>
      </c>
      <c r="W339" s="51" t="str">
        <f>_xlfn.TEXTJOIN(" ",TRUE,Migrationsartikel!P338)</f>
        <v/>
      </c>
      <c r="X339" s="51" t="str">
        <f>Migrationsartikel!I338</f>
        <v>Tomaten Fleisch Offen</v>
      </c>
      <c r="Y339" s="51" t="str">
        <f>Migrationsartikel!M338</f>
        <v>Tomates charnues en vrac</v>
      </c>
      <c r="Z339" s="51" t="str">
        <f>Migrationsartikel!Q338</f>
        <v>Pomodori carnosi v. sfusa</v>
      </c>
      <c r="AA339" s="60">
        <f>Migrationsartikel!R338</f>
        <v>1</v>
      </c>
      <c r="AB339" s="51" t="str">
        <f>Migrationsartikel!T338</f>
        <v>Kilogramm</v>
      </c>
      <c r="AC339" s="62">
        <f>Migrationsartikel!S338</f>
        <v>1</v>
      </c>
      <c r="AD339" s="51" t="str">
        <f>Migrationsartikel!U338</f>
        <v>(KGM) KG</v>
      </c>
      <c r="AE339" s="95" t="str">
        <f>Migrationsartikel!Y338</f>
        <v>3 - Reduzierter Satz</v>
      </c>
      <c r="AF339" s="64" t="str">
        <f>IF(Migrationsartikel!AA338="Kein Depotartikel","",Migrationsartikel!AA338)</f>
        <v/>
      </c>
      <c r="AG339" s="95" t="str">
        <f>Migrationsartikel!Z338</f>
        <v>Keine</v>
      </c>
      <c r="AH339" s="51" t="str">
        <f>IF(Migrationsartikel!AB338="ja","true",FALSE)</f>
        <v>true</v>
      </c>
      <c r="AI339" s="51" t="str">
        <f>IF(Migrationsartikel!AC338="ja","true",FALSE)</f>
        <v>true</v>
      </c>
      <c r="AJ339" s="51" t="str">
        <f>IF(Migrationsartikel!AD338="ja","true",FALSE)</f>
        <v>true</v>
      </c>
      <c r="AK339" s="51" t="str">
        <f>IF(Migrationsartikel!AE338="ja","true",FALSE)</f>
        <v>true</v>
      </c>
      <c r="AL339" s="51" t="str">
        <f>IF(Migrationsartikel!AF338="ja","Denner Partner","")</f>
        <v/>
      </c>
      <c r="AM339" s="51" t="str">
        <f>IF(Migrationsartikel!AG338="ja","true","false")</f>
        <v>false</v>
      </c>
      <c r="AN339" s="51" t="str">
        <f t="shared" si="6"/>
        <v>Kassentastenbelegung (ohne GTIN/PLU)</v>
      </c>
      <c r="AO339" s="63" t="s">
        <v>219</v>
      </c>
      <c r="AP339" s="62" t="s">
        <v>2766</v>
      </c>
      <c r="AQ339" s="63" t="s">
        <v>217</v>
      </c>
      <c r="AR339" s="30" t="s">
        <v>219</v>
      </c>
    </row>
    <row r="340" spans="2:44" ht="21.75" customHeight="1" x14ac:dyDescent="0.45">
      <c r="B340" s="51" t="s">
        <v>99</v>
      </c>
      <c r="E340" s="52" t="s">
        <v>87</v>
      </c>
      <c r="F340" s="51" t="str">
        <f>"Warengruppe&gt;&gt;"&amp;_xlfn.TEXTJOIN("&gt;&gt;",TRUE,Migrationsartikel!V339:X339)</f>
        <v>Warengruppe&gt;&gt;Früchte und Gemüse&gt;&gt;Früchte und Gemüse&gt;&gt;Gemüse</v>
      </c>
      <c r="H340" s="52" t="s">
        <v>109</v>
      </c>
      <c r="J340" s="51" t="str">
        <f>_xlfn.TEXTJOIN(" ",TRUE,Migrationsartikel!B339,Migrationsartikel!E339)</f>
        <v>2216701000005</v>
      </c>
      <c r="L340" s="51" t="str">
        <f>_xlfn.TEXTJOIN(" ",TRUE,Migrationsartikel!F339:H339)</f>
        <v>Tomaten Fleisch gepackt 2Stk</v>
      </c>
      <c r="M340" s="51" t="str">
        <f>_xlfn.TEXTJOIN(" ",TRUE,Migrationsartikel!J339:L339)</f>
        <v>Tomates charnues Emballé 2pces</v>
      </c>
      <c r="N340" s="51" t="str">
        <f>_xlfn.TEXTJOIN(" ",TRUE,Migrationsartikel!N339:P339)</f>
        <v>Pomodori carnosi confezionato 2pz</v>
      </c>
      <c r="O340" s="51" t="str">
        <f>Migrationsartikel!F339</f>
        <v>Tomaten Fleisch</v>
      </c>
      <c r="P340" s="51" t="str">
        <f>Migrationsartikel!J339</f>
        <v>Tomates charnues</v>
      </c>
      <c r="Q340" s="51" t="str">
        <f>Migrationsartikel!N339</f>
        <v>Pomodori carnosi</v>
      </c>
      <c r="R340" s="51" t="str">
        <f>_xlfn.TEXTJOIN(" ",TRUE,Migrationsartikel!G339)</f>
        <v>gepackt</v>
      </c>
      <c r="S340" s="51" t="str">
        <f>_xlfn.TEXTJOIN(" ",TRUE,Migrationsartikel!K339)</f>
        <v>Emballé</v>
      </c>
      <c r="T340" s="51" t="str">
        <f>_xlfn.TEXTJOIN(" ",TRUE,Migrationsartikel!O339)</f>
        <v>confezionato</v>
      </c>
      <c r="U340" s="51" t="str">
        <f>_xlfn.TEXTJOIN(" ",TRUE,Migrationsartikel!H339)</f>
        <v>2Stk</v>
      </c>
      <c r="V340" s="51" t="str">
        <f>_xlfn.TEXTJOIN(" ",TRUE,Migrationsartikel!L339)</f>
        <v>2pces</v>
      </c>
      <c r="W340" s="51" t="str">
        <f>_xlfn.TEXTJOIN(" ",TRUE,Migrationsartikel!P339)</f>
        <v>2pz</v>
      </c>
      <c r="X340" s="51" t="str">
        <f>Migrationsartikel!I339</f>
        <v>Tomaten Fleisch gep. 2 Stk</v>
      </c>
      <c r="Y340" s="51" t="str">
        <f>Migrationsartikel!M339</f>
        <v>Tomates charnues emb. 2pces</v>
      </c>
      <c r="Z340" s="51" t="str">
        <f>Migrationsartikel!Q339</f>
        <v>Pomodori carnosi confez.</v>
      </c>
      <c r="AA340" s="60">
        <f>Migrationsartikel!R339</f>
        <v>2</v>
      </c>
      <c r="AB340" s="51" t="str">
        <f>Migrationsartikel!T339</f>
        <v>Kilogramm</v>
      </c>
      <c r="AC340" s="62">
        <f>Migrationsartikel!S339</f>
        <v>1</v>
      </c>
      <c r="AD340" s="51" t="str">
        <f>Migrationsartikel!U339</f>
        <v>(PCE) Stück</v>
      </c>
      <c r="AE340" s="95" t="str">
        <f>Migrationsartikel!Y339</f>
        <v>3 - Reduzierter Satz</v>
      </c>
      <c r="AF340" s="64" t="str">
        <f>IF(Migrationsartikel!AA339="Kein Depotartikel","",Migrationsartikel!AA339)</f>
        <v/>
      </c>
      <c r="AG340" s="95" t="str">
        <f>Migrationsartikel!Z339</f>
        <v>Keine</v>
      </c>
      <c r="AH340" s="51" t="str">
        <f>IF(Migrationsartikel!AB339="ja","true",FALSE)</f>
        <v>true</v>
      </c>
      <c r="AI340" s="51" t="str">
        <f>IF(Migrationsartikel!AC339="ja","true",FALSE)</f>
        <v>true</v>
      </c>
      <c r="AJ340" s="51" t="str">
        <f>IF(Migrationsartikel!AD339="ja","true",FALSE)</f>
        <v>true</v>
      </c>
      <c r="AK340" s="51" t="str">
        <f>IF(Migrationsartikel!AE339="ja","true",FALSE)</f>
        <v>true</v>
      </c>
      <c r="AL340" s="51" t="str">
        <f>IF(Migrationsartikel!AF339="ja","Denner Partner","")</f>
        <v/>
      </c>
      <c r="AM340" s="51" t="str">
        <f>IF(Migrationsartikel!AG339="ja","true","false")</f>
        <v>false</v>
      </c>
      <c r="AN340" s="51" t="str">
        <f t="shared" si="6"/>
        <v>Kassentastenbelegung (ohne GTIN/PLU)</v>
      </c>
      <c r="AO340" s="63" t="s">
        <v>219</v>
      </c>
      <c r="AP340" s="62" t="s">
        <v>2767</v>
      </c>
      <c r="AQ340" s="63" t="s">
        <v>217</v>
      </c>
      <c r="AR340" s="30" t="s">
        <v>219</v>
      </c>
    </row>
    <row r="341" spans="2:44" ht="21.75" customHeight="1" x14ac:dyDescent="0.45">
      <c r="B341" s="51" t="s">
        <v>99</v>
      </c>
      <c r="E341" s="52" t="s">
        <v>87</v>
      </c>
      <c r="F341" s="51" t="str">
        <f>"Warengruppe&gt;&gt;"&amp;_xlfn.TEXTJOIN("&gt;&gt;",TRUE,Migrationsartikel!V340:X340)</f>
        <v>Warengruppe&gt;&gt;Früchte und Gemüse&gt;&gt;Früchte und Gemüse&gt;&gt;Gemüse</v>
      </c>
      <c r="H341" s="52" t="s">
        <v>109</v>
      </c>
      <c r="J341" s="51" t="str">
        <f>_xlfn.TEXTJOIN(" ",TRUE,Migrationsartikel!B340,Migrationsartikel!E340)</f>
        <v>262</v>
      </c>
      <c r="L341" s="51" t="str">
        <f>_xlfn.TEXTJOIN(" ",TRUE,Migrationsartikel!F340:H340)</f>
        <v>Tomaten Marmande gelb Offen</v>
      </c>
      <c r="M341" s="51" t="str">
        <f>_xlfn.TEXTJOIN(" ",TRUE,Migrationsartikel!J340:L340)</f>
        <v>Tomates cerises jaunes En vrac</v>
      </c>
      <c r="N341" s="51" t="str">
        <f>_xlfn.TEXTJOIN(" ",TRUE,Migrationsartikel!N340:P340)</f>
        <v>Pomodori Marmande gia. vendita sfusa</v>
      </c>
      <c r="O341" s="51" t="str">
        <f>Migrationsartikel!F340</f>
        <v>Tomaten Marmande gelb</v>
      </c>
      <c r="P341" s="51" t="str">
        <f>Migrationsartikel!J340</f>
        <v>Tomates cerises jaunes</v>
      </c>
      <c r="Q341" s="51" t="str">
        <f>Migrationsartikel!N340</f>
        <v>Pomodori Marmande gia.</v>
      </c>
      <c r="R341" s="51" t="str">
        <f>_xlfn.TEXTJOIN(" ",TRUE,Migrationsartikel!G340)</f>
        <v>Offen</v>
      </c>
      <c r="S341" s="51" t="str">
        <f>_xlfn.TEXTJOIN(" ",TRUE,Migrationsartikel!K340)</f>
        <v>En vrac</v>
      </c>
      <c r="T341" s="51" t="str">
        <f>_xlfn.TEXTJOIN(" ",TRUE,Migrationsartikel!O340)</f>
        <v>vendita sfusa</v>
      </c>
      <c r="U341" s="51" t="str">
        <f>_xlfn.TEXTJOIN(" ",TRUE,Migrationsartikel!H340)</f>
        <v/>
      </c>
      <c r="V341" s="51" t="str">
        <f>_xlfn.TEXTJOIN(" ",TRUE,Migrationsartikel!L340)</f>
        <v/>
      </c>
      <c r="W341" s="51" t="str">
        <f>_xlfn.TEXTJOIN(" ",TRUE,Migrationsartikel!P340)</f>
        <v/>
      </c>
      <c r="X341" s="51" t="str">
        <f>Migrationsartikel!I340</f>
        <v>Tomaten Marmande gelb Offen</v>
      </c>
      <c r="Y341" s="51" t="str">
        <f>Migrationsartikel!M340</f>
        <v>Tomates cerises jaun en vrac</v>
      </c>
      <c r="Z341" s="51" t="str">
        <f>Migrationsartikel!Q340</f>
        <v>Pomodori Marmande gia. v.s.</v>
      </c>
      <c r="AA341" s="60">
        <f>Migrationsartikel!R340</f>
        <v>1</v>
      </c>
      <c r="AB341" s="51" t="str">
        <f>Migrationsartikel!T340</f>
        <v>Kilogramm</v>
      </c>
      <c r="AC341" s="62">
        <f>Migrationsartikel!S340</f>
        <v>1</v>
      </c>
      <c r="AD341" s="51" t="str">
        <f>Migrationsartikel!U340</f>
        <v>(KGM) KG</v>
      </c>
      <c r="AE341" s="95" t="str">
        <f>Migrationsartikel!Y340</f>
        <v>3 - Reduzierter Satz</v>
      </c>
      <c r="AF341" s="64" t="str">
        <f>IF(Migrationsartikel!AA340="Kein Depotartikel","",Migrationsartikel!AA340)</f>
        <v/>
      </c>
      <c r="AG341" s="95" t="str">
        <f>Migrationsartikel!Z340</f>
        <v>Keine</v>
      </c>
      <c r="AH341" s="51" t="str">
        <f>IF(Migrationsartikel!AB340="ja","true",FALSE)</f>
        <v>true</v>
      </c>
      <c r="AI341" s="51" t="str">
        <f>IF(Migrationsartikel!AC340="ja","true",FALSE)</f>
        <v>true</v>
      </c>
      <c r="AJ341" s="51" t="str">
        <f>IF(Migrationsartikel!AD340="ja","true",FALSE)</f>
        <v>true</v>
      </c>
      <c r="AK341" s="51" t="str">
        <f>IF(Migrationsartikel!AE340="ja","true",FALSE)</f>
        <v>true</v>
      </c>
      <c r="AL341" s="51" t="str">
        <f>IF(Migrationsartikel!AF340="ja","Denner Partner","")</f>
        <v/>
      </c>
      <c r="AM341" s="51" t="str">
        <f>IF(Migrationsartikel!AG340="ja","true","false")</f>
        <v>false</v>
      </c>
      <c r="AN341" s="51" t="str">
        <f t="shared" si="6"/>
        <v>Kassentastenbelegung (ohne GTIN/PLU)</v>
      </c>
      <c r="AO341" s="63" t="s">
        <v>219</v>
      </c>
      <c r="AP341" s="62" t="s">
        <v>2768</v>
      </c>
      <c r="AQ341" s="63" t="s">
        <v>217</v>
      </c>
      <c r="AR341" s="30" t="s">
        <v>219</v>
      </c>
    </row>
    <row r="342" spans="2:44" ht="21.75" customHeight="1" x14ac:dyDescent="0.45">
      <c r="B342" s="51" t="s">
        <v>99</v>
      </c>
      <c r="E342" s="52" t="s">
        <v>87</v>
      </c>
      <c r="F342" s="51" t="str">
        <f>"Warengruppe&gt;&gt;"&amp;_xlfn.TEXTJOIN("&gt;&gt;",TRUE,Migrationsartikel!V341:X341)</f>
        <v>Warengruppe&gt;&gt;Früchte und Gemüse&gt;&gt;Früchte und Gemüse&gt;&gt;Gemüse</v>
      </c>
      <c r="H342" s="52" t="s">
        <v>109</v>
      </c>
      <c r="J342" s="51" t="str">
        <f>_xlfn.TEXTJOIN(" ",TRUE,Migrationsartikel!B341,Migrationsartikel!E341)</f>
        <v>263</v>
      </c>
      <c r="L342" s="51" t="str">
        <f>_xlfn.TEXTJOIN(" ",TRUE,Migrationsartikel!F341:H341)</f>
        <v>Tomaten Marmande rot Offen</v>
      </c>
      <c r="M342" s="51" t="str">
        <f>_xlfn.TEXTJOIN(" ",TRUE,Migrationsartikel!J341:L341)</f>
        <v>Tomates Marmande rouge En vrac</v>
      </c>
      <c r="N342" s="51" t="str">
        <f>_xlfn.TEXTJOIN(" ",TRUE,Migrationsartikel!N341:P341)</f>
        <v>Pomodori Marmande ros. vendita sfusa</v>
      </c>
      <c r="O342" s="51" t="str">
        <f>Migrationsartikel!F341</f>
        <v>Tomaten Marmande rot</v>
      </c>
      <c r="P342" s="51" t="str">
        <f>Migrationsartikel!J341</f>
        <v>Tomates Marmande rouge</v>
      </c>
      <c r="Q342" s="51" t="str">
        <f>Migrationsartikel!N341</f>
        <v>Pomodori Marmande ros.</v>
      </c>
      <c r="R342" s="51" t="str">
        <f>_xlfn.TEXTJOIN(" ",TRUE,Migrationsartikel!G341)</f>
        <v>Offen</v>
      </c>
      <c r="S342" s="51" t="str">
        <f>_xlfn.TEXTJOIN(" ",TRUE,Migrationsartikel!K341)</f>
        <v>En vrac</v>
      </c>
      <c r="T342" s="51" t="str">
        <f>_xlfn.TEXTJOIN(" ",TRUE,Migrationsartikel!O341)</f>
        <v>vendita sfusa</v>
      </c>
      <c r="U342" s="51" t="str">
        <f>_xlfn.TEXTJOIN(" ",TRUE,Migrationsartikel!H341)</f>
        <v/>
      </c>
      <c r="V342" s="51" t="str">
        <f>_xlfn.TEXTJOIN(" ",TRUE,Migrationsartikel!L341)</f>
        <v/>
      </c>
      <c r="W342" s="51" t="str">
        <f>_xlfn.TEXTJOIN(" ",TRUE,Migrationsartikel!P341)</f>
        <v/>
      </c>
      <c r="X342" s="51" t="str">
        <f>Migrationsartikel!I341</f>
        <v>Tomaten Marmande rot Offen</v>
      </c>
      <c r="Y342" s="51" t="str">
        <f>Migrationsartikel!M341</f>
        <v>Tomates Marm. Rouge en vrac</v>
      </c>
      <c r="Z342" s="51" t="str">
        <f>Migrationsartikel!Q341</f>
        <v>Pomodori Marmande ros. v.s.</v>
      </c>
      <c r="AA342" s="60">
        <f>Migrationsartikel!R341</f>
        <v>1</v>
      </c>
      <c r="AB342" s="51" t="str">
        <f>Migrationsartikel!T341</f>
        <v>Kilogramm</v>
      </c>
      <c r="AC342" s="62">
        <f>Migrationsartikel!S341</f>
        <v>1</v>
      </c>
      <c r="AD342" s="51" t="str">
        <f>Migrationsartikel!U341</f>
        <v>(KGM) KG</v>
      </c>
      <c r="AE342" s="95" t="str">
        <f>Migrationsartikel!Y341</f>
        <v>3 - Reduzierter Satz</v>
      </c>
      <c r="AF342" s="64" t="str">
        <f>IF(Migrationsartikel!AA341="Kein Depotartikel","",Migrationsartikel!AA341)</f>
        <v/>
      </c>
      <c r="AG342" s="95" t="str">
        <f>Migrationsartikel!Z341</f>
        <v>Keine</v>
      </c>
      <c r="AH342" s="51" t="str">
        <f>IF(Migrationsartikel!AB341="ja","true",FALSE)</f>
        <v>true</v>
      </c>
      <c r="AI342" s="51" t="str">
        <f>IF(Migrationsartikel!AC341="ja","true",FALSE)</f>
        <v>true</v>
      </c>
      <c r="AJ342" s="51" t="str">
        <f>IF(Migrationsartikel!AD341="ja","true",FALSE)</f>
        <v>true</v>
      </c>
      <c r="AK342" s="51" t="str">
        <f>IF(Migrationsartikel!AE341="ja","true",FALSE)</f>
        <v>true</v>
      </c>
      <c r="AL342" s="51" t="str">
        <f>IF(Migrationsartikel!AF341="ja","Denner Partner","")</f>
        <v/>
      </c>
      <c r="AM342" s="51" t="str">
        <f>IF(Migrationsartikel!AG341="ja","true","false")</f>
        <v>false</v>
      </c>
      <c r="AN342" s="51" t="str">
        <f t="shared" si="6"/>
        <v>Kassentastenbelegung (ohne GTIN/PLU)</v>
      </c>
      <c r="AO342" s="63" t="s">
        <v>219</v>
      </c>
      <c r="AP342" s="62" t="s">
        <v>2769</v>
      </c>
      <c r="AQ342" s="63" t="s">
        <v>217</v>
      </c>
      <c r="AR342" s="30" t="s">
        <v>219</v>
      </c>
    </row>
    <row r="343" spans="2:44" ht="21.75" customHeight="1" x14ac:dyDescent="0.45">
      <c r="B343" s="51" t="s">
        <v>99</v>
      </c>
      <c r="E343" s="52" t="s">
        <v>87</v>
      </c>
      <c r="F343" s="51" t="str">
        <f>"Warengruppe&gt;&gt;"&amp;_xlfn.TEXTJOIN("&gt;&gt;",TRUE,Migrationsartikel!V342:X342)</f>
        <v>Warengruppe&gt;&gt;Früchte und Gemüse&gt;&gt;Früchte und Gemüse&gt;&gt;Gemüse</v>
      </c>
      <c r="H343" s="52" t="s">
        <v>109</v>
      </c>
      <c r="J343" s="51" t="str">
        <f>_xlfn.TEXTJOIN(" ",TRUE,Migrationsartikel!B342,Migrationsartikel!E342)</f>
        <v>2202566000000</v>
      </c>
      <c r="L343" s="51" t="str">
        <f>_xlfn.TEXTJOIN(" ",TRUE,Migrationsartikel!F342:H342)</f>
        <v>Tomaten Marmande Schale</v>
      </c>
      <c r="M343" s="51" t="str">
        <f>_xlfn.TEXTJOIN(" ",TRUE,Migrationsartikel!J342:L342)</f>
        <v>Tomates Marmande Barquette</v>
      </c>
      <c r="N343" s="51" t="str">
        <f>_xlfn.TEXTJOIN(" ",TRUE,Migrationsartikel!N342:P342)</f>
        <v>Pomodori Marmande vaschetta</v>
      </c>
      <c r="O343" s="51" t="str">
        <f>Migrationsartikel!F342</f>
        <v>Tomaten Marmande</v>
      </c>
      <c r="P343" s="51" t="str">
        <f>Migrationsartikel!J342</f>
        <v>Tomates Marmande</v>
      </c>
      <c r="Q343" s="51" t="str">
        <f>Migrationsartikel!N342</f>
        <v>Pomodori Marmande</v>
      </c>
      <c r="R343" s="51" t="str">
        <f>_xlfn.TEXTJOIN(" ",TRUE,Migrationsartikel!G342)</f>
        <v>Schale</v>
      </c>
      <c r="S343" s="51" t="str">
        <f>_xlfn.TEXTJOIN(" ",TRUE,Migrationsartikel!K342)</f>
        <v>Barquette</v>
      </c>
      <c r="T343" s="51" t="str">
        <f>_xlfn.TEXTJOIN(" ",TRUE,Migrationsartikel!O342)</f>
        <v>vaschetta</v>
      </c>
      <c r="U343" s="51" t="str">
        <f>_xlfn.TEXTJOIN(" ",TRUE,Migrationsartikel!H342)</f>
        <v/>
      </c>
      <c r="V343" s="51" t="str">
        <f>_xlfn.TEXTJOIN(" ",TRUE,Migrationsartikel!L342)</f>
        <v/>
      </c>
      <c r="W343" s="51" t="str">
        <f>_xlfn.TEXTJOIN(" ",TRUE,Migrationsartikel!P342)</f>
        <v/>
      </c>
      <c r="X343" s="51" t="str">
        <f>Migrationsartikel!I342</f>
        <v>Tomaten Marmande Schale</v>
      </c>
      <c r="Y343" s="51" t="str">
        <f>Migrationsartikel!M342</f>
        <v>Tomates Marmand Barquette</v>
      </c>
      <c r="Z343" s="51" t="str">
        <f>Migrationsartikel!Q342</f>
        <v>Pomodori Marmande vasch.</v>
      </c>
      <c r="AA343" s="60">
        <f>Migrationsartikel!R342</f>
        <v>1</v>
      </c>
      <c r="AB343" s="51" t="str">
        <f>Migrationsartikel!T342</f>
        <v>Kilogramm</v>
      </c>
      <c r="AC343" s="62">
        <f>Migrationsartikel!S342</f>
        <v>1</v>
      </c>
      <c r="AD343" s="51" t="str">
        <f>Migrationsartikel!U342</f>
        <v>(PCE) Stück</v>
      </c>
      <c r="AE343" s="95" t="str">
        <f>Migrationsartikel!Y342</f>
        <v>3 - Reduzierter Satz</v>
      </c>
      <c r="AF343" s="64" t="str">
        <f>IF(Migrationsartikel!AA342="Kein Depotartikel","",Migrationsartikel!AA342)</f>
        <v/>
      </c>
      <c r="AG343" s="95" t="str">
        <f>Migrationsartikel!Z342</f>
        <v>Keine</v>
      </c>
      <c r="AH343" s="51" t="str">
        <f>IF(Migrationsartikel!AB342="ja","true",FALSE)</f>
        <v>true</v>
      </c>
      <c r="AI343" s="51" t="str">
        <f>IF(Migrationsartikel!AC342="ja","true",FALSE)</f>
        <v>true</v>
      </c>
      <c r="AJ343" s="51" t="str">
        <f>IF(Migrationsartikel!AD342="ja","true",FALSE)</f>
        <v>true</v>
      </c>
      <c r="AK343" s="51" t="str">
        <f>IF(Migrationsartikel!AE342="ja","true",FALSE)</f>
        <v>true</v>
      </c>
      <c r="AL343" s="51" t="str">
        <f>IF(Migrationsartikel!AF342="ja","Denner Partner","")</f>
        <v/>
      </c>
      <c r="AM343" s="51" t="str">
        <f>IF(Migrationsartikel!AG342="ja","true","false")</f>
        <v>false</v>
      </c>
      <c r="AN343" s="51" t="str">
        <f t="shared" si="6"/>
        <v>Kassentastenbelegung (ohne GTIN/PLU)</v>
      </c>
      <c r="AO343" s="63" t="s">
        <v>219</v>
      </c>
      <c r="AP343" s="62" t="s">
        <v>2770</v>
      </c>
      <c r="AQ343" s="63" t="s">
        <v>217</v>
      </c>
      <c r="AR343" s="30" t="s">
        <v>219</v>
      </c>
    </row>
    <row r="344" spans="2:44" ht="21.75" customHeight="1" x14ac:dyDescent="0.45">
      <c r="B344" s="51" t="s">
        <v>99</v>
      </c>
      <c r="E344" s="52" t="s">
        <v>87</v>
      </c>
      <c r="F344" s="51" t="str">
        <f>"Warengruppe&gt;&gt;"&amp;_xlfn.TEXTJOIN("&gt;&gt;",TRUE,Migrationsartikel!V343:X343)</f>
        <v>Warengruppe&gt;&gt;Früchte und Gemüse&gt;&gt;Früchte und Gemüse&gt;&gt;Gemüse</v>
      </c>
      <c r="H344" s="52" t="s">
        <v>109</v>
      </c>
      <c r="J344" s="51" t="str">
        <f>_xlfn.TEXTJOIN(" ",TRUE,Migrationsartikel!B343,Migrationsartikel!E343)</f>
        <v>264</v>
      </c>
      <c r="L344" s="51" t="str">
        <f>_xlfn.TEXTJOIN(" ",TRUE,Migrationsartikel!F343:H343)</f>
        <v>Tomaten Marmande schwarz, Offen</v>
      </c>
      <c r="M344" s="51" t="str">
        <f>_xlfn.TEXTJOIN(" ",TRUE,Migrationsartikel!J343:L343)</f>
        <v>Tomates Marmande noire En vrac</v>
      </c>
      <c r="N344" s="51" t="str">
        <f>_xlfn.TEXTJOIN(" ",TRUE,Migrationsartikel!N343:P343)</f>
        <v>Pomodori Marmande neri vendita sfusa</v>
      </c>
      <c r="O344" s="51" t="str">
        <f>Migrationsartikel!F343</f>
        <v>Tomaten Marmande</v>
      </c>
      <c r="P344" s="51" t="str">
        <f>Migrationsartikel!J343</f>
        <v>Tomates Marmande noire</v>
      </c>
      <c r="Q344" s="51" t="str">
        <f>Migrationsartikel!N343</f>
        <v>Pomodori Marmande neri</v>
      </c>
      <c r="R344" s="51" t="str">
        <f>_xlfn.TEXTJOIN(" ",TRUE,Migrationsartikel!G343)</f>
        <v>schwarz, Offen</v>
      </c>
      <c r="S344" s="51" t="str">
        <f>_xlfn.TEXTJOIN(" ",TRUE,Migrationsartikel!K343)</f>
        <v>En vrac</v>
      </c>
      <c r="T344" s="51" t="str">
        <f>_xlfn.TEXTJOIN(" ",TRUE,Migrationsartikel!O343)</f>
        <v>vendita sfusa</v>
      </c>
      <c r="U344" s="51" t="str">
        <f>_xlfn.TEXTJOIN(" ",TRUE,Migrationsartikel!H343)</f>
        <v/>
      </c>
      <c r="V344" s="51" t="str">
        <f>_xlfn.TEXTJOIN(" ",TRUE,Migrationsartikel!L343)</f>
        <v/>
      </c>
      <c r="W344" s="51" t="str">
        <f>_xlfn.TEXTJOIN(" ",TRUE,Migrationsartikel!P343)</f>
        <v/>
      </c>
      <c r="X344" s="51" t="str">
        <f>Migrationsartikel!I343</f>
        <v>Tomaten Marmande schwarz</v>
      </c>
      <c r="Y344" s="51" t="str">
        <f>Migrationsartikel!M343</f>
        <v>Tomates Marm. en vrac</v>
      </c>
      <c r="Z344" s="51" t="str">
        <f>Migrationsartikel!Q343</f>
        <v>Pomodori Marmande v. sfusa</v>
      </c>
      <c r="AA344" s="60">
        <f>Migrationsartikel!R343</f>
        <v>1</v>
      </c>
      <c r="AB344" s="51" t="str">
        <f>Migrationsartikel!T343</f>
        <v>Kilogramm</v>
      </c>
      <c r="AC344" s="62">
        <f>Migrationsartikel!S343</f>
        <v>1</v>
      </c>
      <c r="AD344" s="51" t="str">
        <f>Migrationsartikel!U343</f>
        <v>(KGM) KG</v>
      </c>
      <c r="AE344" s="95" t="str">
        <f>Migrationsartikel!Y343</f>
        <v>3 - Reduzierter Satz</v>
      </c>
      <c r="AF344" s="64" t="str">
        <f>IF(Migrationsartikel!AA343="Kein Depotartikel","",Migrationsartikel!AA343)</f>
        <v/>
      </c>
      <c r="AG344" s="95" t="str">
        <f>Migrationsartikel!Z343</f>
        <v>Keine</v>
      </c>
      <c r="AH344" s="51" t="str">
        <f>IF(Migrationsartikel!AB343="ja","true",FALSE)</f>
        <v>true</v>
      </c>
      <c r="AI344" s="51" t="str">
        <f>IF(Migrationsartikel!AC343="ja","true",FALSE)</f>
        <v>true</v>
      </c>
      <c r="AJ344" s="51" t="str">
        <f>IF(Migrationsartikel!AD343="ja","true",FALSE)</f>
        <v>true</v>
      </c>
      <c r="AK344" s="51" t="str">
        <f>IF(Migrationsartikel!AE343="ja","true",FALSE)</f>
        <v>true</v>
      </c>
      <c r="AL344" s="51" t="str">
        <f>IF(Migrationsartikel!AF343="ja","Denner Partner","")</f>
        <v/>
      </c>
      <c r="AM344" s="51" t="str">
        <f>IF(Migrationsartikel!AG343="ja","true","false")</f>
        <v>false</v>
      </c>
      <c r="AN344" s="51" t="str">
        <f t="shared" si="6"/>
        <v>Kassentastenbelegung (ohne GTIN/PLU)</v>
      </c>
      <c r="AO344" s="63" t="s">
        <v>219</v>
      </c>
      <c r="AP344" s="62" t="s">
        <v>2771</v>
      </c>
      <c r="AQ344" s="63" t="s">
        <v>217</v>
      </c>
      <c r="AR344" s="30" t="s">
        <v>219</v>
      </c>
    </row>
    <row r="345" spans="2:44" ht="21.75" customHeight="1" x14ac:dyDescent="0.45">
      <c r="B345" s="51" t="s">
        <v>99</v>
      </c>
      <c r="E345" s="52" t="s">
        <v>87</v>
      </c>
      <c r="F345" s="51" t="str">
        <f>"Warengruppe&gt;&gt;"&amp;_xlfn.TEXTJOIN("&gt;&gt;",TRUE,Migrationsartikel!V344:X344)</f>
        <v>Warengruppe&gt;&gt;Früchte und Gemüse&gt;&gt;Früchte und Gemüse&gt;&gt;Gemüse</v>
      </c>
      <c r="H345" s="52" t="s">
        <v>109</v>
      </c>
      <c r="J345" s="51" t="str">
        <f>_xlfn.TEXTJOIN(" ",TRUE,Migrationsartikel!B344,Migrationsartikel!E344)</f>
        <v>265</v>
      </c>
      <c r="L345" s="51" t="str">
        <f>_xlfn.TEXTJOIN(" ",TRUE,Migrationsartikel!F344:H344)</f>
        <v>Tomaten mix Offen</v>
      </c>
      <c r="M345" s="51" t="str">
        <f>_xlfn.TEXTJOIN(" ",TRUE,Migrationsartikel!J344:L344)</f>
        <v>Mélange de tomates En vrac</v>
      </c>
      <c r="N345" s="51" t="str">
        <f>_xlfn.TEXTJOIN(" ",TRUE,Migrationsartikel!N344:P344)</f>
        <v>Pomodori Mix vendita sfusa</v>
      </c>
      <c r="O345" s="51" t="str">
        <f>Migrationsartikel!F344</f>
        <v>Tomaten mix</v>
      </c>
      <c r="P345" s="51" t="str">
        <f>Migrationsartikel!J344</f>
        <v>Mélange de tomates</v>
      </c>
      <c r="Q345" s="51" t="str">
        <f>Migrationsartikel!N344</f>
        <v>Pomodori Mix</v>
      </c>
      <c r="R345" s="51" t="str">
        <f>_xlfn.TEXTJOIN(" ",TRUE,Migrationsartikel!G344)</f>
        <v>Offen</v>
      </c>
      <c r="S345" s="51" t="str">
        <f>_xlfn.TEXTJOIN(" ",TRUE,Migrationsartikel!K344)</f>
        <v>En vrac</v>
      </c>
      <c r="T345" s="51" t="str">
        <f>_xlfn.TEXTJOIN(" ",TRUE,Migrationsartikel!O344)</f>
        <v>vendita sfusa</v>
      </c>
      <c r="U345" s="51" t="str">
        <f>_xlfn.TEXTJOIN(" ",TRUE,Migrationsartikel!H344)</f>
        <v/>
      </c>
      <c r="V345" s="51" t="str">
        <f>_xlfn.TEXTJOIN(" ",TRUE,Migrationsartikel!L344)</f>
        <v/>
      </c>
      <c r="W345" s="51" t="str">
        <f>_xlfn.TEXTJOIN(" ",TRUE,Migrationsartikel!P344)</f>
        <v/>
      </c>
      <c r="X345" s="51" t="str">
        <f>Migrationsartikel!I344</f>
        <v>Tomaten mix Offen</v>
      </c>
      <c r="Y345" s="51" t="str">
        <f>Migrationsartikel!M344</f>
        <v>Mélange de tomates en vrac</v>
      </c>
      <c r="Z345" s="51" t="str">
        <f>Migrationsartikel!Q344</f>
        <v>Pomodori Mix vendita sfusa</v>
      </c>
      <c r="AA345" s="60">
        <f>Migrationsartikel!R344</f>
        <v>1</v>
      </c>
      <c r="AB345" s="51" t="str">
        <f>Migrationsartikel!T344</f>
        <v>Kilogramm</v>
      </c>
      <c r="AC345" s="62">
        <f>Migrationsartikel!S344</f>
        <v>1</v>
      </c>
      <c r="AD345" s="51" t="str">
        <f>Migrationsartikel!U344</f>
        <v>(KGM) KG</v>
      </c>
      <c r="AE345" s="95" t="str">
        <f>Migrationsartikel!Y344</f>
        <v>3 - Reduzierter Satz</v>
      </c>
      <c r="AF345" s="64" t="str">
        <f>IF(Migrationsartikel!AA344="Kein Depotartikel","",Migrationsartikel!AA344)</f>
        <v/>
      </c>
      <c r="AG345" s="95" t="str">
        <f>Migrationsartikel!Z344</f>
        <v>Keine</v>
      </c>
      <c r="AH345" s="51" t="str">
        <f>IF(Migrationsartikel!AB344="ja","true",FALSE)</f>
        <v>true</v>
      </c>
      <c r="AI345" s="51" t="str">
        <f>IF(Migrationsartikel!AC344="ja","true",FALSE)</f>
        <v>true</v>
      </c>
      <c r="AJ345" s="51" t="str">
        <f>IF(Migrationsartikel!AD344="ja","true",FALSE)</f>
        <v>true</v>
      </c>
      <c r="AK345" s="51" t="str">
        <f>IF(Migrationsartikel!AE344="ja","true",FALSE)</f>
        <v>true</v>
      </c>
      <c r="AL345" s="51" t="str">
        <f>IF(Migrationsartikel!AF344="ja","Denner Partner","")</f>
        <v/>
      </c>
      <c r="AM345" s="51" t="str">
        <f>IF(Migrationsartikel!AG344="ja","true","false")</f>
        <v>false</v>
      </c>
      <c r="AN345" s="51" t="str">
        <f t="shared" si="6"/>
        <v>Kassentastenbelegung (ohne GTIN/PLU)</v>
      </c>
      <c r="AO345" s="63" t="s">
        <v>219</v>
      </c>
      <c r="AP345" s="62" t="s">
        <v>2772</v>
      </c>
      <c r="AQ345" s="63" t="s">
        <v>217</v>
      </c>
      <c r="AR345" s="30" t="s">
        <v>219</v>
      </c>
    </row>
    <row r="346" spans="2:44" ht="21.75" customHeight="1" x14ac:dyDescent="0.45">
      <c r="B346" s="51" t="s">
        <v>99</v>
      </c>
      <c r="E346" s="52" t="s">
        <v>87</v>
      </c>
      <c r="F346" s="51" t="str">
        <f>"Warengruppe&gt;&gt;"&amp;_xlfn.TEXTJOIN("&gt;&gt;",TRUE,Migrationsartikel!V345:X345)</f>
        <v>Warengruppe&gt;&gt;Früchte und Gemüse&gt;&gt;Früchte und Gemüse&gt;&gt;Gemüse</v>
      </c>
      <c r="H346" s="52" t="s">
        <v>109</v>
      </c>
      <c r="J346" s="51" t="str">
        <f>_xlfn.TEXTJOIN(" ",TRUE,Migrationsartikel!B345,Migrationsartikel!E345)</f>
        <v>2286721000002</v>
      </c>
      <c r="L346" s="51" t="str">
        <f>_xlfn.TEXTJOIN(" ",TRUE,Migrationsartikel!F345:H345)</f>
        <v>Tomaten Rispen Schale</v>
      </c>
      <c r="M346" s="51" t="str">
        <f>_xlfn.TEXTJOIN(" ",TRUE,Migrationsartikel!J345:L345)</f>
        <v>Tomates en grappes Barquette</v>
      </c>
      <c r="N346" s="51" t="str">
        <f>_xlfn.TEXTJOIN(" ",TRUE,Migrationsartikel!N345:P345)</f>
        <v>Pomodori ramati vaschetta</v>
      </c>
      <c r="O346" s="51" t="str">
        <f>Migrationsartikel!F345</f>
        <v>Tomaten Rispen</v>
      </c>
      <c r="P346" s="51" t="str">
        <f>Migrationsartikel!J345</f>
        <v>Tomates en grappes</v>
      </c>
      <c r="Q346" s="51" t="str">
        <f>Migrationsartikel!N345</f>
        <v>Pomodori ramati</v>
      </c>
      <c r="R346" s="51" t="str">
        <f>_xlfn.TEXTJOIN(" ",TRUE,Migrationsartikel!G345)</f>
        <v>Schale</v>
      </c>
      <c r="S346" s="51" t="str">
        <f>_xlfn.TEXTJOIN(" ",TRUE,Migrationsartikel!K345)</f>
        <v>Barquette</v>
      </c>
      <c r="T346" s="51" t="str">
        <f>_xlfn.TEXTJOIN(" ",TRUE,Migrationsartikel!O345)</f>
        <v>vaschetta</v>
      </c>
      <c r="U346" s="51" t="str">
        <f>_xlfn.TEXTJOIN(" ",TRUE,Migrationsartikel!H345)</f>
        <v/>
      </c>
      <c r="V346" s="51" t="str">
        <f>_xlfn.TEXTJOIN(" ",TRUE,Migrationsartikel!L345)</f>
        <v/>
      </c>
      <c r="W346" s="51" t="str">
        <f>_xlfn.TEXTJOIN(" ",TRUE,Migrationsartikel!P345)</f>
        <v/>
      </c>
      <c r="X346" s="51" t="str">
        <f>Migrationsartikel!I345</f>
        <v>Tomaten Rispen Schale</v>
      </c>
      <c r="Y346" s="51" t="str">
        <f>Migrationsartikel!M345</f>
        <v>Tomates en grappes barquette</v>
      </c>
      <c r="Z346" s="51" t="str">
        <f>Migrationsartikel!Q345</f>
        <v>Pomodori ramati vaschetta</v>
      </c>
      <c r="AA346" s="60">
        <f>Migrationsartikel!R345</f>
        <v>1</v>
      </c>
      <c r="AB346" s="51" t="str">
        <f>Migrationsartikel!T345</f>
        <v>Kilogramm</v>
      </c>
      <c r="AC346" s="62">
        <f>Migrationsartikel!S345</f>
        <v>1</v>
      </c>
      <c r="AD346" s="51" t="str">
        <f>Migrationsartikel!U345</f>
        <v>(PCE) Stück</v>
      </c>
      <c r="AE346" s="95" t="str">
        <f>Migrationsartikel!Y345</f>
        <v>3 - Reduzierter Satz</v>
      </c>
      <c r="AF346" s="64" t="str">
        <f>IF(Migrationsartikel!AA345="Kein Depotartikel","",Migrationsartikel!AA345)</f>
        <v/>
      </c>
      <c r="AG346" s="95" t="str">
        <f>Migrationsartikel!Z345</f>
        <v>Keine</v>
      </c>
      <c r="AH346" s="51" t="str">
        <f>IF(Migrationsartikel!AB345="ja","true",FALSE)</f>
        <v>true</v>
      </c>
      <c r="AI346" s="51" t="str">
        <f>IF(Migrationsartikel!AC345="ja","true",FALSE)</f>
        <v>true</v>
      </c>
      <c r="AJ346" s="51" t="str">
        <f>IF(Migrationsartikel!AD345="ja","true",FALSE)</f>
        <v>true</v>
      </c>
      <c r="AK346" s="51" t="str">
        <f>IF(Migrationsartikel!AE345="ja","true",FALSE)</f>
        <v>true</v>
      </c>
      <c r="AL346" s="51" t="str">
        <f>IF(Migrationsartikel!AF345="ja","Denner Partner","")</f>
        <v/>
      </c>
      <c r="AM346" s="51" t="str">
        <f>IF(Migrationsartikel!AG345="ja","true","false")</f>
        <v>false</v>
      </c>
      <c r="AN346" s="51" t="str">
        <f t="shared" si="6"/>
        <v>Kassentastenbelegung (ohne GTIN/PLU)</v>
      </c>
      <c r="AO346" s="63" t="s">
        <v>219</v>
      </c>
      <c r="AP346" s="62" t="s">
        <v>2773</v>
      </c>
      <c r="AQ346" s="63" t="s">
        <v>217</v>
      </c>
      <c r="AR346" s="30" t="s">
        <v>219</v>
      </c>
    </row>
    <row r="347" spans="2:44" ht="21.75" customHeight="1" x14ac:dyDescent="0.45">
      <c r="B347" s="51" t="s">
        <v>99</v>
      </c>
      <c r="E347" s="52" t="s">
        <v>87</v>
      </c>
      <c r="F347" s="51" t="str">
        <f>"Warengruppe&gt;&gt;"&amp;_xlfn.TEXTJOIN("&gt;&gt;",TRUE,Migrationsartikel!V346:X346)</f>
        <v>Warengruppe&gt;&gt;Früchte und Gemüse&gt;&gt;Früchte und Gemüse&gt;&gt;Gemüse</v>
      </c>
      <c r="H347" s="52" t="s">
        <v>109</v>
      </c>
      <c r="J347" s="51" t="str">
        <f>_xlfn.TEXTJOIN(" ",TRUE,Migrationsartikel!B346,Migrationsartikel!E346)</f>
        <v>266</v>
      </c>
      <c r="L347" s="51" t="str">
        <f>_xlfn.TEXTJOIN(" ",TRUE,Migrationsartikel!F346:H346)</f>
        <v>Tomaten rund Offen</v>
      </c>
      <c r="M347" s="51" t="str">
        <f>_xlfn.TEXTJOIN(" ",TRUE,Migrationsartikel!J346:L346)</f>
        <v>Tomates rondes En vrac</v>
      </c>
      <c r="N347" s="51" t="str">
        <f>_xlfn.TEXTJOIN(" ",TRUE,Migrationsartikel!N346:P346)</f>
        <v>Pomodori tondi vendita sfusa</v>
      </c>
      <c r="O347" s="51" t="str">
        <f>Migrationsartikel!F346</f>
        <v>Tomaten rund</v>
      </c>
      <c r="P347" s="51" t="str">
        <f>Migrationsartikel!J346</f>
        <v>Tomates rondes</v>
      </c>
      <c r="Q347" s="51" t="str">
        <f>Migrationsartikel!N346</f>
        <v>Pomodori tondi</v>
      </c>
      <c r="R347" s="51" t="str">
        <f>_xlfn.TEXTJOIN(" ",TRUE,Migrationsartikel!G346)</f>
        <v>Offen</v>
      </c>
      <c r="S347" s="51" t="str">
        <f>_xlfn.TEXTJOIN(" ",TRUE,Migrationsartikel!K346)</f>
        <v>En vrac</v>
      </c>
      <c r="T347" s="51" t="str">
        <f>_xlfn.TEXTJOIN(" ",TRUE,Migrationsartikel!O346)</f>
        <v>vendita sfusa</v>
      </c>
      <c r="U347" s="51" t="str">
        <f>_xlfn.TEXTJOIN(" ",TRUE,Migrationsartikel!H346)</f>
        <v/>
      </c>
      <c r="V347" s="51" t="str">
        <f>_xlfn.TEXTJOIN(" ",TRUE,Migrationsartikel!L346)</f>
        <v/>
      </c>
      <c r="W347" s="51" t="str">
        <f>_xlfn.TEXTJOIN(" ",TRUE,Migrationsartikel!P346)</f>
        <v/>
      </c>
      <c r="X347" s="51" t="str">
        <f>Migrationsartikel!I346</f>
        <v>Tomaten rund Offen</v>
      </c>
      <c r="Y347" s="51" t="str">
        <f>Migrationsartikel!M346</f>
        <v>Tomates rondes en vrac</v>
      </c>
      <c r="Z347" s="51" t="str">
        <f>Migrationsartikel!Q346</f>
        <v>Pomodori tondi vendita sfusa</v>
      </c>
      <c r="AA347" s="60">
        <f>Migrationsartikel!R346</f>
        <v>1</v>
      </c>
      <c r="AB347" s="51" t="str">
        <f>Migrationsartikel!T346</f>
        <v>Kilogramm</v>
      </c>
      <c r="AC347" s="62">
        <f>Migrationsartikel!S346</f>
        <v>1</v>
      </c>
      <c r="AD347" s="51" t="str">
        <f>Migrationsartikel!U346</f>
        <v>(KGM) KG</v>
      </c>
      <c r="AE347" s="95" t="str">
        <f>Migrationsartikel!Y346</f>
        <v>3 - Reduzierter Satz</v>
      </c>
      <c r="AF347" s="64" t="str">
        <f>IF(Migrationsartikel!AA346="Kein Depotartikel","",Migrationsartikel!AA346)</f>
        <v/>
      </c>
      <c r="AG347" s="95" t="str">
        <f>Migrationsartikel!Z346</f>
        <v>Keine</v>
      </c>
      <c r="AH347" s="51" t="str">
        <f>IF(Migrationsartikel!AB346="ja","true",FALSE)</f>
        <v>true</v>
      </c>
      <c r="AI347" s="51" t="str">
        <f>IF(Migrationsartikel!AC346="ja","true",FALSE)</f>
        <v>true</v>
      </c>
      <c r="AJ347" s="51" t="str">
        <f>IF(Migrationsartikel!AD346="ja","true",FALSE)</f>
        <v>true</v>
      </c>
      <c r="AK347" s="51" t="str">
        <f>IF(Migrationsartikel!AE346="ja","true",FALSE)</f>
        <v>true</v>
      </c>
      <c r="AL347" s="51" t="str">
        <f>IF(Migrationsartikel!AF346="ja","Denner Partner","")</f>
        <v/>
      </c>
      <c r="AM347" s="51" t="str">
        <f>IF(Migrationsartikel!AG346="ja","true","false")</f>
        <v>false</v>
      </c>
      <c r="AN347" s="51" t="str">
        <f t="shared" si="6"/>
        <v>Kassentastenbelegung (ohne GTIN/PLU)</v>
      </c>
      <c r="AO347" s="63" t="s">
        <v>219</v>
      </c>
      <c r="AP347" s="62" t="s">
        <v>2774</v>
      </c>
      <c r="AQ347" s="63" t="s">
        <v>217</v>
      </c>
      <c r="AR347" s="30" t="s">
        <v>219</v>
      </c>
    </row>
    <row r="348" spans="2:44" ht="21.75" customHeight="1" x14ac:dyDescent="0.45">
      <c r="B348" s="51" t="s">
        <v>99</v>
      </c>
      <c r="E348" s="52" t="s">
        <v>87</v>
      </c>
      <c r="F348" s="51" t="str">
        <f>"Warengruppe&gt;&gt;"&amp;_xlfn.TEXTJOIN("&gt;&gt;",TRUE,Migrationsartikel!V347:X347)</f>
        <v>Warengruppe&gt;&gt;Früchte und Gemüse&gt;&gt;Früchte und Gemüse&gt;&gt;Gemüse</v>
      </c>
      <c r="H348" s="52" t="s">
        <v>109</v>
      </c>
      <c r="J348" s="51" t="str">
        <f>_xlfn.TEXTJOIN(" ",TRUE,Migrationsartikel!B347,Migrationsartikel!E347)</f>
        <v>2200670000000</v>
      </c>
      <c r="L348" s="51" t="str">
        <f>_xlfn.TEXTJOIN(" ",TRUE,Migrationsartikel!F347:H347)</f>
        <v>Tomaten rund</v>
      </c>
      <c r="M348" s="51" t="str">
        <f>_xlfn.TEXTJOIN(" ",TRUE,Migrationsartikel!J347:L347)</f>
        <v>Tomates rondes</v>
      </c>
      <c r="N348" s="51" t="str">
        <f>_xlfn.TEXTJOIN(" ",TRUE,Migrationsartikel!N347:P347)</f>
        <v>Pomodori tondi</v>
      </c>
      <c r="O348" s="51" t="str">
        <f>Migrationsartikel!F347</f>
        <v>Tomaten rund</v>
      </c>
      <c r="P348" s="51" t="str">
        <f>Migrationsartikel!J347</f>
        <v>Tomates rondes</v>
      </c>
      <c r="Q348" s="51" t="str">
        <f>Migrationsartikel!N347</f>
        <v>Pomodori tondi</v>
      </c>
      <c r="R348" s="51" t="str">
        <f>_xlfn.TEXTJOIN(" ",TRUE,Migrationsartikel!G347)</f>
        <v/>
      </c>
      <c r="S348" s="51" t="str">
        <f>_xlfn.TEXTJOIN(" ",TRUE,Migrationsartikel!K347)</f>
        <v/>
      </c>
      <c r="T348" s="51" t="str">
        <f>_xlfn.TEXTJOIN(" ",TRUE,Migrationsartikel!O347)</f>
        <v/>
      </c>
      <c r="U348" s="51" t="str">
        <f>_xlfn.TEXTJOIN(" ",TRUE,Migrationsartikel!H347)</f>
        <v/>
      </c>
      <c r="V348" s="51" t="str">
        <f>_xlfn.TEXTJOIN(" ",TRUE,Migrationsartikel!L347)</f>
        <v/>
      </c>
      <c r="W348" s="51" t="str">
        <f>_xlfn.TEXTJOIN(" ",TRUE,Migrationsartikel!P347)</f>
        <v/>
      </c>
      <c r="X348" s="51" t="str">
        <f>Migrationsartikel!I347</f>
        <v>Tomaten rund</v>
      </c>
      <c r="Y348" s="51" t="str">
        <f>Migrationsartikel!M347</f>
        <v>Tomates rondes en vrac</v>
      </c>
      <c r="Z348" s="51" t="str">
        <f>Migrationsartikel!Q347</f>
        <v>Pomodori tondi</v>
      </c>
      <c r="AA348" s="60">
        <f>Migrationsartikel!R347</f>
        <v>1</v>
      </c>
      <c r="AB348" s="51" t="str">
        <f>Migrationsartikel!T347</f>
        <v>Kilogramm</v>
      </c>
      <c r="AC348" s="62">
        <f>Migrationsartikel!S347</f>
        <v>1</v>
      </c>
      <c r="AD348" s="51" t="str">
        <f>Migrationsartikel!U347</f>
        <v>(PCE) Stück</v>
      </c>
      <c r="AE348" s="95" t="str">
        <f>Migrationsartikel!Y347</f>
        <v>3 - Reduzierter Satz</v>
      </c>
      <c r="AF348" s="64" t="str">
        <f>IF(Migrationsartikel!AA347="Kein Depotartikel","",Migrationsartikel!AA347)</f>
        <v/>
      </c>
      <c r="AG348" s="95" t="str">
        <f>Migrationsartikel!Z347</f>
        <v>Keine</v>
      </c>
      <c r="AH348" s="51" t="str">
        <f>IF(Migrationsartikel!AB347="ja","true",FALSE)</f>
        <v>true</v>
      </c>
      <c r="AI348" s="51" t="str">
        <f>IF(Migrationsartikel!AC347="ja","true",FALSE)</f>
        <v>true</v>
      </c>
      <c r="AJ348" s="51" t="str">
        <f>IF(Migrationsartikel!AD347="ja","true",FALSE)</f>
        <v>true</v>
      </c>
      <c r="AK348" s="51" t="str">
        <f>IF(Migrationsartikel!AE347="ja","true",FALSE)</f>
        <v>true</v>
      </c>
      <c r="AL348" s="51" t="str">
        <f>IF(Migrationsartikel!AF347="ja","Denner Partner","")</f>
        <v/>
      </c>
      <c r="AM348" s="51" t="str">
        <f>IF(Migrationsartikel!AG347="ja","true","false")</f>
        <v>false</v>
      </c>
      <c r="AN348" s="51" t="str">
        <f t="shared" si="6"/>
        <v>Kassentastenbelegung (ohne GTIN/PLU)</v>
      </c>
      <c r="AO348" s="63" t="s">
        <v>219</v>
      </c>
      <c r="AP348" s="62" t="s">
        <v>2775</v>
      </c>
      <c r="AQ348" s="63" t="s">
        <v>217</v>
      </c>
      <c r="AR348" s="30" t="s">
        <v>219</v>
      </c>
    </row>
    <row r="349" spans="2:44" ht="21.75" customHeight="1" x14ac:dyDescent="0.45">
      <c r="B349" s="51" t="s">
        <v>99</v>
      </c>
      <c r="E349" s="52" t="s">
        <v>87</v>
      </c>
      <c r="F349" s="51" t="str">
        <f>"Warengruppe&gt;&gt;"&amp;_xlfn.TEXTJOIN("&gt;&gt;",TRUE,Migrationsartikel!V348:X348)</f>
        <v>Warengruppe&gt;&gt;Früchte und Gemüse&gt;&gt;Früchte und Gemüse&gt;&gt;Gemüse</v>
      </c>
      <c r="H349" s="52" t="s">
        <v>109</v>
      </c>
      <c r="J349" s="51" t="str">
        <f>_xlfn.TEXTJOIN(" ",TRUE,Migrationsartikel!B348,Migrationsartikel!E348)</f>
        <v>2216711000002</v>
      </c>
      <c r="L349" s="51" t="str">
        <f>_xlfn.TEXTJOIN(" ",TRUE,Migrationsartikel!F348:H348)</f>
        <v>Tomaten San Marzano Schale ca. 500g</v>
      </c>
      <c r="M349" s="51" t="str">
        <f>_xlfn.TEXTJOIN(" ",TRUE,Migrationsartikel!J348:L348)</f>
        <v>Tomates San Marzano Barquette env. 500g</v>
      </c>
      <c r="N349" s="51" t="str">
        <f>_xlfn.TEXTJOIN(" ",TRUE,Migrationsartikel!N348:P348)</f>
        <v>Pomodori San Marzano vaschetta ca. 500g</v>
      </c>
      <c r="O349" s="51" t="str">
        <f>Migrationsartikel!F348</f>
        <v>Tomaten San Marzano</v>
      </c>
      <c r="P349" s="51" t="str">
        <f>Migrationsartikel!J348</f>
        <v>Tomates San Marzano</v>
      </c>
      <c r="Q349" s="51" t="str">
        <f>Migrationsartikel!N348</f>
        <v>Pomodori San Marzano</v>
      </c>
      <c r="R349" s="51" t="str">
        <f>_xlfn.TEXTJOIN(" ",TRUE,Migrationsartikel!G348)</f>
        <v>Schale</v>
      </c>
      <c r="S349" s="51" t="str">
        <f>_xlfn.TEXTJOIN(" ",TRUE,Migrationsartikel!K348)</f>
        <v>Barquette</v>
      </c>
      <c r="T349" s="51" t="str">
        <f>_xlfn.TEXTJOIN(" ",TRUE,Migrationsartikel!O348)</f>
        <v>vaschetta</v>
      </c>
      <c r="U349" s="51" t="str">
        <f>_xlfn.TEXTJOIN(" ",TRUE,Migrationsartikel!H348)</f>
        <v>ca. 500g</v>
      </c>
      <c r="V349" s="51" t="str">
        <f>_xlfn.TEXTJOIN(" ",TRUE,Migrationsartikel!L348)</f>
        <v>env. 500g</v>
      </c>
      <c r="W349" s="51" t="str">
        <f>_xlfn.TEXTJOIN(" ",TRUE,Migrationsartikel!P348)</f>
        <v>ca. 500g</v>
      </c>
      <c r="X349" s="51" t="str">
        <f>Migrationsartikel!I348</f>
        <v>Tomaten San Marzano ca. 500g</v>
      </c>
      <c r="Y349" s="51" t="str">
        <f>Migrationsartikel!M348</f>
        <v>Tomates San Marzano env 500g</v>
      </c>
      <c r="Z349" s="51" t="str">
        <f>Migrationsartikel!Q348</f>
        <v>Pomodori San Marzano ca 500g</v>
      </c>
      <c r="AA349" s="60">
        <f>Migrationsartikel!R348</f>
        <v>0.5</v>
      </c>
      <c r="AB349" s="51" t="str">
        <f>Migrationsartikel!T348</f>
        <v>Kilogramm</v>
      </c>
      <c r="AC349" s="62">
        <f>Migrationsartikel!S348</f>
        <v>1</v>
      </c>
      <c r="AD349" s="51" t="str">
        <f>Migrationsartikel!U348</f>
        <v>(PCE) Stück</v>
      </c>
      <c r="AE349" s="95" t="str">
        <f>Migrationsartikel!Y348</f>
        <v>3 - Reduzierter Satz</v>
      </c>
      <c r="AF349" s="64" t="str">
        <f>IF(Migrationsartikel!AA348="Kein Depotartikel","",Migrationsartikel!AA348)</f>
        <v/>
      </c>
      <c r="AG349" s="95" t="str">
        <f>Migrationsartikel!Z348</f>
        <v>Keine</v>
      </c>
      <c r="AH349" s="51" t="str">
        <f>IF(Migrationsartikel!AB348="ja","true",FALSE)</f>
        <v>true</v>
      </c>
      <c r="AI349" s="51" t="str">
        <f>IF(Migrationsartikel!AC348="ja","true",FALSE)</f>
        <v>true</v>
      </c>
      <c r="AJ349" s="51" t="str">
        <f>IF(Migrationsartikel!AD348="ja","true",FALSE)</f>
        <v>true</v>
      </c>
      <c r="AK349" s="51" t="str">
        <f>IF(Migrationsartikel!AE348="ja","true",FALSE)</f>
        <v>true</v>
      </c>
      <c r="AL349" s="51" t="str">
        <f>IF(Migrationsartikel!AF348="ja","Denner Partner","")</f>
        <v/>
      </c>
      <c r="AM349" s="51" t="str">
        <f>IF(Migrationsartikel!AG348="ja","true","false")</f>
        <v>false</v>
      </c>
      <c r="AN349" s="51" t="str">
        <f t="shared" si="6"/>
        <v>Kassentastenbelegung (ohne GTIN/PLU)</v>
      </c>
      <c r="AO349" s="63" t="s">
        <v>219</v>
      </c>
      <c r="AP349" s="62" t="s">
        <v>2776</v>
      </c>
      <c r="AQ349" s="63" t="s">
        <v>217</v>
      </c>
      <c r="AR349" s="30" t="s">
        <v>219</v>
      </c>
    </row>
    <row r="350" spans="2:44" ht="21.75" customHeight="1" x14ac:dyDescent="0.45">
      <c r="B350" s="51" t="s">
        <v>99</v>
      </c>
      <c r="E350" s="52" t="s">
        <v>87</v>
      </c>
      <c r="F350" s="51" t="str">
        <f>"Warengruppe&gt;&gt;"&amp;_xlfn.TEXTJOIN("&gt;&gt;",TRUE,Migrationsartikel!V349:X349)</f>
        <v>Warengruppe&gt;&gt;Früchte und Gemüse&gt;&gt;Früchte und Gemüse&gt;&gt;Gemüse</v>
      </c>
      <c r="H350" s="52" t="s">
        <v>109</v>
      </c>
      <c r="J350" s="51" t="str">
        <f>_xlfn.TEXTJOIN(" ",TRUE,Migrationsartikel!B349,Migrationsartikel!E349)</f>
        <v>2205429000000</v>
      </c>
      <c r="L350" s="51" t="str">
        <f>_xlfn.TEXTJOIN(" ",TRUE,Migrationsartikel!F349:H349)</f>
        <v>Bio Tomaten spezial Schale</v>
      </c>
      <c r="M350" s="51" t="str">
        <f>_xlfn.TEXTJOIN(" ",TRUE,Migrationsartikel!J349:L349)</f>
        <v>Bio Tomates spéciales Barquette</v>
      </c>
      <c r="N350" s="51" t="str">
        <f>_xlfn.TEXTJOIN(" ",TRUE,Migrationsartikel!N349:P349)</f>
        <v>Bio Pomodori speciali vaschetta</v>
      </c>
      <c r="O350" s="51" t="str">
        <f>Migrationsartikel!F349</f>
        <v>Bio Tomaten spezial</v>
      </c>
      <c r="P350" s="51" t="str">
        <f>Migrationsartikel!J349</f>
        <v>Bio Tomates spéciales</v>
      </c>
      <c r="Q350" s="51" t="str">
        <f>Migrationsartikel!N349</f>
        <v>Bio Pomodori speciali</v>
      </c>
      <c r="R350" s="51" t="str">
        <f>_xlfn.TEXTJOIN(" ",TRUE,Migrationsartikel!G349)</f>
        <v>Schale</v>
      </c>
      <c r="S350" s="51" t="str">
        <f>_xlfn.TEXTJOIN(" ",TRUE,Migrationsartikel!K349)</f>
        <v>Barquette</v>
      </c>
      <c r="T350" s="51" t="str">
        <f>_xlfn.TEXTJOIN(" ",TRUE,Migrationsartikel!O349)</f>
        <v>vaschetta</v>
      </c>
      <c r="U350" s="51" t="str">
        <f>_xlfn.TEXTJOIN(" ",TRUE,Migrationsartikel!H349)</f>
        <v/>
      </c>
      <c r="V350" s="51" t="str">
        <f>_xlfn.TEXTJOIN(" ",TRUE,Migrationsartikel!L349)</f>
        <v/>
      </c>
      <c r="W350" s="51" t="str">
        <f>_xlfn.TEXTJOIN(" ",TRUE,Migrationsartikel!P349)</f>
        <v/>
      </c>
      <c r="X350" s="51" t="str">
        <f>Migrationsartikel!I349</f>
        <v>Bio Tomaten spez. Schale</v>
      </c>
      <c r="Y350" s="51" t="str">
        <f>Migrationsartikel!M349</f>
        <v>Bio Tomates spéciales Barq.</v>
      </c>
      <c r="Z350" s="51" t="str">
        <f>Migrationsartikel!Q349</f>
        <v>Bio Pomodori speciali vasch.</v>
      </c>
      <c r="AA350" s="60">
        <f>Migrationsartikel!R349</f>
        <v>1</v>
      </c>
      <c r="AB350" s="51" t="str">
        <f>Migrationsartikel!T349</f>
        <v>Kilogramm</v>
      </c>
      <c r="AC350" s="62">
        <f>Migrationsartikel!S349</f>
        <v>1</v>
      </c>
      <c r="AD350" s="51" t="str">
        <f>Migrationsartikel!U349</f>
        <v>(PCE) Stück</v>
      </c>
      <c r="AE350" s="95" t="str">
        <f>Migrationsartikel!Y349</f>
        <v>3 - Reduzierter Satz</v>
      </c>
      <c r="AF350" s="64" t="str">
        <f>IF(Migrationsartikel!AA349="Kein Depotartikel","",Migrationsartikel!AA349)</f>
        <v/>
      </c>
      <c r="AG350" s="95" t="str">
        <f>Migrationsartikel!Z349</f>
        <v>Keine</v>
      </c>
      <c r="AH350" s="51" t="str">
        <f>IF(Migrationsartikel!AB349="ja","true",FALSE)</f>
        <v>true</v>
      </c>
      <c r="AI350" s="51" t="str">
        <f>IF(Migrationsartikel!AC349="ja","true",FALSE)</f>
        <v>true</v>
      </c>
      <c r="AJ350" s="51" t="str">
        <f>IF(Migrationsartikel!AD349="ja","true",FALSE)</f>
        <v>true</v>
      </c>
      <c r="AK350" s="51" t="str">
        <f>IF(Migrationsartikel!AE349="ja","true",FALSE)</f>
        <v>true</v>
      </c>
      <c r="AL350" s="51" t="str">
        <f>IF(Migrationsartikel!AF349="ja","Denner Partner","")</f>
        <v/>
      </c>
      <c r="AM350" s="51" t="str">
        <f>IF(Migrationsartikel!AG349="ja","true","false")</f>
        <v>false</v>
      </c>
      <c r="AN350" s="51" t="str">
        <f t="shared" si="6"/>
        <v>Kassentastenbelegung (ohne GTIN/PLU)</v>
      </c>
      <c r="AO350" s="63" t="s">
        <v>219</v>
      </c>
      <c r="AP350" s="62" t="s">
        <v>2777</v>
      </c>
      <c r="AQ350" s="63" t="s">
        <v>217</v>
      </c>
      <c r="AR350" s="30" t="s">
        <v>219</v>
      </c>
    </row>
    <row r="351" spans="2:44" ht="21.75" customHeight="1" x14ac:dyDescent="0.45">
      <c r="B351" s="51" t="s">
        <v>99</v>
      </c>
      <c r="E351" s="52" t="s">
        <v>87</v>
      </c>
      <c r="F351" s="51" t="str">
        <f>"Warengruppe&gt;&gt;"&amp;_xlfn.TEXTJOIN("&gt;&gt;",TRUE,Migrationsartikel!V350:X350)</f>
        <v>Warengruppe&gt;&gt;Früchte und Gemüse&gt;&gt;Früchte und Gemüse&gt;&gt;Gemüse</v>
      </c>
      <c r="H351" s="52" t="s">
        <v>109</v>
      </c>
      <c r="J351" s="51" t="str">
        <f>_xlfn.TEXTJOIN(" ",TRUE,Migrationsartikel!B350,Migrationsartikel!E350)</f>
        <v>2204580000000</v>
      </c>
      <c r="L351" s="51" t="str">
        <f>_xlfn.TEXTJOIN(" ",TRUE,Migrationsartikel!F350:H350)</f>
        <v>Tomaten spezial Schale</v>
      </c>
      <c r="M351" s="51" t="str">
        <f>_xlfn.TEXTJOIN(" ",TRUE,Migrationsartikel!J350:L350)</f>
        <v>Tomates spéciales Barquette</v>
      </c>
      <c r="N351" s="51" t="str">
        <f>_xlfn.TEXTJOIN(" ",TRUE,Migrationsartikel!N350:P350)</f>
        <v>Pomodori speciali vaschetta</v>
      </c>
      <c r="O351" s="51" t="str">
        <f>Migrationsartikel!F350</f>
        <v>Tomaten spezial</v>
      </c>
      <c r="P351" s="51" t="str">
        <f>Migrationsartikel!J350</f>
        <v>Tomates spéciales</v>
      </c>
      <c r="Q351" s="51" t="str">
        <f>Migrationsartikel!N350</f>
        <v>Pomodori speciali</v>
      </c>
      <c r="R351" s="51" t="str">
        <f>_xlfn.TEXTJOIN(" ",TRUE,Migrationsartikel!G350)</f>
        <v>Schale</v>
      </c>
      <c r="S351" s="51" t="str">
        <f>_xlfn.TEXTJOIN(" ",TRUE,Migrationsartikel!K350)</f>
        <v>Barquette</v>
      </c>
      <c r="T351" s="51" t="str">
        <f>_xlfn.TEXTJOIN(" ",TRUE,Migrationsartikel!O350)</f>
        <v>vaschetta</v>
      </c>
      <c r="U351" s="51" t="str">
        <f>_xlfn.TEXTJOIN(" ",TRUE,Migrationsartikel!H350)</f>
        <v/>
      </c>
      <c r="V351" s="51" t="str">
        <f>_xlfn.TEXTJOIN(" ",TRUE,Migrationsartikel!L350)</f>
        <v/>
      </c>
      <c r="W351" s="51" t="str">
        <f>_xlfn.TEXTJOIN(" ",TRUE,Migrationsartikel!P350)</f>
        <v/>
      </c>
      <c r="X351" s="51" t="str">
        <f>Migrationsartikel!I350</f>
        <v>Tomaten spez. Schale</v>
      </c>
      <c r="Y351" s="51" t="str">
        <f>Migrationsartikel!M350</f>
        <v>Tomates spéciales Barquette</v>
      </c>
      <c r="Z351" s="51" t="str">
        <f>Migrationsartikel!Q350</f>
        <v>Pomodori specialï v. sfusa</v>
      </c>
      <c r="AA351" s="60">
        <f>Migrationsartikel!R350</f>
        <v>1</v>
      </c>
      <c r="AB351" s="51" t="str">
        <f>Migrationsartikel!T350</f>
        <v>Kilogramm</v>
      </c>
      <c r="AC351" s="62">
        <f>Migrationsartikel!S350</f>
        <v>1</v>
      </c>
      <c r="AD351" s="51" t="str">
        <f>Migrationsartikel!U350</f>
        <v>(PCE) Stück</v>
      </c>
      <c r="AE351" s="95" t="str">
        <f>Migrationsartikel!Y350</f>
        <v>3 - Reduzierter Satz</v>
      </c>
      <c r="AF351" s="64" t="str">
        <f>IF(Migrationsartikel!AA350="Kein Depotartikel","",Migrationsartikel!AA350)</f>
        <v/>
      </c>
      <c r="AG351" s="95" t="str">
        <f>Migrationsartikel!Z350</f>
        <v>Keine</v>
      </c>
      <c r="AH351" s="51" t="str">
        <f>IF(Migrationsartikel!AB350="ja","true",FALSE)</f>
        <v>true</v>
      </c>
      <c r="AI351" s="51" t="str">
        <f>IF(Migrationsartikel!AC350="ja","true",FALSE)</f>
        <v>true</v>
      </c>
      <c r="AJ351" s="51" t="str">
        <f>IF(Migrationsartikel!AD350="ja","true",FALSE)</f>
        <v>true</v>
      </c>
      <c r="AK351" s="51" t="str">
        <f>IF(Migrationsartikel!AE350="ja","true",FALSE)</f>
        <v>true</v>
      </c>
      <c r="AL351" s="51" t="str">
        <f>IF(Migrationsartikel!AF350="ja","Denner Partner","")</f>
        <v/>
      </c>
      <c r="AM351" s="51" t="str">
        <f>IF(Migrationsartikel!AG350="ja","true","false")</f>
        <v>false</v>
      </c>
      <c r="AN351" s="51" t="str">
        <f t="shared" si="6"/>
        <v>Kassentastenbelegung (ohne GTIN/PLU)</v>
      </c>
      <c r="AO351" s="63" t="s">
        <v>219</v>
      </c>
      <c r="AP351" s="62" t="s">
        <v>2778</v>
      </c>
      <c r="AQ351" s="63" t="s">
        <v>217</v>
      </c>
      <c r="AR351" s="30" t="s">
        <v>219</v>
      </c>
    </row>
    <row r="352" spans="2:44" ht="21.75" customHeight="1" x14ac:dyDescent="0.45">
      <c r="B352" s="51" t="s">
        <v>99</v>
      </c>
      <c r="E352" s="52" t="s">
        <v>87</v>
      </c>
      <c r="F352" s="51" t="str">
        <f>"Warengruppe&gt;&gt;"&amp;_xlfn.TEXTJOIN("&gt;&gt;",TRUE,Migrationsartikel!V351:X351)</f>
        <v>Warengruppe&gt;&gt;Früchte und Gemüse&gt;&gt;Früchte und Gemüse&gt;&gt;Gemüse</v>
      </c>
      <c r="H352" s="52" t="s">
        <v>109</v>
      </c>
      <c r="J352" s="51" t="str">
        <f>_xlfn.TEXTJOIN(" ",TRUE,Migrationsartikel!B351,Migrationsartikel!E351)</f>
        <v>7613399001157</v>
      </c>
      <c r="L352" s="51" t="str">
        <f>_xlfn.TEXTJOIN(" ",TRUE,Migrationsartikel!F351:H351)</f>
        <v>Wintersalat 200g</v>
      </c>
      <c r="M352" s="51" t="str">
        <f>_xlfn.TEXTJOIN(" ",TRUE,Migrationsartikel!J351:L351)</f>
        <v>Salade d’hiver 200g</v>
      </c>
      <c r="N352" s="51" t="str">
        <f>_xlfn.TEXTJOIN(" ",TRUE,Migrationsartikel!N351:P351)</f>
        <v>Insalata invernale 200g</v>
      </c>
      <c r="O352" s="51" t="str">
        <f>Migrationsartikel!F351</f>
        <v>Wintersalat</v>
      </c>
      <c r="P352" s="51" t="str">
        <f>Migrationsartikel!J351</f>
        <v>Salade d’hiver</v>
      </c>
      <c r="Q352" s="51" t="str">
        <f>Migrationsartikel!N351</f>
        <v>Insalata invernale</v>
      </c>
      <c r="R352" s="51" t="str">
        <f>_xlfn.TEXTJOIN(" ",TRUE,Migrationsartikel!G351)</f>
        <v/>
      </c>
      <c r="S352" s="51" t="str">
        <f>_xlfn.TEXTJOIN(" ",TRUE,Migrationsartikel!K351)</f>
        <v/>
      </c>
      <c r="T352" s="51" t="str">
        <f>_xlfn.TEXTJOIN(" ",TRUE,Migrationsartikel!O351)</f>
        <v/>
      </c>
      <c r="U352" s="51" t="str">
        <f>_xlfn.TEXTJOIN(" ",TRUE,Migrationsartikel!H351)</f>
        <v>200g</v>
      </c>
      <c r="V352" s="51" t="str">
        <f>_xlfn.TEXTJOIN(" ",TRUE,Migrationsartikel!L351)</f>
        <v>200g</v>
      </c>
      <c r="W352" s="51" t="str">
        <f>_xlfn.TEXTJOIN(" ",TRUE,Migrationsartikel!P351)</f>
        <v>200g</v>
      </c>
      <c r="X352" s="51" t="str">
        <f>Migrationsartikel!I351</f>
        <v>Wintersalat 200g</v>
      </c>
      <c r="Y352" s="51" t="str">
        <f>Migrationsartikel!M351</f>
        <v>Salade d'hiver 200g</v>
      </c>
      <c r="Z352" s="51" t="str">
        <f>Migrationsartikel!Q351</f>
        <v>Insalata invernale 200g</v>
      </c>
      <c r="AA352" s="60">
        <f>Migrationsartikel!R351</f>
        <v>0.2</v>
      </c>
      <c r="AB352" s="51" t="str">
        <f>Migrationsartikel!T351</f>
        <v>Gramm</v>
      </c>
      <c r="AC352" s="62">
        <f>Migrationsartikel!S351</f>
        <v>100</v>
      </c>
      <c r="AD352" s="51" t="str">
        <f>Migrationsartikel!U351</f>
        <v>(PCE) Stück</v>
      </c>
      <c r="AE352" s="95" t="str">
        <f>Migrationsartikel!Y351</f>
        <v>3 - Reduzierter Satz</v>
      </c>
      <c r="AF352" s="64" t="str">
        <f>IF(Migrationsartikel!AA351="Kein Depotartikel","",Migrationsartikel!AA351)</f>
        <v/>
      </c>
      <c r="AG352" s="95" t="str">
        <f>Migrationsartikel!Z351</f>
        <v>Keine</v>
      </c>
      <c r="AH352" s="51" t="str">
        <f>IF(Migrationsartikel!AB351="ja","true",FALSE)</f>
        <v>true</v>
      </c>
      <c r="AI352" s="51" t="str">
        <f>IF(Migrationsartikel!AC351="ja","true",FALSE)</f>
        <v>true</v>
      </c>
      <c r="AJ352" s="51" t="str">
        <f>IF(Migrationsartikel!AD351="ja","true",FALSE)</f>
        <v>true</v>
      </c>
      <c r="AK352" s="51" t="str">
        <f>IF(Migrationsartikel!AE351="ja","true",FALSE)</f>
        <v>true</v>
      </c>
      <c r="AL352" s="51" t="str">
        <f>IF(Migrationsartikel!AF351="ja","Denner Partner","")</f>
        <v/>
      </c>
      <c r="AM352" s="51" t="str">
        <f>IF(Migrationsartikel!AG351="ja","true","false")</f>
        <v>false</v>
      </c>
      <c r="AN352" s="51" t="str">
        <f t="shared" si="6"/>
        <v>Kassentastenbelegung (ohne GTIN/PLU)</v>
      </c>
      <c r="AO352" s="63" t="s">
        <v>219</v>
      </c>
      <c r="AP352" s="62" t="s">
        <v>2779</v>
      </c>
      <c r="AQ352" s="63" t="s">
        <v>217</v>
      </c>
      <c r="AR352" s="30" t="s">
        <v>219</v>
      </c>
    </row>
    <row r="353" spans="2:44" ht="21.75" customHeight="1" x14ac:dyDescent="0.45">
      <c r="B353" s="51" t="s">
        <v>99</v>
      </c>
      <c r="E353" s="52" t="s">
        <v>87</v>
      </c>
      <c r="F353" s="51" t="str">
        <f>"Warengruppe&gt;&gt;"&amp;_xlfn.TEXTJOIN("&gt;&gt;",TRUE,Migrationsartikel!V352:X352)</f>
        <v>Warengruppe&gt;&gt;Früchte und Gemüse&gt;&gt;Früchte und Gemüse&gt;&gt;Gemüse</v>
      </c>
      <c r="H353" s="52" t="s">
        <v>109</v>
      </c>
      <c r="J353" s="51" t="str">
        <f>_xlfn.TEXTJOIN(" ",TRUE,Migrationsartikel!B352,Migrationsartikel!E352)</f>
        <v>2202587000000</v>
      </c>
      <c r="L353" s="51" t="str">
        <f>_xlfn.TEXTJOIN(" ",TRUE,Migrationsartikel!F352:H352)</f>
        <v>Wirz grün</v>
      </c>
      <c r="M353" s="51" t="str">
        <f>_xlfn.TEXTJOIN(" ",TRUE,Migrationsartikel!J352:L352)</f>
        <v>Chou frisé vert</v>
      </c>
      <c r="N353" s="51" t="str">
        <f>_xlfn.TEXTJOIN(" ",TRUE,Migrationsartikel!N352:P352)</f>
        <v>Verza verde</v>
      </c>
      <c r="O353" s="51" t="str">
        <f>Migrationsartikel!F352</f>
        <v>Wirz grün</v>
      </c>
      <c r="P353" s="51" t="str">
        <f>Migrationsartikel!J352</f>
        <v>Chou frisé vert</v>
      </c>
      <c r="Q353" s="51" t="str">
        <f>Migrationsartikel!N352</f>
        <v>Verza verde</v>
      </c>
      <c r="R353" s="51" t="str">
        <f>_xlfn.TEXTJOIN(" ",TRUE,Migrationsartikel!G352)</f>
        <v/>
      </c>
      <c r="S353" s="51" t="str">
        <f>_xlfn.TEXTJOIN(" ",TRUE,Migrationsartikel!K352)</f>
        <v/>
      </c>
      <c r="T353" s="51" t="str">
        <f>_xlfn.TEXTJOIN(" ",TRUE,Migrationsartikel!O352)</f>
        <v/>
      </c>
      <c r="U353" s="51" t="str">
        <f>_xlfn.TEXTJOIN(" ",TRUE,Migrationsartikel!H352)</f>
        <v/>
      </c>
      <c r="V353" s="51" t="str">
        <f>_xlfn.TEXTJOIN(" ",TRUE,Migrationsartikel!L352)</f>
        <v/>
      </c>
      <c r="W353" s="51" t="str">
        <f>_xlfn.TEXTJOIN(" ",TRUE,Migrationsartikel!P352)</f>
        <v/>
      </c>
      <c r="X353" s="51" t="str">
        <f>Migrationsartikel!I352</f>
        <v>Wirz grün</v>
      </c>
      <c r="Y353" s="51" t="str">
        <f>Migrationsartikel!M352</f>
        <v>Chou frisé vert</v>
      </c>
      <c r="Z353" s="51" t="str">
        <f>Migrationsartikel!Q352</f>
        <v>Verza verde</v>
      </c>
      <c r="AA353" s="60">
        <f>Migrationsartikel!R352</f>
        <v>1</v>
      </c>
      <c r="AB353" s="51" t="str">
        <f>Migrationsartikel!T352</f>
        <v>Kilogramm</v>
      </c>
      <c r="AC353" s="62">
        <f>Migrationsartikel!S352</f>
        <v>1</v>
      </c>
      <c r="AD353" s="51" t="str">
        <f>Migrationsartikel!U352</f>
        <v>(PCE) Stück</v>
      </c>
      <c r="AE353" s="95" t="str">
        <f>Migrationsartikel!Y352</f>
        <v>3 - Reduzierter Satz</v>
      </c>
      <c r="AF353" s="64" t="str">
        <f>IF(Migrationsartikel!AA352="Kein Depotartikel","",Migrationsartikel!AA352)</f>
        <v/>
      </c>
      <c r="AG353" s="95" t="str">
        <f>Migrationsartikel!Z352</f>
        <v>Keine</v>
      </c>
      <c r="AH353" s="51" t="str">
        <f>IF(Migrationsartikel!AB352="ja","true",FALSE)</f>
        <v>true</v>
      </c>
      <c r="AI353" s="51" t="str">
        <f>IF(Migrationsartikel!AC352="ja","true",FALSE)</f>
        <v>true</v>
      </c>
      <c r="AJ353" s="51" t="str">
        <f>IF(Migrationsartikel!AD352="ja","true",FALSE)</f>
        <v>true</v>
      </c>
      <c r="AK353" s="51" t="str">
        <f>IF(Migrationsartikel!AE352="ja","true",FALSE)</f>
        <v>true</v>
      </c>
      <c r="AL353" s="51" t="str">
        <f>IF(Migrationsartikel!AF352="ja","Denner Partner","")</f>
        <v/>
      </c>
      <c r="AM353" s="51" t="str">
        <f>IF(Migrationsartikel!AG352="ja","true","false")</f>
        <v>false</v>
      </c>
      <c r="AN353" s="51" t="str">
        <f t="shared" si="6"/>
        <v>Kassentastenbelegung (ohne GTIN/PLU)</v>
      </c>
      <c r="AO353" s="63" t="s">
        <v>219</v>
      </c>
      <c r="AP353" s="62" t="s">
        <v>2780</v>
      </c>
      <c r="AQ353" s="63" t="s">
        <v>217</v>
      </c>
      <c r="AR353" s="30" t="s">
        <v>219</v>
      </c>
    </row>
    <row r="354" spans="2:44" ht="21.75" customHeight="1" x14ac:dyDescent="0.45">
      <c r="B354" s="51" t="s">
        <v>99</v>
      </c>
      <c r="E354" s="52" t="s">
        <v>87</v>
      </c>
      <c r="F354" s="51" t="str">
        <f>"Warengruppe&gt;&gt;"&amp;_xlfn.TEXTJOIN("&gt;&gt;",TRUE,Migrationsartikel!V353:X353)</f>
        <v>Warengruppe&gt;&gt;Früchte und Gemüse&gt;&gt;Früchte und Gemüse&gt;&gt;Gemüse</v>
      </c>
      <c r="H354" s="52" t="s">
        <v>109</v>
      </c>
      <c r="J354" s="51" t="str">
        <f>_xlfn.TEXTJOIN(" ",TRUE,Migrationsartikel!B353,Migrationsartikel!E353)</f>
        <v>268</v>
      </c>
      <c r="L354" s="51" t="str">
        <f>_xlfn.TEXTJOIN(" ",TRUE,Migrationsartikel!F353:H353)</f>
        <v>Wirz mittel Offen</v>
      </c>
      <c r="M354" s="51" t="str">
        <f>_xlfn.TEXTJOIN(" ",TRUE,Migrationsartikel!J353:L353)</f>
        <v>Chou frisé moyen En vrac</v>
      </c>
      <c r="N354" s="51" t="str">
        <f>_xlfn.TEXTJOIN(" ",TRUE,Migrationsartikel!N353:P353)</f>
        <v>Verza media vendita sfusa</v>
      </c>
      <c r="O354" s="51" t="str">
        <f>Migrationsartikel!F353</f>
        <v>Wirz mittel</v>
      </c>
      <c r="P354" s="51" t="str">
        <f>Migrationsartikel!J353</f>
        <v>Chou frisé moyen</v>
      </c>
      <c r="Q354" s="51" t="str">
        <f>Migrationsartikel!N353</f>
        <v>Verza media</v>
      </c>
      <c r="R354" s="51" t="str">
        <f>_xlfn.TEXTJOIN(" ",TRUE,Migrationsartikel!G353)</f>
        <v>Offen</v>
      </c>
      <c r="S354" s="51" t="str">
        <f>_xlfn.TEXTJOIN(" ",TRUE,Migrationsartikel!K353)</f>
        <v>En vrac</v>
      </c>
      <c r="T354" s="51" t="str">
        <f>_xlfn.TEXTJOIN(" ",TRUE,Migrationsartikel!O353)</f>
        <v>vendita sfusa</v>
      </c>
      <c r="U354" s="51" t="str">
        <f>_xlfn.TEXTJOIN(" ",TRUE,Migrationsartikel!H353)</f>
        <v/>
      </c>
      <c r="V354" s="51" t="str">
        <f>_xlfn.TEXTJOIN(" ",TRUE,Migrationsartikel!L353)</f>
        <v/>
      </c>
      <c r="W354" s="51" t="str">
        <f>_xlfn.TEXTJOIN(" ",TRUE,Migrationsartikel!P353)</f>
        <v/>
      </c>
      <c r="X354" s="51" t="str">
        <f>Migrationsartikel!I353</f>
        <v>Wirz mittel Offen</v>
      </c>
      <c r="Y354" s="51" t="str">
        <f>Migrationsartikel!M353</f>
        <v>Chou frisé moyen en vrac</v>
      </c>
      <c r="Z354" s="51" t="str">
        <f>Migrationsartikel!Q353</f>
        <v>Verza media vendit sfusa</v>
      </c>
      <c r="AA354" s="60">
        <f>Migrationsartikel!R353</f>
        <v>1</v>
      </c>
      <c r="AB354" s="51" t="str">
        <f>Migrationsartikel!T353</f>
        <v>Kilogramm</v>
      </c>
      <c r="AC354" s="62">
        <f>Migrationsartikel!S353</f>
        <v>1</v>
      </c>
      <c r="AD354" s="51" t="str">
        <f>Migrationsartikel!U353</f>
        <v>(KGM) KG</v>
      </c>
      <c r="AE354" s="95" t="str">
        <f>Migrationsartikel!Y353</f>
        <v>3 - Reduzierter Satz</v>
      </c>
      <c r="AF354" s="64" t="str">
        <f>IF(Migrationsartikel!AA353="Kein Depotartikel","",Migrationsartikel!AA353)</f>
        <v/>
      </c>
      <c r="AG354" s="95" t="str">
        <f>Migrationsartikel!Z353</f>
        <v>Keine</v>
      </c>
      <c r="AH354" s="51" t="str">
        <f>IF(Migrationsartikel!AB353="ja","true",FALSE)</f>
        <v>true</v>
      </c>
      <c r="AI354" s="51" t="str">
        <f>IF(Migrationsartikel!AC353="ja","true",FALSE)</f>
        <v>true</v>
      </c>
      <c r="AJ354" s="51" t="str">
        <f>IF(Migrationsartikel!AD353="ja","true",FALSE)</f>
        <v>true</v>
      </c>
      <c r="AK354" s="51" t="str">
        <f>IF(Migrationsartikel!AE353="ja","true",FALSE)</f>
        <v>true</v>
      </c>
      <c r="AL354" s="51" t="str">
        <f>IF(Migrationsartikel!AF353="ja","Denner Partner","")</f>
        <v/>
      </c>
      <c r="AM354" s="51" t="str">
        <f>IF(Migrationsartikel!AG353="ja","true","false")</f>
        <v>false</v>
      </c>
      <c r="AN354" s="51" t="str">
        <f t="shared" si="6"/>
        <v>Kassentastenbelegung (ohne GTIN/PLU)</v>
      </c>
      <c r="AO354" s="63" t="s">
        <v>219</v>
      </c>
      <c r="AP354" s="62" t="s">
        <v>2781</v>
      </c>
      <c r="AQ354" s="63" t="s">
        <v>217</v>
      </c>
      <c r="AR354" s="30" t="s">
        <v>219</v>
      </c>
    </row>
    <row r="355" spans="2:44" ht="21.75" customHeight="1" x14ac:dyDescent="0.45">
      <c r="B355" s="51" t="s">
        <v>99</v>
      </c>
      <c r="E355" s="52" t="s">
        <v>87</v>
      </c>
      <c r="F355" s="51" t="str">
        <f>"Warengruppe&gt;&gt;"&amp;_xlfn.TEXTJOIN("&gt;&gt;",TRUE,Migrationsartikel!V354:X354)</f>
        <v>Warengruppe&gt;&gt;Früchte und Gemüse&gt;&gt;Früchte und Gemüse&gt;&gt;Gemüse</v>
      </c>
      <c r="H355" s="52" t="s">
        <v>109</v>
      </c>
      <c r="J355" s="51" t="str">
        <f>_xlfn.TEXTJOIN(" ",TRUE,Migrationsartikel!B354,Migrationsartikel!E354)</f>
        <v>7613399042051</v>
      </c>
      <c r="L355" s="51" t="str">
        <f>_xlfn.TEXTJOIN(" ",TRUE,Migrationsartikel!F354:H354)</f>
        <v>Zitronenmelisse Schale 20g</v>
      </c>
      <c r="M355" s="51" t="str">
        <f>_xlfn.TEXTJOIN(" ",TRUE,Migrationsartikel!J354:L354)</f>
        <v>Mélisse citronnée Barquette 20g</v>
      </c>
      <c r="N355" s="51" t="str">
        <f>_xlfn.TEXTJOIN(" ",TRUE,Migrationsartikel!N354:P354)</f>
        <v>Melissa vaschetta 20g</v>
      </c>
      <c r="O355" s="51" t="str">
        <f>Migrationsartikel!F354</f>
        <v>Zitronenmelisse</v>
      </c>
      <c r="P355" s="51" t="str">
        <f>Migrationsartikel!J354</f>
        <v>Mélisse citronnée</v>
      </c>
      <c r="Q355" s="51" t="str">
        <f>Migrationsartikel!N354</f>
        <v>Melissa</v>
      </c>
      <c r="R355" s="51" t="str">
        <f>_xlfn.TEXTJOIN(" ",TRUE,Migrationsartikel!G354)</f>
        <v>Schale</v>
      </c>
      <c r="S355" s="51" t="str">
        <f>_xlfn.TEXTJOIN(" ",TRUE,Migrationsartikel!K354)</f>
        <v>Barquette</v>
      </c>
      <c r="T355" s="51" t="str">
        <f>_xlfn.TEXTJOIN(" ",TRUE,Migrationsartikel!O354)</f>
        <v>vaschetta</v>
      </c>
      <c r="U355" s="51" t="str">
        <f>_xlfn.TEXTJOIN(" ",TRUE,Migrationsartikel!H354)</f>
        <v>20g</v>
      </c>
      <c r="V355" s="51" t="str">
        <f>_xlfn.TEXTJOIN(" ",TRUE,Migrationsartikel!L354)</f>
        <v>20g</v>
      </c>
      <c r="W355" s="51" t="str">
        <f>_xlfn.TEXTJOIN(" ",TRUE,Migrationsartikel!P354)</f>
        <v>20g</v>
      </c>
      <c r="X355" s="51" t="str">
        <f>Migrationsartikel!I354</f>
        <v>Zitronenmelisse Schale 20g</v>
      </c>
      <c r="Y355" s="51" t="str">
        <f>Migrationsartikel!M354</f>
        <v>Mélisse citronnée Barq. 20g</v>
      </c>
      <c r="Z355" s="51" t="str">
        <f>Migrationsartikel!Q354</f>
        <v>Melissa vaschetta 20g</v>
      </c>
      <c r="AA355" s="60">
        <f>Migrationsartikel!R354</f>
        <v>0.02</v>
      </c>
      <c r="AB355" s="51" t="str">
        <f>Migrationsartikel!T354</f>
        <v>Gramm</v>
      </c>
      <c r="AC355" s="62">
        <f>Migrationsartikel!S354</f>
        <v>100</v>
      </c>
      <c r="AD355" s="51" t="str">
        <f>Migrationsartikel!U354</f>
        <v>(PCE) Stück</v>
      </c>
      <c r="AE355" s="95" t="str">
        <f>Migrationsartikel!Y354</f>
        <v>3 - Reduzierter Satz</v>
      </c>
      <c r="AF355" s="64" t="str">
        <f>IF(Migrationsartikel!AA354="Kein Depotartikel","",Migrationsartikel!AA354)</f>
        <v/>
      </c>
      <c r="AG355" s="95" t="str">
        <f>Migrationsartikel!Z354</f>
        <v>Keine</v>
      </c>
      <c r="AH355" s="51" t="str">
        <f>IF(Migrationsartikel!AB354="ja","true",FALSE)</f>
        <v>true</v>
      </c>
      <c r="AI355" s="51" t="str">
        <f>IF(Migrationsartikel!AC354="ja","true",FALSE)</f>
        <v>true</v>
      </c>
      <c r="AJ355" s="51" t="str">
        <f>IF(Migrationsartikel!AD354="ja","true",FALSE)</f>
        <v>true</v>
      </c>
      <c r="AK355" s="51" t="str">
        <f>IF(Migrationsartikel!AE354="ja","true",FALSE)</f>
        <v>true</v>
      </c>
      <c r="AL355" s="51" t="str">
        <f>IF(Migrationsartikel!AF354="ja","Denner Partner","")</f>
        <v/>
      </c>
      <c r="AM355" s="51" t="str">
        <f>IF(Migrationsartikel!AG354="ja","true","false")</f>
        <v>false</v>
      </c>
      <c r="AN355" s="51" t="str">
        <f t="shared" si="6"/>
        <v>Kassentastenbelegung (ohne GTIN/PLU)</v>
      </c>
      <c r="AO355" s="63" t="s">
        <v>219</v>
      </c>
      <c r="AP355" s="62" t="s">
        <v>2782</v>
      </c>
      <c r="AQ355" s="63" t="s">
        <v>217</v>
      </c>
      <c r="AR355" s="30" t="s">
        <v>219</v>
      </c>
    </row>
    <row r="356" spans="2:44" ht="21.75" customHeight="1" x14ac:dyDescent="0.45">
      <c r="B356" s="51" t="s">
        <v>99</v>
      </c>
      <c r="E356" s="52" t="s">
        <v>87</v>
      </c>
      <c r="F356" s="51" t="str">
        <f>"Warengruppe&gt;&gt;"&amp;_xlfn.TEXTJOIN("&gt;&gt;",TRUE,Migrationsartikel!V355:X355)</f>
        <v>Warengruppe&gt;&gt;Früchte und Gemüse&gt;&gt;Früchte und Gemüse&gt;&gt;Gemüse</v>
      </c>
      <c r="H356" s="52" t="s">
        <v>109</v>
      </c>
      <c r="J356" s="51" t="str">
        <f>_xlfn.TEXTJOIN(" ",TRUE,Migrationsartikel!B355,Migrationsartikel!E355)</f>
        <v>7613399042143</v>
      </c>
      <c r="L356" s="51" t="str">
        <f>_xlfn.TEXTJOIN(" ",TRUE,Migrationsartikel!F355:H355)</f>
        <v>Zitronen-Thymian Schale 20g</v>
      </c>
      <c r="M356" s="51" t="str">
        <f>_xlfn.TEXTJOIN(" ",TRUE,Migrationsartikel!J355:L355)</f>
        <v>Thym citron Barquette 20g</v>
      </c>
      <c r="N356" s="51" t="str">
        <f>_xlfn.TEXTJOIN(" ",TRUE,Migrationsartikel!N355:P355)</f>
        <v>Timo limone vaschetta 20g</v>
      </c>
      <c r="O356" s="51" t="str">
        <f>Migrationsartikel!F355</f>
        <v>Zitronen-Thymian</v>
      </c>
      <c r="P356" s="51" t="str">
        <f>Migrationsartikel!J355</f>
        <v>Thym citron</v>
      </c>
      <c r="Q356" s="51" t="str">
        <f>Migrationsartikel!N355</f>
        <v>Timo limone</v>
      </c>
      <c r="R356" s="51" t="str">
        <f>_xlfn.TEXTJOIN(" ",TRUE,Migrationsartikel!G355)</f>
        <v>Schale</v>
      </c>
      <c r="S356" s="51" t="str">
        <f>_xlfn.TEXTJOIN(" ",TRUE,Migrationsartikel!K355)</f>
        <v>Barquette</v>
      </c>
      <c r="T356" s="51" t="str">
        <f>_xlfn.TEXTJOIN(" ",TRUE,Migrationsartikel!O355)</f>
        <v>vaschetta</v>
      </c>
      <c r="U356" s="51" t="str">
        <f>_xlfn.TEXTJOIN(" ",TRUE,Migrationsartikel!H355)</f>
        <v>20g</v>
      </c>
      <c r="V356" s="51" t="str">
        <f>_xlfn.TEXTJOIN(" ",TRUE,Migrationsartikel!L355)</f>
        <v>20g</v>
      </c>
      <c r="W356" s="51" t="str">
        <f>_xlfn.TEXTJOIN(" ",TRUE,Migrationsartikel!P355)</f>
        <v>20g</v>
      </c>
      <c r="X356" s="51" t="str">
        <f>Migrationsartikel!I355</f>
        <v>Zitronen-Thymian Schale 20g</v>
      </c>
      <c r="Y356" s="51" t="str">
        <f>Migrationsartikel!M355</f>
        <v>Thym citron barquette 20g</v>
      </c>
      <c r="Z356" s="51" t="str">
        <f>Migrationsartikel!Q355</f>
        <v>Timo limone vaschetta 20g</v>
      </c>
      <c r="AA356" s="60">
        <f>Migrationsartikel!R355</f>
        <v>0.02</v>
      </c>
      <c r="AB356" s="51" t="str">
        <f>Migrationsartikel!T355</f>
        <v>Gramm</v>
      </c>
      <c r="AC356" s="62">
        <f>Migrationsartikel!S355</f>
        <v>100</v>
      </c>
      <c r="AD356" s="51" t="str">
        <f>Migrationsartikel!U355</f>
        <v>(PCE) Stück</v>
      </c>
      <c r="AE356" s="95" t="str">
        <f>Migrationsartikel!Y355</f>
        <v>3 - Reduzierter Satz</v>
      </c>
      <c r="AF356" s="64" t="str">
        <f>IF(Migrationsartikel!AA355="Kein Depotartikel","",Migrationsartikel!AA355)</f>
        <v/>
      </c>
      <c r="AG356" s="95" t="str">
        <f>Migrationsartikel!Z355</f>
        <v>Keine</v>
      </c>
      <c r="AH356" s="51" t="str">
        <f>IF(Migrationsartikel!AB355="ja","true",FALSE)</f>
        <v>true</v>
      </c>
      <c r="AI356" s="51" t="str">
        <f>IF(Migrationsartikel!AC355="ja","true",FALSE)</f>
        <v>true</v>
      </c>
      <c r="AJ356" s="51" t="str">
        <f>IF(Migrationsartikel!AD355="ja","true",FALSE)</f>
        <v>true</v>
      </c>
      <c r="AK356" s="51" t="str">
        <f>IF(Migrationsartikel!AE355="ja","true",FALSE)</f>
        <v>true</v>
      </c>
      <c r="AL356" s="51" t="str">
        <f>IF(Migrationsartikel!AF355="ja","Denner Partner","")</f>
        <v/>
      </c>
      <c r="AM356" s="51" t="str">
        <f>IF(Migrationsartikel!AG355="ja","true","false")</f>
        <v>false</v>
      </c>
      <c r="AN356" s="51" t="str">
        <f t="shared" si="6"/>
        <v>Kassentastenbelegung (ohne GTIN/PLU)</v>
      </c>
      <c r="AO356" s="63" t="s">
        <v>219</v>
      </c>
      <c r="AP356" s="62" t="s">
        <v>2783</v>
      </c>
      <c r="AQ356" s="63" t="s">
        <v>217</v>
      </c>
      <c r="AR356" s="30" t="s">
        <v>219</v>
      </c>
    </row>
    <row r="357" spans="2:44" ht="21.75" customHeight="1" x14ac:dyDescent="0.45">
      <c r="B357" s="51" t="s">
        <v>99</v>
      </c>
      <c r="E357" s="52" t="s">
        <v>87</v>
      </c>
      <c r="F357" s="51" t="str">
        <f>"Warengruppe&gt;&gt;"&amp;_xlfn.TEXTJOIN("&gt;&gt;",TRUE,Migrationsartikel!V356:X356)</f>
        <v>Warengruppe&gt;&gt;Früchte und Gemüse&gt;&gt;Früchte und Gemüse&gt;&gt;Gemüse</v>
      </c>
      <c r="H357" s="52" t="s">
        <v>109</v>
      </c>
      <c r="J357" s="51" t="str">
        <f>_xlfn.TEXTJOIN(" ",TRUE,Migrationsartikel!B356,Migrationsartikel!E356)</f>
        <v>7613399003854</v>
      </c>
      <c r="L357" s="51" t="str">
        <f>_xlfn.TEXTJOIN(" ",TRUE,Migrationsartikel!F356:H356)</f>
        <v>Zucchetti Netz 1kg</v>
      </c>
      <c r="M357" s="51" t="str">
        <f>_xlfn.TEXTJOIN(" ",TRUE,Migrationsartikel!J356:L356)</f>
        <v>Courgettes Filet 1kg</v>
      </c>
      <c r="N357" s="51" t="str">
        <f>_xlfn.TEXTJOIN(" ",TRUE,Migrationsartikel!N356:P356)</f>
        <v>Zucchine retina 1kg</v>
      </c>
      <c r="O357" s="51" t="str">
        <f>Migrationsartikel!F356</f>
        <v>Zucchetti</v>
      </c>
      <c r="P357" s="51" t="str">
        <f>Migrationsartikel!J356</f>
        <v>Courgettes</v>
      </c>
      <c r="Q357" s="51" t="str">
        <f>Migrationsartikel!N356</f>
        <v>Zucchine</v>
      </c>
      <c r="R357" s="51" t="str">
        <f>_xlfn.TEXTJOIN(" ",TRUE,Migrationsartikel!G356)</f>
        <v>Netz</v>
      </c>
      <c r="S357" s="51" t="str">
        <f>_xlfn.TEXTJOIN(" ",TRUE,Migrationsartikel!K356)</f>
        <v>Filet</v>
      </c>
      <c r="T357" s="51" t="str">
        <f>_xlfn.TEXTJOIN(" ",TRUE,Migrationsartikel!O356)</f>
        <v>retina</v>
      </c>
      <c r="U357" s="51" t="str">
        <f>_xlfn.TEXTJOIN(" ",TRUE,Migrationsartikel!H356)</f>
        <v>1kg</v>
      </c>
      <c r="V357" s="51" t="str">
        <f>_xlfn.TEXTJOIN(" ",TRUE,Migrationsartikel!L356)</f>
        <v>1kg</v>
      </c>
      <c r="W357" s="51" t="str">
        <f>_xlfn.TEXTJOIN(" ",TRUE,Migrationsartikel!P356)</f>
        <v>1kg</v>
      </c>
      <c r="X357" s="51" t="str">
        <f>Migrationsartikel!I356</f>
        <v>Zucchetti Netz 1 kg</v>
      </c>
      <c r="Y357" s="51" t="str">
        <f>Migrationsartikel!M356</f>
        <v>Courgettes filet 1 kg</v>
      </c>
      <c r="Z357" s="51" t="str">
        <f>Migrationsartikel!Q356</f>
        <v>Zucchine retina 1 kg</v>
      </c>
      <c r="AA357" s="60">
        <f>Migrationsartikel!R356</f>
        <v>1</v>
      </c>
      <c r="AB357" s="51" t="str">
        <f>Migrationsartikel!T356</f>
        <v>Kilogramm</v>
      </c>
      <c r="AC357" s="62">
        <f>Migrationsartikel!S356</f>
        <v>1</v>
      </c>
      <c r="AD357" s="51" t="str">
        <f>Migrationsartikel!U356</f>
        <v>(PCE) Stück</v>
      </c>
      <c r="AE357" s="95" t="str">
        <f>Migrationsartikel!Y356</f>
        <v>3 - Reduzierter Satz</v>
      </c>
      <c r="AF357" s="64" t="str">
        <f>IF(Migrationsartikel!AA356="Kein Depotartikel","",Migrationsartikel!AA356)</f>
        <v/>
      </c>
      <c r="AG357" s="95" t="str">
        <f>Migrationsartikel!Z356</f>
        <v>Keine</v>
      </c>
      <c r="AH357" s="51" t="str">
        <f>IF(Migrationsartikel!AB356="ja","true",FALSE)</f>
        <v>true</v>
      </c>
      <c r="AI357" s="51" t="str">
        <f>IF(Migrationsartikel!AC356="ja","true",FALSE)</f>
        <v>true</v>
      </c>
      <c r="AJ357" s="51" t="str">
        <f>IF(Migrationsartikel!AD356="ja","true",FALSE)</f>
        <v>true</v>
      </c>
      <c r="AK357" s="51" t="str">
        <f>IF(Migrationsartikel!AE356="ja","true",FALSE)</f>
        <v>true</v>
      </c>
      <c r="AL357" s="51" t="str">
        <f>IF(Migrationsartikel!AF356="ja","Denner Partner","")</f>
        <v/>
      </c>
      <c r="AM357" s="51" t="str">
        <f>IF(Migrationsartikel!AG356="ja","true","false")</f>
        <v>false</v>
      </c>
      <c r="AN357" s="51" t="str">
        <f t="shared" si="6"/>
        <v>Kassentastenbelegung (ohne GTIN/PLU)</v>
      </c>
      <c r="AO357" s="63" t="s">
        <v>219</v>
      </c>
      <c r="AP357" s="62" t="s">
        <v>2784</v>
      </c>
      <c r="AQ357" s="63" t="s">
        <v>217</v>
      </c>
      <c r="AR357" s="30" t="s">
        <v>219</v>
      </c>
    </row>
    <row r="358" spans="2:44" ht="21.75" customHeight="1" x14ac:dyDescent="0.45">
      <c r="B358" s="51" t="s">
        <v>99</v>
      </c>
      <c r="E358" s="52" t="s">
        <v>87</v>
      </c>
      <c r="F358" s="51" t="str">
        <f>"Warengruppe&gt;&gt;"&amp;_xlfn.TEXTJOIN("&gt;&gt;",TRUE,Migrationsartikel!V357:X357)</f>
        <v>Warengruppe&gt;&gt;Früchte und Gemüse&gt;&gt;Früchte und Gemüse&gt;&gt;Gemüse</v>
      </c>
      <c r="H358" s="52" t="s">
        <v>109</v>
      </c>
      <c r="J358" s="51" t="str">
        <f>_xlfn.TEXTJOIN(" ",TRUE,Migrationsartikel!B357,Migrationsartikel!E357)</f>
        <v>2292911000004</v>
      </c>
      <c r="L358" s="51" t="str">
        <f>_xlfn.TEXTJOIN(" ",TRUE,Migrationsartikel!F357:H357)</f>
        <v>Bio Zucchetti ca. 500g</v>
      </c>
      <c r="M358" s="51" t="str">
        <f>_xlfn.TEXTJOIN(" ",TRUE,Migrationsartikel!J357:L357)</f>
        <v>Bio Courgettes env. 500g</v>
      </c>
      <c r="N358" s="51" t="str">
        <f>_xlfn.TEXTJOIN(" ",TRUE,Migrationsartikel!N357:P357)</f>
        <v>Bio Zucchine ca. 500g</v>
      </c>
      <c r="O358" s="51" t="str">
        <f>Migrationsartikel!F357</f>
        <v>Bio Zucchetti</v>
      </c>
      <c r="P358" s="51" t="str">
        <f>Migrationsartikel!J357</f>
        <v>Bio Courgettes</v>
      </c>
      <c r="Q358" s="51" t="str">
        <f>Migrationsartikel!N357</f>
        <v>Bio Zucchine</v>
      </c>
      <c r="R358" s="51" t="str">
        <f>_xlfn.TEXTJOIN(" ",TRUE,Migrationsartikel!G357)</f>
        <v/>
      </c>
      <c r="S358" s="51" t="str">
        <f>_xlfn.TEXTJOIN(" ",TRUE,Migrationsartikel!K357)</f>
        <v/>
      </c>
      <c r="T358" s="51" t="str">
        <f>_xlfn.TEXTJOIN(" ",TRUE,Migrationsartikel!O357)</f>
        <v/>
      </c>
      <c r="U358" s="51" t="str">
        <f>_xlfn.TEXTJOIN(" ",TRUE,Migrationsartikel!H357)</f>
        <v>ca. 500g</v>
      </c>
      <c r="V358" s="51" t="str">
        <f>_xlfn.TEXTJOIN(" ",TRUE,Migrationsartikel!L357)</f>
        <v>env. 500g</v>
      </c>
      <c r="W358" s="51" t="str">
        <f>_xlfn.TEXTJOIN(" ",TRUE,Migrationsartikel!P357)</f>
        <v>ca. 500g</v>
      </c>
      <c r="X358" s="51" t="str">
        <f>Migrationsartikel!I357</f>
        <v>Bio Zucchetti ca. 500g</v>
      </c>
      <c r="Y358" s="51" t="str">
        <f>Migrationsartikel!M357</f>
        <v>Bio Courgettes env. 500g</v>
      </c>
      <c r="Z358" s="51" t="str">
        <f>Migrationsartikel!Q357</f>
        <v>Bio Zucchine ca. 500g</v>
      </c>
      <c r="AA358" s="60">
        <f>Migrationsartikel!R357</f>
        <v>0.5</v>
      </c>
      <c r="AB358" s="51" t="str">
        <f>Migrationsartikel!T357</f>
        <v>Kilogramm</v>
      </c>
      <c r="AC358" s="62">
        <f>Migrationsartikel!S357</f>
        <v>1</v>
      </c>
      <c r="AD358" s="51" t="str">
        <f>Migrationsartikel!U357</f>
        <v>(PCE) Stück</v>
      </c>
      <c r="AE358" s="95" t="str">
        <f>Migrationsartikel!Y357</f>
        <v>3 - Reduzierter Satz</v>
      </c>
      <c r="AF358" s="64" t="str">
        <f>IF(Migrationsartikel!AA357="Kein Depotartikel","",Migrationsartikel!AA357)</f>
        <v/>
      </c>
      <c r="AG358" s="95" t="str">
        <f>Migrationsartikel!Z357</f>
        <v>Keine</v>
      </c>
      <c r="AH358" s="51" t="str">
        <f>IF(Migrationsartikel!AB357="ja","true",FALSE)</f>
        <v>true</v>
      </c>
      <c r="AI358" s="51" t="str">
        <f>IF(Migrationsartikel!AC357="ja","true",FALSE)</f>
        <v>true</v>
      </c>
      <c r="AJ358" s="51" t="str">
        <f>IF(Migrationsartikel!AD357="ja","true",FALSE)</f>
        <v>true</v>
      </c>
      <c r="AK358" s="51" t="str">
        <f>IF(Migrationsartikel!AE357="ja","true",FALSE)</f>
        <v>true</v>
      </c>
      <c r="AL358" s="51" t="str">
        <f>IF(Migrationsartikel!AF357="ja","Denner Partner","")</f>
        <v/>
      </c>
      <c r="AM358" s="51" t="str">
        <f>IF(Migrationsartikel!AG357="ja","true","false")</f>
        <v>false</v>
      </c>
      <c r="AN358" s="51" t="str">
        <f t="shared" si="6"/>
        <v>Kassentastenbelegung (ohne GTIN/PLU)</v>
      </c>
      <c r="AO358" s="63" t="s">
        <v>219</v>
      </c>
      <c r="AP358" s="62" t="s">
        <v>2785</v>
      </c>
      <c r="AQ358" s="63" t="s">
        <v>217</v>
      </c>
      <c r="AR358" s="30" t="s">
        <v>219</v>
      </c>
    </row>
    <row r="359" spans="2:44" ht="21.75" customHeight="1" x14ac:dyDescent="0.45">
      <c r="B359" s="51" t="s">
        <v>99</v>
      </c>
      <c r="E359" s="52" t="s">
        <v>87</v>
      </c>
      <c r="F359" s="51" t="str">
        <f>"Warengruppe&gt;&gt;"&amp;_xlfn.TEXTJOIN("&gt;&gt;",TRUE,Migrationsartikel!V358:X358)</f>
        <v>Warengruppe&gt;&gt;Früchte und Gemüse&gt;&gt;Früchte und Gemüse&gt;&gt;Gemüse</v>
      </c>
      <c r="H359" s="52" t="s">
        <v>109</v>
      </c>
      <c r="J359" s="51" t="str">
        <f>_xlfn.TEXTJOIN(" ",TRUE,Migrationsartikel!B358,Migrationsartikel!E358)</f>
        <v>2204501000000</v>
      </c>
      <c r="L359" s="51" t="str">
        <f>_xlfn.TEXTJOIN(" ",TRUE,Migrationsartikel!F358:H358)</f>
        <v>Zucchetti ca. 800g</v>
      </c>
      <c r="M359" s="51" t="str">
        <f>_xlfn.TEXTJOIN(" ",TRUE,Migrationsartikel!J358:L358)</f>
        <v>Courgettes env. 800g</v>
      </c>
      <c r="N359" s="51" t="str">
        <f>_xlfn.TEXTJOIN(" ",TRUE,Migrationsartikel!N358:P358)</f>
        <v>Bio Zucchine ca. 800g</v>
      </c>
      <c r="O359" s="51" t="str">
        <f>Migrationsartikel!F358</f>
        <v>Zucchetti</v>
      </c>
      <c r="P359" s="51" t="str">
        <f>Migrationsartikel!J358</f>
        <v>Courgettes</v>
      </c>
      <c r="Q359" s="51" t="str">
        <f>Migrationsartikel!N358</f>
        <v>Bio Zucchine</v>
      </c>
      <c r="R359" s="51" t="str">
        <f>_xlfn.TEXTJOIN(" ",TRUE,Migrationsartikel!G358)</f>
        <v/>
      </c>
      <c r="S359" s="51" t="str">
        <f>_xlfn.TEXTJOIN(" ",TRUE,Migrationsartikel!K358)</f>
        <v/>
      </c>
      <c r="T359" s="51" t="str">
        <f>_xlfn.TEXTJOIN(" ",TRUE,Migrationsartikel!O358)</f>
        <v/>
      </c>
      <c r="U359" s="51" t="str">
        <f>_xlfn.TEXTJOIN(" ",TRUE,Migrationsartikel!H358)</f>
        <v>ca. 800g</v>
      </c>
      <c r="V359" s="51" t="str">
        <f>_xlfn.TEXTJOIN(" ",TRUE,Migrationsartikel!L358)</f>
        <v>env. 800g</v>
      </c>
      <c r="W359" s="51" t="str">
        <f>_xlfn.TEXTJOIN(" ",TRUE,Migrationsartikel!P358)</f>
        <v>ca. 800g</v>
      </c>
      <c r="X359" s="51" t="str">
        <f>Migrationsartikel!I358</f>
        <v>Zucchetti ca. 800g</v>
      </c>
      <c r="Y359" s="51" t="str">
        <f>Migrationsartikel!M358</f>
        <v>Courgettes jaunes env. 800g</v>
      </c>
      <c r="Z359" s="51" t="str">
        <f>Migrationsartikel!Q358</f>
        <v>Bio Zucchine ca. 800g</v>
      </c>
      <c r="AA359" s="60">
        <f>Migrationsartikel!R358</f>
        <v>0.8</v>
      </c>
      <c r="AB359" s="51" t="str">
        <f>Migrationsartikel!T358</f>
        <v>Kilogramm</v>
      </c>
      <c r="AC359" s="62">
        <f>Migrationsartikel!S358</f>
        <v>1</v>
      </c>
      <c r="AD359" s="51" t="str">
        <f>Migrationsartikel!U358</f>
        <v>(PCE) Stück</v>
      </c>
      <c r="AE359" s="95" t="str">
        <f>Migrationsartikel!Y358</f>
        <v>3 - Reduzierter Satz</v>
      </c>
      <c r="AF359" s="64" t="str">
        <f>IF(Migrationsartikel!AA358="Kein Depotartikel","",Migrationsartikel!AA358)</f>
        <v/>
      </c>
      <c r="AG359" s="95" t="str">
        <f>Migrationsartikel!Z358</f>
        <v>Keine</v>
      </c>
      <c r="AH359" s="51" t="str">
        <f>IF(Migrationsartikel!AB358="ja","true",FALSE)</f>
        <v>true</v>
      </c>
      <c r="AI359" s="51" t="str">
        <f>IF(Migrationsartikel!AC358="ja","true",FALSE)</f>
        <v>true</v>
      </c>
      <c r="AJ359" s="51" t="str">
        <f>IF(Migrationsartikel!AD358="ja","true",FALSE)</f>
        <v>true</v>
      </c>
      <c r="AK359" s="51" t="str">
        <f>IF(Migrationsartikel!AE358="ja","true",FALSE)</f>
        <v>true</v>
      </c>
      <c r="AL359" s="51" t="str">
        <f>IF(Migrationsartikel!AF358="ja","Denner Partner","")</f>
        <v/>
      </c>
      <c r="AM359" s="51" t="str">
        <f>IF(Migrationsartikel!AG358="ja","true","false")</f>
        <v>false</v>
      </c>
      <c r="AN359" s="51" t="str">
        <f t="shared" si="6"/>
        <v>Kassentastenbelegung (ohne GTIN/PLU)</v>
      </c>
      <c r="AO359" s="63" t="s">
        <v>219</v>
      </c>
      <c r="AP359" s="62" t="s">
        <v>2786</v>
      </c>
      <c r="AQ359" s="63" t="s">
        <v>217</v>
      </c>
      <c r="AR359" s="30" t="s">
        <v>219</v>
      </c>
    </row>
    <row r="360" spans="2:44" ht="21.75" customHeight="1" x14ac:dyDescent="0.45">
      <c r="B360" s="51" t="s">
        <v>99</v>
      </c>
      <c r="E360" s="52" t="s">
        <v>87</v>
      </c>
      <c r="F360" s="51" t="str">
        <f>"Warengruppe&gt;&gt;"&amp;_xlfn.TEXTJOIN("&gt;&gt;",TRUE,Migrationsartikel!V359:X359)</f>
        <v>Warengruppe&gt;&gt;Früchte und Gemüse&gt;&gt;Früchte und Gemüse&gt;&gt;Gemüse</v>
      </c>
      <c r="H360" s="52" t="s">
        <v>109</v>
      </c>
      <c r="J360" s="51" t="str">
        <f>_xlfn.TEXTJOIN(" ",TRUE,Migrationsartikel!B359,Migrationsartikel!E359)</f>
        <v>269</v>
      </c>
      <c r="L360" s="51" t="str">
        <f>_xlfn.TEXTJOIN(" ",TRUE,Migrationsartikel!F359:H359)</f>
        <v>Zucchetti gelb Offen</v>
      </c>
      <c r="M360" s="51" t="str">
        <f>_xlfn.TEXTJOIN(" ",TRUE,Migrationsartikel!J359:L359)</f>
        <v>Courgettes jaunes En vrac</v>
      </c>
      <c r="N360" s="51" t="str">
        <f>_xlfn.TEXTJOIN(" ",TRUE,Migrationsartikel!N359:P359)</f>
        <v>Zucchine gialle vendita sfusa</v>
      </c>
      <c r="O360" s="51" t="str">
        <f>Migrationsartikel!F359</f>
        <v>Zucchetti gelb</v>
      </c>
      <c r="P360" s="51" t="str">
        <f>Migrationsartikel!J359</f>
        <v>Courgettes jaunes</v>
      </c>
      <c r="Q360" s="51" t="str">
        <f>Migrationsartikel!N359</f>
        <v>Zucchine gialle</v>
      </c>
      <c r="R360" s="51" t="str">
        <f>_xlfn.TEXTJOIN(" ",TRUE,Migrationsartikel!G359)</f>
        <v>Offen</v>
      </c>
      <c r="S360" s="51" t="str">
        <f>_xlfn.TEXTJOIN(" ",TRUE,Migrationsartikel!K359)</f>
        <v>En vrac</v>
      </c>
      <c r="T360" s="51" t="str">
        <f>_xlfn.TEXTJOIN(" ",TRUE,Migrationsartikel!O359)</f>
        <v>vendita sfusa</v>
      </c>
      <c r="U360" s="51" t="str">
        <f>_xlfn.TEXTJOIN(" ",TRUE,Migrationsartikel!H359)</f>
        <v/>
      </c>
      <c r="V360" s="51" t="str">
        <f>_xlfn.TEXTJOIN(" ",TRUE,Migrationsartikel!L359)</f>
        <v/>
      </c>
      <c r="W360" s="51" t="str">
        <f>_xlfn.TEXTJOIN(" ",TRUE,Migrationsartikel!P359)</f>
        <v/>
      </c>
      <c r="X360" s="51" t="str">
        <f>Migrationsartikel!I359</f>
        <v>Zucchetti gelb Offen</v>
      </c>
      <c r="Y360" s="51" t="str">
        <f>Migrationsartikel!M359</f>
        <v>Courgettes jaunes en vrac</v>
      </c>
      <c r="Z360" s="51" t="str">
        <f>Migrationsartikel!Q359</f>
        <v>Zucchine gialle ven. sfusa</v>
      </c>
      <c r="AA360" s="60">
        <f>Migrationsartikel!R359</f>
        <v>1</v>
      </c>
      <c r="AB360" s="51" t="str">
        <f>Migrationsartikel!T359</f>
        <v>Kilogramm</v>
      </c>
      <c r="AC360" s="62">
        <f>Migrationsartikel!S359</f>
        <v>1</v>
      </c>
      <c r="AD360" s="51" t="str">
        <f>Migrationsartikel!U359</f>
        <v>(KGM) KG</v>
      </c>
      <c r="AE360" s="95" t="str">
        <f>Migrationsartikel!Y359</f>
        <v>3 - Reduzierter Satz</v>
      </c>
      <c r="AF360" s="64" t="str">
        <f>IF(Migrationsartikel!AA359="Kein Depotartikel","",Migrationsartikel!AA359)</f>
        <v/>
      </c>
      <c r="AG360" s="95" t="str">
        <f>Migrationsartikel!Z359</f>
        <v>Keine</v>
      </c>
      <c r="AH360" s="51" t="str">
        <f>IF(Migrationsartikel!AB359="ja","true",FALSE)</f>
        <v>true</v>
      </c>
      <c r="AI360" s="51" t="str">
        <f>IF(Migrationsartikel!AC359="ja","true",FALSE)</f>
        <v>true</v>
      </c>
      <c r="AJ360" s="51" t="str">
        <f>IF(Migrationsartikel!AD359="ja","true",FALSE)</f>
        <v>true</v>
      </c>
      <c r="AK360" s="51" t="str">
        <f>IF(Migrationsartikel!AE359="ja","true",FALSE)</f>
        <v>true</v>
      </c>
      <c r="AL360" s="51" t="str">
        <f>IF(Migrationsartikel!AF359="ja","Denner Partner","")</f>
        <v/>
      </c>
      <c r="AM360" s="51" t="str">
        <f>IF(Migrationsartikel!AG359="ja","true","false")</f>
        <v>false</v>
      </c>
      <c r="AN360" s="51" t="str">
        <f t="shared" si="6"/>
        <v>Kassentastenbelegung (ohne GTIN/PLU)</v>
      </c>
      <c r="AO360" s="63" t="s">
        <v>219</v>
      </c>
      <c r="AP360" s="62" t="s">
        <v>2787</v>
      </c>
      <c r="AQ360" s="63" t="s">
        <v>217</v>
      </c>
      <c r="AR360" s="30" t="s">
        <v>219</v>
      </c>
    </row>
    <row r="361" spans="2:44" ht="21.75" customHeight="1" x14ac:dyDescent="0.45">
      <c r="B361" s="51" t="s">
        <v>99</v>
      </c>
      <c r="E361" s="52" t="s">
        <v>87</v>
      </c>
      <c r="F361" s="51" t="str">
        <f>"Warengruppe&gt;&gt;"&amp;_xlfn.TEXTJOIN("&gt;&gt;",TRUE,Migrationsartikel!V360:X360)</f>
        <v>Warengruppe&gt;&gt;Früchte und Gemüse&gt;&gt;Früchte und Gemüse&gt;&gt;Gemüse</v>
      </c>
      <c r="H361" s="52" t="s">
        <v>109</v>
      </c>
      <c r="J361" s="51" t="str">
        <f>_xlfn.TEXTJOIN(" ",TRUE,Migrationsartikel!B360,Migrationsartikel!E360)</f>
        <v>2261552000001</v>
      </c>
      <c r="L361" s="51" t="str">
        <f>_xlfn.TEXTJOIN(" ",TRUE,Migrationsartikel!F360:H360)</f>
        <v>Zucchetti gelb ca. 500g</v>
      </c>
      <c r="M361" s="51" t="str">
        <f>_xlfn.TEXTJOIN(" ",TRUE,Migrationsartikel!J360:L360)</f>
        <v>Courgettes jaunes env. 500g</v>
      </c>
      <c r="N361" s="51" t="str">
        <f>_xlfn.TEXTJOIN(" ",TRUE,Migrationsartikel!N360:P360)</f>
        <v>Zucchine gialle ca. 500g</v>
      </c>
      <c r="O361" s="51" t="str">
        <f>Migrationsartikel!F360</f>
        <v>Zucchetti gelb</v>
      </c>
      <c r="P361" s="51" t="str">
        <f>Migrationsartikel!J360</f>
        <v>Courgettes jaunes</v>
      </c>
      <c r="Q361" s="51" t="str">
        <f>Migrationsartikel!N360</f>
        <v>Zucchine gialle</v>
      </c>
      <c r="R361" s="51" t="str">
        <f>_xlfn.TEXTJOIN(" ",TRUE,Migrationsartikel!G360)</f>
        <v/>
      </c>
      <c r="S361" s="51" t="str">
        <f>_xlfn.TEXTJOIN(" ",TRUE,Migrationsartikel!K360)</f>
        <v/>
      </c>
      <c r="T361" s="51" t="str">
        <f>_xlfn.TEXTJOIN(" ",TRUE,Migrationsartikel!O360)</f>
        <v/>
      </c>
      <c r="U361" s="51" t="str">
        <f>_xlfn.TEXTJOIN(" ",TRUE,Migrationsartikel!H360)</f>
        <v>ca. 500g</v>
      </c>
      <c r="V361" s="51" t="str">
        <f>_xlfn.TEXTJOIN(" ",TRUE,Migrationsartikel!L360)</f>
        <v>env. 500g</v>
      </c>
      <c r="W361" s="51" t="str">
        <f>_xlfn.TEXTJOIN(" ",TRUE,Migrationsartikel!P360)</f>
        <v>ca. 500g</v>
      </c>
      <c r="X361" s="51" t="str">
        <f>Migrationsartikel!I360</f>
        <v>Zucchetti ca. 500g</v>
      </c>
      <c r="Y361" s="51" t="str">
        <f>Migrationsartikel!M360</f>
        <v>Courgettes jaunes env. 500g</v>
      </c>
      <c r="Z361" s="51" t="str">
        <f>Migrationsartikel!Q360</f>
        <v>Zucchine gialle ca. 500g</v>
      </c>
      <c r="AA361" s="60">
        <f>Migrationsartikel!R360</f>
        <v>0.5</v>
      </c>
      <c r="AB361" s="51" t="str">
        <f>Migrationsartikel!T360</f>
        <v>Kilogramm</v>
      </c>
      <c r="AC361" s="62">
        <f>Migrationsartikel!S360</f>
        <v>1</v>
      </c>
      <c r="AD361" s="51" t="str">
        <f>Migrationsartikel!U360</f>
        <v>(PCE) Stück</v>
      </c>
      <c r="AE361" s="95" t="str">
        <f>Migrationsartikel!Y360</f>
        <v>3 - Reduzierter Satz</v>
      </c>
      <c r="AF361" s="64" t="str">
        <f>IF(Migrationsartikel!AA360="Kein Depotartikel","",Migrationsartikel!AA360)</f>
        <v/>
      </c>
      <c r="AG361" s="95" t="str">
        <f>Migrationsartikel!Z360</f>
        <v>Keine</v>
      </c>
      <c r="AH361" s="51" t="str">
        <f>IF(Migrationsartikel!AB360="ja","true",FALSE)</f>
        <v>true</v>
      </c>
      <c r="AI361" s="51" t="str">
        <f>IF(Migrationsartikel!AC360="ja","true",FALSE)</f>
        <v>true</v>
      </c>
      <c r="AJ361" s="51" t="str">
        <f>IF(Migrationsartikel!AD360="ja","true",FALSE)</f>
        <v>true</v>
      </c>
      <c r="AK361" s="51" t="str">
        <f>IF(Migrationsartikel!AE360="ja","true",FALSE)</f>
        <v>true</v>
      </c>
      <c r="AL361" s="51" t="str">
        <f>IF(Migrationsartikel!AF360="ja","Denner Partner","")</f>
        <v/>
      </c>
      <c r="AM361" s="51" t="str">
        <f>IF(Migrationsartikel!AG360="ja","true","false")</f>
        <v>false</v>
      </c>
      <c r="AN361" s="51" t="str">
        <f t="shared" si="6"/>
        <v>Kassentastenbelegung (ohne GTIN/PLU)</v>
      </c>
      <c r="AO361" s="63" t="s">
        <v>219</v>
      </c>
      <c r="AP361" s="62" t="s">
        <v>2788</v>
      </c>
      <c r="AQ361" s="63" t="s">
        <v>217</v>
      </c>
      <c r="AR361" s="30" t="s">
        <v>219</v>
      </c>
    </row>
    <row r="362" spans="2:44" ht="21.75" customHeight="1" x14ac:dyDescent="0.45">
      <c r="B362" s="51" t="s">
        <v>99</v>
      </c>
      <c r="E362" s="52" t="s">
        <v>87</v>
      </c>
      <c r="F362" s="51" t="str">
        <f>"Warengruppe&gt;&gt;"&amp;_xlfn.TEXTJOIN("&gt;&gt;",TRUE,Migrationsartikel!V361:X361)</f>
        <v>Warengruppe&gt;&gt;Früchte und Gemüse&gt;&gt;Früchte und Gemüse&gt;&gt;Gemüse</v>
      </c>
      <c r="H362" s="52" t="s">
        <v>109</v>
      </c>
      <c r="J362" s="51" t="str">
        <f>_xlfn.TEXTJOIN(" ",TRUE,Migrationsartikel!B361,Migrationsartikel!E361)</f>
        <v>2202399000000</v>
      </c>
      <c r="L362" s="51" t="str">
        <f>_xlfn.TEXTJOIN(" ",TRUE,Migrationsartikel!F361:H361)</f>
        <v>Zucchetti mix</v>
      </c>
      <c r="M362" s="51" t="str">
        <f>_xlfn.TEXTJOIN(" ",TRUE,Migrationsartikel!J361:L361)</f>
        <v>Courgettes mix</v>
      </c>
      <c r="N362" s="51" t="str">
        <f>_xlfn.TEXTJOIN(" ",TRUE,Migrationsartikel!N361:P361)</f>
        <v>Zucchine mix</v>
      </c>
      <c r="O362" s="51" t="str">
        <f>Migrationsartikel!F361</f>
        <v>Zucchetti mix</v>
      </c>
      <c r="P362" s="51" t="str">
        <f>Migrationsartikel!J361</f>
        <v>Courgettes mix</v>
      </c>
      <c r="Q362" s="51" t="str">
        <f>Migrationsartikel!N361</f>
        <v>Zucchine mix</v>
      </c>
      <c r="R362" s="51" t="str">
        <f>_xlfn.TEXTJOIN(" ",TRUE,Migrationsartikel!G361)</f>
        <v/>
      </c>
      <c r="S362" s="51" t="str">
        <f>_xlfn.TEXTJOIN(" ",TRUE,Migrationsartikel!K361)</f>
        <v/>
      </c>
      <c r="T362" s="51" t="str">
        <f>_xlfn.TEXTJOIN(" ",TRUE,Migrationsartikel!O361)</f>
        <v/>
      </c>
      <c r="U362" s="51" t="str">
        <f>_xlfn.TEXTJOIN(" ",TRUE,Migrationsartikel!H361)</f>
        <v/>
      </c>
      <c r="V362" s="51" t="str">
        <f>_xlfn.TEXTJOIN(" ",TRUE,Migrationsartikel!L361)</f>
        <v/>
      </c>
      <c r="W362" s="51" t="str">
        <f>_xlfn.TEXTJOIN(" ",TRUE,Migrationsartikel!P361)</f>
        <v/>
      </c>
      <c r="X362" s="51" t="str">
        <f>Migrationsartikel!I361</f>
        <v>Zucchetti mix</v>
      </c>
      <c r="Y362" s="51" t="str">
        <f>Migrationsartikel!M361</f>
        <v>Courgettes mix</v>
      </c>
      <c r="Z362" s="51" t="str">
        <f>Migrationsartikel!Q361</f>
        <v>Zucchine mix</v>
      </c>
      <c r="AA362" s="60">
        <f>Migrationsartikel!R361</f>
        <v>1</v>
      </c>
      <c r="AB362" s="51" t="str">
        <f>Migrationsartikel!T361</f>
        <v>Kilogramm</v>
      </c>
      <c r="AC362" s="62">
        <f>Migrationsartikel!S361</f>
        <v>1</v>
      </c>
      <c r="AD362" s="51" t="str">
        <f>Migrationsartikel!U361</f>
        <v>(PCE) Stück</v>
      </c>
      <c r="AE362" s="95" t="str">
        <f>Migrationsartikel!Y361</f>
        <v>3 - Reduzierter Satz</v>
      </c>
      <c r="AF362" s="64" t="str">
        <f>IF(Migrationsartikel!AA361="Kein Depotartikel","",Migrationsartikel!AA361)</f>
        <v/>
      </c>
      <c r="AG362" s="95" t="str">
        <f>Migrationsartikel!Z361</f>
        <v>Keine</v>
      </c>
      <c r="AH362" s="51" t="str">
        <f>IF(Migrationsartikel!AB361="ja","true",FALSE)</f>
        <v>true</v>
      </c>
      <c r="AI362" s="51" t="str">
        <f>IF(Migrationsartikel!AC361="ja","true",FALSE)</f>
        <v>true</v>
      </c>
      <c r="AJ362" s="51" t="str">
        <f>IF(Migrationsartikel!AD361="ja","true",FALSE)</f>
        <v>true</v>
      </c>
      <c r="AK362" s="51" t="str">
        <f>IF(Migrationsartikel!AE361="ja","true",FALSE)</f>
        <v>true</v>
      </c>
      <c r="AL362" s="51" t="str">
        <f>IF(Migrationsartikel!AF361="ja","Denner Partner","")</f>
        <v/>
      </c>
      <c r="AM362" s="51" t="str">
        <f>IF(Migrationsartikel!AG361="ja","true","false")</f>
        <v>false</v>
      </c>
      <c r="AN362" s="51" t="str">
        <f t="shared" si="6"/>
        <v>Kassentastenbelegung (ohne GTIN/PLU)</v>
      </c>
      <c r="AO362" s="63" t="s">
        <v>219</v>
      </c>
      <c r="AP362" s="62" t="s">
        <v>2789</v>
      </c>
      <c r="AQ362" s="63" t="s">
        <v>217</v>
      </c>
      <c r="AR362" s="30" t="s">
        <v>219</v>
      </c>
    </row>
    <row r="363" spans="2:44" ht="21.75" customHeight="1" x14ac:dyDescent="0.45">
      <c r="B363" s="51" t="s">
        <v>99</v>
      </c>
      <c r="E363" s="52" t="s">
        <v>87</v>
      </c>
      <c r="F363" s="51" t="str">
        <f>"Warengruppe&gt;&gt;"&amp;_xlfn.TEXTJOIN("&gt;&gt;",TRUE,Migrationsartikel!V362:X362)</f>
        <v>Warengruppe&gt;&gt;Früchte und Gemüse&gt;&gt;Früchte und Gemüse&gt;&gt;Gemüse</v>
      </c>
      <c r="H363" s="52" t="s">
        <v>109</v>
      </c>
      <c r="J363" s="51" t="str">
        <f>_xlfn.TEXTJOIN(" ",TRUE,Migrationsartikel!B362,Migrationsartikel!E362)</f>
        <v>270</v>
      </c>
      <c r="L363" s="51" t="str">
        <f>_xlfn.TEXTJOIN(" ",TRUE,Migrationsartikel!F362:H362)</f>
        <v>Zuckerhut Offen</v>
      </c>
      <c r="M363" s="51" t="str">
        <f>_xlfn.TEXTJOIN(" ",TRUE,Migrationsartikel!J362:L362)</f>
        <v>Chicorée pain-de-sucre En vrac</v>
      </c>
      <c r="N363" s="51" t="str">
        <f>_xlfn.TEXTJOIN(" ",TRUE,Migrationsartikel!N362:P362)</f>
        <v>Pan di zucchero vendita sfusa</v>
      </c>
      <c r="O363" s="51" t="str">
        <f>Migrationsartikel!F362</f>
        <v>Zuckerhut</v>
      </c>
      <c r="P363" s="51" t="str">
        <f>Migrationsartikel!J362</f>
        <v>Chicorée pain-de-sucre</v>
      </c>
      <c r="Q363" s="51" t="str">
        <f>Migrationsartikel!N362</f>
        <v>Pan di zucchero</v>
      </c>
      <c r="R363" s="51" t="str">
        <f>_xlfn.TEXTJOIN(" ",TRUE,Migrationsartikel!G362)</f>
        <v>Offen</v>
      </c>
      <c r="S363" s="51" t="str">
        <f>_xlfn.TEXTJOIN(" ",TRUE,Migrationsartikel!K362)</f>
        <v>En vrac</v>
      </c>
      <c r="T363" s="51" t="str">
        <f>_xlfn.TEXTJOIN(" ",TRUE,Migrationsartikel!O362)</f>
        <v>vendita sfusa</v>
      </c>
      <c r="U363" s="51" t="str">
        <f>_xlfn.TEXTJOIN(" ",TRUE,Migrationsartikel!H362)</f>
        <v/>
      </c>
      <c r="V363" s="51" t="str">
        <f>_xlfn.TEXTJOIN(" ",TRUE,Migrationsartikel!L362)</f>
        <v/>
      </c>
      <c r="W363" s="51" t="str">
        <f>_xlfn.TEXTJOIN(" ",TRUE,Migrationsartikel!P362)</f>
        <v/>
      </c>
      <c r="X363" s="51" t="str">
        <f>Migrationsartikel!I362</f>
        <v>Zucherhut Offen</v>
      </c>
      <c r="Y363" s="51" t="str">
        <f>Migrationsartikel!M362</f>
        <v>Chicorée pain-de-scure</v>
      </c>
      <c r="Z363" s="51" t="str">
        <f>Migrationsartikel!Q362</f>
        <v>Pan di zucchero ven. sfusa</v>
      </c>
      <c r="AA363" s="60">
        <f>Migrationsartikel!R362</f>
        <v>1</v>
      </c>
      <c r="AB363" s="51" t="str">
        <f>Migrationsartikel!T362</f>
        <v>Kilogramm</v>
      </c>
      <c r="AC363" s="62">
        <f>Migrationsartikel!S362</f>
        <v>1</v>
      </c>
      <c r="AD363" s="51" t="str">
        <f>Migrationsartikel!U362</f>
        <v>(KGM) KG</v>
      </c>
      <c r="AE363" s="95" t="str">
        <f>Migrationsartikel!Y362</f>
        <v>3 - Reduzierter Satz</v>
      </c>
      <c r="AF363" s="64" t="str">
        <f>IF(Migrationsartikel!AA362="Kein Depotartikel","",Migrationsartikel!AA362)</f>
        <v/>
      </c>
      <c r="AG363" s="95" t="str">
        <f>Migrationsartikel!Z362</f>
        <v>Keine</v>
      </c>
      <c r="AH363" s="51" t="str">
        <f>IF(Migrationsartikel!AB362="ja","true",FALSE)</f>
        <v>true</v>
      </c>
      <c r="AI363" s="51" t="str">
        <f>IF(Migrationsartikel!AC362="ja","true",FALSE)</f>
        <v>true</v>
      </c>
      <c r="AJ363" s="51" t="str">
        <f>IF(Migrationsartikel!AD362="ja","true",FALSE)</f>
        <v>true</v>
      </c>
      <c r="AK363" s="51" t="str">
        <f>IF(Migrationsartikel!AE362="ja","true",FALSE)</f>
        <v>true</v>
      </c>
      <c r="AL363" s="51" t="str">
        <f>IF(Migrationsartikel!AF362="ja","Denner Partner","")</f>
        <v/>
      </c>
      <c r="AM363" s="51" t="str">
        <f>IF(Migrationsartikel!AG362="ja","true","false")</f>
        <v>false</v>
      </c>
      <c r="AN363" s="51" t="str">
        <f t="shared" si="6"/>
        <v>Kassentastenbelegung (ohne GTIN/PLU)</v>
      </c>
      <c r="AO363" s="63" t="s">
        <v>219</v>
      </c>
      <c r="AP363" s="62" t="s">
        <v>2790</v>
      </c>
      <c r="AQ363" s="63" t="s">
        <v>217</v>
      </c>
      <c r="AR363" s="30" t="s">
        <v>219</v>
      </c>
    </row>
    <row r="364" spans="2:44" ht="21.75" customHeight="1" x14ac:dyDescent="0.45">
      <c r="B364" s="51" t="s">
        <v>99</v>
      </c>
      <c r="E364" s="52" t="s">
        <v>87</v>
      </c>
      <c r="F364" s="51" t="str">
        <f>"Warengruppe&gt;&gt;"&amp;_xlfn.TEXTJOIN("&gt;&gt;",TRUE,Migrationsartikel!V363:X363)</f>
        <v>Warengruppe&gt;&gt;Früchte und Gemüse&gt;&gt;Früchte und Gemüse&gt;&gt;Gemüse</v>
      </c>
      <c r="H364" s="52" t="s">
        <v>109</v>
      </c>
      <c r="J364" s="51" t="str">
        <f>_xlfn.TEXTJOIN(" ",TRUE,Migrationsartikel!B363,Migrationsartikel!E363)</f>
        <v>2201530000007</v>
      </c>
      <c r="L364" s="51" t="str">
        <f>_xlfn.TEXTJOIN(" ",TRUE,Migrationsartikel!F363:H363)</f>
        <v>Bio Zuckerhut</v>
      </c>
      <c r="M364" s="51" t="str">
        <f>_xlfn.TEXTJOIN(" ",TRUE,Migrationsartikel!J363:L363)</f>
        <v>Bio Pain de sucre</v>
      </c>
      <c r="N364" s="51" t="str">
        <f>_xlfn.TEXTJOIN(" ",TRUE,Migrationsartikel!N363:P363)</f>
        <v>Bio Pan di zucchero</v>
      </c>
      <c r="O364" s="51" t="str">
        <f>Migrationsartikel!F363</f>
        <v>Bio Zuckerhut</v>
      </c>
      <c r="P364" s="51" t="str">
        <f>Migrationsartikel!J363</f>
        <v>Bio Pain de sucre</v>
      </c>
      <c r="Q364" s="51" t="str">
        <f>Migrationsartikel!N363</f>
        <v>Bio Pan di zucchero</v>
      </c>
      <c r="R364" s="51" t="str">
        <f>_xlfn.TEXTJOIN(" ",TRUE,Migrationsartikel!G363)</f>
        <v/>
      </c>
      <c r="S364" s="51" t="str">
        <f>_xlfn.TEXTJOIN(" ",TRUE,Migrationsartikel!K363)</f>
        <v/>
      </c>
      <c r="T364" s="51" t="str">
        <f>_xlfn.TEXTJOIN(" ",TRUE,Migrationsartikel!O363)</f>
        <v/>
      </c>
      <c r="U364" s="51" t="str">
        <f>_xlfn.TEXTJOIN(" ",TRUE,Migrationsartikel!H363)</f>
        <v/>
      </c>
      <c r="V364" s="51" t="str">
        <f>_xlfn.TEXTJOIN(" ",TRUE,Migrationsartikel!L363)</f>
        <v/>
      </c>
      <c r="W364" s="51" t="str">
        <f>_xlfn.TEXTJOIN(" ",TRUE,Migrationsartikel!P363)</f>
        <v/>
      </c>
      <c r="X364" s="51" t="str">
        <f>Migrationsartikel!I363</f>
        <v>Bio Zucherhut</v>
      </c>
      <c r="Y364" s="51" t="str">
        <f>Migrationsartikel!M363</f>
        <v>Bio Pain de sucre</v>
      </c>
      <c r="Z364" s="51" t="str">
        <f>Migrationsartikel!Q363</f>
        <v>Bio Pan di zuchero</v>
      </c>
      <c r="AA364" s="60">
        <f>Migrationsartikel!R363</f>
        <v>1</v>
      </c>
      <c r="AB364" s="51" t="str">
        <f>Migrationsartikel!T363</f>
        <v>Kilogramm</v>
      </c>
      <c r="AC364" s="62">
        <f>Migrationsartikel!S363</f>
        <v>1</v>
      </c>
      <c r="AD364" s="51" t="str">
        <f>Migrationsartikel!U363</f>
        <v>(PCE) Stück</v>
      </c>
      <c r="AE364" s="95" t="str">
        <f>Migrationsartikel!Y363</f>
        <v>3 - Reduzierter Satz</v>
      </c>
      <c r="AF364" s="64" t="str">
        <f>IF(Migrationsartikel!AA363="Kein Depotartikel","",Migrationsartikel!AA363)</f>
        <v/>
      </c>
      <c r="AG364" s="95" t="str">
        <f>Migrationsartikel!Z363</f>
        <v>Keine</v>
      </c>
      <c r="AH364" s="51" t="str">
        <f>IF(Migrationsartikel!AB363="ja","true",FALSE)</f>
        <v>true</v>
      </c>
      <c r="AI364" s="51" t="str">
        <f>IF(Migrationsartikel!AC363="ja","true",FALSE)</f>
        <v>true</v>
      </c>
      <c r="AJ364" s="51" t="str">
        <f>IF(Migrationsartikel!AD363="ja","true",FALSE)</f>
        <v>true</v>
      </c>
      <c r="AK364" s="51" t="str">
        <f>IF(Migrationsartikel!AE363="ja","true",FALSE)</f>
        <v>true</v>
      </c>
      <c r="AL364" s="51" t="str">
        <f>IF(Migrationsartikel!AF363="ja","Denner Partner","")</f>
        <v/>
      </c>
      <c r="AM364" s="51" t="str">
        <f>IF(Migrationsartikel!AG363="ja","true","false")</f>
        <v>false</v>
      </c>
      <c r="AN364" s="51" t="str">
        <f t="shared" si="6"/>
        <v>Kassentastenbelegung (ohne GTIN/PLU)</v>
      </c>
      <c r="AO364" s="63" t="s">
        <v>219</v>
      </c>
      <c r="AP364" s="62" t="s">
        <v>2791</v>
      </c>
      <c r="AQ364" s="63" t="s">
        <v>217</v>
      </c>
      <c r="AR364" s="30" t="s">
        <v>219</v>
      </c>
    </row>
    <row r="365" spans="2:44" ht="21.75" customHeight="1" x14ac:dyDescent="0.45">
      <c r="B365" s="51" t="s">
        <v>99</v>
      </c>
      <c r="E365" s="52" t="s">
        <v>87</v>
      </c>
      <c r="F365" s="51" t="str">
        <f>"Warengruppe&gt;&gt;"&amp;_xlfn.TEXTJOIN("&gt;&gt;",TRUE,Migrationsartikel!V364:X364)</f>
        <v>Warengruppe&gt;&gt;Früchte und Gemüse&gt;&gt;Früchte und Gemüse&gt;&gt;Gemüse</v>
      </c>
      <c r="H365" s="52" t="s">
        <v>109</v>
      </c>
      <c r="J365" s="51" t="str">
        <f>_xlfn.TEXTJOIN(" ",TRUE,Migrationsartikel!B364,Migrationsartikel!E364)</f>
        <v>2204171000007</v>
      </c>
      <c r="L365" s="51" t="str">
        <f>_xlfn.TEXTJOIN(" ",TRUE,Migrationsartikel!F364:H364)</f>
        <v>Zuckerhut</v>
      </c>
      <c r="M365" s="51" t="str">
        <f>_xlfn.TEXTJOIN(" ",TRUE,Migrationsartikel!J364:L364)</f>
        <v>Chicorée pain-de-sucre</v>
      </c>
      <c r="N365" s="51" t="str">
        <f>_xlfn.TEXTJOIN(" ",TRUE,Migrationsartikel!N364:P364)</f>
        <v>Pan di zucchero</v>
      </c>
      <c r="O365" s="51" t="str">
        <f>Migrationsartikel!F364</f>
        <v>Zuckerhut</v>
      </c>
      <c r="P365" s="51" t="str">
        <f>Migrationsartikel!J364</f>
        <v>Chicorée pain-de-sucre</v>
      </c>
      <c r="Q365" s="51" t="str">
        <f>Migrationsartikel!N364</f>
        <v>Pan di zucchero</v>
      </c>
      <c r="R365" s="51" t="str">
        <f>_xlfn.TEXTJOIN(" ",TRUE,Migrationsartikel!G364)</f>
        <v/>
      </c>
      <c r="S365" s="51" t="str">
        <f>_xlfn.TEXTJOIN(" ",TRUE,Migrationsartikel!K364)</f>
        <v/>
      </c>
      <c r="T365" s="51" t="str">
        <f>_xlfn.TEXTJOIN(" ",TRUE,Migrationsartikel!O364)</f>
        <v/>
      </c>
      <c r="U365" s="51" t="str">
        <f>_xlfn.TEXTJOIN(" ",TRUE,Migrationsartikel!H364)</f>
        <v/>
      </c>
      <c r="V365" s="51" t="str">
        <f>_xlfn.TEXTJOIN(" ",TRUE,Migrationsartikel!L364)</f>
        <v/>
      </c>
      <c r="W365" s="51" t="str">
        <f>_xlfn.TEXTJOIN(" ",TRUE,Migrationsartikel!P364)</f>
        <v/>
      </c>
      <c r="X365" s="51" t="str">
        <f>Migrationsartikel!I364</f>
        <v>Zucherhut</v>
      </c>
      <c r="Y365" s="51" t="str">
        <f>Migrationsartikel!M364</f>
        <v>Chicorée pain-de-scure</v>
      </c>
      <c r="Z365" s="51" t="str">
        <f>Migrationsartikel!Q364</f>
        <v>Pan di zucchero</v>
      </c>
      <c r="AA365" s="60">
        <f>Migrationsartikel!R364</f>
        <v>1</v>
      </c>
      <c r="AB365" s="51" t="str">
        <f>Migrationsartikel!T364</f>
        <v>Kilogramm</v>
      </c>
      <c r="AC365" s="62">
        <f>Migrationsartikel!S364</f>
        <v>1</v>
      </c>
      <c r="AD365" s="51" t="str">
        <f>Migrationsartikel!U364</f>
        <v>(PCE) Stück</v>
      </c>
      <c r="AE365" s="95" t="str">
        <f>Migrationsartikel!Y364</f>
        <v>3 - Reduzierter Satz</v>
      </c>
      <c r="AF365" s="64" t="str">
        <f>IF(Migrationsartikel!AA364="Kein Depotartikel","",Migrationsartikel!AA364)</f>
        <v/>
      </c>
      <c r="AG365" s="95" t="str">
        <f>Migrationsartikel!Z364</f>
        <v>Keine</v>
      </c>
      <c r="AH365" s="51" t="str">
        <f>IF(Migrationsartikel!AB364="ja","true",FALSE)</f>
        <v>true</v>
      </c>
      <c r="AI365" s="51" t="str">
        <f>IF(Migrationsartikel!AC364="ja","true",FALSE)</f>
        <v>true</v>
      </c>
      <c r="AJ365" s="51" t="str">
        <f>IF(Migrationsartikel!AD364="ja","true",FALSE)</f>
        <v>true</v>
      </c>
      <c r="AK365" s="51" t="str">
        <f>IF(Migrationsartikel!AE364="ja","true",FALSE)</f>
        <v>true</v>
      </c>
      <c r="AL365" s="51" t="str">
        <f>IF(Migrationsartikel!AF364="ja","Denner Partner","")</f>
        <v/>
      </c>
      <c r="AM365" s="51" t="str">
        <f>IF(Migrationsartikel!AG364="ja","true","false")</f>
        <v>false</v>
      </c>
      <c r="AN365" s="51" t="str">
        <f t="shared" si="6"/>
        <v>Kassentastenbelegung (ohne GTIN/PLU)</v>
      </c>
      <c r="AO365" s="63" t="s">
        <v>219</v>
      </c>
      <c r="AP365" s="62" t="s">
        <v>2792</v>
      </c>
      <c r="AQ365" s="63" t="s">
        <v>217</v>
      </c>
      <c r="AR365" s="30" t="s">
        <v>219</v>
      </c>
    </row>
    <row r="366" spans="2:44" ht="21.75" customHeight="1" x14ac:dyDescent="0.45">
      <c r="B366" s="51" t="s">
        <v>99</v>
      </c>
      <c r="E366" s="52" t="s">
        <v>87</v>
      </c>
      <c r="F366" s="51" t="str">
        <f>"Warengruppe&gt;&gt;"&amp;_xlfn.TEXTJOIN("&gt;&gt;",TRUE,Migrationsartikel!V365:X365)</f>
        <v>Warengruppe&gt;&gt;Früchte und Gemüse&gt;&gt;Früchte und Gemüse&gt;&gt;Gemüse</v>
      </c>
      <c r="H366" s="52" t="s">
        <v>109</v>
      </c>
      <c r="J366" s="51" t="str">
        <f>_xlfn.TEXTJOIN(" ",TRUE,Migrationsartikel!B365,Migrationsartikel!E365)</f>
        <v>2204181000004</v>
      </c>
      <c r="L366" s="51" t="str">
        <f>_xlfn.TEXTJOIN(" ",TRUE,Migrationsartikel!F365:H365)</f>
        <v>Zuckermais gepackt 2Stk</v>
      </c>
      <c r="M366" s="51" t="str">
        <f>_xlfn.TEXTJOIN(" ",TRUE,Migrationsartikel!J365:L365)</f>
        <v>Maïs doux Emballé 2pces</v>
      </c>
      <c r="N366" s="51" t="str">
        <f>_xlfn.TEXTJOIN(" ",TRUE,Migrationsartikel!N365:P365)</f>
        <v>Mais dolce confezionato 2pz</v>
      </c>
      <c r="O366" s="51" t="str">
        <f>Migrationsartikel!F365</f>
        <v>Zuckermais</v>
      </c>
      <c r="P366" s="51" t="str">
        <f>Migrationsartikel!J365</f>
        <v>Maïs doux</v>
      </c>
      <c r="Q366" s="51" t="str">
        <f>Migrationsartikel!N365</f>
        <v>Mais dolce</v>
      </c>
      <c r="R366" s="51" t="str">
        <f>_xlfn.TEXTJOIN(" ",TRUE,Migrationsartikel!G365)</f>
        <v>gepackt</v>
      </c>
      <c r="S366" s="51" t="str">
        <f>_xlfn.TEXTJOIN(" ",TRUE,Migrationsartikel!K365)</f>
        <v>Emballé</v>
      </c>
      <c r="T366" s="51" t="str">
        <f>_xlfn.TEXTJOIN(" ",TRUE,Migrationsartikel!O365)</f>
        <v>confezionato</v>
      </c>
      <c r="U366" s="51" t="str">
        <f>_xlfn.TEXTJOIN(" ",TRUE,Migrationsartikel!H365)</f>
        <v>2Stk</v>
      </c>
      <c r="V366" s="51" t="str">
        <f>_xlfn.TEXTJOIN(" ",TRUE,Migrationsartikel!L365)</f>
        <v>2pces</v>
      </c>
      <c r="W366" s="51" t="str">
        <f>_xlfn.TEXTJOIN(" ",TRUE,Migrationsartikel!P365)</f>
        <v>2pz</v>
      </c>
      <c r="X366" s="51" t="str">
        <f>Migrationsartikel!I365</f>
        <v>Zuckermais gepackt 2 Stk</v>
      </c>
      <c r="Y366" s="51" t="str">
        <f>Migrationsartikel!M365</f>
        <v>Maïs doux emballé 2 pces</v>
      </c>
      <c r="Z366" s="51" t="str">
        <f>Migrationsartikel!Q365</f>
        <v>Mais dolce confezionato 2 pz</v>
      </c>
      <c r="AA366" s="60">
        <f>Migrationsartikel!R365</f>
        <v>2</v>
      </c>
      <c r="AB366" s="51" t="str">
        <f>Migrationsartikel!T365</f>
        <v>Stück</v>
      </c>
      <c r="AC366" s="62">
        <f>Migrationsartikel!S365</f>
        <v>1</v>
      </c>
      <c r="AD366" s="51" t="str">
        <f>Migrationsartikel!U365</f>
        <v>(PCE) Stück</v>
      </c>
      <c r="AE366" s="95" t="str">
        <f>Migrationsartikel!Y365</f>
        <v>3 - Reduzierter Satz</v>
      </c>
      <c r="AF366" s="64" t="str">
        <f>IF(Migrationsartikel!AA365="Kein Depotartikel","",Migrationsartikel!AA365)</f>
        <v/>
      </c>
      <c r="AG366" s="95" t="str">
        <f>Migrationsartikel!Z365</f>
        <v>Keine</v>
      </c>
      <c r="AH366" s="51" t="str">
        <f>IF(Migrationsartikel!AB365="ja","true",FALSE)</f>
        <v>true</v>
      </c>
      <c r="AI366" s="51" t="str">
        <f>IF(Migrationsartikel!AC365="ja","true",FALSE)</f>
        <v>true</v>
      </c>
      <c r="AJ366" s="51" t="str">
        <f>IF(Migrationsartikel!AD365="ja","true",FALSE)</f>
        <v>true</v>
      </c>
      <c r="AK366" s="51" t="str">
        <f>IF(Migrationsartikel!AE365="ja","true",FALSE)</f>
        <v>true</v>
      </c>
      <c r="AL366" s="51" t="str">
        <f>IF(Migrationsartikel!AF365="ja","Denner Partner","")</f>
        <v/>
      </c>
      <c r="AM366" s="51" t="str">
        <f>IF(Migrationsartikel!AG365="ja","true","false")</f>
        <v>false</v>
      </c>
      <c r="AN366" s="51" t="str">
        <f t="shared" si="6"/>
        <v>Kassentastenbelegung (ohne GTIN/PLU)</v>
      </c>
      <c r="AO366" s="63" t="s">
        <v>219</v>
      </c>
      <c r="AP366" s="62" t="s">
        <v>2793</v>
      </c>
      <c r="AQ366" s="63" t="s">
        <v>217</v>
      </c>
      <c r="AR366" s="30" t="s">
        <v>219</v>
      </c>
    </row>
    <row r="367" spans="2:44" ht="21.75" customHeight="1" x14ac:dyDescent="0.45">
      <c r="B367" s="51" t="s">
        <v>99</v>
      </c>
      <c r="E367" s="52" t="s">
        <v>87</v>
      </c>
      <c r="F367" s="51" t="str">
        <f>"Warengruppe&gt;&gt;"&amp;_xlfn.TEXTJOIN("&gt;&gt;",TRUE,Migrationsartikel!V366:X366)</f>
        <v>Warengruppe&gt;&gt;Früchte und Gemüse&gt;&gt;Früchte und Gemüse&gt;&gt;Gemüse</v>
      </c>
      <c r="H367" s="52" t="s">
        <v>109</v>
      </c>
      <c r="J367" s="51" t="str">
        <f>_xlfn.TEXTJOIN(" ",TRUE,Migrationsartikel!B366,Migrationsartikel!E366)</f>
        <v>2204771000001</v>
      </c>
      <c r="L367" s="51" t="str">
        <f>_xlfn.TEXTJOIN(" ",TRUE,Migrationsartikel!F366:H366)</f>
        <v>Zwiebeln 35-60mm Netz 1kg</v>
      </c>
      <c r="M367" s="51" t="str">
        <f>_xlfn.TEXTJOIN(" ",TRUE,Migrationsartikel!J366:L366)</f>
        <v>Oignons 35-60 mm Filet 1kg</v>
      </c>
      <c r="N367" s="51" t="str">
        <f>_xlfn.TEXTJOIN(" ",TRUE,Migrationsartikel!N366:P366)</f>
        <v>Cipolle 35-60 mm retina 1kg</v>
      </c>
      <c r="O367" s="51" t="str">
        <f>Migrationsartikel!F366</f>
        <v>Zwiebeln 35-60mm</v>
      </c>
      <c r="P367" s="51" t="str">
        <f>Migrationsartikel!J366</f>
        <v>Oignons 35-60 mm</v>
      </c>
      <c r="Q367" s="51" t="str">
        <f>Migrationsartikel!N366</f>
        <v>Cipolle 35-60 mm</v>
      </c>
      <c r="R367" s="51" t="str">
        <f>_xlfn.TEXTJOIN(" ",TRUE,Migrationsartikel!G366)</f>
        <v>Netz</v>
      </c>
      <c r="S367" s="51" t="str">
        <f>_xlfn.TEXTJOIN(" ",TRUE,Migrationsartikel!K366)</f>
        <v>Filet</v>
      </c>
      <c r="T367" s="51" t="str">
        <f>_xlfn.TEXTJOIN(" ",TRUE,Migrationsartikel!O366)</f>
        <v>retina</v>
      </c>
      <c r="U367" s="51" t="str">
        <f>_xlfn.TEXTJOIN(" ",TRUE,Migrationsartikel!H366)</f>
        <v>1kg</v>
      </c>
      <c r="V367" s="51" t="str">
        <f>_xlfn.TEXTJOIN(" ",TRUE,Migrationsartikel!L366)</f>
        <v>1kg</v>
      </c>
      <c r="W367" s="51" t="str">
        <f>_xlfn.TEXTJOIN(" ",TRUE,Migrationsartikel!P366)</f>
        <v>1kg</v>
      </c>
      <c r="X367" s="51" t="str">
        <f>Migrationsartikel!I366</f>
        <v>Zwiebeln 35-60 mm Netz 1kg</v>
      </c>
      <c r="Y367" s="51" t="str">
        <f>Migrationsartikel!M366</f>
        <v>Oignons 35-60 mm filet 1kg</v>
      </c>
      <c r="Z367" s="51" t="str">
        <f>Migrationsartikel!Q366</f>
        <v>Cipolle 35-60 mm retina 1 kg</v>
      </c>
      <c r="AA367" s="60">
        <f>Migrationsartikel!R366</f>
        <v>1</v>
      </c>
      <c r="AB367" s="51" t="str">
        <f>Migrationsartikel!T366</f>
        <v>Kilogramm</v>
      </c>
      <c r="AC367" s="62">
        <f>Migrationsartikel!S366</f>
        <v>1</v>
      </c>
      <c r="AD367" s="51" t="str">
        <f>Migrationsartikel!U366</f>
        <v>(PCE) Stück</v>
      </c>
      <c r="AE367" s="95" t="str">
        <f>Migrationsartikel!Y366</f>
        <v>3 - Reduzierter Satz</v>
      </c>
      <c r="AF367" s="64" t="str">
        <f>IF(Migrationsartikel!AA366="Kein Depotartikel","",Migrationsartikel!AA366)</f>
        <v/>
      </c>
      <c r="AG367" s="95" t="str">
        <f>Migrationsartikel!Z366</f>
        <v>Keine</v>
      </c>
      <c r="AH367" s="51" t="str">
        <f>IF(Migrationsartikel!AB366="ja","true",FALSE)</f>
        <v>true</v>
      </c>
      <c r="AI367" s="51" t="str">
        <f>IF(Migrationsartikel!AC366="ja","true",FALSE)</f>
        <v>true</v>
      </c>
      <c r="AJ367" s="51" t="str">
        <f>IF(Migrationsartikel!AD366="ja","true",FALSE)</f>
        <v>true</v>
      </c>
      <c r="AK367" s="51" t="str">
        <f>IF(Migrationsartikel!AE366="ja","true",FALSE)</f>
        <v>true</v>
      </c>
      <c r="AL367" s="51" t="str">
        <f>IF(Migrationsartikel!AF366="ja","Denner Partner","")</f>
        <v/>
      </c>
      <c r="AM367" s="51" t="str">
        <f>IF(Migrationsartikel!AG366="ja","true","false")</f>
        <v>false</v>
      </c>
      <c r="AN367" s="51" t="str">
        <f t="shared" si="6"/>
        <v>Kassentastenbelegung (ohne GTIN/PLU)</v>
      </c>
      <c r="AO367" s="63" t="s">
        <v>219</v>
      </c>
      <c r="AP367" s="62" t="s">
        <v>2794</v>
      </c>
      <c r="AQ367" s="63" t="s">
        <v>217</v>
      </c>
      <c r="AR367" s="30" t="s">
        <v>219</v>
      </c>
    </row>
    <row r="368" spans="2:44" ht="21.75" customHeight="1" x14ac:dyDescent="0.45">
      <c r="B368" s="51" t="s">
        <v>99</v>
      </c>
      <c r="E368" s="52" t="s">
        <v>87</v>
      </c>
      <c r="F368" s="51" t="str">
        <f>"Warengruppe&gt;&gt;"&amp;_xlfn.TEXTJOIN("&gt;&gt;",TRUE,Migrationsartikel!V367:X367)</f>
        <v>Warengruppe&gt;&gt;Früchte und Gemüse&gt;&gt;Früchte und Gemüse&gt;&gt;Gemüse</v>
      </c>
      <c r="H368" s="52" t="s">
        <v>109</v>
      </c>
      <c r="J368" s="51" t="str">
        <f>_xlfn.TEXTJOIN(" ",TRUE,Migrationsartikel!B367,Migrationsartikel!E367)</f>
        <v>7613399054429</v>
      </c>
      <c r="L368" s="51" t="str">
        <f>_xlfn.TEXTJOIN(" ",TRUE,Migrationsartikel!F367:H367)</f>
        <v>Bio Zwiebeln mix Schale 500g</v>
      </c>
      <c r="M368" s="51" t="str">
        <f>_xlfn.TEXTJOIN(" ",TRUE,Migrationsartikel!J367:L367)</f>
        <v>Bio Oignons mix Barquette 500g</v>
      </c>
      <c r="N368" s="51" t="str">
        <f>_xlfn.TEXTJOIN(" ",TRUE,Migrationsartikel!N367:P367)</f>
        <v>Bio Cipolle mix vaschetta 500g</v>
      </c>
      <c r="O368" s="51" t="str">
        <f>Migrationsartikel!F367</f>
        <v>Bio Zwiebeln mix</v>
      </c>
      <c r="P368" s="51" t="str">
        <f>Migrationsartikel!J367</f>
        <v>Bio Oignons mix</v>
      </c>
      <c r="Q368" s="51" t="str">
        <f>Migrationsartikel!N367</f>
        <v>Bio Cipolle mix</v>
      </c>
      <c r="R368" s="51" t="str">
        <f>_xlfn.TEXTJOIN(" ",TRUE,Migrationsartikel!G367)</f>
        <v>Schale</v>
      </c>
      <c r="S368" s="51" t="str">
        <f>_xlfn.TEXTJOIN(" ",TRUE,Migrationsartikel!K367)</f>
        <v>Barquette</v>
      </c>
      <c r="T368" s="51" t="str">
        <f>_xlfn.TEXTJOIN(" ",TRUE,Migrationsartikel!O367)</f>
        <v>vaschetta</v>
      </c>
      <c r="U368" s="51" t="str">
        <f>_xlfn.TEXTJOIN(" ",TRUE,Migrationsartikel!H367)</f>
        <v>500g</v>
      </c>
      <c r="V368" s="51" t="str">
        <f>_xlfn.TEXTJOIN(" ",TRUE,Migrationsartikel!L367)</f>
        <v>500g</v>
      </c>
      <c r="W368" s="51" t="str">
        <f>_xlfn.TEXTJOIN(" ",TRUE,Migrationsartikel!P367)</f>
        <v>500g</v>
      </c>
      <c r="X368" s="51" t="str">
        <f>Migrationsartikel!I367</f>
        <v>Bio Zwiebeln mix Schale 500g</v>
      </c>
      <c r="Y368" s="51" t="str">
        <f>Migrationsartikel!M367</f>
        <v>Bio Oignons mix 500g</v>
      </c>
      <c r="Z368" s="51" t="str">
        <f>Migrationsartikel!Q367</f>
        <v>Bio Cipolle mix vasch. 500g</v>
      </c>
      <c r="AA368" s="60">
        <f>Migrationsartikel!R367</f>
        <v>0.5</v>
      </c>
      <c r="AB368" s="51" t="str">
        <f>Migrationsartikel!T367</f>
        <v>Kilogramm</v>
      </c>
      <c r="AC368" s="62">
        <f>Migrationsartikel!S367</f>
        <v>1</v>
      </c>
      <c r="AD368" s="51" t="str">
        <f>Migrationsartikel!U367</f>
        <v>(PCE) Stück</v>
      </c>
      <c r="AE368" s="95" t="str">
        <f>Migrationsartikel!Y367</f>
        <v>3 - Reduzierter Satz</v>
      </c>
      <c r="AF368" s="64" t="str">
        <f>IF(Migrationsartikel!AA367="Kein Depotartikel","",Migrationsartikel!AA367)</f>
        <v/>
      </c>
      <c r="AG368" s="95" t="str">
        <f>Migrationsartikel!Z367</f>
        <v>Keine</v>
      </c>
      <c r="AH368" s="51" t="str">
        <f>IF(Migrationsartikel!AB367="ja","true",FALSE)</f>
        <v>true</v>
      </c>
      <c r="AI368" s="51" t="str">
        <f>IF(Migrationsartikel!AC367="ja","true",FALSE)</f>
        <v>true</v>
      </c>
      <c r="AJ368" s="51" t="str">
        <f>IF(Migrationsartikel!AD367="ja","true",FALSE)</f>
        <v>true</v>
      </c>
      <c r="AK368" s="51" t="str">
        <f>IF(Migrationsartikel!AE367="ja","true",FALSE)</f>
        <v>true</v>
      </c>
      <c r="AL368" s="51" t="str">
        <f>IF(Migrationsartikel!AF367="ja","Denner Partner","")</f>
        <v/>
      </c>
      <c r="AM368" s="51" t="str">
        <f>IF(Migrationsartikel!AG367="ja","true","false")</f>
        <v>false</v>
      </c>
      <c r="AN368" s="51" t="str">
        <f t="shared" si="6"/>
        <v>Kassentastenbelegung (ohne GTIN/PLU)</v>
      </c>
      <c r="AO368" s="63" t="s">
        <v>219</v>
      </c>
      <c r="AP368" s="62" t="s">
        <v>2795</v>
      </c>
      <c r="AQ368" s="63" t="s">
        <v>217</v>
      </c>
      <c r="AR368" s="30" t="s">
        <v>219</v>
      </c>
    </row>
    <row r="369" spans="2:44" ht="21.75" customHeight="1" x14ac:dyDescent="0.45">
      <c r="B369" s="51" t="s">
        <v>99</v>
      </c>
      <c r="E369" s="52" t="s">
        <v>87</v>
      </c>
      <c r="F369" s="51" t="str">
        <f>"Warengruppe&gt;&gt;"&amp;_xlfn.TEXTJOIN("&gt;&gt;",TRUE,Migrationsartikel!V368:X368)</f>
        <v>Warengruppe&gt;&gt;Früchte und Gemüse&gt;&gt;Früchte und Gemüse&gt;&gt;Gemüse</v>
      </c>
      <c r="H369" s="52" t="s">
        <v>109</v>
      </c>
      <c r="J369" s="51" t="str">
        <f>_xlfn.TEXTJOIN(" ",TRUE,Migrationsartikel!B368,Migrationsartikel!E368)</f>
        <v>2209591000002</v>
      </c>
      <c r="L369" s="51" t="str">
        <f>_xlfn.TEXTJOIN(" ",TRUE,Migrationsartikel!F368:H368)</f>
        <v>Bio Zwiebeln 35-60mm Netz 500g</v>
      </c>
      <c r="M369" s="51" t="str">
        <f>_xlfn.TEXTJOIN(" ",TRUE,Migrationsartikel!J368:L368)</f>
        <v>Bio Oignons 35-60 mm Filet 500g</v>
      </c>
      <c r="N369" s="51" t="str">
        <f>_xlfn.TEXTJOIN(" ",TRUE,Migrationsartikel!N368:P368)</f>
        <v>Bio Cipolle 35-60 mm retina 500g</v>
      </c>
      <c r="O369" s="51" t="str">
        <f>Migrationsartikel!F368</f>
        <v>Bio Zwiebeln 35-60mm</v>
      </c>
      <c r="P369" s="51" t="str">
        <f>Migrationsartikel!J368</f>
        <v>Bio Oignons 35-60 mm</v>
      </c>
      <c r="Q369" s="51" t="str">
        <f>Migrationsartikel!N368</f>
        <v>Bio Cipolle 35-60 mm</v>
      </c>
      <c r="R369" s="51" t="str">
        <f>_xlfn.TEXTJOIN(" ",TRUE,Migrationsartikel!G368)</f>
        <v>Netz</v>
      </c>
      <c r="S369" s="51" t="str">
        <f>_xlfn.TEXTJOIN(" ",TRUE,Migrationsartikel!K368)</f>
        <v>Filet</v>
      </c>
      <c r="T369" s="51" t="str">
        <f>_xlfn.TEXTJOIN(" ",TRUE,Migrationsartikel!O368)</f>
        <v>retina</v>
      </c>
      <c r="U369" s="51" t="str">
        <f>_xlfn.TEXTJOIN(" ",TRUE,Migrationsartikel!H368)</f>
        <v>500g</v>
      </c>
      <c r="V369" s="51" t="str">
        <f>_xlfn.TEXTJOIN(" ",TRUE,Migrationsartikel!L368)</f>
        <v>500g</v>
      </c>
      <c r="W369" s="51" t="str">
        <f>_xlfn.TEXTJOIN(" ",TRUE,Migrationsartikel!P368)</f>
        <v>500g</v>
      </c>
      <c r="X369" s="51" t="str">
        <f>Migrationsartikel!I368</f>
        <v>Bio Zwiebeln 35-60mm 500g</v>
      </c>
      <c r="Y369" s="51" t="str">
        <f>Migrationsartikel!M368</f>
        <v>Bio Oignons 35-60 mm</v>
      </c>
      <c r="Z369" s="51" t="str">
        <f>Migrationsartikel!Q368</f>
        <v>Bio Cipolle 35-60mm ret 500g</v>
      </c>
      <c r="AA369" s="60">
        <f>Migrationsartikel!R368</f>
        <v>0.5</v>
      </c>
      <c r="AB369" s="51" t="str">
        <f>Migrationsartikel!T368</f>
        <v>Kilogramm</v>
      </c>
      <c r="AC369" s="62">
        <f>Migrationsartikel!S368</f>
        <v>1</v>
      </c>
      <c r="AD369" s="51" t="str">
        <f>Migrationsartikel!U368</f>
        <v>(PCE) Stück</v>
      </c>
      <c r="AE369" s="95" t="str">
        <f>Migrationsartikel!Y368</f>
        <v>3 - Reduzierter Satz</v>
      </c>
      <c r="AF369" s="64" t="str">
        <f>IF(Migrationsartikel!AA368="Kein Depotartikel","",Migrationsartikel!AA368)</f>
        <v/>
      </c>
      <c r="AG369" s="95" t="str">
        <f>Migrationsartikel!Z368</f>
        <v>Keine</v>
      </c>
      <c r="AH369" s="51" t="str">
        <f>IF(Migrationsartikel!AB368="ja","true",FALSE)</f>
        <v>true</v>
      </c>
      <c r="AI369" s="51" t="str">
        <f>IF(Migrationsartikel!AC368="ja","true",FALSE)</f>
        <v>true</v>
      </c>
      <c r="AJ369" s="51" t="str">
        <f>IF(Migrationsartikel!AD368="ja","true",FALSE)</f>
        <v>true</v>
      </c>
      <c r="AK369" s="51" t="str">
        <f>IF(Migrationsartikel!AE368="ja","true",FALSE)</f>
        <v>true</v>
      </c>
      <c r="AL369" s="51" t="str">
        <f>IF(Migrationsartikel!AF368="ja","Denner Partner","")</f>
        <v/>
      </c>
      <c r="AM369" s="51" t="str">
        <f>IF(Migrationsartikel!AG368="ja","true","false")</f>
        <v>false</v>
      </c>
      <c r="AN369" s="51" t="str">
        <f t="shared" si="6"/>
        <v>Kassentastenbelegung (ohne GTIN/PLU)</v>
      </c>
      <c r="AO369" s="63" t="s">
        <v>219</v>
      </c>
      <c r="AP369" s="62" t="s">
        <v>2796</v>
      </c>
      <c r="AQ369" s="63" t="s">
        <v>217</v>
      </c>
      <c r="AR369" s="30" t="s">
        <v>219</v>
      </c>
    </row>
    <row r="370" spans="2:44" ht="21.75" customHeight="1" x14ac:dyDescent="0.45">
      <c r="B370" s="51" t="s">
        <v>99</v>
      </c>
      <c r="E370" s="52" t="s">
        <v>87</v>
      </c>
      <c r="F370" s="51" t="str">
        <f>"Warengruppe&gt;&gt;"&amp;_xlfn.TEXTJOIN("&gt;&gt;",TRUE,Migrationsartikel!V369:X369)</f>
        <v>Warengruppe&gt;&gt;Früchte und Gemüse&gt;&gt;Früchte und Gemüse&gt;&gt;Gemüse</v>
      </c>
      <c r="H370" s="52" t="s">
        <v>109</v>
      </c>
      <c r="J370" s="51" t="str">
        <f>_xlfn.TEXTJOIN(" ",TRUE,Migrationsartikel!B369,Migrationsartikel!E369)</f>
        <v>2260301000026</v>
      </c>
      <c r="L370" s="51" t="str">
        <f>_xlfn.TEXTJOIN(" ",TRUE,Migrationsartikel!F369:H369)</f>
        <v>Zwiebeln Bund</v>
      </c>
      <c r="M370" s="51" t="str">
        <f>_xlfn.TEXTJOIN(" ",TRUE,Migrationsartikel!J369:L369)</f>
        <v>Oignons botte</v>
      </c>
      <c r="N370" s="51" t="str">
        <f>_xlfn.TEXTJOIN(" ",TRUE,Migrationsartikel!N369:P369)</f>
        <v>Cipolle mazzetto</v>
      </c>
      <c r="O370" s="51" t="str">
        <f>Migrationsartikel!F369</f>
        <v>Zwiebeln Bund</v>
      </c>
      <c r="P370" s="51" t="str">
        <f>Migrationsartikel!J369</f>
        <v>Oignons botte</v>
      </c>
      <c r="Q370" s="51" t="str">
        <f>Migrationsartikel!N369</f>
        <v>Cipolle mazzetto</v>
      </c>
      <c r="R370" s="51" t="str">
        <f>_xlfn.TEXTJOIN(" ",TRUE,Migrationsartikel!G369)</f>
        <v/>
      </c>
      <c r="S370" s="51" t="str">
        <f>_xlfn.TEXTJOIN(" ",TRUE,Migrationsartikel!K369)</f>
        <v/>
      </c>
      <c r="T370" s="51" t="str">
        <f>_xlfn.TEXTJOIN(" ",TRUE,Migrationsartikel!O369)</f>
        <v/>
      </c>
      <c r="U370" s="51" t="str">
        <f>_xlfn.TEXTJOIN(" ",TRUE,Migrationsartikel!H369)</f>
        <v/>
      </c>
      <c r="V370" s="51" t="str">
        <f>_xlfn.TEXTJOIN(" ",TRUE,Migrationsartikel!L369)</f>
        <v/>
      </c>
      <c r="W370" s="51" t="str">
        <f>_xlfn.TEXTJOIN(" ",TRUE,Migrationsartikel!P369)</f>
        <v/>
      </c>
      <c r="X370" s="51" t="str">
        <f>Migrationsartikel!I369</f>
        <v>Zwiebeln Bund</v>
      </c>
      <c r="Y370" s="51" t="str">
        <f>Migrationsartikel!M369</f>
        <v>Oignos botte</v>
      </c>
      <c r="Z370" s="51" t="str">
        <f>Migrationsartikel!Q369</f>
        <v>Cipolle mazzetto</v>
      </c>
      <c r="AA370" s="60">
        <f>Migrationsartikel!R369</f>
        <v>1</v>
      </c>
      <c r="AB370" s="51" t="str">
        <f>Migrationsartikel!T369</f>
        <v>Stück</v>
      </c>
      <c r="AC370" s="62">
        <f>Migrationsartikel!S369</f>
        <v>1</v>
      </c>
      <c r="AD370" s="51" t="str">
        <f>Migrationsartikel!U369</f>
        <v>(PCE) Stück</v>
      </c>
      <c r="AE370" s="95" t="str">
        <f>Migrationsartikel!Y369</f>
        <v>3 - Reduzierter Satz</v>
      </c>
      <c r="AF370" s="64" t="str">
        <f>IF(Migrationsartikel!AA369="Kein Depotartikel","",Migrationsartikel!AA369)</f>
        <v/>
      </c>
      <c r="AG370" s="95" t="str">
        <f>Migrationsartikel!Z369</f>
        <v>Keine</v>
      </c>
      <c r="AH370" s="51" t="str">
        <f>IF(Migrationsartikel!AB369="ja","true",FALSE)</f>
        <v>true</v>
      </c>
      <c r="AI370" s="51" t="str">
        <f>IF(Migrationsartikel!AC369="ja","true",FALSE)</f>
        <v>true</v>
      </c>
      <c r="AJ370" s="51" t="str">
        <f>IF(Migrationsartikel!AD369="ja","true",FALSE)</f>
        <v>true</v>
      </c>
      <c r="AK370" s="51" t="str">
        <f>IF(Migrationsartikel!AE369="ja","true",FALSE)</f>
        <v>true</v>
      </c>
      <c r="AL370" s="51" t="str">
        <f>IF(Migrationsartikel!AF369="ja","Denner Partner","")</f>
        <v/>
      </c>
      <c r="AM370" s="51" t="str">
        <f>IF(Migrationsartikel!AG369="ja","true","false")</f>
        <v>false</v>
      </c>
      <c r="AN370" s="51" t="str">
        <f t="shared" si="6"/>
        <v>Kassentastenbelegung (ohne GTIN/PLU)</v>
      </c>
      <c r="AO370" s="63" t="s">
        <v>219</v>
      </c>
      <c r="AP370" s="62" t="s">
        <v>2797</v>
      </c>
      <c r="AQ370" s="63" t="s">
        <v>217</v>
      </c>
      <c r="AR370" s="30" t="s">
        <v>219</v>
      </c>
    </row>
    <row r="371" spans="2:44" ht="21.75" customHeight="1" x14ac:dyDescent="0.45">
      <c r="B371" s="51" t="s">
        <v>99</v>
      </c>
      <c r="E371" s="52" t="s">
        <v>87</v>
      </c>
      <c r="F371" s="51" t="str">
        <f>"Warengruppe&gt;&gt;"&amp;_xlfn.TEXTJOIN("&gt;&gt;",TRUE,Migrationsartikel!V370:X370)</f>
        <v>Warengruppe&gt;&gt;Früchte und Gemüse&gt;&gt;Früchte und Gemüse&gt;&gt;Gemüse</v>
      </c>
      <c r="H371" s="52" t="s">
        <v>109</v>
      </c>
      <c r="J371" s="51" t="str">
        <f>_xlfn.TEXTJOIN(" ",TRUE,Migrationsartikel!B370,Migrationsartikel!E370)</f>
        <v>2200317000000</v>
      </c>
      <c r="L371" s="51" t="str">
        <f>_xlfn.TEXTJOIN(" ",TRUE,Migrationsartikel!F370:H370)</f>
        <v>Zwiebeln rot mittel Netz 500g</v>
      </c>
      <c r="M371" s="51" t="str">
        <f>_xlfn.TEXTJOIN(" ",TRUE,Migrationsartikel!J370:L370)</f>
        <v>Oignons rouges, moyen Filet 500g</v>
      </c>
      <c r="N371" s="51" t="str">
        <f>_xlfn.TEXTJOIN(" ",TRUE,Migrationsartikel!N370:P370)</f>
        <v>Cipolle rosse medie retina 500g</v>
      </c>
      <c r="O371" s="51" t="str">
        <f>Migrationsartikel!F370</f>
        <v>Zwiebeln rot mittel</v>
      </c>
      <c r="P371" s="51" t="str">
        <f>Migrationsartikel!J370</f>
        <v>Oignons rouges, moyen</v>
      </c>
      <c r="Q371" s="51" t="str">
        <f>Migrationsartikel!N370</f>
        <v>Cipolle rosse medie</v>
      </c>
      <c r="R371" s="51" t="str">
        <f>_xlfn.TEXTJOIN(" ",TRUE,Migrationsartikel!G370)</f>
        <v>Netz</v>
      </c>
      <c r="S371" s="51" t="str">
        <f>_xlfn.TEXTJOIN(" ",TRUE,Migrationsartikel!K370)</f>
        <v>Filet</v>
      </c>
      <c r="T371" s="51" t="str">
        <f>_xlfn.TEXTJOIN(" ",TRUE,Migrationsartikel!O370)</f>
        <v>retina</v>
      </c>
      <c r="U371" s="51" t="str">
        <f>_xlfn.TEXTJOIN(" ",TRUE,Migrationsartikel!H370)</f>
        <v>500g</v>
      </c>
      <c r="V371" s="51" t="str">
        <f>_xlfn.TEXTJOIN(" ",TRUE,Migrationsartikel!L370)</f>
        <v>500g</v>
      </c>
      <c r="W371" s="51" t="str">
        <f>_xlfn.TEXTJOIN(" ",TRUE,Migrationsartikel!P370)</f>
        <v>500g</v>
      </c>
      <c r="X371" s="51" t="str">
        <f>Migrationsartikel!I370</f>
        <v>Zwiebeln Netz 500g</v>
      </c>
      <c r="Y371" s="51" t="str">
        <f>Migrationsartikel!M370</f>
        <v>Oignons rouges moyen 500g</v>
      </c>
      <c r="Z371" s="51" t="str">
        <f>Migrationsartikel!Q370</f>
        <v>Cipolle rosse medie ret 500g</v>
      </c>
      <c r="AA371" s="60">
        <f>Migrationsartikel!R370</f>
        <v>0.5</v>
      </c>
      <c r="AB371" s="51" t="str">
        <f>Migrationsartikel!T370</f>
        <v>Kilogramm</v>
      </c>
      <c r="AC371" s="62">
        <f>Migrationsartikel!S370</f>
        <v>1</v>
      </c>
      <c r="AD371" s="51" t="str">
        <f>Migrationsartikel!U370</f>
        <v>(PCE) Stück</v>
      </c>
      <c r="AE371" s="95" t="str">
        <f>Migrationsartikel!Y370</f>
        <v>3 - Reduzierter Satz</v>
      </c>
      <c r="AF371" s="64" t="str">
        <f>IF(Migrationsartikel!AA370="Kein Depotartikel","",Migrationsartikel!AA370)</f>
        <v/>
      </c>
      <c r="AG371" s="95" t="str">
        <f>Migrationsartikel!Z370</f>
        <v>Keine</v>
      </c>
      <c r="AH371" s="51" t="str">
        <f>IF(Migrationsartikel!AB370="ja","true",FALSE)</f>
        <v>true</v>
      </c>
      <c r="AI371" s="51" t="str">
        <f>IF(Migrationsartikel!AC370="ja","true",FALSE)</f>
        <v>true</v>
      </c>
      <c r="AJ371" s="51" t="str">
        <f>IF(Migrationsartikel!AD370="ja","true",FALSE)</f>
        <v>true</v>
      </c>
      <c r="AK371" s="51" t="str">
        <f>IF(Migrationsartikel!AE370="ja","true",FALSE)</f>
        <v>true</v>
      </c>
      <c r="AL371" s="51" t="str">
        <f>IF(Migrationsartikel!AF370="ja","Denner Partner","")</f>
        <v/>
      </c>
      <c r="AM371" s="51" t="str">
        <f>IF(Migrationsartikel!AG370="ja","true","false")</f>
        <v>false</v>
      </c>
      <c r="AN371" s="51" t="str">
        <f t="shared" si="6"/>
        <v>Kassentastenbelegung (ohne GTIN/PLU)</v>
      </c>
      <c r="AO371" s="63" t="s">
        <v>219</v>
      </c>
      <c r="AP371" s="62" t="s">
        <v>2798</v>
      </c>
      <c r="AQ371" s="63" t="s">
        <v>217</v>
      </c>
      <c r="AR371" s="30" t="s">
        <v>219</v>
      </c>
    </row>
    <row r="372" spans="2:44" ht="21.75" customHeight="1" x14ac:dyDescent="0.45">
      <c r="B372" s="51" t="s">
        <v>99</v>
      </c>
      <c r="E372" s="52" t="s">
        <v>87</v>
      </c>
      <c r="F372" s="51" t="str">
        <f>"Warengruppe&gt;&gt;"&amp;_xlfn.TEXTJOIN("&gt;&gt;",TRUE,Migrationsartikel!V371:X371)</f>
        <v>Warengruppe&gt;&gt;Früchte und Gemüse&gt;&gt;Früchte und Gemüse&gt;&gt;Gemüse</v>
      </c>
      <c r="H372" s="52" t="s">
        <v>109</v>
      </c>
      <c r="J372" s="51" t="str">
        <f>_xlfn.TEXTJOIN(" ",TRUE,Migrationsartikel!B371,Migrationsartikel!E371)</f>
        <v>2200318000000</v>
      </c>
      <c r="L372" s="51" t="str">
        <f>_xlfn.TEXTJOIN(" ",TRUE,Migrationsartikel!F371:H371)</f>
        <v>Zwiebeln rot mittel Netz 1kg</v>
      </c>
      <c r="M372" s="51" t="str">
        <f>_xlfn.TEXTJOIN(" ",TRUE,Migrationsartikel!J371:L371)</f>
        <v>Oignons rouges, moyen Filet 1kg</v>
      </c>
      <c r="N372" s="51" t="str">
        <f>_xlfn.TEXTJOIN(" ",TRUE,Migrationsartikel!N371:P371)</f>
        <v>Cipolle rosse medie retina 1kg</v>
      </c>
      <c r="O372" s="51" t="str">
        <f>Migrationsartikel!F371</f>
        <v>Zwiebeln rot mittel</v>
      </c>
      <c r="P372" s="51" t="str">
        <f>Migrationsartikel!J371</f>
        <v>Oignons rouges, moyen</v>
      </c>
      <c r="Q372" s="51" t="str">
        <f>Migrationsartikel!N371</f>
        <v>Cipolle rosse medie</v>
      </c>
      <c r="R372" s="51" t="str">
        <f>_xlfn.TEXTJOIN(" ",TRUE,Migrationsartikel!G371)</f>
        <v>Netz</v>
      </c>
      <c r="S372" s="51" t="str">
        <f>_xlfn.TEXTJOIN(" ",TRUE,Migrationsartikel!K371)</f>
        <v>Filet</v>
      </c>
      <c r="T372" s="51" t="str">
        <f>_xlfn.TEXTJOIN(" ",TRUE,Migrationsartikel!O371)</f>
        <v>retina</v>
      </c>
      <c r="U372" s="51" t="str">
        <f>_xlfn.TEXTJOIN(" ",TRUE,Migrationsartikel!H371)</f>
        <v>1kg</v>
      </c>
      <c r="V372" s="51" t="str">
        <f>_xlfn.TEXTJOIN(" ",TRUE,Migrationsartikel!L371)</f>
        <v>1kg</v>
      </c>
      <c r="W372" s="51" t="str">
        <f>_xlfn.TEXTJOIN(" ",TRUE,Migrationsartikel!P371)</f>
        <v>1kg</v>
      </c>
      <c r="X372" s="51" t="str">
        <f>Migrationsartikel!I371</f>
        <v>Zwiebeln Netz 1kg</v>
      </c>
      <c r="Y372" s="51" t="str">
        <f>Migrationsartikel!M371</f>
        <v>Oignons rouges moyen 1kg</v>
      </c>
      <c r="Z372" s="51" t="str">
        <f>Migrationsartikel!Q371</f>
        <v>Cipolle rosse medie ret 1kg</v>
      </c>
      <c r="AA372" s="60">
        <f>Migrationsartikel!R371</f>
        <v>1</v>
      </c>
      <c r="AB372" s="51" t="str">
        <f>Migrationsartikel!T371</f>
        <v>Kilogramm</v>
      </c>
      <c r="AC372" s="62">
        <f>Migrationsartikel!S371</f>
        <v>1</v>
      </c>
      <c r="AD372" s="51" t="str">
        <f>Migrationsartikel!U371</f>
        <v>(PCE) Stück</v>
      </c>
      <c r="AE372" s="95" t="str">
        <f>Migrationsartikel!Y371</f>
        <v>3 - Reduzierter Satz</v>
      </c>
      <c r="AF372" s="64" t="str">
        <f>IF(Migrationsartikel!AA371="Kein Depotartikel","",Migrationsartikel!AA371)</f>
        <v/>
      </c>
      <c r="AG372" s="95" t="str">
        <f>Migrationsartikel!Z371</f>
        <v>Keine</v>
      </c>
      <c r="AH372" s="51" t="str">
        <f>IF(Migrationsartikel!AB371="ja","true",FALSE)</f>
        <v>true</v>
      </c>
      <c r="AI372" s="51" t="str">
        <f>IF(Migrationsartikel!AC371="ja","true",FALSE)</f>
        <v>true</v>
      </c>
      <c r="AJ372" s="51" t="str">
        <f>IF(Migrationsartikel!AD371="ja","true",FALSE)</f>
        <v>true</v>
      </c>
      <c r="AK372" s="51" t="str">
        <f>IF(Migrationsartikel!AE371="ja","true",FALSE)</f>
        <v>true</v>
      </c>
      <c r="AL372" s="51" t="str">
        <f>IF(Migrationsartikel!AF371="ja","Denner Partner","")</f>
        <v/>
      </c>
      <c r="AM372" s="51" t="str">
        <f>IF(Migrationsartikel!AG371="ja","true","false")</f>
        <v>false</v>
      </c>
      <c r="AN372" s="51" t="str">
        <f t="shared" si="6"/>
        <v>Kassentastenbelegung (ohne GTIN/PLU)</v>
      </c>
      <c r="AO372" s="63" t="s">
        <v>219</v>
      </c>
      <c r="AP372" s="62" t="s">
        <v>2799</v>
      </c>
      <c r="AQ372" s="63" t="s">
        <v>217</v>
      </c>
      <c r="AR372" s="30" t="s">
        <v>219</v>
      </c>
    </row>
    <row r="373" spans="2:44" ht="21.75" customHeight="1" x14ac:dyDescent="0.45">
      <c r="B373" s="51" t="s">
        <v>99</v>
      </c>
      <c r="E373" s="52" t="s">
        <v>87</v>
      </c>
      <c r="F373" s="51" t="str">
        <f>"Warengruppe&gt;&gt;"&amp;_xlfn.TEXTJOIN("&gt;&gt;",TRUE,Migrationsartikel!V372:X372)</f>
        <v>Warengruppe&gt;&gt;Früchte und Gemüse&gt;&gt;Früchte und Gemüse&gt;&gt;Gemüse</v>
      </c>
      <c r="H373" s="52" t="s">
        <v>109</v>
      </c>
      <c r="J373" s="51" t="str">
        <f>_xlfn.TEXTJOIN(" ",TRUE,Migrationsartikel!B372,Migrationsartikel!E372)</f>
        <v>219</v>
      </c>
      <c r="L373" s="51" t="str">
        <f>_xlfn.TEXTJOIN(" ",TRUE,Migrationsartikel!F372:H372)</f>
        <v>Zwiebeln rot mittel Offen</v>
      </c>
      <c r="M373" s="51" t="str">
        <f>_xlfn.TEXTJOIN(" ",TRUE,Migrationsartikel!J372:L372)</f>
        <v>Oignons rouges, moyen En vrac</v>
      </c>
      <c r="N373" s="51" t="str">
        <f>_xlfn.TEXTJOIN(" ",TRUE,Migrationsartikel!N372:P372)</f>
        <v>Cipolle rosse medie vendita sfusa</v>
      </c>
      <c r="O373" s="51" t="str">
        <f>Migrationsartikel!F372</f>
        <v>Zwiebeln rot mittel</v>
      </c>
      <c r="P373" s="51" t="str">
        <f>Migrationsartikel!J372</f>
        <v>Oignons rouges, moyen</v>
      </c>
      <c r="Q373" s="51" t="str">
        <f>Migrationsartikel!N372</f>
        <v>Cipolle rosse medie</v>
      </c>
      <c r="R373" s="51" t="str">
        <f>_xlfn.TEXTJOIN(" ",TRUE,Migrationsartikel!G372)</f>
        <v>Offen</v>
      </c>
      <c r="S373" s="51" t="str">
        <f>_xlfn.TEXTJOIN(" ",TRUE,Migrationsartikel!K372)</f>
        <v>En vrac</v>
      </c>
      <c r="T373" s="51" t="str">
        <f>_xlfn.TEXTJOIN(" ",TRUE,Migrationsartikel!O372)</f>
        <v>vendita sfusa</v>
      </c>
      <c r="U373" s="51" t="str">
        <f>_xlfn.TEXTJOIN(" ",TRUE,Migrationsartikel!H372)</f>
        <v/>
      </c>
      <c r="V373" s="51" t="str">
        <f>_xlfn.TEXTJOIN(" ",TRUE,Migrationsartikel!L372)</f>
        <v/>
      </c>
      <c r="W373" s="51" t="str">
        <f>_xlfn.TEXTJOIN(" ",TRUE,Migrationsartikel!P372)</f>
        <v/>
      </c>
      <c r="X373" s="51" t="str">
        <f>Migrationsartikel!I372</f>
        <v>Zwiebeln rot mittel Offen</v>
      </c>
      <c r="Y373" s="51" t="str">
        <f>Migrationsartikel!M372</f>
        <v>Oignons rouges moyen en vrac</v>
      </c>
      <c r="Z373" s="51" t="str">
        <f>Migrationsartikel!Q372</f>
        <v>Cipolle rosse medie v. sfusa</v>
      </c>
      <c r="AA373" s="60">
        <f>Migrationsartikel!R372</f>
        <v>1</v>
      </c>
      <c r="AB373" s="51" t="str">
        <f>Migrationsartikel!T372</f>
        <v>Kilogramm</v>
      </c>
      <c r="AC373" s="62">
        <f>Migrationsartikel!S372</f>
        <v>1</v>
      </c>
      <c r="AD373" s="51" t="str">
        <f>Migrationsartikel!U372</f>
        <v>(KGM) KG</v>
      </c>
      <c r="AE373" s="95" t="str">
        <f>Migrationsartikel!Y372</f>
        <v>3 - Reduzierter Satz</v>
      </c>
      <c r="AF373" s="64" t="str">
        <f>IF(Migrationsartikel!AA372="Kein Depotartikel","",Migrationsartikel!AA372)</f>
        <v/>
      </c>
      <c r="AG373" s="95" t="str">
        <f>Migrationsartikel!Z372</f>
        <v>Keine</v>
      </c>
      <c r="AH373" s="51" t="str">
        <f>IF(Migrationsartikel!AB372="ja","true",FALSE)</f>
        <v>true</v>
      </c>
      <c r="AI373" s="51" t="str">
        <f>IF(Migrationsartikel!AC372="ja","true",FALSE)</f>
        <v>true</v>
      </c>
      <c r="AJ373" s="51" t="str">
        <f>IF(Migrationsartikel!AD372="ja","true",FALSE)</f>
        <v>true</v>
      </c>
      <c r="AK373" s="51" t="str">
        <f>IF(Migrationsartikel!AE372="ja","true",FALSE)</f>
        <v>true</v>
      </c>
      <c r="AL373" s="51" t="str">
        <f>IF(Migrationsartikel!AF372="ja","Denner Partner","")</f>
        <v/>
      </c>
      <c r="AM373" s="51" t="str">
        <f>IF(Migrationsartikel!AG372="ja","true","false")</f>
        <v>false</v>
      </c>
      <c r="AN373" s="51" t="str">
        <f t="shared" si="6"/>
        <v>Kassentastenbelegung (ohne GTIN/PLU)</v>
      </c>
      <c r="AO373" s="63" t="s">
        <v>219</v>
      </c>
      <c r="AP373" s="62" t="s">
        <v>2800</v>
      </c>
      <c r="AQ373" s="63" t="s">
        <v>217</v>
      </c>
      <c r="AR373" s="30" t="s">
        <v>219</v>
      </c>
    </row>
    <row r="374" spans="2:44" ht="21.75" customHeight="1" x14ac:dyDescent="0.45">
      <c r="B374" s="51" t="s">
        <v>99</v>
      </c>
      <c r="E374" s="52" t="s">
        <v>87</v>
      </c>
      <c r="F374" s="51" t="str">
        <f>"Warengruppe&gt;&gt;"&amp;_xlfn.TEXTJOIN("&gt;&gt;",TRUE,Migrationsartikel!V373:X373)</f>
        <v>Warengruppe&gt;&gt;Food&gt;&gt;Öl/Essig/Salatsaucen&gt;&gt;Öl/Essig/Salatsaucen</v>
      </c>
      <c r="H374" s="52" t="s">
        <v>109</v>
      </c>
      <c r="J374" s="51" t="str">
        <f>_xlfn.TEXTJOIN(" ",TRUE,Migrationsartikel!B373,Migrationsartikel!E373)</f>
        <v>7613399028307</v>
      </c>
      <c r="L374" s="51" t="str">
        <f>_xlfn.TEXTJOIN(" ",TRUE,Migrationsartikel!F373:H373)</f>
        <v>Dip Sauce Becher 120g</v>
      </c>
      <c r="M374" s="51" t="str">
        <f>_xlfn.TEXTJOIN(" ",TRUE,Migrationsartikel!J373:L373)</f>
        <v>Sauce dip gobelet 120g</v>
      </c>
      <c r="N374" s="51" t="str">
        <f>_xlfn.TEXTJOIN(" ",TRUE,Migrationsartikel!N373:P373)</f>
        <v>Salsa Dip coppetta 120g</v>
      </c>
      <c r="O374" s="51" t="str">
        <f>Migrationsartikel!F373</f>
        <v>Dip Sauce Becher</v>
      </c>
      <c r="P374" s="51" t="str">
        <f>Migrationsartikel!J373</f>
        <v>Sauce dip gobelet</v>
      </c>
      <c r="Q374" s="51" t="str">
        <f>Migrationsartikel!N373</f>
        <v>Salsa Dip coppetta</v>
      </c>
      <c r="R374" s="51" t="str">
        <f>_xlfn.TEXTJOIN(" ",TRUE,Migrationsartikel!G373)</f>
        <v/>
      </c>
      <c r="S374" s="51" t="str">
        <f>_xlfn.TEXTJOIN(" ",TRUE,Migrationsartikel!K373)</f>
        <v/>
      </c>
      <c r="T374" s="51" t="str">
        <f>_xlfn.TEXTJOIN(" ",TRUE,Migrationsartikel!O373)</f>
        <v/>
      </c>
      <c r="U374" s="51" t="str">
        <f>_xlfn.TEXTJOIN(" ",TRUE,Migrationsartikel!H373)</f>
        <v>120g</v>
      </c>
      <c r="V374" s="51" t="str">
        <f>_xlfn.TEXTJOIN(" ",TRUE,Migrationsartikel!L373)</f>
        <v>120g</v>
      </c>
      <c r="W374" s="51" t="str">
        <f>_xlfn.TEXTJOIN(" ",TRUE,Migrationsartikel!P373)</f>
        <v>120g</v>
      </c>
      <c r="X374" s="51" t="str">
        <f>Migrationsartikel!I373</f>
        <v>Dip Sauce Becher</v>
      </c>
      <c r="Y374" s="51" t="str">
        <f>Migrationsartikel!M373</f>
        <v>Sauce dip gobelet 120g</v>
      </c>
      <c r="Z374" s="51" t="str">
        <f>Migrationsartikel!Q373</f>
        <v>Salsa Dip. copetta 120g</v>
      </c>
      <c r="AA374" s="60">
        <f>Migrationsartikel!R373</f>
        <v>0.12</v>
      </c>
      <c r="AB374" s="51" t="str">
        <f>Migrationsartikel!T373</f>
        <v>Gramm</v>
      </c>
      <c r="AC374" s="62">
        <f>Migrationsartikel!S373</f>
        <v>100</v>
      </c>
      <c r="AD374" s="51" t="str">
        <f>Migrationsartikel!U373</f>
        <v>(PCE) Stück</v>
      </c>
      <c r="AE374" s="95" t="str">
        <f>Migrationsartikel!Y373</f>
        <v>3 - Reduzierter Satz</v>
      </c>
      <c r="AF374" s="64" t="str">
        <f>IF(Migrationsartikel!AA373="Kein Depotartikel","",Migrationsartikel!AA373)</f>
        <v/>
      </c>
      <c r="AG374" s="95" t="str">
        <f>Migrationsartikel!Z373</f>
        <v>Keine</v>
      </c>
      <c r="AH374" s="51" t="str">
        <f>IF(Migrationsartikel!AB373="ja","true",FALSE)</f>
        <v>true</v>
      </c>
      <c r="AI374" s="51" t="str">
        <f>IF(Migrationsartikel!AC373="ja","true",FALSE)</f>
        <v>true</v>
      </c>
      <c r="AJ374" s="51" t="str">
        <f>IF(Migrationsartikel!AD373="ja","true",FALSE)</f>
        <v>true</v>
      </c>
      <c r="AK374" s="51" t="str">
        <f>IF(Migrationsartikel!AE373="ja","true",FALSE)</f>
        <v>true</v>
      </c>
      <c r="AL374" s="51" t="str">
        <f>IF(Migrationsartikel!AF373="ja","Denner Partner","")</f>
        <v/>
      </c>
      <c r="AM374" s="51" t="str">
        <f>IF(Migrationsartikel!AG373="ja","true","false")</f>
        <v>false</v>
      </c>
      <c r="AN374" s="51" t="str">
        <f t="shared" si="6"/>
        <v>Kassentastenbelegung (ohne GTIN/PLU)</v>
      </c>
      <c r="AO374" s="63" t="s">
        <v>219</v>
      </c>
      <c r="AP374" s="62" t="s">
        <v>2801</v>
      </c>
      <c r="AQ374" s="63" t="s">
        <v>217</v>
      </c>
      <c r="AR374" s="30" t="s">
        <v>219</v>
      </c>
    </row>
    <row r="375" spans="2:44" ht="21.75" customHeight="1" x14ac:dyDescent="0.45">
      <c r="B375" s="51" t="s">
        <v>99</v>
      </c>
      <c r="E375" s="52" t="s">
        <v>87</v>
      </c>
      <c r="F375" s="51" t="str">
        <f>"Warengruppe&gt;&gt;"&amp;_xlfn.TEXTJOIN("&gt;&gt;",TRUE,Migrationsartikel!V374:X374)</f>
        <v>Warengruppe&gt;&gt;Food&gt;&gt;Öl/Essig/Salatsaucen&gt;&gt;Öl/Essig/Salatsaucen</v>
      </c>
      <c r="H375" s="52" t="s">
        <v>109</v>
      </c>
      <c r="J375" s="51" t="str">
        <f>_xlfn.TEXTJOIN(" ",TRUE,Migrationsartikel!B374,Migrationsartikel!E374)</f>
        <v/>
      </c>
      <c r="L375" s="51" t="str">
        <f>_xlfn.TEXTJOIN(" ",TRUE,Migrationsartikel!F374:H374)</f>
        <v>Salatsauce Mama's 500ml</v>
      </c>
      <c r="M375" s="51" t="str">
        <f>_xlfn.TEXTJOIN(" ",TRUE,Migrationsartikel!J374:L374)</f>
        <v>Sauce à salade Mama’s 500ml</v>
      </c>
      <c r="N375" s="51" t="str">
        <f>_xlfn.TEXTJOIN(" ",TRUE,Migrationsartikel!N374:P374)</f>
        <v>Mama's Condimento insalata 500ml</v>
      </c>
      <c r="O375" s="51" t="str">
        <f>Migrationsartikel!F374</f>
        <v>Salatsauce Mama's</v>
      </c>
      <c r="P375" s="51" t="str">
        <f>Migrationsartikel!J374</f>
        <v>Sauce à salade Mama’s</v>
      </c>
      <c r="Q375" s="51" t="str">
        <f>Migrationsartikel!N374</f>
        <v>Mama's Condimento</v>
      </c>
      <c r="R375" s="51" t="str">
        <f>_xlfn.TEXTJOIN(" ",TRUE,Migrationsartikel!G374)</f>
        <v/>
      </c>
      <c r="S375" s="51" t="str">
        <f>_xlfn.TEXTJOIN(" ",TRUE,Migrationsartikel!K374)</f>
        <v/>
      </c>
      <c r="T375" s="51" t="str">
        <f>_xlfn.TEXTJOIN(" ",TRUE,Migrationsartikel!O374)</f>
        <v>insalata</v>
      </c>
      <c r="U375" s="51" t="str">
        <f>_xlfn.TEXTJOIN(" ",TRUE,Migrationsartikel!H374)</f>
        <v>500ml</v>
      </c>
      <c r="V375" s="51" t="str">
        <f>_xlfn.TEXTJOIN(" ",TRUE,Migrationsartikel!L374)</f>
        <v>500ml</v>
      </c>
      <c r="W375" s="51" t="str">
        <f>_xlfn.TEXTJOIN(" ",TRUE,Migrationsartikel!P374)</f>
        <v>500ml</v>
      </c>
      <c r="X375" s="51" t="str">
        <f>Migrationsartikel!I374</f>
        <v>Salatsauce Mama's</v>
      </c>
      <c r="Y375" s="51" t="str">
        <f>Migrationsartikel!M374</f>
        <v>Sauce à salade Mama's 500ml</v>
      </c>
      <c r="Z375" s="51" t="str">
        <f>Migrationsartikel!Q374</f>
        <v>Mama's Cond. insal. 500ml</v>
      </c>
      <c r="AA375" s="60">
        <f>Migrationsartikel!R374</f>
        <v>0.5</v>
      </c>
      <c r="AB375" s="51" t="str">
        <f>Migrationsartikel!T374</f>
        <v>Liter</v>
      </c>
      <c r="AC375" s="62">
        <f>Migrationsartikel!S374</f>
        <v>1</v>
      </c>
      <c r="AD375" s="51" t="str">
        <f>Migrationsartikel!U374</f>
        <v>(LTR) Liter</v>
      </c>
      <c r="AE375" s="95" t="str">
        <f>Migrationsartikel!Y374</f>
        <v>3 - Reduzierter Satz</v>
      </c>
      <c r="AF375" s="64" t="str">
        <f>IF(Migrationsartikel!AA374="Kein Depotartikel","",Migrationsartikel!AA374)</f>
        <v/>
      </c>
      <c r="AG375" s="95" t="str">
        <f>Migrationsartikel!Z374</f>
        <v>Keine</v>
      </c>
      <c r="AH375" s="51" t="str">
        <f>IF(Migrationsartikel!AB374="ja","true",FALSE)</f>
        <v>true</v>
      </c>
      <c r="AI375" s="51" t="str">
        <f>IF(Migrationsartikel!AC374="ja","true",FALSE)</f>
        <v>true</v>
      </c>
      <c r="AJ375" s="51" t="str">
        <f>IF(Migrationsartikel!AD374="ja","true",FALSE)</f>
        <v>true</v>
      </c>
      <c r="AK375" s="51" t="str">
        <f>IF(Migrationsartikel!AE374="ja","true",FALSE)</f>
        <v>true</v>
      </c>
      <c r="AL375" s="51" t="str">
        <f>IF(Migrationsartikel!AF374="ja","Denner Partner","")</f>
        <v/>
      </c>
      <c r="AM375" s="51" t="str">
        <f>IF(Migrationsartikel!AG374="ja","true","false")</f>
        <v>false</v>
      </c>
      <c r="AN375" s="51" t="str">
        <f t="shared" si="6"/>
        <v>Kassentastenbelegung (ohne GTIN/PLU)</v>
      </c>
      <c r="AO375" s="63" t="s">
        <v>219</v>
      </c>
      <c r="AP375" s="62" t="s">
        <v>2802</v>
      </c>
      <c r="AQ375" s="63" t="s">
        <v>217</v>
      </c>
      <c r="AR375" s="30" t="s">
        <v>219</v>
      </c>
    </row>
    <row r="376" spans="2:44" ht="21.75" customHeight="1" x14ac:dyDescent="0.45">
      <c r="O376" s="51"/>
      <c r="P376" s="51"/>
      <c r="Q376" s="51"/>
    </row>
    <row r="377" spans="2:44" ht="21.75" customHeight="1" x14ac:dyDescent="0.45">
      <c r="O377" s="51"/>
      <c r="P377" s="51"/>
      <c r="Q377" s="51"/>
    </row>
    <row r="378" spans="2:44" ht="21.75" customHeight="1" x14ac:dyDescent="0.45">
      <c r="O378" s="51"/>
      <c r="P378" s="51"/>
      <c r="Q378" s="51"/>
    </row>
    <row r="379" spans="2:44" ht="21.75" customHeight="1" x14ac:dyDescent="0.45">
      <c r="O379" s="51"/>
      <c r="P379" s="51"/>
      <c r="Q379" s="51"/>
    </row>
    <row r="380" spans="2:44" ht="21.75" customHeight="1" x14ac:dyDescent="0.45">
      <c r="O380" s="51"/>
      <c r="P380" s="51"/>
      <c r="Q380" s="51"/>
    </row>
    <row r="381" spans="2:44" ht="21.75" customHeight="1" x14ac:dyDescent="0.45">
      <c r="O381" s="51"/>
      <c r="P381" s="51"/>
      <c r="Q381" s="51"/>
    </row>
    <row r="382" spans="2:44" ht="21.75" customHeight="1" x14ac:dyDescent="0.45">
      <c r="O382" s="51"/>
      <c r="P382" s="51"/>
      <c r="Q382" s="51"/>
    </row>
    <row r="383" spans="2:44" ht="21.75" customHeight="1" x14ac:dyDescent="0.45">
      <c r="O383" s="51"/>
      <c r="P383" s="51"/>
      <c r="Q383" s="51"/>
    </row>
    <row r="384" spans="2:44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  <row r="1482" spans="15:17" ht="21.75" customHeight="1" x14ac:dyDescent="0.45">
      <c r="O1482" s="51"/>
      <c r="P1482" s="51"/>
      <c r="Q1482" s="51"/>
    </row>
    <row r="1483" spans="15:17" ht="21.75" customHeight="1" x14ac:dyDescent="0.45">
      <c r="O1483" s="51"/>
      <c r="P1483" s="51"/>
      <c r="Q1483" s="51"/>
    </row>
    <row r="1484" spans="15:17" ht="21.75" customHeight="1" x14ac:dyDescent="0.45">
      <c r="O1484" s="51"/>
      <c r="P1484" s="51"/>
      <c r="Q1484" s="51"/>
    </row>
    <row r="1485" spans="15:17" ht="21.75" customHeight="1" x14ac:dyDescent="0.45">
      <c r="O1485" s="51"/>
      <c r="P1485" s="51"/>
      <c r="Q1485" s="51"/>
    </row>
    <row r="1486" spans="15:17" ht="21.75" customHeight="1" x14ac:dyDescent="0.45">
      <c r="O1486" s="51"/>
      <c r="P1486" s="51"/>
      <c r="Q1486" s="51"/>
    </row>
    <row r="1487" spans="15:17" ht="21.75" customHeight="1" x14ac:dyDescent="0.45">
      <c r="O1487" s="51"/>
      <c r="P1487" s="51"/>
      <c r="Q1487" s="51"/>
    </row>
    <row r="1488" spans="15:17" ht="21.75" customHeight="1" x14ac:dyDescent="0.45">
      <c r="O1488" s="51"/>
      <c r="P1488" s="51"/>
      <c r="Q1488" s="51"/>
    </row>
    <row r="1489" spans="15:17" ht="21.75" customHeight="1" x14ac:dyDescent="0.45">
      <c r="O1489" s="51"/>
      <c r="P1489" s="51"/>
      <c r="Q1489" s="51"/>
    </row>
    <row r="1490" spans="15:17" ht="21.75" customHeight="1" x14ac:dyDescent="0.45">
      <c r="O1490" s="51"/>
      <c r="P1490" s="51"/>
      <c r="Q1490" s="51"/>
    </row>
    <row r="1491" spans="15:17" ht="21.75" customHeight="1" x14ac:dyDescent="0.45">
      <c r="O1491" s="51"/>
      <c r="P1491" s="51"/>
      <c r="Q1491" s="51"/>
    </row>
    <row r="1492" spans="15:17" ht="21.75" customHeight="1" x14ac:dyDescent="0.45">
      <c r="O1492" s="51"/>
      <c r="P1492" s="51"/>
      <c r="Q1492" s="51"/>
    </row>
    <row r="1493" spans="15:17" ht="21.75" customHeight="1" x14ac:dyDescent="0.45">
      <c r="O1493" s="51"/>
      <c r="P1493" s="51"/>
      <c r="Q1493" s="51"/>
    </row>
    <row r="1494" spans="15:17" ht="21.75" customHeight="1" x14ac:dyDescent="0.45">
      <c r="O1494" s="51"/>
      <c r="P1494" s="51"/>
      <c r="Q1494" s="51"/>
    </row>
    <row r="1495" spans="15:17" ht="21.75" customHeight="1" x14ac:dyDescent="0.45">
      <c r="O1495" s="51"/>
      <c r="P1495" s="51"/>
      <c r="Q1495" s="51"/>
    </row>
    <row r="1496" spans="15:17" ht="21.75" customHeight="1" x14ac:dyDescent="0.45">
      <c r="O1496" s="51"/>
      <c r="P1496" s="51"/>
      <c r="Q1496" s="51"/>
    </row>
    <row r="1497" spans="15:17" ht="21.75" customHeight="1" x14ac:dyDescent="0.45">
      <c r="O1497" s="51"/>
      <c r="P1497" s="51"/>
      <c r="Q1497" s="51"/>
    </row>
    <row r="1498" spans="15:17" ht="21.75" customHeight="1" x14ac:dyDescent="0.45">
      <c r="O1498" s="51"/>
      <c r="P1498" s="51"/>
      <c r="Q1498" s="51"/>
    </row>
    <row r="1499" spans="15:17" ht="21.75" customHeight="1" x14ac:dyDescent="0.45">
      <c r="O1499" s="51"/>
      <c r="P1499" s="51"/>
      <c r="Q1499" s="51"/>
    </row>
    <row r="1500" spans="15:17" ht="21.75" customHeight="1" x14ac:dyDescent="0.45">
      <c r="O1500" s="51"/>
      <c r="P1500" s="51"/>
      <c r="Q1500" s="51"/>
    </row>
    <row r="1501" spans="15:17" ht="21.75" customHeight="1" x14ac:dyDescent="0.45">
      <c r="O1501" s="51"/>
      <c r="P1501" s="51"/>
      <c r="Q1501" s="51"/>
    </row>
    <row r="1502" spans="15:17" ht="21.75" customHeight="1" x14ac:dyDescent="0.45">
      <c r="O1502" s="51"/>
      <c r="P1502" s="51"/>
      <c r="Q1502" s="51"/>
    </row>
    <row r="1503" spans="15:17" ht="21.75" customHeight="1" x14ac:dyDescent="0.45">
      <c r="O1503" s="51"/>
      <c r="P1503" s="51"/>
      <c r="Q1503" s="51"/>
    </row>
    <row r="1504" spans="15:17" ht="21.75" customHeight="1" x14ac:dyDescent="0.45">
      <c r="O1504" s="51"/>
      <c r="P1504" s="51"/>
      <c r="Q1504" s="51"/>
    </row>
    <row r="1505" spans="15:17" ht="21.75" customHeight="1" x14ac:dyDescent="0.45">
      <c r="O1505" s="51"/>
      <c r="P1505" s="51"/>
      <c r="Q1505" s="51"/>
    </row>
    <row r="1506" spans="15:17" ht="21.75" customHeight="1" x14ac:dyDescent="0.45">
      <c r="O1506" s="51"/>
      <c r="P1506" s="51"/>
      <c r="Q1506" s="51"/>
    </row>
    <row r="1507" spans="15:17" ht="21.75" customHeight="1" x14ac:dyDescent="0.45">
      <c r="O1507" s="51"/>
      <c r="P1507" s="51"/>
      <c r="Q1507" s="51"/>
    </row>
    <row r="1508" spans="15:17" ht="21.75" customHeight="1" x14ac:dyDescent="0.45">
      <c r="O1508" s="51"/>
      <c r="P1508" s="51"/>
      <c r="Q1508" s="51"/>
    </row>
    <row r="1509" spans="15:17" ht="21.75" customHeight="1" x14ac:dyDescent="0.45">
      <c r="O1509" s="51"/>
      <c r="P1509" s="51"/>
      <c r="Q1509" s="51"/>
    </row>
    <row r="1510" spans="15:17" ht="21.75" customHeight="1" x14ac:dyDescent="0.45">
      <c r="O1510" s="51"/>
      <c r="P1510" s="51"/>
      <c r="Q1510" s="51"/>
    </row>
    <row r="1511" spans="15:17" ht="21.75" customHeight="1" x14ac:dyDescent="0.45">
      <c r="O1511" s="51"/>
      <c r="P1511" s="51"/>
      <c r="Q1511" s="51"/>
    </row>
    <row r="1512" spans="15:17" ht="21.75" customHeight="1" x14ac:dyDescent="0.45">
      <c r="O1512" s="51"/>
      <c r="P1512" s="51"/>
      <c r="Q1512" s="51"/>
    </row>
    <row r="1513" spans="15:17" ht="21.75" customHeight="1" x14ac:dyDescent="0.45">
      <c r="O1513" s="51"/>
      <c r="P1513" s="51"/>
      <c r="Q1513" s="51"/>
    </row>
    <row r="1514" spans="15:17" ht="21.75" customHeight="1" x14ac:dyDescent="0.45">
      <c r="O1514" s="51"/>
      <c r="P1514" s="51"/>
      <c r="Q1514" s="51"/>
    </row>
    <row r="1515" spans="15:17" ht="21.75" customHeight="1" x14ac:dyDescent="0.45">
      <c r="O1515" s="51"/>
      <c r="P1515" s="51"/>
      <c r="Q1515" s="51"/>
    </row>
    <row r="1516" spans="15:17" ht="21.75" customHeight="1" x14ac:dyDescent="0.45">
      <c r="O1516" s="51"/>
      <c r="P1516" s="51"/>
      <c r="Q1516" s="51"/>
    </row>
    <row r="1517" spans="15:17" ht="21.75" customHeight="1" x14ac:dyDescent="0.45">
      <c r="O1517" s="51"/>
      <c r="P1517" s="51"/>
      <c r="Q1517" s="51"/>
    </row>
    <row r="1518" spans="15:17" ht="21.75" customHeight="1" x14ac:dyDescent="0.45">
      <c r="O1518" s="51"/>
      <c r="P1518" s="51"/>
      <c r="Q1518" s="51"/>
    </row>
    <row r="1519" spans="15:17" ht="21.75" customHeight="1" x14ac:dyDescent="0.45">
      <c r="O1519" s="51"/>
      <c r="P1519" s="51"/>
      <c r="Q1519" s="51"/>
    </row>
    <row r="1520" spans="15:17" ht="21.75" customHeight="1" x14ac:dyDescent="0.45">
      <c r="O1520" s="51"/>
      <c r="P1520" s="51"/>
      <c r="Q1520" s="51"/>
    </row>
    <row r="1521" spans="15:17" ht="21.75" customHeight="1" x14ac:dyDescent="0.45">
      <c r="O1521" s="51"/>
      <c r="P1521" s="51"/>
      <c r="Q1521" s="51"/>
    </row>
    <row r="1522" spans="15:17" ht="21.75" customHeight="1" x14ac:dyDescent="0.45">
      <c r="O1522" s="51"/>
      <c r="P1522" s="51"/>
      <c r="Q1522" s="51"/>
    </row>
    <row r="1523" spans="15:17" ht="21.75" customHeight="1" x14ac:dyDescent="0.45">
      <c r="O1523" s="51"/>
      <c r="P1523" s="51"/>
      <c r="Q1523" s="51"/>
    </row>
    <row r="1524" spans="15:17" ht="21.75" customHeight="1" x14ac:dyDescent="0.45">
      <c r="O1524" s="51"/>
      <c r="P1524" s="51"/>
      <c r="Q1524" s="51"/>
    </row>
    <row r="1525" spans="15:17" ht="21.75" customHeight="1" x14ac:dyDescent="0.45">
      <c r="O1525" s="51"/>
      <c r="P1525" s="51"/>
      <c r="Q1525" s="51"/>
    </row>
    <row r="1526" spans="15:17" ht="21.75" customHeight="1" x14ac:dyDescent="0.45">
      <c r="O1526" s="51"/>
      <c r="P1526" s="51"/>
      <c r="Q1526" s="51"/>
    </row>
    <row r="1527" spans="15:17" ht="21.75" customHeight="1" x14ac:dyDescent="0.45">
      <c r="O1527" s="51"/>
      <c r="P1527" s="51"/>
      <c r="Q1527" s="51"/>
    </row>
    <row r="1528" spans="15:17" ht="21.75" customHeight="1" x14ac:dyDescent="0.45">
      <c r="O1528" s="51"/>
      <c r="P1528" s="51"/>
      <c r="Q1528" s="51"/>
    </row>
    <row r="1529" spans="15:17" ht="21.75" customHeight="1" x14ac:dyDescent="0.45">
      <c r="O1529" s="51"/>
      <c r="P1529" s="51"/>
      <c r="Q1529" s="51"/>
    </row>
    <row r="1530" spans="15:17" ht="21.75" customHeight="1" x14ac:dyDescent="0.45">
      <c r="O1530" s="51"/>
      <c r="P1530" s="51"/>
      <c r="Q1530" s="51"/>
    </row>
    <row r="1531" spans="15:17" ht="21.75" customHeight="1" x14ac:dyDescent="0.45">
      <c r="O1531" s="51"/>
      <c r="P1531" s="51"/>
      <c r="Q1531" s="51"/>
    </row>
    <row r="1532" spans="15:17" ht="21.75" customHeight="1" x14ac:dyDescent="0.45">
      <c r="O1532" s="51"/>
      <c r="P1532" s="51"/>
      <c r="Q1532" s="51"/>
    </row>
    <row r="1533" spans="15:17" ht="21.75" customHeight="1" x14ac:dyDescent="0.45">
      <c r="O1533" s="51"/>
      <c r="P1533" s="51"/>
      <c r="Q1533" s="51"/>
    </row>
    <row r="1534" spans="15:17" ht="21.75" customHeight="1" x14ac:dyDescent="0.45">
      <c r="O1534" s="51"/>
      <c r="P1534" s="51"/>
      <c r="Q1534" s="51"/>
    </row>
    <row r="1535" spans="15:17" ht="21.75" customHeight="1" x14ac:dyDescent="0.45">
      <c r="O1535" s="51"/>
      <c r="P1535" s="51"/>
      <c r="Q1535" s="51"/>
    </row>
    <row r="1536" spans="15:17" ht="21.75" customHeight="1" x14ac:dyDescent="0.45">
      <c r="O1536" s="51"/>
      <c r="P1536" s="51"/>
      <c r="Q1536" s="51"/>
    </row>
    <row r="1537" spans="15:17" ht="21.75" customHeight="1" x14ac:dyDescent="0.45">
      <c r="O1537" s="51"/>
      <c r="P1537" s="51"/>
      <c r="Q1537" s="51"/>
    </row>
    <row r="1538" spans="15:17" ht="21.75" customHeight="1" x14ac:dyDescent="0.45">
      <c r="O1538" s="51"/>
      <c r="P1538" s="51"/>
      <c r="Q1538" s="51"/>
    </row>
    <row r="1539" spans="15:17" ht="21.75" customHeight="1" x14ac:dyDescent="0.45">
      <c r="O1539" s="51"/>
      <c r="P1539" s="51"/>
      <c r="Q1539" s="51"/>
    </row>
    <row r="1540" spans="15:17" ht="21.75" customHeight="1" x14ac:dyDescent="0.45">
      <c r="O1540" s="51"/>
      <c r="P1540" s="51"/>
      <c r="Q1540" s="51"/>
    </row>
    <row r="1541" spans="15:17" ht="21.75" customHeight="1" x14ac:dyDescent="0.45">
      <c r="O1541" s="51"/>
      <c r="P1541" s="51"/>
      <c r="Q1541" s="51"/>
    </row>
    <row r="1542" spans="15:17" ht="21.75" customHeight="1" x14ac:dyDescent="0.45">
      <c r="O1542" s="51"/>
      <c r="P1542" s="51"/>
      <c r="Q1542" s="51"/>
    </row>
    <row r="1543" spans="15:17" ht="21.75" customHeight="1" x14ac:dyDescent="0.45">
      <c r="O1543" s="51"/>
      <c r="P1543" s="51"/>
      <c r="Q1543" s="51"/>
    </row>
    <row r="1544" spans="15:17" ht="21.75" customHeight="1" x14ac:dyDescent="0.45">
      <c r="O1544" s="51"/>
      <c r="P1544" s="51"/>
      <c r="Q1544" s="51"/>
    </row>
    <row r="1545" spans="15:17" ht="21.75" customHeight="1" x14ac:dyDescent="0.45">
      <c r="O1545" s="51"/>
      <c r="P1545" s="51"/>
      <c r="Q1545" s="51"/>
    </row>
    <row r="1546" spans="15:17" ht="21.75" customHeight="1" x14ac:dyDescent="0.45">
      <c r="O1546" s="51"/>
      <c r="P1546" s="51"/>
      <c r="Q1546" s="51"/>
    </row>
    <row r="1547" spans="15:17" ht="21.75" customHeight="1" x14ac:dyDescent="0.45">
      <c r="O1547" s="51"/>
      <c r="P1547" s="51"/>
      <c r="Q1547" s="51"/>
    </row>
    <row r="1548" spans="15:17" ht="21.75" customHeight="1" x14ac:dyDescent="0.45">
      <c r="O1548" s="51"/>
      <c r="P1548" s="51"/>
      <c r="Q1548" s="51"/>
    </row>
    <row r="1549" spans="15:17" ht="21.75" customHeight="1" x14ac:dyDescent="0.45">
      <c r="O1549" s="51"/>
      <c r="P1549" s="51"/>
      <c r="Q1549" s="51"/>
    </row>
    <row r="1550" spans="15:17" ht="21.75" customHeight="1" x14ac:dyDescent="0.45">
      <c r="O1550" s="51"/>
      <c r="P1550" s="51"/>
      <c r="Q1550" s="51"/>
    </row>
    <row r="1551" spans="15:17" ht="21.75" customHeight="1" x14ac:dyDescent="0.45">
      <c r="O1551" s="51"/>
      <c r="P1551" s="51"/>
      <c r="Q1551" s="51"/>
    </row>
    <row r="1552" spans="15:17" ht="21.75" customHeight="1" x14ac:dyDescent="0.45">
      <c r="O1552" s="51"/>
      <c r="P1552" s="51"/>
      <c r="Q1552" s="51"/>
    </row>
    <row r="1553" spans="15:17" ht="21.75" customHeight="1" x14ac:dyDescent="0.45">
      <c r="O1553" s="51"/>
      <c r="P1553" s="51"/>
      <c r="Q1553" s="51"/>
    </row>
    <row r="1554" spans="15:17" ht="21.75" customHeight="1" x14ac:dyDescent="0.45">
      <c r="O1554" s="51"/>
      <c r="P1554" s="51"/>
      <c r="Q1554" s="51"/>
    </row>
    <row r="1555" spans="15:17" ht="21.75" customHeight="1" x14ac:dyDescent="0.45">
      <c r="O1555" s="51"/>
      <c r="P1555" s="51"/>
      <c r="Q1555" s="51"/>
    </row>
    <row r="1556" spans="15:17" ht="21.75" customHeight="1" x14ac:dyDescent="0.45">
      <c r="O1556" s="51"/>
      <c r="P1556" s="51"/>
      <c r="Q1556" s="51"/>
    </row>
    <row r="1557" spans="15:17" ht="21.75" customHeight="1" x14ac:dyDescent="0.45">
      <c r="O1557" s="51"/>
      <c r="P1557" s="51"/>
      <c r="Q1557" s="51"/>
    </row>
    <row r="1558" spans="15:17" ht="21.75" customHeight="1" x14ac:dyDescent="0.45">
      <c r="O1558" s="51"/>
      <c r="P1558" s="51"/>
      <c r="Q1558" s="51"/>
    </row>
    <row r="1559" spans="15:17" ht="21.75" customHeight="1" x14ac:dyDescent="0.45">
      <c r="O1559" s="51"/>
      <c r="P1559" s="51"/>
      <c r="Q1559" s="51"/>
    </row>
    <row r="1560" spans="15:17" ht="21.75" customHeight="1" x14ac:dyDescent="0.45">
      <c r="O1560" s="51"/>
      <c r="P1560" s="51"/>
      <c r="Q1560" s="51"/>
    </row>
    <row r="1561" spans="15:17" ht="21.75" customHeight="1" x14ac:dyDescent="0.45">
      <c r="O1561" s="51"/>
      <c r="P1561" s="51"/>
      <c r="Q1561" s="51"/>
    </row>
    <row r="1562" spans="15:17" ht="21.75" customHeight="1" x14ac:dyDescent="0.45">
      <c r="O1562" s="51"/>
      <c r="P1562" s="51"/>
      <c r="Q1562" s="51"/>
    </row>
    <row r="1563" spans="15:17" ht="21.75" customHeight="1" x14ac:dyDescent="0.45">
      <c r="O1563" s="51"/>
      <c r="P1563" s="51"/>
      <c r="Q1563" s="51"/>
    </row>
    <row r="1564" spans="15:17" ht="21.75" customHeight="1" x14ac:dyDescent="0.45">
      <c r="O1564" s="51"/>
      <c r="P1564" s="51"/>
      <c r="Q1564" s="51"/>
    </row>
    <row r="1565" spans="15:17" ht="21.75" customHeight="1" x14ac:dyDescent="0.45">
      <c r="O1565" s="51"/>
      <c r="P1565" s="51"/>
      <c r="Q1565" s="51"/>
    </row>
    <row r="1566" spans="15:17" ht="21.75" customHeight="1" x14ac:dyDescent="0.45">
      <c r="O1566" s="51"/>
      <c r="P1566" s="51"/>
      <c r="Q1566" s="51"/>
    </row>
    <row r="1567" spans="15:17" ht="21.75" customHeight="1" x14ac:dyDescent="0.45">
      <c r="O1567" s="51"/>
      <c r="P1567" s="51"/>
      <c r="Q1567" s="51"/>
    </row>
    <row r="1568" spans="15:17" ht="21.75" customHeight="1" x14ac:dyDescent="0.45">
      <c r="O1568" s="51"/>
      <c r="P1568" s="51"/>
      <c r="Q1568" s="51"/>
    </row>
    <row r="1569" spans="15:17" ht="21.75" customHeight="1" x14ac:dyDescent="0.45">
      <c r="O1569" s="51"/>
      <c r="P1569" s="51"/>
      <c r="Q1569" s="51"/>
    </row>
    <row r="1570" spans="15:17" ht="21.75" customHeight="1" x14ac:dyDescent="0.45">
      <c r="O1570" s="51"/>
      <c r="P1570" s="51"/>
      <c r="Q1570" s="51"/>
    </row>
    <row r="1571" spans="15:17" ht="21.75" customHeight="1" x14ac:dyDescent="0.45">
      <c r="O1571" s="51"/>
      <c r="P1571" s="51"/>
      <c r="Q1571" s="51"/>
    </row>
    <row r="1572" spans="15:17" ht="21.75" customHeight="1" x14ac:dyDescent="0.45">
      <c r="O1572" s="51"/>
      <c r="P1572" s="51"/>
      <c r="Q1572" s="51"/>
    </row>
    <row r="1573" spans="15:17" ht="21.75" customHeight="1" x14ac:dyDescent="0.45">
      <c r="O1573" s="51"/>
      <c r="P1573" s="51"/>
      <c r="Q1573" s="51"/>
    </row>
    <row r="1574" spans="15:17" ht="21.75" customHeight="1" x14ac:dyDescent="0.45">
      <c r="O1574" s="51"/>
      <c r="P1574" s="51"/>
      <c r="Q1574" s="51"/>
    </row>
    <row r="1575" spans="15:17" ht="21.75" customHeight="1" x14ac:dyDescent="0.45">
      <c r="O1575" s="51"/>
      <c r="P1575" s="51"/>
      <c r="Q1575" s="51"/>
    </row>
    <row r="1576" spans="15:17" ht="21.75" customHeight="1" x14ac:dyDescent="0.45">
      <c r="O1576" s="51"/>
      <c r="P1576" s="51"/>
      <c r="Q1576" s="51"/>
    </row>
    <row r="1577" spans="15:17" ht="21.75" customHeight="1" x14ac:dyDescent="0.45">
      <c r="O1577" s="51"/>
      <c r="P1577" s="51"/>
      <c r="Q1577" s="51"/>
    </row>
    <row r="1578" spans="15:17" ht="21.75" customHeight="1" x14ac:dyDescent="0.45">
      <c r="O1578" s="51"/>
      <c r="P1578" s="51"/>
      <c r="Q1578" s="51"/>
    </row>
    <row r="1579" spans="15:17" ht="21.75" customHeight="1" x14ac:dyDescent="0.45">
      <c r="O1579" s="51"/>
      <c r="P1579" s="51"/>
      <c r="Q1579" s="51"/>
    </row>
    <row r="1580" spans="15:17" ht="21.75" customHeight="1" x14ac:dyDescent="0.45">
      <c r="O1580" s="51"/>
      <c r="P1580" s="51"/>
      <c r="Q1580" s="51"/>
    </row>
    <row r="1581" spans="15:17" ht="21.75" customHeight="1" x14ac:dyDescent="0.45">
      <c r="O1581" s="51"/>
      <c r="P1581" s="51"/>
      <c r="Q1581" s="51"/>
    </row>
    <row r="1582" spans="15:17" ht="21.75" customHeight="1" x14ac:dyDescent="0.45">
      <c r="O1582" s="51"/>
      <c r="P1582" s="51"/>
      <c r="Q1582" s="51"/>
    </row>
    <row r="1583" spans="15:17" ht="21.75" customHeight="1" x14ac:dyDescent="0.45">
      <c r="O1583" s="51"/>
      <c r="P1583" s="51"/>
      <c r="Q1583" s="51"/>
    </row>
    <row r="1584" spans="15:17" ht="21.75" customHeight="1" x14ac:dyDescent="0.45">
      <c r="O1584" s="51"/>
      <c r="P1584" s="51"/>
      <c r="Q1584" s="51"/>
    </row>
    <row r="1585" spans="15:17" ht="21.75" customHeight="1" x14ac:dyDescent="0.45">
      <c r="O1585" s="51"/>
      <c r="P1585" s="51"/>
      <c r="Q1585" s="51"/>
    </row>
    <row r="1586" spans="15:17" ht="21.75" customHeight="1" x14ac:dyDescent="0.45">
      <c r="O1586" s="51"/>
      <c r="P1586" s="51"/>
      <c r="Q1586" s="51"/>
    </row>
    <row r="1587" spans="15:17" ht="21.75" customHeight="1" x14ac:dyDescent="0.45">
      <c r="O1587" s="51"/>
      <c r="P1587" s="51"/>
      <c r="Q1587" s="51"/>
    </row>
    <row r="1588" spans="15:17" ht="21.75" customHeight="1" x14ac:dyDescent="0.45">
      <c r="O1588" s="51"/>
      <c r="P1588" s="51"/>
      <c r="Q1588" s="51"/>
    </row>
    <row r="1589" spans="15:17" ht="21.75" customHeight="1" x14ac:dyDescent="0.45">
      <c r="O1589" s="51"/>
      <c r="P1589" s="51"/>
      <c r="Q1589" s="51"/>
    </row>
    <row r="1590" spans="15:17" ht="21.75" customHeight="1" x14ac:dyDescent="0.45">
      <c r="O1590" s="51"/>
      <c r="P1590" s="51"/>
      <c r="Q1590" s="51"/>
    </row>
    <row r="1591" spans="15:17" ht="21.75" customHeight="1" x14ac:dyDescent="0.45">
      <c r="O1591" s="51"/>
      <c r="P1591" s="51"/>
      <c r="Q1591" s="51"/>
    </row>
    <row r="1592" spans="15:17" ht="21.75" customHeight="1" x14ac:dyDescent="0.45">
      <c r="O1592" s="51"/>
      <c r="P1592" s="51"/>
      <c r="Q1592" s="51"/>
    </row>
    <row r="1593" spans="15:17" ht="21.75" customHeight="1" x14ac:dyDescent="0.45">
      <c r="O1593" s="51"/>
      <c r="P1593" s="51"/>
      <c r="Q1593" s="51"/>
    </row>
    <row r="1594" spans="15:17" ht="21.75" customHeight="1" x14ac:dyDescent="0.45">
      <c r="O1594" s="51"/>
      <c r="P1594" s="51"/>
      <c r="Q1594" s="51"/>
    </row>
    <row r="1595" spans="15:17" ht="21.75" customHeight="1" x14ac:dyDescent="0.45">
      <c r="O1595" s="51"/>
      <c r="P1595" s="51"/>
      <c r="Q1595" s="51"/>
    </row>
    <row r="1596" spans="15:17" ht="21.75" customHeight="1" x14ac:dyDescent="0.45">
      <c r="O1596" s="51"/>
      <c r="P1596" s="51"/>
      <c r="Q1596" s="51"/>
    </row>
    <row r="1597" spans="15:17" ht="21.75" customHeight="1" x14ac:dyDescent="0.45">
      <c r="O1597" s="51"/>
      <c r="P1597" s="51"/>
      <c r="Q1597" s="51"/>
    </row>
    <row r="1598" spans="15:17" ht="21.75" customHeight="1" x14ac:dyDescent="0.45">
      <c r="O1598" s="51"/>
      <c r="P1598" s="51"/>
      <c r="Q1598" s="51"/>
    </row>
    <row r="1599" spans="15:17" ht="21.75" customHeight="1" x14ac:dyDescent="0.45">
      <c r="O1599" s="51"/>
      <c r="P1599" s="51"/>
      <c r="Q1599" s="51"/>
    </row>
    <row r="1600" spans="15:17" ht="21.75" customHeight="1" x14ac:dyDescent="0.45">
      <c r="O1600" s="51"/>
      <c r="P1600" s="51"/>
      <c r="Q1600" s="51"/>
    </row>
    <row r="1601" spans="15:17" ht="21.75" customHeight="1" x14ac:dyDescent="0.45">
      <c r="O1601" s="51"/>
      <c r="P1601" s="51"/>
      <c r="Q1601" s="51"/>
    </row>
    <row r="1602" spans="15:17" ht="21.75" customHeight="1" x14ac:dyDescent="0.45">
      <c r="O1602" s="51"/>
      <c r="P1602" s="51"/>
      <c r="Q1602" s="51"/>
    </row>
    <row r="1603" spans="15:17" ht="21.75" customHeight="1" x14ac:dyDescent="0.45">
      <c r="O1603" s="51"/>
      <c r="P1603" s="51"/>
      <c r="Q1603" s="51"/>
    </row>
    <row r="1604" spans="15:17" ht="21.75" customHeight="1" x14ac:dyDescent="0.45">
      <c r="O1604" s="51"/>
      <c r="P1604" s="51"/>
      <c r="Q1604" s="51"/>
    </row>
    <row r="1605" spans="15:17" ht="21.75" customHeight="1" x14ac:dyDescent="0.45">
      <c r="O1605" s="51"/>
      <c r="P1605" s="51"/>
      <c r="Q1605" s="51"/>
    </row>
    <row r="1606" spans="15:17" ht="21.75" customHeight="1" x14ac:dyDescent="0.45">
      <c r="O1606" s="51"/>
      <c r="P1606" s="51"/>
      <c r="Q1606" s="51"/>
    </row>
    <row r="1607" spans="15:17" ht="21.75" customHeight="1" x14ac:dyDescent="0.45">
      <c r="O1607" s="51"/>
      <c r="P1607" s="51"/>
      <c r="Q1607" s="51"/>
    </row>
    <row r="1608" spans="15:17" ht="21.75" customHeight="1" x14ac:dyDescent="0.45">
      <c r="O1608" s="51"/>
      <c r="P1608" s="51"/>
      <c r="Q1608" s="51"/>
    </row>
    <row r="1609" spans="15:17" ht="21.75" customHeight="1" x14ac:dyDescent="0.45">
      <c r="O1609" s="51"/>
      <c r="P1609" s="51"/>
      <c r="Q1609" s="51"/>
    </row>
    <row r="1610" spans="15:17" ht="21.75" customHeight="1" x14ac:dyDescent="0.45">
      <c r="O1610" s="51"/>
      <c r="P1610" s="51"/>
      <c r="Q1610" s="51"/>
    </row>
    <row r="1611" spans="15:17" ht="21.75" customHeight="1" x14ac:dyDescent="0.45">
      <c r="O1611" s="51"/>
      <c r="P1611" s="51"/>
      <c r="Q1611" s="51"/>
    </row>
    <row r="1612" spans="15:17" ht="21.75" customHeight="1" x14ac:dyDescent="0.45">
      <c r="O1612" s="51"/>
      <c r="P1612" s="51"/>
      <c r="Q1612" s="51"/>
    </row>
    <row r="1613" spans="15:17" ht="21.75" customHeight="1" x14ac:dyDescent="0.45">
      <c r="O1613" s="51"/>
      <c r="P1613" s="51"/>
      <c r="Q1613" s="51"/>
    </row>
    <row r="1614" spans="15:17" ht="21.75" customHeight="1" x14ac:dyDescent="0.45">
      <c r="O1614" s="51"/>
      <c r="P1614" s="51"/>
      <c r="Q1614" s="51"/>
    </row>
    <row r="1615" spans="15:17" ht="21.75" customHeight="1" x14ac:dyDescent="0.45">
      <c r="O1615" s="51"/>
      <c r="P1615" s="51"/>
      <c r="Q1615" s="51"/>
    </row>
    <row r="1616" spans="15:17" ht="21.75" customHeight="1" x14ac:dyDescent="0.45">
      <c r="O1616" s="51"/>
      <c r="P1616" s="51"/>
      <c r="Q1616" s="51"/>
    </row>
    <row r="1617" spans="15:17" ht="21.75" customHeight="1" x14ac:dyDescent="0.45">
      <c r="O1617" s="51"/>
      <c r="P1617" s="51"/>
      <c r="Q1617" s="51"/>
    </row>
    <row r="1618" spans="15:17" ht="21.75" customHeight="1" x14ac:dyDescent="0.45">
      <c r="O1618" s="51"/>
      <c r="P1618" s="51"/>
      <c r="Q1618" s="51"/>
    </row>
    <row r="1619" spans="15:17" ht="21.75" customHeight="1" x14ac:dyDescent="0.45">
      <c r="O1619" s="51"/>
      <c r="P1619" s="51"/>
      <c r="Q1619" s="51"/>
    </row>
    <row r="1620" spans="15:17" ht="21.75" customHeight="1" x14ac:dyDescent="0.45">
      <c r="O1620" s="51"/>
      <c r="P1620" s="51"/>
      <c r="Q1620" s="51"/>
    </row>
    <row r="1621" spans="15:17" ht="21.75" customHeight="1" x14ac:dyDescent="0.45">
      <c r="O1621" s="51"/>
      <c r="P1621" s="51"/>
      <c r="Q1621" s="51"/>
    </row>
    <row r="1622" spans="15:17" ht="21.75" customHeight="1" x14ac:dyDescent="0.45">
      <c r="O1622" s="51"/>
      <c r="P1622" s="51"/>
      <c r="Q1622" s="51"/>
    </row>
    <row r="1623" spans="15:17" ht="21.75" customHeight="1" x14ac:dyDescent="0.45">
      <c r="O1623" s="51"/>
      <c r="P1623" s="51"/>
      <c r="Q1623" s="51"/>
    </row>
    <row r="1624" spans="15:17" ht="21.75" customHeight="1" x14ac:dyDescent="0.45">
      <c r="O1624" s="51"/>
      <c r="P1624" s="51"/>
      <c r="Q1624" s="51"/>
    </row>
    <row r="1625" spans="15:17" ht="21.75" customHeight="1" x14ac:dyDescent="0.45">
      <c r="O1625" s="51"/>
      <c r="P1625" s="51"/>
      <c r="Q1625" s="51"/>
    </row>
    <row r="1626" spans="15:17" ht="21.75" customHeight="1" x14ac:dyDescent="0.45">
      <c r="O1626" s="51"/>
      <c r="P1626" s="51"/>
      <c r="Q1626" s="51"/>
    </row>
    <row r="1627" spans="15:17" ht="21.75" customHeight="1" x14ac:dyDescent="0.45">
      <c r="O1627" s="51"/>
      <c r="P1627" s="51"/>
      <c r="Q1627" s="51"/>
    </row>
    <row r="1628" spans="15:17" ht="21.75" customHeight="1" x14ac:dyDescent="0.45">
      <c r="O1628" s="51"/>
      <c r="P1628" s="51"/>
      <c r="Q1628" s="51"/>
    </row>
    <row r="1629" spans="15:17" ht="21.75" customHeight="1" x14ac:dyDescent="0.45">
      <c r="O1629" s="51"/>
      <c r="P1629" s="51"/>
      <c r="Q1629" s="51"/>
    </row>
    <row r="1630" spans="15:17" ht="21.75" customHeight="1" x14ac:dyDescent="0.45">
      <c r="O1630" s="51"/>
      <c r="P1630" s="51"/>
      <c r="Q1630" s="51"/>
    </row>
    <row r="1631" spans="15:17" ht="21.75" customHeight="1" x14ac:dyDescent="0.45">
      <c r="O1631" s="51"/>
      <c r="P1631" s="51"/>
      <c r="Q1631" s="51"/>
    </row>
    <row r="1632" spans="15:17" ht="21.75" customHeight="1" x14ac:dyDescent="0.45">
      <c r="O1632" s="51"/>
      <c r="P1632" s="51"/>
      <c r="Q1632" s="51"/>
    </row>
    <row r="1633" spans="15:17" ht="21.75" customHeight="1" x14ac:dyDescent="0.45">
      <c r="O1633" s="51"/>
      <c r="P1633" s="51"/>
      <c r="Q1633" s="51"/>
    </row>
    <row r="1634" spans="15:17" ht="21.75" customHeight="1" x14ac:dyDescent="0.45">
      <c r="O1634" s="51"/>
      <c r="P1634" s="51"/>
      <c r="Q1634" s="51"/>
    </row>
    <row r="1635" spans="15:17" ht="21.75" customHeight="1" x14ac:dyDescent="0.45">
      <c r="O1635" s="51"/>
      <c r="P1635" s="51"/>
      <c r="Q1635" s="51"/>
    </row>
    <row r="1636" spans="15:17" ht="21.75" customHeight="1" x14ac:dyDescent="0.45">
      <c r="O1636" s="51"/>
      <c r="P1636" s="51"/>
      <c r="Q1636" s="51"/>
    </row>
    <row r="1637" spans="15:17" ht="21.75" customHeight="1" x14ac:dyDescent="0.45">
      <c r="O1637" s="51"/>
      <c r="P1637" s="51"/>
      <c r="Q1637" s="51"/>
    </row>
    <row r="1638" spans="15:17" ht="21.75" customHeight="1" x14ac:dyDescent="0.45">
      <c r="O1638" s="51"/>
      <c r="P1638" s="51"/>
      <c r="Q1638" s="51"/>
    </row>
    <row r="1639" spans="15:17" ht="21.75" customHeight="1" x14ac:dyDescent="0.45">
      <c r="O1639" s="51"/>
      <c r="P1639" s="51"/>
      <c r="Q1639" s="51"/>
    </row>
    <row r="1640" spans="15:17" ht="21.75" customHeight="1" x14ac:dyDescent="0.45">
      <c r="O1640" s="51"/>
      <c r="P1640" s="51"/>
      <c r="Q1640" s="51"/>
    </row>
    <row r="1641" spans="15:17" ht="21.75" customHeight="1" x14ac:dyDescent="0.45">
      <c r="O1641" s="51"/>
      <c r="P1641" s="51"/>
      <c r="Q1641" s="51"/>
    </row>
    <row r="1642" spans="15:17" ht="21.75" customHeight="1" x14ac:dyDescent="0.45">
      <c r="O1642" s="51"/>
      <c r="P1642" s="51"/>
      <c r="Q1642" s="51"/>
    </row>
    <row r="1643" spans="15:17" ht="21.75" customHeight="1" x14ac:dyDescent="0.45">
      <c r="O1643" s="51"/>
      <c r="P1643" s="51"/>
      <c r="Q1643" s="51"/>
    </row>
    <row r="1644" spans="15:17" ht="21.75" customHeight="1" x14ac:dyDescent="0.45">
      <c r="O1644" s="51"/>
      <c r="P1644" s="51"/>
      <c r="Q1644" s="51"/>
    </row>
    <row r="1645" spans="15:17" ht="21.75" customHeight="1" x14ac:dyDescent="0.45">
      <c r="O1645" s="51"/>
      <c r="P1645" s="51"/>
      <c r="Q1645" s="51"/>
    </row>
    <row r="1646" spans="15:17" ht="21.75" customHeight="1" x14ac:dyDescent="0.45">
      <c r="O1646" s="51"/>
      <c r="P1646" s="51"/>
      <c r="Q1646" s="51"/>
    </row>
    <row r="1647" spans="15:17" ht="21.75" customHeight="1" x14ac:dyDescent="0.45">
      <c r="O1647" s="51"/>
      <c r="P1647" s="51"/>
      <c r="Q1647" s="51"/>
    </row>
    <row r="1648" spans="15:17" ht="21.75" customHeight="1" x14ac:dyDescent="0.45">
      <c r="O1648" s="51"/>
      <c r="P1648" s="51"/>
      <c r="Q1648" s="51"/>
    </row>
    <row r="1649" spans="15:17" ht="21.75" customHeight="1" x14ac:dyDescent="0.45">
      <c r="O1649" s="51"/>
      <c r="P1649" s="51"/>
      <c r="Q1649" s="51"/>
    </row>
    <row r="1650" spans="15:17" ht="21.75" customHeight="1" x14ac:dyDescent="0.45">
      <c r="O1650" s="51"/>
      <c r="P1650" s="51"/>
      <c r="Q1650" s="51"/>
    </row>
    <row r="1651" spans="15:17" ht="21.75" customHeight="1" x14ac:dyDescent="0.45">
      <c r="O1651" s="51"/>
      <c r="P1651" s="51"/>
      <c r="Q1651" s="51"/>
    </row>
    <row r="1652" spans="15:17" ht="21.75" customHeight="1" x14ac:dyDescent="0.45">
      <c r="O1652" s="51"/>
      <c r="P1652" s="51"/>
      <c r="Q1652" s="51"/>
    </row>
    <row r="1653" spans="15:17" ht="21.75" customHeight="1" x14ac:dyDescent="0.45">
      <c r="O1653" s="51"/>
      <c r="P1653" s="51"/>
      <c r="Q1653" s="51"/>
    </row>
    <row r="1654" spans="15:17" ht="21.75" customHeight="1" x14ac:dyDescent="0.45">
      <c r="O1654" s="51"/>
      <c r="P1654" s="51"/>
      <c r="Q1654" s="51"/>
    </row>
    <row r="1655" spans="15:17" ht="21.75" customHeight="1" x14ac:dyDescent="0.45">
      <c r="O1655" s="51"/>
      <c r="P1655" s="51"/>
      <c r="Q1655" s="51"/>
    </row>
    <row r="1656" spans="15:17" ht="21.75" customHeight="1" x14ac:dyDescent="0.45">
      <c r="O1656" s="51"/>
      <c r="P1656" s="51"/>
      <c r="Q1656" s="51"/>
    </row>
    <row r="1657" spans="15:17" ht="21.75" customHeight="1" x14ac:dyDescent="0.45">
      <c r="O1657" s="51"/>
      <c r="P1657" s="51"/>
      <c r="Q1657" s="51"/>
    </row>
    <row r="1658" spans="15:17" ht="21.75" customHeight="1" x14ac:dyDescent="0.45">
      <c r="O1658" s="51"/>
      <c r="P1658" s="51"/>
      <c r="Q1658" s="51"/>
    </row>
    <row r="1659" spans="15:17" ht="21.75" customHeight="1" x14ac:dyDescent="0.45">
      <c r="O1659" s="51"/>
      <c r="P1659" s="51"/>
      <c r="Q1659" s="51"/>
    </row>
    <row r="1660" spans="15:17" ht="21.75" customHeight="1" x14ac:dyDescent="0.45">
      <c r="O1660" s="51"/>
      <c r="P1660" s="51"/>
      <c r="Q1660" s="51"/>
    </row>
    <row r="1661" spans="15:17" ht="21.75" customHeight="1" x14ac:dyDescent="0.45">
      <c r="O1661" s="51"/>
      <c r="P1661" s="51"/>
      <c r="Q1661" s="51"/>
    </row>
    <row r="1662" spans="15:17" ht="21.75" customHeight="1" x14ac:dyDescent="0.45">
      <c r="O1662" s="51"/>
      <c r="P1662" s="51"/>
      <c r="Q1662" s="51"/>
    </row>
    <row r="1663" spans="15:17" ht="21.75" customHeight="1" x14ac:dyDescent="0.45">
      <c r="O1663" s="51"/>
      <c r="P1663" s="51"/>
      <c r="Q1663" s="51"/>
    </row>
    <row r="1664" spans="15:17" ht="21.75" customHeight="1" x14ac:dyDescent="0.45">
      <c r="O1664" s="51"/>
      <c r="P1664" s="51"/>
      <c r="Q1664" s="51"/>
    </row>
    <row r="1665" spans="15:17" ht="21.75" customHeight="1" x14ac:dyDescent="0.45">
      <c r="O1665" s="51"/>
      <c r="P1665" s="51"/>
      <c r="Q1665" s="51"/>
    </row>
    <row r="1666" spans="15:17" ht="21.75" customHeight="1" x14ac:dyDescent="0.45">
      <c r="O1666" s="51"/>
      <c r="P1666" s="51"/>
      <c r="Q1666" s="51"/>
    </row>
    <row r="1667" spans="15:17" ht="21.75" customHeight="1" x14ac:dyDescent="0.45">
      <c r="O1667" s="51"/>
      <c r="P1667" s="51"/>
      <c r="Q1667" s="51"/>
    </row>
    <row r="1668" spans="15:17" ht="21.75" customHeight="1" x14ac:dyDescent="0.45">
      <c r="O1668" s="51"/>
      <c r="P1668" s="51"/>
      <c r="Q1668" s="51"/>
    </row>
    <row r="1669" spans="15:17" ht="21.75" customHeight="1" x14ac:dyDescent="0.45">
      <c r="O1669" s="51"/>
      <c r="P1669" s="51"/>
      <c r="Q1669" s="51"/>
    </row>
    <row r="1670" spans="15:17" ht="21.75" customHeight="1" x14ac:dyDescent="0.45">
      <c r="O1670" s="51"/>
      <c r="P1670" s="51"/>
      <c r="Q1670" s="51"/>
    </row>
    <row r="1671" spans="15:17" ht="21.75" customHeight="1" x14ac:dyDescent="0.45">
      <c r="O1671" s="51"/>
      <c r="P1671" s="51"/>
      <c r="Q1671" s="51"/>
    </row>
    <row r="1672" spans="15:17" ht="21.75" customHeight="1" x14ac:dyDescent="0.45">
      <c r="O1672" s="51"/>
      <c r="P1672" s="51"/>
      <c r="Q1672" s="51"/>
    </row>
    <row r="1673" spans="15:17" ht="21.75" customHeight="1" x14ac:dyDescent="0.45">
      <c r="O1673" s="51"/>
      <c r="P1673" s="51"/>
      <c r="Q1673" s="51"/>
    </row>
    <row r="1674" spans="15:17" ht="21.75" customHeight="1" x14ac:dyDescent="0.45">
      <c r="O1674" s="51"/>
      <c r="P1674" s="51"/>
      <c r="Q1674" s="51"/>
    </row>
    <row r="1675" spans="15:17" ht="21.75" customHeight="1" x14ac:dyDescent="0.45">
      <c r="O1675" s="51"/>
      <c r="P1675" s="51"/>
      <c r="Q1675" s="51"/>
    </row>
    <row r="1676" spans="15:17" ht="21.75" customHeight="1" x14ac:dyDescent="0.45">
      <c r="O1676" s="51"/>
      <c r="P1676" s="51"/>
      <c r="Q1676" s="51"/>
    </row>
    <row r="1677" spans="15:17" ht="21.75" customHeight="1" x14ac:dyDescent="0.45">
      <c r="O1677" s="51"/>
      <c r="P1677" s="51"/>
      <c r="Q1677" s="51"/>
    </row>
    <row r="1678" spans="15:17" ht="21.75" customHeight="1" x14ac:dyDescent="0.45">
      <c r="O1678" s="51"/>
      <c r="P1678" s="51"/>
      <c r="Q1678" s="51"/>
    </row>
    <row r="1679" spans="15:17" ht="21.75" customHeight="1" x14ac:dyDescent="0.45">
      <c r="O1679" s="51"/>
      <c r="P1679" s="51"/>
      <c r="Q1679" s="51"/>
    </row>
    <row r="1680" spans="15:17" ht="21.75" customHeight="1" x14ac:dyDescent="0.45">
      <c r="O1680" s="51"/>
      <c r="P1680" s="51"/>
      <c r="Q1680" s="51"/>
    </row>
    <row r="1681" spans="15:17" ht="21.75" customHeight="1" x14ac:dyDescent="0.45">
      <c r="O1681" s="51"/>
      <c r="P1681" s="51"/>
      <c r="Q1681" s="51"/>
    </row>
    <row r="1682" spans="15:17" ht="21.75" customHeight="1" x14ac:dyDescent="0.45">
      <c r="O1682" s="51"/>
      <c r="P1682" s="51"/>
      <c r="Q1682" s="51"/>
    </row>
    <row r="1683" spans="15:17" ht="21.75" customHeight="1" x14ac:dyDescent="0.45">
      <c r="O1683" s="51"/>
      <c r="P1683" s="51"/>
      <c r="Q1683" s="51"/>
    </row>
    <row r="1684" spans="15:17" ht="21.75" customHeight="1" x14ac:dyDescent="0.45">
      <c r="O1684" s="51"/>
      <c r="P1684" s="51"/>
      <c r="Q1684" s="51"/>
    </row>
    <row r="1685" spans="15:17" ht="21.75" customHeight="1" x14ac:dyDescent="0.45">
      <c r="O1685" s="51"/>
      <c r="P1685" s="51"/>
      <c r="Q1685" s="51"/>
    </row>
    <row r="1686" spans="15:17" ht="21.75" customHeight="1" x14ac:dyDescent="0.45">
      <c r="O1686" s="51"/>
      <c r="P1686" s="51"/>
      <c r="Q1686" s="51"/>
    </row>
    <row r="1687" spans="15:17" ht="21.75" customHeight="1" x14ac:dyDescent="0.45">
      <c r="O1687" s="51"/>
      <c r="P1687" s="51"/>
      <c r="Q1687" s="51"/>
    </row>
    <row r="1688" spans="15:17" ht="21.75" customHeight="1" x14ac:dyDescent="0.45">
      <c r="O1688" s="51"/>
      <c r="P1688" s="51"/>
      <c r="Q1688" s="51"/>
    </row>
    <row r="1689" spans="15:17" ht="21.75" customHeight="1" x14ac:dyDescent="0.45">
      <c r="O1689" s="51"/>
      <c r="P1689" s="51"/>
      <c r="Q1689" s="51"/>
    </row>
    <row r="1690" spans="15:17" ht="21.75" customHeight="1" x14ac:dyDescent="0.45">
      <c r="O1690" s="51"/>
      <c r="P1690" s="51"/>
      <c r="Q1690" s="51"/>
    </row>
    <row r="1691" spans="15:17" ht="21.75" customHeight="1" x14ac:dyDescent="0.45">
      <c r="O1691" s="51"/>
      <c r="P1691" s="51"/>
      <c r="Q1691" s="51"/>
    </row>
    <row r="1692" spans="15:17" ht="21.75" customHeight="1" x14ac:dyDescent="0.45">
      <c r="O1692" s="51"/>
      <c r="P1692" s="51"/>
      <c r="Q1692" s="51"/>
    </row>
    <row r="1693" spans="15:17" ht="21.75" customHeight="1" x14ac:dyDescent="0.45">
      <c r="O1693" s="51"/>
      <c r="P1693" s="51"/>
      <c r="Q1693" s="51"/>
    </row>
    <row r="1694" spans="15:17" ht="21.75" customHeight="1" x14ac:dyDescent="0.45">
      <c r="O1694" s="51"/>
      <c r="P1694" s="51"/>
      <c r="Q1694" s="51"/>
    </row>
    <row r="1695" spans="15:17" ht="21.75" customHeight="1" x14ac:dyDescent="0.45">
      <c r="O1695" s="51"/>
      <c r="P1695" s="51"/>
      <c r="Q1695" s="51"/>
    </row>
    <row r="1696" spans="15:17" ht="21.75" customHeight="1" x14ac:dyDescent="0.45">
      <c r="O1696" s="51"/>
      <c r="P1696" s="51"/>
      <c r="Q1696" s="51"/>
    </row>
    <row r="1697" spans="15:17" ht="21.75" customHeight="1" x14ac:dyDescent="0.45">
      <c r="O1697" s="51"/>
      <c r="P1697" s="51"/>
      <c r="Q1697" s="51"/>
    </row>
    <row r="1698" spans="15:17" ht="21.75" customHeight="1" x14ac:dyDescent="0.45">
      <c r="O1698" s="51"/>
      <c r="P1698" s="51"/>
      <c r="Q1698" s="51"/>
    </row>
    <row r="1699" spans="15:17" ht="21.75" customHeight="1" x14ac:dyDescent="0.45">
      <c r="O1699" s="51"/>
      <c r="P1699" s="51"/>
      <c r="Q1699" s="51"/>
    </row>
    <row r="1700" spans="15:17" ht="21.75" customHeight="1" x14ac:dyDescent="0.45">
      <c r="O1700" s="51"/>
      <c r="P1700" s="51"/>
      <c r="Q1700" s="51"/>
    </row>
    <row r="1701" spans="15:17" ht="21.75" customHeight="1" x14ac:dyDescent="0.45">
      <c r="O1701" s="51"/>
      <c r="P1701" s="51"/>
      <c r="Q1701" s="51"/>
    </row>
    <row r="1702" spans="15:17" ht="21.75" customHeight="1" x14ac:dyDescent="0.45">
      <c r="O1702" s="51"/>
      <c r="P1702" s="51"/>
      <c r="Q1702" s="51"/>
    </row>
    <row r="1703" spans="15:17" ht="21.75" customHeight="1" x14ac:dyDescent="0.45">
      <c r="O1703" s="51"/>
      <c r="P1703" s="51"/>
      <c r="Q1703" s="51"/>
    </row>
    <row r="1704" spans="15:17" ht="21.75" customHeight="1" x14ac:dyDescent="0.45">
      <c r="O1704" s="51"/>
      <c r="P1704" s="51"/>
      <c r="Q1704" s="51"/>
    </row>
    <row r="1705" spans="15:17" ht="21.75" customHeight="1" x14ac:dyDescent="0.45">
      <c r="O1705" s="51"/>
      <c r="P1705" s="51"/>
      <c r="Q1705" s="51"/>
    </row>
    <row r="1706" spans="15:17" ht="21.75" customHeight="1" x14ac:dyDescent="0.45">
      <c r="O1706" s="51"/>
      <c r="P1706" s="51"/>
      <c r="Q1706" s="51"/>
    </row>
    <row r="1707" spans="15:17" ht="21.75" customHeight="1" x14ac:dyDescent="0.45">
      <c r="O1707" s="51"/>
      <c r="P1707" s="51"/>
      <c r="Q1707" s="51"/>
    </row>
    <row r="1708" spans="15:17" ht="21.75" customHeight="1" x14ac:dyDescent="0.45">
      <c r="O1708" s="51"/>
      <c r="P1708" s="51"/>
      <c r="Q1708" s="51"/>
    </row>
    <row r="1709" spans="15:17" ht="21.75" customHeight="1" x14ac:dyDescent="0.45">
      <c r="O1709" s="51"/>
      <c r="P1709" s="51"/>
      <c r="Q1709" s="51"/>
    </row>
    <row r="1710" spans="15:17" ht="21.75" customHeight="1" x14ac:dyDescent="0.45">
      <c r="O1710" s="51"/>
      <c r="P1710" s="51"/>
      <c r="Q1710" s="51"/>
    </row>
    <row r="1711" spans="15:17" ht="21.75" customHeight="1" x14ac:dyDescent="0.45">
      <c r="O1711" s="51"/>
      <c r="P1711" s="51"/>
      <c r="Q1711" s="51"/>
    </row>
    <row r="1712" spans="15:17" ht="21.75" customHeight="1" x14ac:dyDescent="0.45">
      <c r="O1712" s="51"/>
      <c r="P1712" s="51"/>
      <c r="Q1712" s="51"/>
    </row>
    <row r="1713" spans="15:17" ht="21.75" customHeight="1" x14ac:dyDescent="0.45">
      <c r="O1713" s="51"/>
      <c r="P1713" s="51"/>
      <c r="Q1713" s="51"/>
    </row>
    <row r="1714" spans="15:17" ht="21.75" customHeight="1" x14ac:dyDescent="0.45">
      <c r="O1714" s="51"/>
      <c r="P1714" s="51"/>
      <c r="Q1714" s="51"/>
    </row>
    <row r="1715" spans="15:17" ht="21.75" customHeight="1" x14ac:dyDescent="0.45">
      <c r="O1715" s="51"/>
      <c r="P1715" s="51"/>
      <c r="Q1715" s="51"/>
    </row>
    <row r="1716" spans="15:17" ht="21.75" customHeight="1" x14ac:dyDescent="0.45">
      <c r="O1716" s="51"/>
      <c r="P1716" s="51"/>
      <c r="Q1716" s="51"/>
    </row>
  </sheetData>
  <autoFilter ref="A2:AQ375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3:J375">
    <cfRule type="expression" dxfId="15" priority="1">
      <formula>LEN(J3)&gt;40</formula>
    </cfRule>
  </conditionalFormatting>
  <conditionalFormatting sqref="J376:J1048576 J1:J2">
    <cfRule type="duplicateValues" dxfId="14" priority="2"/>
  </conditionalFormatting>
  <conditionalFormatting sqref="L3:N375 L376:L1048576">
    <cfRule type="expression" dxfId="13" priority="7">
      <formula>LEN(L3)&gt;40</formula>
    </cfRule>
  </conditionalFormatting>
  <conditionalFormatting sqref="O3:T375 O376:Q1716 R376:T1048576">
    <cfRule type="expression" dxfId="12" priority="5">
      <formula>LEN(O3)&gt;22</formula>
    </cfRule>
  </conditionalFormatting>
  <conditionalFormatting sqref="X3:Z1048576">
    <cfRule type="expression" dxfId="11" priority="3">
      <formula>LEN(X3)&gt;28</formula>
    </cfRule>
  </conditionalFormatting>
  <dataValidations xWindow="2416" yWindow="326" count="16">
    <dataValidation type="list" allowBlank="1" showInputMessage="1" showErrorMessage="1" promptTitle="Information" prompt="Select value from dropdown" sqref="AP376:AP1048576 AH376:AK1048576 AM376:AM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376:AL1048576" xr:uid="{00000000-0002-0000-0100-000028000000}">
      <formula1>RSC__refxshopinshop</formula1>
    </dataValidation>
    <dataValidation type="list" allowBlank="1" showInputMessage="1" promptTitle="Information" prompt="Select value from dropdown" sqref="AN376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E376:AF1048576" xr:uid="{00000000-0002-0000-0100-000022000000}">
      <formula1>RSC_de_DE_refxtaxclass</formula1>
    </dataValidation>
    <dataValidation type="list" allowBlank="1" sqref="F376:F1048576" xr:uid="{00000000-0002-0000-0100-000002000000}">
      <formula1>RSC_atxwarengruppesap__de_DE</formula1>
    </dataValidation>
    <dataValidation allowBlank="1" sqref="F3:F375" xr:uid="{C4A72171-FC4A-4A32-9286-771D015CB924}"/>
    <dataValidation allowBlank="1" showInputMessage="1" promptTitle="Information" prompt="Select value from dropdown" sqref="AN3:AN375" xr:uid="{ABBF123A-743C-4641-B21D-C38F5C411B13}"/>
    <dataValidation allowBlank="1" showInputMessage="1" showErrorMessage="1" promptTitle="Information" prompt="Select value from dropdown" sqref="AC1:AC1048576 AP3:AP375 AG3:AG375 AE3:AE375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76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OFFSET(dedea_axba2387!$A$1,1,IF(OR(ISBLANK($H376),$H376="[DELETE]",$H376="[NULL]"),MATCH("[EMPTY]",dedea_axba2387!$A$1:$K$1,0),MATCH($H376,dedea_axba2387!$A$1:$K$1,0))-1,32768,1)</xm:f>
          </x14:formula1>
          <xm:sqref>AD376:AD1048576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S1" zoomScale="80" zoomScaleNormal="80" workbookViewId="0">
      <selection activeCell="Y2" sqref="Y2"/>
    </sheetView>
  </sheetViews>
  <sheetFormatPr defaultColWidth="11.3984375" defaultRowHeight="14.25" x14ac:dyDescent="0.45"/>
  <cols>
    <col min="1" max="1" width="5.1328125" customWidth="1"/>
    <col min="2" max="2" width="31" style="77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7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5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2403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2403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2403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2403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2403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2403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689</v>
      </c>
      <c r="G8" s="44" t="s">
        <v>287</v>
      </c>
      <c r="H8" s="44" t="s">
        <v>475</v>
      </c>
      <c r="I8" s="44" t="s">
        <v>690</v>
      </c>
      <c r="J8" s="44" t="s">
        <v>691</v>
      </c>
      <c r="K8" s="44" t="s">
        <v>289</v>
      </c>
      <c r="L8" s="44" t="s">
        <v>475</v>
      </c>
      <c r="M8" s="44" t="s">
        <v>692</v>
      </c>
      <c r="N8" s="44" t="s">
        <v>693</v>
      </c>
      <c r="O8" s="44" t="s">
        <v>291</v>
      </c>
      <c r="P8" s="44" t="s">
        <v>475</v>
      </c>
      <c r="Q8" s="44" t="s">
        <v>694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2403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2403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2403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695</v>
      </c>
      <c r="G11" s="44" t="s">
        <v>273</v>
      </c>
      <c r="H11" s="44"/>
      <c r="I11" s="44" t="s">
        <v>696</v>
      </c>
      <c r="J11" s="44" t="s">
        <v>697</v>
      </c>
      <c r="K11" s="44" t="s">
        <v>276</v>
      </c>
      <c r="L11" s="44"/>
      <c r="M11" s="44" t="s">
        <v>698</v>
      </c>
      <c r="N11" s="44" t="s">
        <v>699</v>
      </c>
      <c r="O11" s="44" t="s">
        <v>278</v>
      </c>
      <c r="P11" s="44"/>
      <c r="Q11" s="44" t="s">
        <v>700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2403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701</v>
      </c>
      <c r="G12" s="44" t="s">
        <v>702</v>
      </c>
      <c r="H12" s="44"/>
      <c r="I12" s="44" t="s">
        <v>703</v>
      </c>
      <c r="J12" s="44" t="s">
        <v>704</v>
      </c>
      <c r="K12" s="44" t="s">
        <v>705</v>
      </c>
      <c r="L12" s="44"/>
      <c r="M12" s="44" t="s">
        <v>706</v>
      </c>
      <c r="N12" s="44" t="s">
        <v>707</v>
      </c>
      <c r="O12" s="44" t="s">
        <v>705</v>
      </c>
      <c r="P12" s="44"/>
      <c r="Q12" s="44" t="s">
        <v>708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2403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709</v>
      </c>
      <c r="J13" s="44" t="s">
        <v>531</v>
      </c>
      <c r="K13" s="44" t="s">
        <v>471</v>
      </c>
      <c r="L13" s="44"/>
      <c r="M13" s="44" t="s">
        <v>710</v>
      </c>
      <c r="N13" s="44" t="s">
        <v>532</v>
      </c>
      <c r="O13" s="44" t="s">
        <v>473</v>
      </c>
      <c r="P13" s="44"/>
      <c r="Q13" s="44" t="s">
        <v>711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2403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712</v>
      </c>
      <c r="G14" s="44" t="s">
        <v>273</v>
      </c>
      <c r="H14" s="44"/>
      <c r="I14" s="44" t="s">
        <v>713</v>
      </c>
      <c r="J14" s="44" t="s">
        <v>714</v>
      </c>
      <c r="K14" s="44" t="s">
        <v>276</v>
      </c>
      <c r="L14" s="44"/>
      <c r="M14" s="44" t="s">
        <v>715</v>
      </c>
      <c r="N14" s="44" t="s">
        <v>716</v>
      </c>
      <c r="O14" s="44" t="s">
        <v>278</v>
      </c>
      <c r="P14" s="44"/>
      <c r="Q14" s="44" t="s">
        <v>717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2403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718</v>
      </c>
      <c r="J15" s="44" t="s">
        <v>299</v>
      </c>
      <c r="K15" s="44"/>
      <c r="L15" s="44" t="s">
        <v>256</v>
      </c>
      <c r="M15" s="44" t="s">
        <v>719</v>
      </c>
      <c r="N15" s="44" t="s">
        <v>301</v>
      </c>
      <c r="O15" s="44"/>
      <c r="P15" s="44" t="s">
        <v>256</v>
      </c>
      <c r="Q15" s="44" t="s">
        <v>720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2403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2403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721</v>
      </c>
      <c r="H17" s="44"/>
      <c r="I17" s="44" t="s">
        <v>722</v>
      </c>
      <c r="J17" s="44" t="s">
        <v>299</v>
      </c>
      <c r="K17" s="44" t="s">
        <v>723</v>
      </c>
      <c r="L17" s="44"/>
      <c r="M17" s="44" t="s">
        <v>724</v>
      </c>
      <c r="N17" s="44" t="s">
        <v>301</v>
      </c>
      <c r="O17" s="44" t="s">
        <v>725</v>
      </c>
      <c r="P17" s="44"/>
      <c r="Q17" s="44" t="s">
        <v>2410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2403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2403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726</v>
      </c>
      <c r="I19" s="44" t="s">
        <v>727</v>
      </c>
      <c r="J19" s="44" t="s">
        <v>299</v>
      </c>
      <c r="K19" s="44" t="s">
        <v>310</v>
      </c>
      <c r="L19" s="44" t="s">
        <v>726</v>
      </c>
      <c r="M19" s="44" t="s">
        <v>728</v>
      </c>
      <c r="N19" s="44" t="s">
        <v>301</v>
      </c>
      <c r="O19" s="44" t="s">
        <v>311</v>
      </c>
      <c r="P19" s="44" t="s">
        <v>726</v>
      </c>
      <c r="Q19" s="44" t="s">
        <v>729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2403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2403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2403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2403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2403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730</v>
      </c>
      <c r="G24" s="44" t="s">
        <v>273</v>
      </c>
      <c r="H24" s="44"/>
      <c r="I24" s="44" t="s">
        <v>731</v>
      </c>
      <c r="J24" s="44" t="s">
        <v>732</v>
      </c>
      <c r="K24" s="44" t="s">
        <v>276</v>
      </c>
      <c r="L24" s="44"/>
      <c r="M24" s="44" t="s">
        <v>733</v>
      </c>
      <c r="N24" s="44" t="s">
        <v>734</v>
      </c>
      <c r="O24" s="44" t="s">
        <v>278</v>
      </c>
      <c r="P24" s="44"/>
      <c r="Q24" s="44" t="s">
        <v>735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2403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2403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2403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2403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2403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2403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2403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2403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736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2403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2403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2411</v>
      </c>
      <c r="G34" s="44" t="s">
        <v>273</v>
      </c>
      <c r="H34" s="44"/>
      <c r="I34" s="44" t="s">
        <v>389</v>
      </c>
      <c r="J34" s="44" t="s">
        <v>2412</v>
      </c>
      <c r="K34" s="44" t="s">
        <v>276</v>
      </c>
      <c r="L34" s="44"/>
      <c r="M34" s="44" t="s">
        <v>390</v>
      </c>
      <c r="N34" s="44" t="s">
        <v>2413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2403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2411</v>
      </c>
      <c r="G35" s="44" t="s">
        <v>346</v>
      </c>
      <c r="H35" s="44"/>
      <c r="I35" s="44" t="s">
        <v>737</v>
      </c>
      <c r="J35" s="44" t="s">
        <v>2412</v>
      </c>
      <c r="K35" s="44" t="s">
        <v>349</v>
      </c>
      <c r="L35" s="44"/>
      <c r="M35" s="44" t="s">
        <v>738</v>
      </c>
      <c r="N35" s="44" t="s">
        <v>2413</v>
      </c>
      <c r="O35" s="44" t="s">
        <v>352</v>
      </c>
      <c r="P35" s="44"/>
      <c r="Q35" s="44" t="s">
        <v>739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2403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2403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740</v>
      </c>
      <c r="J37" s="44" t="s">
        <v>394</v>
      </c>
      <c r="K37" s="44" t="s">
        <v>349</v>
      </c>
      <c r="L37" s="44"/>
      <c r="M37" s="44" t="s">
        <v>741</v>
      </c>
      <c r="N37" s="44" t="s">
        <v>396</v>
      </c>
      <c r="O37" s="44" t="s">
        <v>352</v>
      </c>
      <c r="P37" s="44"/>
      <c r="Q37" s="44" t="s">
        <v>742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2403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2403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2403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2403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2403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2403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2403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2403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2403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2414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2403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2403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743</v>
      </c>
      <c r="J48" s="44" t="s">
        <v>444</v>
      </c>
      <c r="K48" s="44" t="s">
        <v>349</v>
      </c>
      <c r="L48" s="44"/>
      <c r="M48" s="44" t="s">
        <v>744</v>
      </c>
      <c r="N48" s="44" t="s">
        <v>446</v>
      </c>
      <c r="O48" s="44" t="s">
        <v>352</v>
      </c>
      <c r="P48" s="44"/>
      <c r="Q48" s="44" t="s">
        <v>745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2403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746</v>
      </c>
      <c r="G49" s="44" t="s">
        <v>273</v>
      </c>
      <c r="H49" s="44" t="s">
        <v>256</v>
      </c>
      <c r="I49" s="44" t="s">
        <v>747</v>
      </c>
      <c r="J49" s="44" t="s">
        <v>748</v>
      </c>
      <c r="K49" s="44" t="s">
        <v>276</v>
      </c>
      <c r="L49" s="44" t="s">
        <v>256</v>
      </c>
      <c r="M49" s="44" t="s">
        <v>749</v>
      </c>
      <c r="N49" s="44" t="s">
        <v>750</v>
      </c>
      <c r="O49" s="44" t="s">
        <v>278</v>
      </c>
      <c r="P49" s="44" t="s">
        <v>256</v>
      </c>
      <c r="Q49" s="44" t="s">
        <v>751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2403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2403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752</v>
      </c>
      <c r="J51" s="44" t="s">
        <v>455</v>
      </c>
      <c r="K51" s="44" t="s">
        <v>276</v>
      </c>
      <c r="L51" s="44"/>
      <c r="M51" s="44" t="s">
        <v>753</v>
      </c>
      <c r="N51" s="44" t="s">
        <v>456</v>
      </c>
      <c r="O51" s="44" t="s">
        <v>278</v>
      </c>
      <c r="P51" s="44"/>
      <c r="Q51" s="44" t="s">
        <v>754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2403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2403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2403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2403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2403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2415</v>
      </c>
      <c r="G56" s="44" t="s">
        <v>309</v>
      </c>
      <c r="H56" s="44" t="s">
        <v>475</v>
      </c>
      <c r="I56" s="44" t="s">
        <v>476</v>
      </c>
      <c r="J56" s="44" t="s">
        <v>2416</v>
      </c>
      <c r="K56" s="44" t="s">
        <v>310</v>
      </c>
      <c r="L56" s="44" t="s">
        <v>475</v>
      </c>
      <c r="M56" s="44" t="s">
        <v>477</v>
      </c>
      <c r="N56" s="44" t="s">
        <v>2417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2403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2415</v>
      </c>
      <c r="G57" s="44" t="s">
        <v>309</v>
      </c>
      <c r="H57" s="44" t="s">
        <v>253</v>
      </c>
      <c r="I57" s="44" t="s">
        <v>479</v>
      </c>
      <c r="J57" s="44" t="s">
        <v>2416</v>
      </c>
      <c r="K57" s="44" t="s">
        <v>310</v>
      </c>
      <c r="L57" s="44" t="s">
        <v>253</v>
      </c>
      <c r="M57" s="44" t="s">
        <v>480</v>
      </c>
      <c r="N57" s="44" t="s">
        <v>2417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2403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2403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2403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755</v>
      </c>
      <c r="G60" s="44" t="s">
        <v>756</v>
      </c>
      <c r="H60" s="44"/>
      <c r="I60" s="44" t="s">
        <v>757</v>
      </c>
      <c r="J60" s="44" t="s">
        <v>2406</v>
      </c>
      <c r="K60" s="44" t="s">
        <v>322</v>
      </c>
      <c r="L60" s="44"/>
      <c r="M60" s="44" t="s">
        <v>758</v>
      </c>
      <c r="N60" s="44" t="s">
        <v>759</v>
      </c>
      <c r="O60" s="44" t="s">
        <v>308</v>
      </c>
      <c r="P60" s="44"/>
      <c r="Q60" s="44" t="s">
        <v>760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2403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2403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2403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761</v>
      </c>
      <c r="G63" s="44" t="s">
        <v>762</v>
      </c>
      <c r="H63" s="44" t="s">
        <v>763</v>
      </c>
      <c r="I63" s="44" t="s">
        <v>764</v>
      </c>
      <c r="J63" s="44" t="s">
        <v>761</v>
      </c>
      <c r="K63" s="44" t="s">
        <v>765</v>
      </c>
      <c r="L63" s="44" t="s">
        <v>763</v>
      </c>
      <c r="M63" s="44" t="s">
        <v>766</v>
      </c>
      <c r="N63" s="44" t="s">
        <v>761</v>
      </c>
      <c r="O63" s="44" t="s">
        <v>767</v>
      </c>
      <c r="P63" s="44" t="s">
        <v>763</v>
      </c>
      <c r="Q63" s="44" t="s">
        <v>768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2403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769</v>
      </c>
      <c r="J64" s="44" t="s">
        <v>504</v>
      </c>
      <c r="K64" s="44" t="s">
        <v>276</v>
      </c>
      <c r="L64" s="44"/>
      <c r="M64" s="44" t="s">
        <v>770</v>
      </c>
      <c r="N64" s="44" t="s">
        <v>505</v>
      </c>
      <c r="O64" s="44" t="s">
        <v>278</v>
      </c>
      <c r="P64" s="44"/>
      <c r="Q64" s="44" t="s">
        <v>771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2403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2403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2403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2403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2403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772</v>
      </c>
      <c r="J69" s="44" t="s">
        <v>531</v>
      </c>
      <c r="K69" s="44" t="s">
        <v>276</v>
      </c>
      <c r="L69" s="44"/>
      <c r="M69" s="44" t="s">
        <v>773</v>
      </c>
      <c r="N69" s="44" t="s">
        <v>532</v>
      </c>
      <c r="O69" s="44" t="s">
        <v>278</v>
      </c>
      <c r="P69" s="44"/>
      <c r="Q69" s="44" t="s">
        <v>774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2403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2403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775</v>
      </c>
      <c r="G71" s="44" t="s">
        <v>702</v>
      </c>
      <c r="H71" s="44" t="s">
        <v>776</v>
      </c>
      <c r="I71" s="44" t="s">
        <v>777</v>
      </c>
      <c r="J71" s="44" t="s">
        <v>531</v>
      </c>
      <c r="K71" s="44" t="s">
        <v>705</v>
      </c>
      <c r="L71" s="44" t="s">
        <v>776</v>
      </c>
      <c r="M71" s="44" t="s">
        <v>778</v>
      </c>
      <c r="N71" s="44" t="s">
        <v>779</v>
      </c>
      <c r="O71" s="44" t="s">
        <v>705</v>
      </c>
      <c r="P71" s="44" t="s">
        <v>776</v>
      </c>
      <c r="Q71" s="44" t="s">
        <v>780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2403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775</v>
      </c>
      <c r="G72" s="44" t="s">
        <v>781</v>
      </c>
      <c r="H72" s="44" t="s">
        <v>776</v>
      </c>
      <c r="I72" s="44" t="s">
        <v>782</v>
      </c>
      <c r="J72" s="44" t="s">
        <v>531</v>
      </c>
      <c r="K72" s="44" t="s">
        <v>783</v>
      </c>
      <c r="L72" s="44" t="s">
        <v>776</v>
      </c>
      <c r="M72" s="44" t="s">
        <v>784</v>
      </c>
      <c r="N72" s="44" t="s">
        <v>779</v>
      </c>
      <c r="O72" s="44" t="s">
        <v>783</v>
      </c>
      <c r="P72" s="44" t="s">
        <v>776</v>
      </c>
      <c r="Q72" s="44" t="s">
        <v>785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2403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786</v>
      </c>
      <c r="G73" s="44" t="s">
        <v>346</v>
      </c>
      <c r="H73" s="44"/>
      <c r="I73" s="44" t="s">
        <v>787</v>
      </c>
      <c r="J73" s="44" t="s">
        <v>788</v>
      </c>
      <c r="K73" s="44" t="s">
        <v>349</v>
      </c>
      <c r="L73" s="44"/>
      <c r="M73" s="44" t="s">
        <v>789</v>
      </c>
      <c r="N73" s="44" t="s">
        <v>790</v>
      </c>
      <c r="O73" s="44" t="s">
        <v>352</v>
      </c>
      <c r="P73" s="44"/>
      <c r="Q73" s="44" t="s">
        <v>791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2403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792</v>
      </c>
      <c r="G74" s="44" t="s">
        <v>273</v>
      </c>
      <c r="H74" s="44"/>
      <c r="I74" s="44" t="s">
        <v>793</v>
      </c>
      <c r="J74" s="44" t="s">
        <v>794</v>
      </c>
      <c r="K74" s="44" t="s">
        <v>276</v>
      </c>
      <c r="L74" s="44"/>
      <c r="M74" s="44" t="s">
        <v>795</v>
      </c>
      <c r="N74" s="44" t="s">
        <v>796</v>
      </c>
      <c r="O74" s="44" t="s">
        <v>278</v>
      </c>
      <c r="P74" s="44"/>
      <c r="Q74" s="44" t="s">
        <v>797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2403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792</v>
      </c>
      <c r="G75" s="44" t="s">
        <v>346</v>
      </c>
      <c r="H75" s="44"/>
      <c r="I75" s="44" t="s">
        <v>798</v>
      </c>
      <c r="J75" s="44" t="s">
        <v>794</v>
      </c>
      <c r="K75" s="44" t="s">
        <v>349</v>
      </c>
      <c r="L75" s="44"/>
      <c r="M75" s="44" t="s">
        <v>799</v>
      </c>
      <c r="N75" s="44" t="s">
        <v>796</v>
      </c>
      <c r="O75" s="44" t="s">
        <v>352</v>
      </c>
      <c r="P75" s="44"/>
      <c r="Q75" s="44" t="s">
        <v>800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2403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801</v>
      </c>
      <c r="G76" s="44" t="s">
        <v>346</v>
      </c>
      <c r="H76" s="44"/>
      <c r="I76" s="44" t="s">
        <v>802</v>
      </c>
      <c r="J76" s="44" t="s">
        <v>803</v>
      </c>
      <c r="K76" s="44" t="s">
        <v>349</v>
      </c>
      <c r="L76" s="44"/>
      <c r="M76" s="44" t="s">
        <v>804</v>
      </c>
      <c r="N76" s="44" t="s">
        <v>805</v>
      </c>
      <c r="O76" s="44" t="s">
        <v>352</v>
      </c>
      <c r="P76" s="44"/>
      <c r="Q76" s="44" t="s">
        <v>806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2403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801</v>
      </c>
      <c r="G77" s="44" t="s">
        <v>469</v>
      </c>
      <c r="H77" s="44"/>
      <c r="I77" s="44" t="s">
        <v>807</v>
      </c>
      <c r="J77" s="44" t="s">
        <v>803</v>
      </c>
      <c r="K77" s="44" t="s">
        <v>471</v>
      </c>
      <c r="L77" s="44"/>
      <c r="M77" s="44" t="s">
        <v>808</v>
      </c>
      <c r="N77" s="44" t="s">
        <v>805</v>
      </c>
      <c r="O77" s="44" t="s">
        <v>473</v>
      </c>
      <c r="P77" s="44"/>
      <c r="Q77" s="44" t="s">
        <v>809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2403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810</v>
      </c>
      <c r="G78" s="44"/>
      <c r="H78" s="44" t="s">
        <v>776</v>
      </c>
      <c r="I78" s="44" t="s">
        <v>811</v>
      </c>
      <c r="J78" s="44" t="s">
        <v>812</v>
      </c>
      <c r="K78" s="44"/>
      <c r="L78" s="44" t="s">
        <v>776</v>
      </c>
      <c r="M78" s="44" t="s">
        <v>813</v>
      </c>
      <c r="N78" s="44" t="s">
        <v>814</v>
      </c>
      <c r="O78" s="44"/>
      <c r="P78" s="44" t="s">
        <v>776</v>
      </c>
      <c r="Q78" s="44" t="s">
        <v>815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2403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816</v>
      </c>
      <c r="G79" s="44" t="s">
        <v>273</v>
      </c>
      <c r="H79" s="44"/>
      <c r="I79" s="44" t="s">
        <v>817</v>
      </c>
      <c r="J79" s="44" t="s">
        <v>818</v>
      </c>
      <c r="K79" s="44" t="s">
        <v>276</v>
      </c>
      <c r="L79" s="44"/>
      <c r="M79" s="44" t="s">
        <v>819</v>
      </c>
      <c r="N79" s="44" t="s">
        <v>820</v>
      </c>
      <c r="O79" s="44" t="s">
        <v>278</v>
      </c>
      <c r="P79" s="44"/>
      <c r="Q79" s="44" t="s">
        <v>821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2403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816</v>
      </c>
      <c r="G80" s="44" t="s">
        <v>346</v>
      </c>
      <c r="H80" s="44"/>
      <c r="I80" s="44" t="s">
        <v>822</v>
      </c>
      <c r="J80" s="44" t="s">
        <v>818</v>
      </c>
      <c r="K80" s="44" t="s">
        <v>349</v>
      </c>
      <c r="L80" s="44"/>
      <c r="M80" s="44" t="s">
        <v>823</v>
      </c>
      <c r="N80" s="44" t="s">
        <v>820</v>
      </c>
      <c r="O80" s="44" t="s">
        <v>352</v>
      </c>
      <c r="P80" s="44"/>
      <c r="Q80" s="44" t="s">
        <v>824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2403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825</v>
      </c>
      <c r="G81" s="44" t="s">
        <v>826</v>
      </c>
      <c r="H81" s="44" t="s">
        <v>268</v>
      </c>
      <c r="I81" s="44" t="s">
        <v>827</v>
      </c>
      <c r="J81" s="44" t="s">
        <v>828</v>
      </c>
      <c r="K81" s="44" t="s">
        <v>829</v>
      </c>
      <c r="L81" s="44" t="s">
        <v>269</v>
      </c>
      <c r="M81" s="44" t="s">
        <v>830</v>
      </c>
      <c r="N81" s="44" t="s">
        <v>831</v>
      </c>
      <c r="O81" s="44" t="s">
        <v>832</v>
      </c>
      <c r="P81" s="44" t="s">
        <v>270</v>
      </c>
      <c r="Q81" s="44" t="s">
        <v>833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2403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834</v>
      </c>
      <c r="G82" s="44"/>
      <c r="H82" s="44" t="s">
        <v>252</v>
      </c>
      <c r="I82" s="44" t="s">
        <v>835</v>
      </c>
      <c r="J82" s="44" t="s">
        <v>836</v>
      </c>
      <c r="K82" s="44"/>
      <c r="L82" s="44" t="s">
        <v>837</v>
      </c>
      <c r="M82" s="44" t="s">
        <v>838</v>
      </c>
      <c r="N82" s="44" t="s">
        <v>839</v>
      </c>
      <c r="O82" s="44"/>
      <c r="P82" s="44" t="s">
        <v>840</v>
      </c>
      <c r="Q82" s="44" t="s">
        <v>841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2403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842</v>
      </c>
      <c r="G83" s="44" t="s">
        <v>273</v>
      </c>
      <c r="H83" s="44"/>
      <c r="I83" s="44" t="s">
        <v>843</v>
      </c>
      <c r="J83" s="44" t="s">
        <v>844</v>
      </c>
      <c r="K83" s="44" t="s">
        <v>276</v>
      </c>
      <c r="L83" s="44"/>
      <c r="M83" s="44" t="s">
        <v>845</v>
      </c>
      <c r="N83" s="44" t="s">
        <v>846</v>
      </c>
      <c r="O83" s="44" t="s">
        <v>278</v>
      </c>
      <c r="P83" s="44"/>
      <c r="Q83" s="44" t="s">
        <v>847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2403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842</v>
      </c>
      <c r="G84" s="44" t="s">
        <v>346</v>
      </c>
      <c r="H84" s="44"/>
      <c r="I84" s="44" t="s">
        <v>2407</v>
      </c>
      <c r="J84" s="44" t="s">
        <v>844</v>
      </c>
      <c r="K84" s="44" t="s">
        <v>349</v>
      </c>
      <c r="L84" s="44"/>
      <c r="M84" s="44" t="s">
        <v>848</v>
      </c>
      <c r="N84" s="44" t="s">
        <v>846</v>
      </c>
      <c r="O84" s="44" t="s">
        <v>352</v>
      </c>
      <c r="P84" s="44"/>
      <c r="Q84" s="44" t="s">
        <v>849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2403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850</v>
      </c>
      <c r="G85" s="44" t="s">
        <v>273</v>
      </c>
      <c r="H85" s="44"/>
      <c r="I85" s="44" t="s">
        <v>851</v>
      </c>
      <c r="J85" s="44" t="s">
        <v>852</v>
      </c>
      <c r="K85" s="44" t="s">
        <v>276</v>
      </c>
      <c r="L85" s="44"/>
      <c r="M85" s="44" t="s">
        <v>853</v>
      </c>
      <c r="N85" s="44" t="s">
        <v>854</v>
      </c>
      <c r="O85" s="44" t="s">
        <v>278</v>
      </c>
      <c r="P85" s="44"/>
      <c r="Q85" s="44" t="s">
        <v>855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2403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850</v>
      </c>
      <c r="G86" s="44" t="s">
        <v>346</v>
      </c>
      <c r="H86" s="44"/>
      <c r="I86" s="44" t="s">
        <v>856</v>
      </c>
      <c r="J86" s="44" t="s">
        <v>852</v>
      </c>
      <c r="K86" s="44" t="s">
        <v>349</v>
      </c>
      <c r="L86" s="44"/>
      <c r="M86" s="44" t="s">
        <v>857</v>
      </c>
      <c r="N86" s="44" t="s">
        <v>854</v>
      </c>
      <c r="O86" s="44" t="s">
        <v>352</v>
      </c>
      <c r="P86" s="44"/>
      <c r="Q86" s="44" t="s">
        <v>858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2403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859</v>
      </c>
      <c r="G87" s="44" t="s">
        <v>309</v>
      </c>
      <c r="H87" s="44" t="s">
        <v>253</v>
      </c>
      <c r="I87" s="44" t="s">
        <v>860</v>
      </c>
      <c r="J87" s="44" t="s">
        <v>861</v>
      </c>
      <c r="K87" s="44" t="s">
        <v>310</v>
      </c>
      <c r="L87" s="44" t="s">
        <v>253</v>
      </c>
      <c r="M87" s="44" t="s">
        <v>862</v>
      </c>
      <c r="N87" s="44" t="s">
        <v>863</v>
      </c>
      <c r="O87" s="44" t="s">
        <v>311</v>
      </c>
      <c r="P87" s="44" t="s">
        <v>253</v>
      </c>
      <c r="Q87" s="44" t="s">
        <v>864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2403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865</v>
      </c>
      <c r="G88" s="44" t="s">
        <v>469</v>
      </c>
      <c r="H88" s="44"/>
      <c r="I88" s="44" t="s">
        <v>866</v>
      </c>
      <c r="J88" s="44" t="s">
        <v>867</v>
      </c>
      <c r="K88" s="44" t="s">
        <v>471</v>
      </c>
      <c r="L88" s="44"/>
      <c r="M88" s="44" t="s">
        <v>868</v>
      </c>
      <c r="N88" s="44" t="s">
        <v>869</v>
      </c>
      <c r="O88" s="44" t="s">
        <v>473</v>
      </c>
      <c r="P88" s="44"/>
      <c r="Q88" s="44" t="s">
        <v>870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2403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871</v>
      </c>
      <c r="G89" s="44" t="s">
        <v>293</v>
      </c>
      <c r="H89" s="44"/>
      <c r="I89" s="44" t="s">
        <v>872</v>
      </c>
      <c r="J89" s="44" t="s">
        <v>873</v>
      </c>
      <c r="K89" s="44" t="s">
        <v>294</v>
      </c>
      <c r="L89" s="44"/>
      <c r="M89" s="44" t="s">
        <v>874</v>
      </c>
      <c r="N89" s="44" t="s">
        <v>875</v>
      </c>
      <c r="O89" s="44" t="s">
        <v>295</v>
      </c>
      <c r="P89" s="44"/>
      <c r="Q89" s="44" t="s">
        <v>876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2403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877</v>
      </c>
      <c r="G90" s="44"/>
      <c r="H90" s="44"/>
      <c r="I90" s="44" t="s">
        <v>877</v>
      </c>
      <c r="J90" s="44" t="s">
        <v>878</v>
      </c>
      <c r="K90" s="44"/>
      <c r="L90" s="44"/>
      <c r="M90" s="44" t="s">
        <v>878</v>
      </c>
      <c r="N90" s="44" t="s">
        <v>879</v>
      </c>
      <c r="O90" s="44"/>
      <c r="P90" s="44"/>
      <c r="Q90" s="44" t="s">
        <v>879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2403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880</v>
      </c>
      <c r="G91" s="44" t="s">
        <v>319</v>
      </c>
      <c r="H91" s="44"/>
      <c r="I91" s="44" t="s">
        <v>881</v>
      </c>
      <c r="J91" s="44" t="s">
        <v>882</v>
      </c>
      <c r="K91" s="44" t="s">
        <v>322</v>
      </c>
      <c r="L91" s="44"/>
      <c r="M91" s="44" t="s">
        <v>883</v>
      </c>
      <c r="N91" s="44" t="s">
        <v>884</v>
      </c>
      <c r="O91" s="44" t="s">
        <v>308</v>
      </c>
      <c r="P91" s="44"/>
      <c r="Q91" s="44" t="s">
        <v>885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2403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886</v>
      </c>
      <c r="G92" s="44" t="s">
        <v>293</v>
      </c>
      <c r="H92" s="44"/>
      <c r="I92" s="44" t="s">
        <v>887</v>
      </c>
      <c r="J92" s="44" t="s">
        <v>888</v>
      </c>
      <c r="K92" s="44" t="s">
        <v>294</v>
      </c>
      <c r="L92" s="44"/>
      <c r="M92" s="44" t="s">
        <v>889</v>
      </c>
      <c r="N92" s="44" t="s">
        <v>890</v>
      </c>
      <c r="O92" s="44" t="s">
        <v>295</v>
      </c>
      <c r="P92" s="44"/>
      <c r="Q92" s="44" t="s">
        <v>891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2403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892</v>
      </c>
      <c r="G93" s="44"/>
      <c r="H93" s="44" t="s">
        <v>257</v>
      </c>
      <c r="I93" s="44" t="s">
        <v>893</v>
      </c>
      <c r="J93" s="44" t="s">
        <v>894</v>
      </c>
      <c r="K93" s="44"/>
      <c r="L93" s="44" t="s">
        <v>258</v>
      </c>
      <c r="M93" s="44" t="s">
        <v>895</v>
      </c>
      <c r="N93" s="44" t="s">
        <v>896</v>
      </c>
      <c r="O93" s="44"/>
      <c r="P93" s="44" t="s">
        <v>259</v>
      </c>
      <c r="Q93" s="44" t="s">
        <v>897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2403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892</v>
      </c>
      <c r="G94" s="44" t="s">
        <v>287</v>
      </c>
      <c r="H94" s="44" t="s">
        <v>898</v>
      </c>
      <c r="I94" s="44" t="s">
        <v>899</v>
      </c>
      <c r="J94" s="44" t="s">
        <v>894</v>
      </c>
      <c r="K94" s="44" t="s">
        <v>289</v>
      </c>
      <c r="L94" s="44" t="s">
        <v>898</v>
      </c>
      <c r="M94" s="44" t="s">
        <v>900</v>
      </c>
      <c r="N94" s="44" t="s">
        <v>896</v>
      </c>
      <c r="O94" s="44" t="s">
        <v>291</v>
      </c>
      <c r="P94" s="44" t="s">
        <v>898</v>
      </c>
      <c r="Q94" s="44" t="s">
        <v>901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2403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902</v>
      </c>
      <c r="G95" s="44" t="s">
        <v>293</v>
      </c>
      <c r="H95" s="44"/>
      <c r="I95" s="44" t="s">
        <v>903</v>
      </c>
      <c r="J95" s="44" t="s">
        <v>904</v>
      </c>
      <c r="K95" s="44" t="s">
        <v>294</v>
      </c>
      <c r="L95" s="44"/>
      <c r="M95" s="44" t="s">
        <v>905</v>
      </c>
      <c r="N95" s="44" t="s">
        <v>906</v>
      </c>
      <c r="O95" s="44" t="s">
        <v>295</v>
      </c>
      <c r="P95" s="44"/>
      <c r="Q95" s="44" t="s">
        <v>907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2403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908</v>
      </c>
      <c r="G96" s="44" t="s">
        <v>346</v>
      </c>
      <c r="H96" s="44"/>
      <c r="I96" s="44" t="s">
        <v>909</v>
      </c>
      <c r="J96" s="44" t="s">
        <v>910</v>
      </c>
      <c r="K96" s="44" t="s">
        <v>349</v>
      </c>
      <c r="L96" s="44"/>
      <c r="M96" s="44" t="s">
        <v>911</v>
      </c>
      <c r="N96" s="44" t="s">
        <v>912</v>
      </c>
      <c r="O96" s="44" t="s">
        <v>352</v>
      </c>
      <c r="P96" s="44"/>
      <c r="Q96" s="44" t="s">
        <v>913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2403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914</v>
      </c>
      <c r="G97" s="44" t="s">
        <v>826</v>
      </c>
      <c r="H97" s="44" t="s">
        <v>915</v>
      </c>
      <c r="I97" s="44" t="s">
        <v>916</v>
      </c>
      <c r="J97" s="44" t="s">
        <v>917</v>
      </c>
      <c r="K97" s="44" t="s">
        <v>829</v>
      </c>
      <c r="L97" s="44" t="s">
        <v>915</v>
      </c>
      <c r="M97" s="44" t="s">
        <v>918</v>
      </c>
      <c r="N97" s="44" t="s">
        <v>919</v>
      </c>
      <c r="O97" s="44" t="s">
        <v>832</v>
      </c>
      <c r="P97" s="44" t="s">
        <v>915</v>
      </c>
      <c r="Q97" s="44" t="s">
        <v>920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2403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921</v>
      </c>
      <c r="G98" s="44"/>
      <c r="H98" s="44" t="s">
        <v>257</v>
      </c>
      <c r="I98" s="44" t="s">
        <v>922</v>
      </c>
      <c r="J98" s="44" t="s">
        <v>923</v>
      </c>
      <c r="K98" s="44"/>
      <c r="L98" s="44" t="s">
        <v>258</v>
      </c>
      <c r="M98" s="44" t="s">
        <v>924</v>
      </c>
      <c r="N98" s="44" t="s">
        <v>925</v>
      </c>
      <c r="O98" s="44"/>
      <c r="P98" s="44" t="s">
        <v>259</v>
      </c>
      <c r="Q98" s="44" t="s">
        <v>926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2403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927</v>
      </c>
      <c r="G99" s="44"/>
      <c r="H99" s="44" t="s">
        <v>257</v>
      </c>
      <c r="I99" s="44" t="s">
        <v>928</v>
      </c>
      <c r="J99" s="44" t="s">
        <v>929</v>
      </c>
      <c r="K99" s="44"/>
      <c r="L99" s="44" t="s">
        <v>258</v>
      </c>
      <c r="M99" s="44" t="s">
        <v>930</v>
      </c>
      <c r="N99" s="44" t="s">
        <v>931</v>
      </c>
      <c r="O99" s="44"/>
      <c r="P99" s="44" t="s">
        <v>259</v>
      </c>
      <c r="Q99" s="44" t="s">
        <v>932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2403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933</v>
      </c>
      <c r="G100" s="44"/>
      <c r="H100" s="44" t="s">
        <v>257</v>
      </c>
      <c r="I100" s="44" t="s">
        <v>934</v>
      </c>
      <c r="J100" s="44" t="s">
        <v>935</v>
      </c>
      <c r="K100" s="44"/>
      <c r="L100" s="44" t="s">
        <v>258</v>
      </c>
      <c r="M100" s="44" t="s">
        <v>936</v>
      </c>
      <c r="N100" s="44" t="s">
        <v>937</v>
      </c>
      <c r="O100" s="44"/>
      <c r="P100" s="44" t="s">
        <v>259</v>
      </c>
      <c r="Q100" s="44" t="s">
        <v>938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2403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939</v>
      </c>
      <c r="G101" s="44"/>
      <c r="H101" s="44" t="s">
        <v>257</v>
      </c>
      <c r="I101" s="44" t="s">
        <v>940</v>
      </c>
      <c r="J101" s="44" t="s">
        <v>941</v>
      </c>
      <c r="K101" s="44"/>
      <c r="L101" s="44" t="s">
        <v>258</v>
      </c>
      <c r="M101" s="44" t="s">
        <v>942</v>
      </c>
      <c r="N101" s="44" t="s">
        <v>943</v>
      </c>
      <c r="O101" s="44"/>
      <c r="P101" s="44" t="s">
        <v>259</v>
      </c>
      <c r="Q101" s="44" t="s">
        <v>944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2403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945</v>
      </c>
      <c r="G102" s="44" t="s">
        <v>946</v>
      </c>
      <c r="H102" s="44" t="s">
        <v>267</v>
      </c>
      <c r="I102" s="44" t="s">
        <v>947</v>
      </c>
      <c r="J102" s="44" t="s">
        <v>948</v>
      </c>
      <c r="K102" s="44" t="s">
        <v>946</v>
      </c>
      <c r="L102" s="44" t="s">
        <v>267</v>
      </c>
      <c r="M102" s="44" t="s">
        <v>949</v>
      </c>
      <c r="N102" s="44" t="s">
        <v>950</v>
      </c>
      <c r="O102" s="44" t="s">
        <v>946</v>
      </c>
      <c r="P102" s="44" t="s">
        <v>267</v>
      </c>
      <c r="Q102" s="44" t="s">
        <v>951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2403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945</v>
      </c>
      <c r="G103" s="44" t="s">
        <v>952</v>
      </c>
      <c r="H103" s="44" t="s">
        <v>267</v>
      </c>
      <c r="I103" s="44" t="s">
        <v>953</v>
      </c>
      <c r="J103" s="44" t="s">
        <v>948</v>
      </c>
      <c r="K103" s="44" t="s">
        <v>954</v>
      </c>
      <c r="L103" s="44" t="s">
        <v>267</v>
      </c>
      <c r="M103" s="44" t="s">
        <v>955</v>
      </c>
      <c r="N103" s="44" t="s">
        <v>950</v>
      </c>
      <c r="O103" s="44" t="s">
        <v>956</v>
      </c>
      <c r="P103" s="44" t="s">
        <v>267</v>
      </c>
      <c r="Q103" s="44" t="s">
        <v>957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2403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945</v>
      </c>
      <c r="G104" s="44" t="s">
        <v>338</v>
      </c>
      <c r="H104" s="44" t="s">
        <v>257</v>
      </c>
      <c r="I104" s="44" t="s">
        <v>958</v>
      </c>
      <c r="J104" s="44" t="s">
        <v>948</v>
      </c>
      <c r="K104" s="44" t="s">
        <v>338</v>
      </c>
      <c r="L104" s="44" t="s">
        <v>258</v>
      </c>
      <c r="M104" s="44" t="s">
        <v>959</v>
      </c>
      <c r="N104" s="44" t="s">
        <v>950</v>
      </c>
      <c r="O104" s="44" t="s">
        <v>338</v>
      </c>
      <c r="P104" s="44" t="s">
        <v>259</v>
      </c>
      <c r="Q104" s="44" t="s">
        <v>960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2403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961</v>
      </c>
      <c r="G105" s="44"/>
      <c r="H105" s="44" t="s">
        <v>257</v>
      </c>
      <c r="I105" s="44" t="s">
        <v>962</v>
      </c>
      <c r="J105" s="44" t="s">
        <v>963</v>
      </c>
      <c r="K105" s="44"/>
      <c r="L105" s="44" t="s">
        <v>258</v>
      </c>
      <c r="M105" s="44" t="s">
        <v>964</v>
      </c>
      <c r="N105" s="44" t="s">
        <v>965</v>
      </c>
      <c r="O105" s="44"/>
      <c r="P105" s="44" t="s">
        <v>259</v>
      </c>
      <c r="Q105" s="44" t="s">
        <v>966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2403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967</v>
      </c>
      <c r="G106" s="44" t="s">
        <v>287</v>
      </c>
      <c r="H106" s="44" t="s">
        <v>271</v>
      </c>
      <c r="I106" s="44" t="s">
        <v>968</v>
      </c>
      <c r="J106" s="44" t="s">
        <v>969</v>
      </c>
      <c r="K106" s="44" t="s">
        <v>289</v>
      </c>
      <c r="L106" s="44" t="s">
        <v>271</v>
      </c>
      <c r="M106" s="44" t="s">
        <v>970</v>
      </c>
      <c r="N106" s="44" t="s">
        <v>971</v>
      </c>
      <c r="O106" s="44" t="s">
        <v>291</v>
      </c>
      <c r="P106" s="44" t="s">
        <v>271</v>
      </c>
      <c r="Q106" s="44" t="s">
        <v>972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2403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973</v>
      </c>
      <c r="G107" s="44" t="s">
        <v>346</v>
      </c>
      <c r="H107" s="44"/>
      <c r="I107" s="44" t="s">
        <v>974</v>
      </c>
      <c r="J107" s="44" t="s">
        <v>975</v>
      </c>
      <c r="K107" s="44" t="s">
        <v>349</v>
      </c>
      <c r="L107" s="44"/>
      <c r="M107" s="44" t="s">
        <v>976</v>
      </c>
      <c r="N107" s="44" t="s">
        <v>977</v>
      </c>
      <c r="O107" s="44" t="s">
        <v>352</v>
      </c>
      <c r="P107" s="44"/>
      <c r="Q107" s="44" t="s">
        <v>978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2403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979</v>
      </c>
      <c r="G108" s="44" t="s">
        <v>319</v>
      </c>
      <c r="H108" s="44"/>
      <c r="I108" s="44" t="s">
        <v>980</v>
      </c>
      <c r="J108" s="44" t="s">
        <v>981</v>
      </c>
      <c r="K108" s="44" t="s">
        <v>322</v>
      </c>
      <c r="L108" s="44"/>
      <c r="M108" s="44" t="s">
        <v>982</v>
      </c>
      <c r="N108" s="44" t="s">
        <v>983</v>
      </c>
      <c r="O108" s="44" t="s">
        <v>308</v>
      </c>
      <c r="P108" s="44"/>
      <c r="Q108" s="44" t="s">
        <v>984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2403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985</v>
      </c>
      <c r="G109" s="44" t="s">
        <v>273</v>
      </c>
      <c r="H109" s="44"/>
      <c r="I109" s="44" t="s">
        <v>986</v>
      </c>
      <c r="J109" s="44" t="s">
        <v>987</v>
      </c>
      <c r="K109" s="44" t="s">
        <v>276</v>
      </c>
      <c r="L109" s="44"/>
      <c r="M109" s="44" t="s">
        <v>988</v>
      </c>
      <c r="N109" s="44" t="s">
        <v>989</v>
      </c>
      <c r="O109" s="44" t="s">
        <v>278</v>
      </c>
      <c r="P109" s="44"/>
      <c r="Q109" s="44" t="s">
        <v>990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2403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991</v>
      </c>
      <c r="G110" s="44" t="s">
        <v>309</v>
      </c>
      <c r="H110" s="44" t="s">
        <v>256</v>
      </c>
      <c r="I110" s="44" t="s">
        <v>992</v>
      </c>
      <c r="J110" s="44" t="s">
        <v>993</v>
      </c>
      <c r="K110" s="44" t="s">
        <v>310</v>
      </c>
      <c r="L110" s="44" t="s">
        <v>256</v>
      </c>
      <c r="M110" s="44" t="s">
        <v>994</v>
      </c>
      <c r="N110" s="44" t="s">
        <v>995</v>
      </c>
      <c r="O110" s="44" t="s">
        <v>311</v>
      </c>
      <c r="P110" s="44" t="s">
        <v>256</v>
      </c>
      <c r="Q110" s="44" t="s">
        <v>996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2403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997</v>
      </c>
      <c r="G111" s="44"/>
      <c r="H111" s="44" t="s">
        <v>998</v>
      </c>
      <c r="I111" s="44" t="s">
        <v>999</v>
      </c>
      <c r="J111" s="44" t="s">
        <v>1000</v>
      </c>
      <c r="K111" s="44"/>
      <c r="L111" s="44" t="s">
        <v>1001</v>
      </c>
      <c r="M111" s="44" t="s">
        <v>1002</v>
      </c>
      <c r="N111" s="44" t="s">
        <v>1003</v>
      </c>
      <c r="O111" s="44"/>
      <c r="P111" s="44" t="s">
        <v>998</v>
      </c>
      <c r="Q111" s="44" t="s">
        <v>1004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2403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1005</v>
      </c>
      <c r="G112" s="44" t="s">
        <v>319</v>
      </c>
      <c r="H112" s="44"/>
      <c r="I112" s="44" t="s">
        <v>1006</v>
      </c>
      <c r="J112" s="44" t="s">
        <v>1007</v>
      </c>
      <c r="K112" s="44" t="s">
        <v>322</v>
      </c>
      <c r="L112" s="44"/>
      <c r="M112" s="44" t="s">
        <v>1008</v>
      </c>
      <c r="N112" s="44" t="s">
        <v>1009</v>
      </c>
      <c r="O112" s="44" t="s">
        <v>308</v>
      </c>
      <c r="P112" s="44"/>
      <c r="Q112" s="44" t="s">
        <v>1010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2403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1011</v>
      </c>
      <c r="G113" s="44" t="s">
        <v>826</v>
      </c>
      <c r="H113" s="44" t="s">
        <v>261</v>
      </c>
      <c r="I113" s="44" t="s">
        <v>1012</v>
      </c>
      <c r="J113" s="44" t="s">
        <v>1013</v>
      </c>
      <c r="K113" s="44" t="s">
        <v>829</v>
      </c>
      <c r="L113" s="44" t="s">
        <v>261</v>
      </c>
      <c r="M113" s="44" t="s">
        <v>1014</v>
      </c>
      <c r="N113" s="44" t="s">
        <v>1015</v>
      </c>
      <c r="O113" s="44" t="s">
        <v>832</v>
      </c>
      <c r="P113" s="44" t="s">
        <v>261</v>
      </c>
      <c r="Q113" s="44" t="s">
        <v>1016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2403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1017</v>
      </c>
      <c r="G114" s="44" t="s">
        <v>319</v>
      </c>
      <c r="H114" s="44"/>
      <c r="I114" s="44" t="s">
        <v>1018</v>
      </c>
      <c r="J114" s="44" t="s">
        <v>1019</v>
      </c>
      <c r="K114" s="44" t="s">
        <v>322</v>
      </c>
      <c r="L114" s="44"/>
      <c r="M114" s="44" t="s">
        <v>1020</v>
      </c>
      <c r="N114" s="44" t="s">
        <v>1021</v>
      </c>
      <c r="O114" s="44" t="s">
        <v>308</v>
      </c>
      <c r="P114" s="44"/>
      <c r="Q114" s="44" t="s">
        <v>1022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2403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1023</v>
      </c>
      <c r="G115" s="44" t="s">
        <v>319</v>
      </c>
      <c r="H115" s="44"/>
      <c r="I115" s="44" t="s">
        <v>1024</v>
      </c>
      <c r="J115" s="44" t="s">
        <v>1025</v>
      </c>
      <c r="K115" s="44" t="s">
        <v>322</v>
      </c>
      <c r="L115" s="44"/>
      <c r="M115" s="44" t="s">
        <v>1026</v>
      </c>
      <c r="N115" s="44" t="s">
        <v>1027</v>
      </c>
      <c r="O115" s="44" t="s">
        <v>308</v>
      </c>
      <c r="P115" s="44"/>
      <c r="Q115" s="44" t="s">
        <v>1028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2403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1029</v>
      </c>
      <c r="G116" s="44"/>
      <c r="H116" s="44" t="s">
        <v>303</v>
      </c>
      <c r="I116" s="44" t="s">
        <v>1030</v>
      </c>
      <c r="J116" s="44" t="s">
        <v>1031</v>
      </c>
      <c r="K116" s="44"/>
      <c r="L116" s="44" t="s">
        <v>305</v>
      </c>
      <c r="M116" s="44" t="s">
        <v>1032</v>
      </c>
      <c r="N116" s="44" t="s">
        <v>1033</v>
      </c>
      <c r="O116" s="44"/>
      <c r="P116" s="44" t="s">
        <v>303</v>
      </c>
      <c r="Q116" s="44" t="s">
        <v>1034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2403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1035</v>
      </c>
      <c r="G117" s="44" t="s">
        <v>319</v>
      </c>
      <c r="H117" s="44"/>
      <c r="I117" s="44" t="s">
        <v>1036</v>
      </c>
      <c r="J117" s="44" t="s">
        <v>1037</v>
      </c>
      <c r="K117" s="44" t="s">
        <v>322</v>
      </c>
      <c r="L117" s="44"/>
      <c r="M117" s="44" t="s">
        <v>1038</v>
      </c>
      <c r="N117" s="44" t="s">
        <v>1039</v>
      </c>
      <c r="O117" s="44" t="s">
        <v>308</v>
      </c>
      <c r="P117" s="44"/>
      <c r="Q117" s="44" t="s">
        <v>1040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2403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1041</v>
      </c>
      <c r="G118" s="44" t="s">
        <v>319</v>
      </c>
      <c r="H118" s="44"/>
      <c r="I118" s="44" t="s">
        <v>1042</v>
      </c>
      <c r="J118" s="44" t="s">
        <v>1043</v>
      </c>
      <c r="K118" s="44" t="s">
        <v>322</v>
      </c>
      <c r="L118" s="44"/>
      <c r="M118" s="44" t="s">
        <v>1044</v>
      </c>
      <c r="N118" s="44" t="s">
        <v>1045</v>
      </c>
      <c r="O118" s="44" t="s">
        <v>308</v>
      </c>
      <c r="P118" s="44"/>
      <c r="Q118" s="44" t="s">
        <v>1046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2403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1041</v>
      </c>
      <c r="G119" s="44" t="s">
        <v>309</v>
      </c>
      <c r="H119" s="44" t="s">
        <v>256</v>
      </c>
      <c r="I119" s="44" t="s">
        <v>1047</v>
      </c>
      <c r="J119" s="44" t="s">
        <v>1043</v>
      </c>
      <c r="K119" s="44" t="s">
        <v>310</v>
      </c>
      <c r="L119" s="44" t="s">
        <v>256</v>
      </c>
      <c r="M119" s="44" t="s">
        <v>1048</v>
      </c>
      <c r="N119" s="44" t="s">
        <v>1045</v>
      </c>
      <c r="O119" s="44" t="s">
        <v>311</v>
      </c>
      <c r="P119" s="44" t="s">
        <v>256</v>
      </c>
      <c r="Q119" s="44" t="s">
        <v>1049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2403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1050</v>
      </c>
      <c r="G120" s="44" t="s">
        <v>309</v>
      </c>
      <c r="H120" s="44" t="s">
        <v>256</v>
      </c>
      <c r="I120" s="44" t="s">
        <v>1051</v>
      </c>
      <c r="J120" s="44" t="s">
        <v>1052</v>
      </c>
      <c r="K120" s="44" t="s">
        <v>310</v>
      </c>
      <c r="L120" s="44" t="s">
        <v>256</v>
      </c>
      <c r="M120" s="44" t="s">
        <v>1053</v>
      </c>
      <c r="N120" s="44" t="s">
        <v>1054</v>
      </c>
      <c r="O120" s="44" t="s">
        <v>311</v>
      </c>
      <c r="P120" s="44" t="s">
        <v>256</v>
      </c>
      <c r="Q120" s="44" t="s">
        <v>1055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2403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1056</v>
      </c>
      <c r="G121" s="44" t="s">
        <v>319</v>
      </c>
      <c r="H121" s="44"/>
      <c r="I121" s="44" t="s">
        <v>1057</v>
      </c>
      <c r="J121" s="44" t="s">
        <v>1058</v>
      </c>
      <c r="K121" s="44" t="s">
        <v>322</v>
      </c>
      <c r="L121" s="44"/>
      <c r="M121" s="44" t="s">
        <v>1059</v>
      </c>
      <c r="N121" s="44" t="s">
        <v>1060</v>
      </c>
      <c r="O121" s="44" t="s">
        <v>308</v>
      </c>
      <c r="P121" s="44"/>
      <c r="Q121" s="44" t="s">
        <v>1061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2403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712</v>
      </c>
      <c r="G122" s="44" t="s">
        <v>346</v>
      </c>
      <c r="H122" s="44"/>
      <c r="I122" s="44" t="s">
        <v>1062</v>
      </c>
      <c r="J122" s="44" t="s">
        <v>714</v>
      </c>
      <c r="K122" s="44" t="s">
        <v>349</v>
      </c>
      <c r="L122" s="44"/>
      <c r="M122" s="44" t="s">
        <v>1063</v>
      </c>
      <c r="N122" s="44" t="s">
        <v>716</v>
      </c>
      <c r="O122" s="44" t="s">
        <v>352</v>
      </c>
      <c r="P122" s="44"/>
      <c r="Q122" s="44" t="s">
        <v>1064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2403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1065</v>
      </c>
      <c r="G123" s="44" t="s">
        <v>273</v>
      </c>
      <c r="H123" s="44"/>
      <c r="I123" s="44" t="s">
        <v>2418</v>
      </c>
      <c r="J123" s="44" t="s">
        <v>1066</v>
      </c>
      <c r="K123" s="44" t="s">
        <v>276</v>
      </c>
      <c r="L123" s="44"/>
      <c r="M123" s="44" t="s">
        <v>1067</v>
      </c>
      <c r="N123" s="44" t="s">
        <v>1068</v>
      </c>
      <c r="O123" s="44" t="s">
        <v>278</v>
      </c>
      <c r="P123" s="44"/>
      <c r="Q123" s="44" t="s">
        <v>1069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2403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1065</v>
      </c>
      <c r="G124" s="44" t="s">
        <v>346</v>
      </c>
      <c r="H124" s="44"/>
      <c r="I124" s="44" t="s">
        <v>1070</v>
      </c>
      <c r="J124" s="44" t="s">
        <v>1066</v>
      </c>
      <c r="K124" s="44" t="s">
        <v>349</v>
      </c>
      <c r="L124" s="44"/>
      <c r="M124" s="44" t="s">
        <v>1071</v>
      </c>
      <c r="N124" s="44" t="s">
        <v>1068</v>
      </c>
      <c r="O124" s="44" t="s">
        <v>352</v>
      </c>
      <c r="P124" s="44"/>
      <c r="Q124" s="44" t="s">
        <v>1072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2403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1073</v>
      </c>
      <c r="G125" s="44"/>
      <c r="H125" s="44" t="s">
        <v>252</v>
      </c>
      <c r="I125" s="44" t="s">
        <v>1074</v>
      </c>
      <c r="J125" s="44" t="s">
        <v>1075</v>
      </c>
      <c r="K125" s="44"/>
      <c r="L125" s="44" t="s">
        <v>837</v>
      </c>
      <c r="M125" s="44" t="s">
        <v>1076</v>
      </c>
      <c r="N125" s="44" t="s">
        <v>1077</v>
      </c>
      <c r="O125" s="44"/>
      <c r="P125" s="44" t="s">
        <v>840</v>
      </c>
      <c r="Q125" s="44" t="s">
        <v>1078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2403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1079</v>
      </c>
      <c r="G126" s="44" t="s">
        <v>273</v>
      </c>
      <c r="H126" s="44"/>
      <c r="I126" s="44" t="s">
        <v>1080</v>
      </c>
      <c r="J126" s="44" t="s">
        <v>1081</v>
      </c>
      <c r="K126" s="44" t="s">
        <v>276</v>
      </c>
      <c r="L126" s="44"/>
      <c r="M126" s="44" t="s">
        <v>1082</v>
      </c>
      <c r="N126" s="44" t="s">
        <v>1083</v>
      </c>
      <c r="O126" s="44" t="s">
        <v>278</v>
      </c>
      <c r="P126" s="44"/>
      <c r="Q126" s="44" t="s">
        <v>1084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2403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1079</v>
      </c>
      <c r="G127" s="44" t="s">
        <v>346</v>
      </c>
      <c r="H127" s="44"/>
      <c r="I127" s="44" t="s">
        <v>1085</v>
      </c>
      <c r="J127" s="44" t="s">
        <v>1081</v>
      </c>
      <c r="K127" s="44" t="s">
        <v>349</v>
      </c>
      <c r="L127" s="44"/>
      <c r="M127" s="44" t="s">
        <v>1086</v>
      </c>
      <c r="N127" s="44" t="s">
        <v>1083</v>
      </c>
      <c r="O127" s="44" t="s">
        <v>352</v>
      </c>
      <c r="P127" s="44"/>
      <c r="Q127" s="44" t="s">
        <v>1087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2403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2419</v>
      </c>
      <c r="G128" s="44" t="s">
        <v>273</v>
      </c>
      <c r="H128" s="44"/>
      <c r="I128" s="44" t="s">
        <v>1088</v>
      </c>
      <c r="J128" s="44" t="s">
        <v>2420</v>
      </c>
      <c r="K128" s="44" t="s">
        <v>276</v>
      </c>
      <c r="L128" s="44"/>
      <c r="M128" s="44" t="s">
        <v>1089</v>
      </c>
      <c r="N128" s="44" t="s">
        <v>2421</v>
      </c>
      <c r="O128" s="44" t="s">
        <v>278</v>
      </c>
      <c r="P128" s="44"/>
      <c r="Q128" s="44" t="s">
        <v>1090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2403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2419</v>
      </c>
      <c r="G129" s="44" t="s">
        <v>346</v>
      </c>
      <c r="H129" s="44"/>
      <c r="I129" s="44" t="s">
        <v>1091</v>
      </c>
      <c r="J129" s="44" t="s">
        <v>2420</v>
      </c>
      <c r="K129" s="44" t="s">
        <v>349</v>
      </c>
      <c r="L129" s="44"/>
      <c r="M129" s="44" t="s">
        <v>1092</v>
      </c>
      <c r="N129" s="44" t="s">
        <v>2421</v>
      </c>
      <c r="O129" s="44" t="s">
        <v>352</v>
      </c>
      <c r="P129" s="44"/>
      <c r="Q129" s="44" t="s">
        <v>1093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2403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1094</v>
      </c>
      <c r="G130" s="44" t="s">
        <v>273</v>
      </c>
      <c r="H130" s="44"/>
      <c r="I130" s="44" t="s">
        <v>1095</v>
      </c>
      <c r="J130" s="44" t="s">
        <v>1096</v>
      </c>
      <c r="K130" s="44" t="s">
        <v>276</v>
      </c>
      <c r="L130" s="44"/>
      <c r="M130" s="44" t="s">
        <v>1097</v>
      </c>
      <c r="N130" s="44" t="s">
        <v>1098</v>
      </c>
      <c r="O130" s="44" t="s">
        <v>278</v>
      </c>
      <c r="P130" s="44"/>
      <c r="Q130" s="44" t="s">
        <v>1099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2403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1094</v>
      </c>
      <c r="G131" s="44" t="s">
        <v>702</v>
      </c>
      <c r="H131" s="44"/>
      <c r="I131" s="44" t="s">
        <v>1100</v>
      </c>
      <c r="J131" s="44" t="s">
        <v>1096</v>
      </c>
      <c r="K131" s="44" t="s">
        <v>705</v>
      </c>
      <c r="L131" s="44"/>
      <c r="M131" s="44" t="s">
        <v>1101</v>
      </c>
      <c r="N131" s="44" t="s">
        <v>1098</v>
      </c>
      <c r="O131" s="44" t="s">
        <v>705</v>
      </c>
      <c r="P131" s="44"/>
      <c r="Q131" s="44" t="s">
        <v>1102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2403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1103</v>
      </c>
      <c r="G132" s="44"/>
      <c r="H132" s="44" t="s">
        <v>271</v>
      </c>
      <c r="I132" s="44" t="s">
        <v>1104</v>
      </c>
      <c r="J132" s="44" t="s">
        <v>1105</v>
      </c>
      <c r="K132" s="44"/>
      <c r="L132" s="44" t="s">
        <v>271</v>
      </c>
      <c r="M132" s="44" t="s">
        <v>1106</v>
      </c>
      <c r="N132" s="44" t="s">
        <v>1107</v>
      </c>
      <c r="O132" s="44" t="s">
        <v>1108</v>
      </c>
      <c r="P132" s="44" t="s">
        <v>271</v>
      </c>
      <c r="Q132" s="44" t="s">
        <v>1109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2403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1110</v>
      </c>
      <c r="G133" s="44"/>
      <c r="H133" s="44" t="s">
        <v>271</v>
      </c>
      <c r="I133" s="44" t="s">
        <v>1111</v>
      </c>
      <c r="J133" s="44" t="s">
        <v>1112</v>
      </c>
      <c r="K133" s="44"/>
      <c r="L133" s="44" t="s">
        <v>271</v>
      </c>
      <c r="M133" s="44" t="s">
        <v>1113</v>
      </c>
      <c r="N133" s="44" t="s">
        <v>1107</v>
      </c>
      <c r="O133" s="44" t="s">
        <v>1114</v>
      </c>
      <c r="P133" s="44" t="s">
        <v>271</v>
      </c>
      <c r="Q133" s="44" t="s">
        <v>1115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2403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1116</v>
      </c>
      <c r="G134" s="44" t="s">
        <v>319</v>
      </c>
      <c r="H134" s="44"/>
      <c r="I134" s="44" t="s">
        <v>1117</v>
      </c>
      <c r="J134" s="44" t="s">
        <v>1116</v>
      </c>
      <c r="K134" s="44" t="s">
        <v>322</v>
      </c>
      <c r="L134" s="44"/>
      <c r="M134" s="44" t="s">
        <v>1118</v>
      </c>
      <c r="N134" s="44" t="s">
        <v>1116</v>
      </c>
      <c r="O134" s="44" t="s">
        <v>308</v>
      </c>
      <c r="P134" s="44"/>
      <c r="Q134" s="44" t="s">
        <v>1119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2403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1120</v>
      </c>
      <c r="G135" s="44" t="s">
        <v>273</v>
      </c>
      <c r="H135" s="44"/>
      <c r="I135" s="44" t="s">
        <v>1121</v>
      </c>
      <c r="J135" s="44" t="s">
        <v>1122</v>
      </c>
      <c r="K135" s="44" t="s">
        <v>276</v>
      </c>
      <c r="L135" s="44"/>
      <c r="M135" s="44" t="s">
        <v>1123</v>
      </c>
      <c r="N135" s="44" t="s">
        <v>1124</v>
      </c>
      <c r="O135" s="44" t="s">
        <v>278</v>
      </c>
      <c r="P135" s="44"/>
      <c r="Q135" s="44" t="s">
        <v>1125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2403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1126</v>
      </c>
      <c r="G136" s="44" t="s">
        <v>346</v>
      </c>
      <c r="H136" s="44"/>
      <c r="I136" s="44" t="s">
        <v>1127</v>
      </c>
      <c r="J136" s="44" t="s">
        <v>1128</v>
      </c>
      <c r="K136" s="44" t="s">
        <v>349</v>
      </c>
      <c r="L136" s="44"/>
      <c r="M136" s="44" t="s">
        <v>1129</v>
      </c>
      <c r="N136" s="44" t="s">
        <v>1130</v>
      </c>
      <c r="O136" s="44" t="s">
        <v>352</v>
      </c>
      <c r="P136" s="44"/>
      <c r="Q136" s="44" t="s">
        <v>1131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2403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1132</v>
      </c>
      <c r="G137" s="44" t="s">
        <v>346</v>
      </c>
      <c r="H137" s="44"/>
      <c r="I137" s="44" t="s">
        <v>1133</v>
      </c>
      <c r="J137" s="44" t="s">
        <v>1134</v>
      </c>
      <c r="K137" s="44" t="s">
        <v>349</v>
      </c>
      <c r="L137" s="44"/>
      <c r="M137" s="44" t="s">
        <v>1135</v>
      </c>
      <c r="N137" s="44" t="s">
        <v>1136</v>
      </c>
      <c r="O137" s="44" t="s">
        <v>352</v>
      </c>
      <c r="P137" s="44"/>
      <c r="Q137" s="44" t="s">
        <v>1137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2403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1138</v>
      </c>
      <c r="G138" s="44" t="s">
        <v>293</v>
      </c>
      <c r="H138" s="44" t="s">
        <v>998</v>
      </c>
      <c r="I138" s="44" t="s">
        <v>1139</v>
      </c>
      <c r="J138" s="44" t="s">
        <v>1140</v>
      </c>
      <c r="K138" s="44" t="s">
        <v>294</v>
      </c>
      <c r="L138" s="44" t="s">
        <v>1001</v>
      </c>
      <c r="M138" s="44" t="s">
        <v>1141</v>
      </c>
      <c r="N138" s="44" t="s">
        <v>1142</v>
      </c>
      <c r="O138" s="44" t="s">
        <v>295</v>
      </c>
      <c r="P138" s="44" t="s">
        <v>998</v>
      </c>
      <c r="Q138" s="44" t="s">
        <v>1143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2403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1144</v>
      </c>
      <c r="G139" s="44" t="s">
        <v>319</v>
      </c>
      <c r="H139" s="44"/>
      <c r="I139" s="44" t="s">
        <v>1145</v>
      </c>
      <c r="J139" s="44" t="s">
        <v>1146</v>
      </c>
      <c r="K139" s="44" t="s">
        <v>322</v>
      </c>
      <c r="L139" s="44"/>
      <c r="M139" s="44" t="s">
        <v>1147</v>
      </c>
      <c r="N139" s="44" t="s">
        <v>1148</v>
      </c>
      <c r="O139" s="44" t="s">
        <v>308</v>
      </c>
      <c r="P139" s="44"/>
      <c r="Q139" s="44" t="s">
        <v>1149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2403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1144</v>
      </c>
      <c r="G140" s="44" t="s">
        <v>293</v>
      </c>
      <c r="H140" s="44"/>
      <c r="I140" s="44" t="s">
        <v>1150</v>
      </c>
      <c r="J140" s="44" t="s">
        <v>1146</v>
      </c>
      <c r="K140" s="44" t="s">
        <v>294</v>
      </c>
      <c r="L140" s="44"/>
      <c r="M140" s="44" t="s">
        <v>1151</v>
      </c>
      <c r="N140" s="44" t="s">
        <v>1148</v>
      </c>
      <c r="O140" s="44" t="s">
        <v>295</v>
      </c>
      <c r="P140" s="44"/>
      <c r="Q140" s="44" t="s">
        <v>1152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2403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1153</v>
      </c>
      <c r="G141" s="44"/>
      <c r="H141" s="44" t="s">
        <v>998</v>
      </c>
      <c r="I141" s="44" t="s">
        <v>1154</v>
      </c>
      <c r="J141" s="44" t="s">
        <v>1155</v>
      </c>
      <c r="K141" s="44"/>
      <c r="L141" s="44" t="s">
        <v>1001</v>
      </c>
      <c r="M141" s="44" t="s">
        <v>1156</v>
      </c>
      <c r="N141" s="44" t="s">
        <v>1157</v>
      </c>
      <c r="O141" s="44"/>
      <c r="P141" s="44" t="s">
        <v>998</v>
      </c>
      <c r="Q141" s="44" t="s">
        <v>1158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2403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1153</v>
      </c>
      <c r="G142" s="44"/>
      <c r="H142" s="44" t="s">
        <v>297</v>
      </c>
      <c r="I142" s="44" t="s">
        <v>1159</v>
      </c>
      <c r="J142" s="44" t="s">
        <v>1155</v>
      </c>
      <c r="K142" s="44"/>
      <c r="L142" s="44" t="s">
        <v>297</v>
      </c>
      <c r="M142" s="44" t="s">
        <v>1160</v>
      </c>
      <c r="N142" s="44" t="s">
        <v>1157</v>
      </c>
      <c r="O142" s="44"/>
      <c r="P142" s="44" t="s">
        <v>297</v>
      </c>
      <c r="Q142" s="44" t="s">
        <v>1161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2403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1162</v>
      </c>
      <c r="G143" s="44" t="s">
        <v>309</v>
      </c>
      <c r="H143" s="44" t="s">
        <v>261</v>
      </c>
      <c r="I143" s="44" t="s">
        <v>1163</v>
      </c>
      <c r="J143" s="44" t="s">
        <v>1164</v>
      </c>
      <c r="K143" s="44" t="s">
        <v>310</v>
      </c>
      <c r="L143" s="44" t="s">
        <v>261</v>
      </c>
      <c r="M143" s="44" t="s">
        <v>1165</v>
      </c>
      <c r="N143" s="44" t="s">
        <v>1166</v>
      </c>
      <c r="O143" s="44" t="s">
        <v>311</v>
      </c>
      <c r="P143" s="44" t="s">
        <v>261</v>
      </c>
      <c r="Q143" s="44" t="s">
        <v>1167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2403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1168</v>
      </c>
      <c r="G144" s="44" t="s">
        <v>826</v>
      </c>
      <c r="H144" s="44" t="s">
        <v>256</v>
      </c>
      <c r="I144" s="44" t="s">
        <v>1169</v>
      </c>
      <c r="J144" s="44" t="s">
        <v>1170</v>
      </c>
      <c r="K144" s="44" t="s">
        <v>829</v>
      </c>
      <c r="L144" s="44" t="s">
        <v>256</v>
      </c>
      <c r="M144" s="44" t="s">
        <v>1171</v>
      </c>
      <c r="N144" s="44" t="s">
        <v>1172</v>
      </c>
      <c r="O144" s="44" t="s">
        <v>832</v>
      </c>
      <c r="P144" s="44" t="s">
        <v>256</v>
      </c>
      <c r="Q144" s="44" t="s">
        <v>1173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2403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1174</v>
      </c>
      <c r="G145" s="44" t="s">
        <v>319</v>
      </c>
      <c r="H145" s="44"/>
      <c r="I145" s="44" t="s">
        <v>1175</v>
      </c>
      <c r="J145" s="44" t="s">
        <v>1176</v>
      </c>
      <c r="K145" s="44" t="s">
        <v>322</v>
      </c>
      <c r="L145" s="44"/>
      <c r="M145" s="44" t="s">
        <v>1177</v>
      </c>
      <c r="N145" s="44" t="s">
        <v>1178</v>
      </c>
      <c r="O145" s="44" t="s">
        <v>308</v>
      </c>
      <c r="P145" s="44"/>
      <c r="Q145" s="44" t="s">
        <v>1179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2403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1180</v>
      </c>
      <c r="G146" s="44" t="s">
        <v>309</v>
      </c>
      <c r="H146" s="44" t="s">
        <v>256</v>
      </c>
      <c r="I146" s="44" t="s">
        <v>1181</v>
      </c>
      <c r="J146" s="44" t="s">
        <v>1180</v>
      </c>
      <c r="K146" s="44" t="s">
        <v>310</v>
      </c>
      <c r="L146" s="44" t="s">
        <v>256</v>
      </c>
      <c r="M146" s="44" t="s">
        <v>1182</v>
      </c>
      <c r="N146" s="44" t="s">
        <v>1180</v>
      </c>
      <c r="O146" s="44" t="s">
        <v>311</v>
      </c>
      <c r="P146" s="44" t="s">
        <v>256</v>
      </c>
      <c r="Q146" s="44" t="s">
        <v>1183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1184</v>
      </c>
      <c r="Y146" s="44" t="s">
        <v>180</v>
      </c>
      <c r="Z146" s="44" t="s">
        <v>192</v>
      </c>
      <c r="AA146" s="44" t="s">
        <v>2403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1185</v>
      </c>
      <c r="G147" s="44" t="s">
        <v>762</v>
      </c>
      <c r="H147" s="44" t="s">
        <v>256</v>
      </c>
      <c r="I147" s="44" t="s">
        <v>1186</v>
      </c>
      <c r="J147" s="44" t="s">
        <v>1187</v>
      </c>
      <c r="K147" s="44" t="s">
        <v>150</v>
      </c>
      <c r="L147" s="44" t="s">
        <v>256</v>
      </c>
      <c r="M147" s="44" t="s">
        <v>1188</v>
      </c>
      <c r="N147" s="44" t="s">
        <v>1189</v>
      </c>
      <c r="O147" s="44" t="s">
        <v>767</v>
      </c>
      <c r="P147" s="44" t="s">
        <v>256</v>
      </c>
      <c r="Q147" s="44" t="s">
        <v>1190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1184</v>
      </c>
      <c r="Y147" s="44" t="s">
        <v>180</v>
      </c>
      <c r="Z147" s="44" t="s">
        <v>192</v>
      </c>
      <c r="AA147" s="44" t="s">
        <v>2403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1191</v>
      </c>
      <c r="G148" s="44" t="s">
        <v>762</v>
      </c>
      <c r="H148" s="44" t="s">
        <v>256</v>
      </c>
      <c r="I148" s="44" t="s">
        <v>1192</v>
      </c>
      <c r="J148" s="44" t="s">
        <v>1193</v>
      </c>
      <c r="K148" s="44" t="s">
        <v>150</v>
      </c>
      <c r="L148" s="44" t="s">
        <v>256</v>
      </c>
      <c r="M148" s="44" t="s">
        <v>1194</v>
      </c>
      <c r="N148" s="44" t="s">
        <v>1195</v>
      </c>
      <c r="O148" s="44" t="s">
        <v>767</v>
      </c>
      <c r="P148" s="44" t="s">
        <v>256</v>
      </c>
      <c r="Q148" s="44" t="s">
        <v>1196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1184</v>
      </c>
      <c r="Y148" s="44" t="s">
        <v>180</v>
      </c>
      <c r="Z148" s="44" t="s">
        <v>192</v>
      </c>
      <c r="AA148" s="44" t="s">
        <v>2403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1197</v>
      </c>
      <c r="G149" s="44" t="s">
        <v>762</v>
      </c>
      <c r="H149" s="44" t="s">
        <v>256</v>
      </c>
      <c r="I149" s="44" t="s">
        <v>1198</v>
      </c>
      <c r="J149" s="44" t="s">
        <v>1199</v>
      </c>
      <c r="K149" s="44" t="s">
        <v>150</v>
      </c>
      <c r="L149" s="44" t="s">
        <v>256</v>
      </c>
      <c r="M149" s="44" t="s">
        <v>1200</v>
      </c>
      <c r="N149" s="44" t="s">
        <v>1201</v>
      </c>
      <c r="O149" s="44" t="s">
        <v>767</v>
      </c>
      <c r="P149" s="44" t="s">
        <v>256</v>
      </c>
      <c r="Q149" s="44" t="s">
        <v>1202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1184</v>
      </c>
      <c r="Y149" s="44" t="s">
        <v>180</v>
      </c>
      <c r="Z149" s="44" t="s">
        <v>192</v>
      </c>
      <c r="AA149" s="44" t="s">
        <v>2403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2044</v>
      </c>
      <c r="G150" s="44" t="s">
        <v>1203</v>
      </c>
      <c r="H150" s="44" t="s">
        <v>257</v>
      </c>
      <c r="I150" s="44" t="s">
        <v>1204</v>
      </c>
      <c r="J150" s="44" t="s">
        <v>2046</v>
      </c>
      <c r="K150" s="44" t="s">
        <v>1205</v>
      </c>
      <c r="L150" s="44" t="s">
        <v>258</v>
      </c>
      <c r="M150" s="44" t="s">
        <v>1206</v>
      </c>
      <c r="N150" s="44" t="s">
        <v>2048</v>
      </c>
      <c r="O150" s="44" t="s">
        <v>1207</v>
      </c>
      <c r="P150" s="44" t="s">
        <v>259</v>
      </c>
      <c r="Q150" s="44" t="s">
        <v>1208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1184</v>
      </c>
      <c r="Y150" s="44" t="s">
        <v>180</v>
      </c>
      <c r="Z150" s="44" t="s">
        <v>192</v>
      </c>
      <c r="AA150" s="44" t="s">
        <v>2403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1209</v>
      </c>
      <c r="G151" s="44" t="s">
        <v>1210</v>
      </c>
      <c r="H151" s="44" t="s">
        <v>257</v>
      </c>
      <c r="I151" s="44" t="s">
        <v>1211</v>
      </c>
      <c r="J151" s="44" t="s">
        <v>1212</v>
      </c>
      <c r="K151" s="44" t="s">
        <v>294</v>
      </c>
      <c r="L151" s="44" t="s">
        <v>258</v>
      </c>
      <c r="M151" s="44" t="s">
        <v>1213</v>
      </c>
      <c r="N151" s="44" t="s">
        <v>1214</v>
      </c>
      <c r="O151" s="44" t="s">
        <v>295</v>
      </c>
      <c r="P151" s="44" t="s">
        <v>259</v>
      </c>
      <c r="Q151" s="44" t="s">
        <v>1215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1184</v>
      </c>
      <c r="Y151" s="44" t="s">
        <v>180</v>
      </c>
      <c r="Z151" s="44" t="s">
        <v>192</v>
      </c>
      <c r="AA151" s="44" t="s">
        <v>2403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1216</v>
      </c>
      <c r="G152" s="44"/>
      <c r="H152" s="44" t="s">
        <v>257</v>
      </c>
      <c r="I152" s="44" t="s">
        <v>1217</v>
      </c>
      <c r="J152" s="44" t="s">
        <v>1218</v>
      </c>
      <c r="K152" s="44"/>
      <c r="L152" s="44" t="s">
        <v>258</v>
      </c>
      <c r="M152" s="44" t="s">
        <v>1219</v>
      </c>
      <c r="N152" s="44" t="s">
        <v>1220</v>
      </c>
      <c r="O152" s="44"/>
      <c r="P152" s="44" t="s">
        <v>259</v>
      </c>
      <c r="Q152" s="44" t="s">
        <v>1221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1184</v>
      </c>
      <c r="Y152" s="44" t="s">
        <v>180</v>
      </c>
      <c r="Z152" s="44" t="s">
        <v>192</v>
      </c>
      <c r="AA152" s="44" t="s">
        <v>2403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1222</v>
      </c>
      <c r="G153" s="44" t="s">
        <v>309</v>
      </c>
      <c r="H153" s="44" t="s">
        <v>1223</v>
      </c>
      <c r="I153" s="44" t="s">
        <v>1224</v>
      </c>
      <c r="J153" s="44" t="s">
        <v>1225</v>
      </c>
      <c r="K153" s="44" t="s">
        <v>310</v>
      </c>
      <c r="L153" s="44" t="s">
        <v>1223</v>
      </c>
      <c r="M153" s="44" t="s">
        <v>1226</v>
      </c>
      <c r="N153" s="44" t="s">
        <v>1227</v>
      </c>
      <c r="O153" s="44" t="s">
        <v>311</v>
      </c>
      <c r="P153" s="44" t="s">
        <v>1223</v>
      </c>
      <c r="Q153" s="44" t="s">
        <v>1228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1184</v>
      </c>
      <c r="Y153" s="44" t="s">
        <v>180</v>
      </c>
      <c r="Z153" s="44" t="s">
        <v>192</v>
      </c>
      <c r="AA153" s="44" t="s">
        <v>2403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1229</v>
      </c>
      <c r="G154" s="44"/>
      <c r="H154" s="44" t="s">
        <v>257</v>
      </c>
      <c r="I154" s="44" t="s">
        <v>1230</v>
      </c>
      <c r="J154" s="44" t="s">
        <v>1229</v>
      </c>
      <c r="K154" s="44"/>
      <c r="L154" s="44" t="s">
        <v>258</v>
      </c>
      <c r="M154" s="44" t="s">
        <v>1231</v>
      </c>
      <c r="N154" s="44" t="s">
        <v>1229</v>
      </c>
      <c r="O154" s="44"/>
      <c r="P154" s="44" t="s">
        <v>259</v>
      </c>
      <c r="Q154" s="44" t="s">
        <v>1232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1184</v>
      </c>
      <c r="Y154" s="44" t="s">
        <v>180</v>
      </c>
      <c r="Z154" s="44" t="s">
        <v>192</v>
      </c>
      <c r="AA154" s="44" t="s">
        <v>2403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1233</v>
      </c>
      <c r="G155" s="44"/>
      <c r="H155" s="44" t="s">
        <v>257</v>
      </c>
      <c r="I155" s="44" t="s">
        <v>1234</v>
      </c>
      <c r="J155" s="44" t="s">
        <v>1235</v>
      </c>
      <c r="K155" s="44"/>
      <c r="L155" s="44" t="s">
        <v>258</v>
      </c>
      <c r="M155" s="44" t="s">
        <v>1236</v>
      </c>
      <c r="N155" s="44" t="s">
        <v>1233</v>
      </c>
      <c r="O155" s="44"/>
      <c r="P155" s="44" t="s">
        <v>259</v>
      </c>
      <c r="Q155" s="44" t="s">
        <v>1237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1184</v>
      </c>
      <c r="Y155" s="44" t="s">
        <v>180</v>
      </c>
      <c r="Z155" s="44" t="s">
        <v>192</v>
      </c>
      <c r="AA155" s="44" t="s">
        <v>2403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1238</v>
      </c>
      <c r="G156" s="44"/>
      <c r="H156" s="44" t="s">
        <v>257</v>
      </c>
      <c r="I156" s="44" t="s">
        <v>1239</v>
      </c>
      <c r="J156" s="44" t="s">
        <v>1240</v>
      </c>
      <c r="K156" s="44"/>
      <c r="L156" s="44" t="s">
        <v>258</v>
      </c>
      <c r="M156" s="44" t="s">
        <v>1241</v>
      </c>
      <c r="N156" s="44" t="s">
        <v>1242</v>
      </c>
      <c r="O156" s="44"/>
      <c r="P156" s="44" t="s">
        <v>259</v>
      </c>
      <c r="Q156" s="44" t="s">
        <v>1243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1184</v>
      </c>
      <c r="Y156" s="44" t="s">
        <v>180</v>
      </c>
      <c r="Z156" s="44" t="s">
        <v>192</v>
      </c>
      <c r="AA156" s="44" t="s">
        <v>2403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1244</v>
      </c>
      <c r="G157" s="44"/>
      <c r="H157" s="44" t="s">
        <v>265</v>
      </c>
      <c r="I157" s="44" t="s">
        <v>1245</v>
      </c>
      <c r="J157" s="44" t="s">
        <v>1246</v>
      </c>
      <c r="K157" s="44"/>
      <c r="L157" s="44" t="s">
        <v>265</v>
      </c>
      <c r="M157" s="44" t="s">
        <v>1247</v>
      </c>
      <c r="N157" s="44" t="s">
        <v>1248</v>
      </c>
      <c r="O157" s="44"/>
      <c r="P157" s="44" t="s">
        <v>265</v>
      </c>
      <c r="Q157" s="44" t="s">
        <v>1249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1184</v>
      </c>
      <c r="Y157" s="44" t="s">
        <v>180</v>
      </c>
      <c r="Z157" s="44" t="s">
        <v>192</v>
      </c>
      <c r="AA157" s="44" t="s">
        <v>2403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1250</v>
      </c>
      <c r="G158" s="44"/>
      <c r="H158" s="44" t="s">
        <v>262</v>
      </c>
      <c r="I158" s="44" t="s">
        <v>1251</v>
      </c>
      <c r="J158" s="44" t="s">
        <v>1252</v>
      </c>
      <c r="K158" s="44"/>
      <c r="L158" s="44" t="s">
        <v>262</v>
      </c>
      <c r="M158" s="44" t="s">
        <v>1253</v>
      </c>
      <c r="N158" s="44" t="s">
        <v>1254</v>
      </c>
      <c r="O158" s="44"/>
      <c r="P158" s="44" t="s">
        <v>262</v>
      </c>
      <c r="Q158" s="44" t="s">
        <v>1255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1184</v>
      </c>
      <c r="Y158" s="44" t="s">
        <v>180</v>
      </c>
      <c r="Z158" s="44" t="s">
        <v>192</v>
      </c>
      <c r="AA158" s="44" t="s">
        <v>2403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1256</v>
      </c>
      <c r="G159" s="44" t="s">
        <v>762</v>
      </c>
      <c r="H159" s="44" t="s">
        <v>256</v>
      </c>
      <c r="I159" s="44" t="s">
        <v>1257</v>
      </c>
      <c r="J159" s="44" t="s">
        <v>1258</v>
      </c>
      <c r="K159" s="44" t="s">
        <v>150</v>
      </c>
      <c r="L159" s="44" t="s">
        <v>256</v>
      </c>
      <c r="M159" s="44" t="s">
        <v>1259</v>
      </c>
      <c r="N159" s="44" t="s">
        <v>1260</v>
      </c>
      <c r="O159" s="44" t="s">
        <v>767</v>
      </c>
      <c r="P159" s="44" t="s">
        <v>256</v>
      </c>
      <c r="Q159" s="44" t="s">
        <v>1261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1184</v>
      </c>
      <c r="Y159" s="44" t="s">
        <v>180</v>
      </c>
      <c r="Z159" s="44" t="s">
        <v>192</v>
      </c>
      <c r="AA159" s="44" t="s">
        <v>2403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1262</v>
      </c>
      <c r="G160" s="44"/>
      <c r="H160" s="44" t="s">
        <v>256</v>
      </c>
      <c r="I160" s="44" t="s">
        <v>1263</v>
      </c>
      <c r="J160" s="44" t="s">
        <v>1264</v>
      </c>
      <c r="K160" s="44"/>
      <c r="L160" s="44" t="s">
        <v>256</v>
      </c>
      <c r="M160" s="44" t="s">
        <v>1265</v>
      </c>
      <c r="N160" s="44" t="s">
        <v>1262</v>
      </c>
      <c r="O160" s="44"/>
      <c r="P160" s="44" t="s">
        <v>256</v>
      </c>
      <c r="Q160" s="44" t="s">
        <v>1263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1184</v>
      </c>
      <c r="Y160" s="44" t="s">
        <v>180</v>
      </c>
      <c r="Z160" s="44" t="s">
        <v>192</v>
      </c>
      <c r="AA160" s="44" t="s">
        <v>2403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1266</v>
      </c>
      <c r="G161" s="44" t="s">
        <v>319</v>
      </c>
      <c r="H161" s="44"/>
      <c r="I161" s="44" t="s">
        <v>1267</v>
      </c>
      <c r="J161" s="44" t="s">
        <v>1268</v>
      </c>
      <c r="K161" s="44" t="s">
        <v>322</v>
      </c>
      <c r="L161" s="44"/>
      <c r="M161" s="44" t="s">
        <v>1269</v>
      </c>
      <c r="N161" s="44" t="s">
        <v>1270</v>
      </c>
      <c r="O161" s="44" t="s">
        <v>308</v>
      </c>
      <c r="P161" s="44"/>
      <c r="Q161" s="44" t="s">
        <v>1271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1184</v>
      </c>
      <c r="Y161" s="44" t="s">
        <v>180</v>
      </c>
      <c r="Z161" s="44" t="s">
        <v>192</v>
      </c>
      <c r="AA161" s="44" t="s">
        <v>2403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1266</v>
      </c>
      <c r="G162" s="44" t="s">
        <v>762</v>
      </c>
      <c r="H162" s="44" t="s">
        <v>256</v>
      </c>
      <c r="I162" s="44" t="s">
        <v>1272</v>
      </c>
      <c r="J162" s="44" t="s">
        <v>1268</v>
      </c>
      <c r="K162" s="44" t="s">
        <v>150</v>
      </c>
      <c r="L162" s="44" t="s">
        <v>256</v>
      </c>
      <c r="M162" s="44" t="s">
        <v>1273</v>
      </c>
      <c r="N162" s="44" t="s">
        <v>1270</v>
      </c>
      <c r="O162" s="44" t="s">
        <v>767</v>
      </c>
      <c r="P162" s="44" t="s">
        <v>256</v>
      </c>
      <c r="Q162" s="44" t="s">
        <v>1274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1184</v>
      </c>
      <c r="Y162" s="44" t="s">
        <v>180</v>
      </c>
      <c r="Z162" s="44" t="s">
        <v>192</v>
      </c>
      <c r="AA162" s="44" t="s">
        <v>2403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1275</v>
      </c>
      <c r="G163" s="44" t="s">
        <v>319</v>
      </c>
      <c r="H163" s="44"/>
      <c r="I163" s="44" t="s">
        <v>1276</v>
      </c>
      <c r="J163" s="44" t="s">
        <v>1277</v>
      </c>
      <c r="K163" s="44" t="s">
        <v>322</v>
      </c>
      <c r="L163" s="44"/>
      <c r="M163" s="44" t="s">
        <v>1278</v>
      </c>
      <c r="N163" s="44" t="s">
        <v>1279</v>
      </c>
      <c r="O163" s="44" t="s">
        <v>308</v>
      </c>
      <c r="P163" s="44"/>
      <c r="Q163" s="44" t="s">
        <v>1280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1184</v>
      </c>
      <c r="Y163" s="44" t="s">
        <v>180</v>
      </c>
      <c r="Z163" s="44" t="s">
        <v>192</v>
      </c>
      <c r="AA163" s="44" t="s">
        <v>2403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1281</v>
      </c>
      <c r="G164" s="44" t="s">
        <v>319</v>
      </c>
      <c r="H164" s="44"/>
      <c r="I164" s="44" t="s">
        <v>1282</v>
      </c>
      <c r="J164" s="44" t="s">
        <v>1283</v>
      </c>
      <c r="K164" s="44" t="s">
        <v>322</v>
      </c>
      <c r="L164" s="44"/>
      <c r="M164" s="44" t="s">
        <v>1284</v>
      </c>
      <c r="N164" s="44" t="s">
        <v>1285</v>
      </c>
      <c r="O164" s="44" t="s">
        <v>308</v>
      </c>
      <c r="P164" s="44"/>
      <c r="Q164" s="44" t="s">
        <v>1286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1184</v>
      </c>
      <c r="Y164" s="44" t="s">
        <v>180</v>
      </c>
      <c r="Z164" s="44" t="s">
        <v>192</v>
      </c>
      <c r="AA164" s="44" t="s">
        <v>2403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1281</v>
      </c>
      <c r="G165" s="44" t="s">
        <v>1287</v>
      </c>
      <c r="H165" s="44" t="s">
        <v>260</v>
      </c>
      <c r="I165" s="44" t="s">
        <v>1288</v>
      </c>
      <c r="J165" s="44" t="s">
        <v>1283</v>
      </c>
      <c r="K165" s="44" t="s">
        <v>1289</v>
      </c>
      <c r="L165" s="44" t="s">
        <v>260</v>
      </c>
      <c r="M165" s="44" t="s">
        <v>1290</v>
      </c>
      <c r="N165" s="44" t="s">
        <v>1285</v>
      </c>
      <c r="O165" s="44" t="s">
        <v>1291</v>
      </c>
      <c r="P165" s="44" t="s">
        <v>260</v>
      </c>
      <c r="Q165" s="44" t="s">
        <v>1292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1184</v>
      </c>
      <c r="Y165" s="44" t="s">
        <v>180</v>
      </c>
      <c r="Z165" s="44" t="s">
        <v>192</v>
      </c>
      <c r="AA165" s="44" t="s">
        <v>2403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1293</v>
      </c>
      <c r="G166" s="44" t="s">
        <v>1294</v>
      </c>
      <c r="H166" s="44" t="s">
        <v>271</v>
      </c>
      <c r="I166" s="44" t="s">
        <v>1295</v>
      </c>
      <c r="J166" s="44" t="s">
        <v>1296</v>
      </c>
      <c r="K166" s="44" t="s">
        <v>1297</v>
      </c>
      <c r="L166" s="44" t="s">
        <v>271</v>
      </c>
      <c r="M166" s="44" t="s">
        <v>1298</v>
      </c>
      <c r="N166" s="44" t="s">
        <v>1299</v>
      </c>
      <c r="O166" s="44" t="s">
        <v>1300</v>
      </c>
      <c r="P166" s="44" t="s">
        <v>271</v>
      </c>
      <c r="Q166" s="44" t="s">
        <v>1301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1184</v>
      </c>
      <c r="Y166" s="44" t="s">
        <v>180</v>
      </c>
      <c r="Z166" s="44" t="s">
        <v>192</v>
      </c>
      <c r="AA166" s="44" t="s">
        <v>2403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1293</v>
      </c>
      <c r="G167" s="44" t="s">
        <v>1302</v>
      </c>
      <c r="H167" s="44" t="s">
        <v>260</v>
      </c>
      <c r="I167" s="44" t="s">
        <v>1303</v>
      </c>
      <c r="J167" s="44" t="s">
        <v>1296</v>
      </c>
      <c r="K167" s="44" t="s">
        <v>1304</v>
      </c>
      <c r="L167" s="44" t="s">
        <v>260</v>
      </c>
      <c r="M167" s="44" t="s">
        <v>1305</v>
      </c>
      <c r="N167" s="44" t="s">
        <v>1299</v>
      </c>
      <c r="O167" s="44" t="s">
        <v>1306</v>
      </c>
      <c r="P167" s="44" t="s">
        <v>260</v>
      </c>
      <c r="Q167" s="44" t="s">
        <v>1307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1184</v>
      </c>
      <c r="Y167" s="44" t="s">
        <v>180</v>
      </c>
      <c r="Z167" s="44" t="s">
        <v>192</v>
      </c>
      <c r="AA167" s="44" t="s">
        <v>2403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1308</v>
      </c>
      <c r="G168" s="44" t="s">
        <v>319</v>
      </c>
      <c r="H168" s="44"/>
      <c r="I168" s="44" t="s">
        <v>2422</v>
      </c>
      <c r="J168" s="44" t="s">
        <v>1309</v>
      </c>
      <c r="K168" s="44" t="s">
        <v>322</v>
      </c>
      <c r="L168" s="44"/>
      <c r="M168" s="44" t="s">
        <v>1310</v>
      </c>
      <c r="N168" s="44" t="s">
        <v>1311</v>
      </c>
      <c r="O168" s="44" t="s">
        <v>308</v>
      </c>
      <c r="P168" s="44"/>
      <c r="Q168" s="44" t="s">
        <v>1312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1184</v>
      </c>
      <c r="Y168" s="44" t="s">
        <v>180</v>
      </c>
      <c r="Z168" s="44" t="s">
        <v>192</v>
      </c>
      <c r="AA168" s="44" t="s">
        <v>2403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1313</v>
      </c>
      <c r="G169" s="44"/>
      <c r="H169" s="44" t="s">
        <v>257</v>
      </c>
      <c r="I169" s="44" t="s">
        <v>1314</v>
      </c>
      <c r="J169" s="44" t="s">
        <v>1315</v>
      </c>
      <c r="K169" s="44"/>
      <c r="L169" s="44" t="s">
        <v>258</v>
      </c>
      <c r="M169" s="44" t="s">
        <v>1316</v>
      </c>
      <c r="N169" s="44" t="s">
        <v>1317</v>
      </c>
      <c r="O169" s="44"/>
      <c r="P169" s="44" t="s">
        <v>259</v>
      </c>
      <c r="Q169" s="44" t="s">
        <v>1318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1184</v>
      </c>
      <c r="Y169" s="44" t="s">
        <v>180</v>
      </c>
      <c r="Z169" s="44" t="s">
        <v>192</v>
      </c>
      <c r="AA169" s="44" t="s">
        <v>2403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2423</v>
      </c>
      <c r="G170" s="44"/>
      <c r="H170" s="44" t="s">
        <v>253</v>
      </c>
      <c r="I170" s="44" t="s">
        <v>1319</v>
      </c>
      <c r="J170" s="44" t="s">
        <v>2424</v>
      </c>
      <c r="K170" s="44"/>
      <c r="L170" s="44" t="s">
        <v>253</v>
      </c>
      <c r="M170" s="44" t="s">
        <v>1320</v>
      </c>
      <c r="N170" s="44" t="s">
        <v>2425</v>
      </c>
      <c r="O170" s="44"/>
      <c r="P170" s="44" t="s">
        <v>253</v>
      </c>
      <c r="Q170" s="44" t="s">
        <v>1321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1184</v>
      </c>
      <c r="Y170" s="44" t="s">
        <v>180</v>
      </c>
      <c r="Z170" s="44" t="s">
        <v>192</v>
      </c>
      <c r="AA170" s="44" t="s">
        <v>2403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2423</v>
      </c>
      <c r="G171" s="44"/>
      <c r="H171" s="44" t="s">
        <v>260</v>
      </c>
      <c r="I171" s="44" t="s">
        <v>1322</v>
      </c>
      <c r="J171" s="44" t="s">
        <v>2424</v>
      </c>
      <c r="K171" s="44"/>
      <c r="L171" s="44" t="s">
        <v>260</v>
      </c>
      <c r="M171" s="44" t="s">
        <v>1323</v>
      </c>
      <c r="N171" s="44" t="s">
        <v>2425</v>
      </c>
      <c r="O171" s="44"/>
      <c r="P171" s="44" t="s">
        <v>260</v>
      </c>
      <c r="Q171" s="44" t="s">
        <v>1324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1184</v>
      </c>
      <c r="Y171" s="44" t="s">
        <v>180</v>
      </c>
      <c r="Z171" s="44" t="s">
        <v>192</v>
      </c>
      <c r="AA171" s="44" t="s">
        <v>2403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1325</v>
      </c>
      <c r="G172" s="44" t="s">
        <v>293</v>
      </c>
      <c r="H172" s="44"/>
      <c r="I172" s="44" t="s">
        <v>1326</v>
      </c>
      <c r="J172" s="44" t="s">
        <v>1327</v>
      </c>
      <c r="K172" s="44" t="s">
        <v>1328</v>
      </c>
      <c r="L172" s="44"/>
      <c r="M172" s="44" t="s">
        <v>1329</v>
      </c>
      <c r="N172" s="44" t="s">
        <v>1330</v>
      </c>
      <c r="O172" s="44" t="s">
        <v>295</v>
      </c>
      <c r="P172" s="44"/>
      <c r="Q172" s="44" t="s">
        <v>1331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1184</v>
      </c>
      <c r="Y172" s="44" t="s">
        <v>180</v>
      </c>
      <c r="Z172" s="44" t="s">
        <v>192</v>
      </c>
      <c r="AA172" s="44" t="s">
        <v>2403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1332</v>
      </c>
      <c r="G173" s="44" t="s">
        <v>319</v>
      </c>
      <c r="H173" s="44"/>
      <c r="I173" s="44" t="s">
        <v>1333</v>
      </c>
      <c r="J173" s="44" t="s">
        <v>1332</v>
      </c>
      <c r="K173" s="44" t="s">
        <v>322</v>
      </c>
      <c r="L173" s="44"/>
      <c r="M173" s="44" t="s">
        <v>1334</v>
      </c>
      <c r="N173" s="44" t="s">
        <v>1335</v>
      </c>
      <c r="O173" s="44" t="s">
        <v>308</v>
      </c>
      <c r="P173" s="44"/>
      <c r="Q173" s="44" t="s">
        <v>1336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1184</v>
      </c>
      <c r="Y173" s="44" t="s">
        <v>180</v>
      </c>
      <c r="Z173" s="44" t="s">
        <v>192</v>
      </c>
      <c r="AA173" s="44" t="s">
        <v>2403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1332</v>
      </c>
      <c r="G174" s="44"/>
      <c r="H174" s="44" t="s">
        <v>257</v>
      </c>
      <c r="I174" s="44" t="s">
        <v>1337</v>
      </c>
      <c r="J174" s="44" t="s">
        <v>1332</v>
      </c>
      <c r="K174" s="44"/>
      <c r="L174" s="44" t="s">
        <v>258</v>
      </c>
      <c r="M174" s="44" t="s">
        <v>1338</v>
      </c>
      <c r="N174" s="44" t="s">
        <v>1335</v>
      </c>
      <c r="O174" s="44"/>
      <c r="P174" s="44" t="s">
        <v>259</v>
      </c>
      <c r="Q174" s="44" t="s">
        <v>1339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1184</v>
      </c>
      <c r="Y174" s="44" t="s">
        <v>180</v>
      </c>
      <c r="Z174" s="44" t="s">
        <v>192</v>
      </c>
      <c r="AA174" s="44" t="s">
        <v>2403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1340</v>
      </c>
      <c r="G175" s="44" t="s">
        <v>319</v>
      </c>
      <c r="H175" s="44"/>
      <c r="I175" s="44" t="s">
        <v>1341</v>
      </c>
      <c r="J175" s="44" t="s">
        <v>1340</v>
      </c>
      <c r="K175" s="44" t="s">
        <v>322</v>
      </c>
      <c r="L175" s="44"/>
      <c r="M175" s="44" t="s">
        <v>1342</v>
      </c>
      <c r="N175" s="44" t="s">
        <v>1343</v>
      </c>
      <c r="O175" s="44" t="s">
        <v>308</v>
      </c>
      <c r="P175" s="44"/>
      <c r="Q175" s="44" t="s">
        <v>1344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1184</v>
      </c>
      <c r="Y175" s="44" t="s">
        <v>180</v>
      </c>
      <c r="Z175" s="44" t="s">
        <v>192</v>
      </c>
      <c r="AA175" s="44" t="s">
        <v>2403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1345</v>
      </c>
      <c r="G176" s="44" t="s">
        <v>309</v>
      </c>
      <c r="H176" s="44" t="s">
        <v>253</v>
      </c>
      <c r="I176" s="44" t="s">
        <v>1346</v>
      </c>
      <c r="J176" s="44" t="s">
        <v>1347</v>
      </c>
      <c r="K176" s="44" t="s">
        <v>310</v>
      </c>
      <c r="L176" s="44" t="s">
        <v>253</v>
      </c>
      <c r="M176" s="44" t="s">
        <v>1348</v>
      </c>
      <c r="N176" s="44" t="s">
        <v>1349</v>
      </c>
      <c r="O176" s="44" t="s">
        <v>311</v>
      </c>
      <c r="P176" s="44" t="s">
        <v>253</v>
      </c>
      <c r="Q176" s="44" t="s">
        <v>1350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1184</v>
      </c>
      <c r="Y176" s="44" t="s">
        <v>180</v>
      </c>
      <c r="Z176" s="44" t="s">
        <v>192</v>
      </c>
      <c r="AA176" s="44" t="s">
        <v>2403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1351</v>
      </c>
      <c r="G177" s="44" t="s">
        <v>309</v>
      </c>
      <c r="H177" s="44" t="s">
        <v>1223</v>
      </c>
      <c r="I177" s="44" t="s">
        <v>1352</v>
      </c>
      <c r="J177" s="44" t="s">
        <v>1353</v>
      </c>
      <c r="K177" s="44" t="s">
        <v>310</v>
      </c>
      <c r="L177" s="44" t="s">
        <v>1223</v>
      </c>
      <c r="M177" s="44" t="s">
        <v>1354</v>
      </c>
      <c r="N177" s="44" t="s">
        <v>1355</v>
      </c>
      <c r="O177" s="44" t="s">
        <v>311</v>
      </c>
      <c r="P177" s="44" t="s">
        <v>1223</v>
      </c>
      <c r="Q177" s="44" t="s">
        <v>1356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1184</v>
      </c>
      <c r="Y177" s="44" t="s">
        <v>180</v>
      </c>
      <c r="Z177" s="44" t="s">
        <v>192</v>
      </c>
      <c r="AA177" s="44" t="s">
        <v>2403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1357</v>
      </c>
      <c r="G178" s="44" t="s">
        <v>826</v>
      </c>
      <c r="H178" s="44" t="s">
        <v>253</v>
      </c>
      <c r="I178" s="44" t="s">
        <v>1358</v>
      </c>
      <c r="J178" s="44" t="s">
        <v>1359</v>
      </c>
      <c r="K178" s="44" t="s">
        <v>829</v>
      </c>
      <c r="L178" s="44" t="s">
        <v>253</v>
      </c>
      <c r="M178" s="44" t="s">
        <v>1360</v>
      </c>
      <c r="N178" s="44" t="s">
        <v>1361</v>
      </c>
      <c r="O178" s="44" t="s">
        <v>832</v>
      </c>
      <c r="P178" s="44" t="s">
        <v>253</v>
      </c>
      <c r="Q178" s="44" t="s">
        <v>1362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1184</v>
      </c>
      <c r="Y178" s="44" t="s">
        <v>180</v>
      </c>
      <c r="Z178" s="44" t="s">
        <v>192</v>
      </c>
      <c r="AA178" s="44" t="s">
        <v>2403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1368</v>
      </c>
      <c r="G179" s="44" t="s">
        <v>293</v>
      </c>
      <c r="H179" s="44" t="s">
        <v>257</v>
      </c>
      <c r="I179" s="44" t="s">
        <v>1363</v>
      </c>
      <c r="J179" s="44" t="s">
        <v>1364</v>
      </c>
      <c r="K179" s="44"/>
      <c r="L179" s="44" t="s">
        <v>258</v>
      </c>
      <c r="M179" s="44" t="s">
        <v>1365</v>
      </c>
      <c r="N179" s="44" t="s">
        <v>1366</v>
      </c>
      <c r="O179" s="44"/>
      <c r="P179" s="44" t="s">
        <v>259</v>
      </c>
      <c r="Q179" s="44" t="s">
        <v>1367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1184</v>
      </c>
      <c r="Y179" s="44" t="s">
        <v>180</v>
      </c>
      <c r="Z179" s="44" t="s">
        <v>192</v>
      </c>
      <c r="AA179" s="44" t="s">
        <v>2403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1368</v>
      </c>
      <c r="G180" s="44"/>
      <c r="H180" s="44" t="s">
        <v>257</v>
      </c>
      <c r="I180" s="44" t="s">
        <v>1369</v>
      </c>
      <c r="J180" s="44" t="s">
        <v>1364</v>
      </c>
      <c r="K180" s="44"/>
      <c r="L180" s="44" t="s">
        <v>258</v>
      </c>
      <c r="M180" s="44" t="s">
        <v>1365</v>
      </c>
      <c r="N180" s="44" t="s">
        <v>1366</v>
      </c>
      <c r="O180" s="44"/>
      <c r="P180" s="44" t="s">
        <v>259</v>
      </c>
      <c r="Q180" s="44" t="s">
        <v>1367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1184</v>
      </c>
      <c r="Y180" s="44" t="s">
        <v>180</v>
      </c>
      <c r="Z180" s="44" t="s">
        <v>192</v>
      </c>
      <c r="AA180" s="44" t="s">
        <v>2403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1370</v>
      </c>
      <c r="G181" s="44"/>
      <c r="H181" s="44" t="s">
        <v>257</v>
      </c>
      <c r="I181" s="44" t="s">
        <v>1371</v>
      </c>
      <c r="J181" s="44" t="s">
        <v>1372</v>
      </c>
      <c r="K181" s="44"/>
      <c r="L181" s="44" t="s">
        <v>258</v>
      </c>
      <c r="M181" s="44" t="s">
        <v>1373</v>
      </c>
      <c r="N181" s="44" t="s">
        <v>1374</v>
      </c>
      <c r="O181" s="44"/>
      <c r="P181" s="44" t="s">
        <v>259</v>
      </c>
      <c r="Q181" s="44" t="s">
        <v>1375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1184</v>
      </c>
      <c r="Y181" s="44" t="s">
        <v>180</v>
      </c>
      <c r="Z181" s="44" t="s">
        <v>192</v>
      </c>
      <c r="AA181" s="44" t="s">
        <v>2403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1376</v>
      </c>
      <c r="G182" s="44"/>
      <c r="H182" s="44" t="s">
        <v>257</v>
      </c>
      <c r="I182" s="44" t="s">
        <v>1377</v>
      </c>
      <c r="J182" s="44" t="s">
        <v>1378</v>
      </c>
      <c r="K182" s="44" t="s">
        <v>1379</v>
      </c>
      <c r="L182" s="44" t="s">
        <v>258</v>
      </c>
      <c r="M182" s="44" t="s">
        <v>1380</v>
      </c>
      <c r="N182" s="44" t="s">
        <v>1381</v>
      </c>
      <c r="O182" s="44"/>
      <c r="P182" s="44" t="s">
        <v>259</v>
      </c>
      <c r="Q182" s="44" t="s">
        <v>1382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1184</v>
      </c>
      <c r="Y182" s="44" t="s">
        <v>180</v>
      </c>
      <c r="Z182" s="44" t="s">
        <v>192</v>
      </c>
      <c r="AA182" s="44" t="s">
        <v>2403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1370</v>
      </c>
      <c r="G183" s="44"/>
      <c r="H183" s="44" t="s">
        <v>257</v>
      </c>
      <c r="I183" s="44" t="s">
        <v>1371</v>
      </c>
      <c r="J183" s="44" t="s">
        <v>1372</v>
      </c>
      <c r="K183" s="44"/>
      <c r="L183" s="44" t="s">
        <v>258</v>
      </c>
      <c r="M183" s="44" t="s">
        <v>1383</v>
      </c>
      <c r="N183" s="44" t="s">
        <v>1374</v>
      </c>
      <c r="O183" s="44"/>
      <c r="P183" s="44" t="s">
        <v>259</v>
      </c>
      <c r="Q183" s="44" t="s">
        <v>1375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1184</v>
      </c>
      <c r="Y183" s="44" t="s">
        <v>180</v>
      </c>
      <c r="Z183" s="44" t="s">
        <v>192</v>
      </c>
      <c r="AA183" s="44" t="s">
        <v>2403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1384</v>
      </c>
      <c r="G184" s="44"/>
      <c r="H184" s="44" t="s">
        <v>475</v>
      </c>
      <c r="I184" s="44" t="s">
        <v>1385</v>
      </c>
      <c r="J184" s="44" t="s">
        <v>1386</v>
      </c>
      <c r="K184" s="44"/>
      <c r="L184" s="44" t="s">
        <v>475</v>
      </c>
      <c r="M184" s="44" t="s">
        <v>1387</v>
      </c>
      <c r="N184" s="44" t="s">
        <v>1388</v>
      </c>
      <c r="O184" s="44"/>
      <c r="P184" s="44" t="s">
        <v>475</v>
      </c>
      <c r="Q184" s="44" t="s">
        <v>1389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1184</v>
      </c>
      <c r="Y184" s="44" t="s">
        <v>180</v>
      </c>
      <c r="Z184" s="44" t="s">
        <v>192</v>
      </c>
      <c r="AA184" s="44" t="s">
        <v>2403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1390</v>
      </c>
      <c r="G185" s="44"/>
      <c r="H185" s="44" t="s">
        <v>257</v>
      </c>
      <c r="I185" s="44" t="s">
        <v>1390</v>
      </c>
      <c r="J185" s="44" t="s">
        <v>1391</v>
      </c>
      <c r="K185" s="44"/>
      <c r="L185" s="44" t="s">
        <v>258</v>
      </c>
      <c r="M185" s="44" t="s">
        <v>1392</v>
      </c>
      <c r="N185" s="44" t="s">
        <v>1393</v>
      </c>
      <c r="O185" s="44"/>
      <c r="P185" s="44" t="s">
        <v>259</v>
      </c>
      <c r="Q185" s="44" t="s">
        <v>1394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1184</v>
      </c>
      <c r="Y185" s="44" t="s">
        <v>180</v>
      </c>
      <c r="Z185" s="44" t="s">
        <v>192</v>
      </c>
      <c r="AA185" s="44" t="s">
        <v>2403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1395</v>
      </c>
      <c r="G186" s="44"/>
      <c r="H186" s="44" t="s">
        <v>257</v>
      </c>
      <c r="I186" s="44" t="s">
        <v>1396</v>
      </c>
      <c r="J186" s="44" t="s">
        <v>1397</v>
      </c>
      <c r="K186" s="44"/>
      <c r="L186" s="44" t="s">
        <v>258</v>
      </c>
      <c r="M186" s="44" t="s">
        <v>1398</v>
      </c>
      <c r="N186" s="44" t="s">
        <v>1399</v>
      </c>
      <c r="O186" s="44"/>
      <c r="P186" s="44" t="s">
        <v>259</v>
      </c>
      <c r="Q186" s="44" t="s">
        <v>1400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1184</v>
      </c>
      <c r="Y186" s="44" t="s">
        <v>180</v>
      </c>
      <c r="Z186" s="44" t="s">
        <v>192</v>
      </c>
      <c r="AA186" s="44" t="s">
        <v>2403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1401</v>
      </c>
      <c r="G187" s="44" t="s">
        <v>1402</v>
      </c>
      <c r="H187" s="44" t="s">
        <v>257</v>
      </c>
      <c r="I187" s="44" t="s">
        <v>1403</v>
      </c>
      <c r="J187" s="44" t="s">
        <v>1268</v>
      </c>
      <c r="K187" s="44" t="s">
        <v>1402</v>
      </c>
      <c r="L187" s="44" t="s">
        <v>258</v>
      </c>
      <c r="M187" s="44" t="s">
        <v>1404</v>
      </c>
      <c r="N187" s="44" t="s">
        <v>1405</v>
      </c>
      <c r="O187" s="44" t="s">
        <v>1406</v>
      </c>
      <c r="P187" s="44" t="s">
        <v>259</v>
      </c>
      <c r="Q187" s="44" t="s">
        <v>1407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1184</v>
      </c>
      <c r="Y187" s="44" t="s">
        <v>180</v>
      </c>
      <c r="Z187" s="44" t="s">
        <v>192</v>
      </c>
      <c r="AA187" s="44" t="s">
        <v>2403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1401</v>
      </c>
      <c r="G188" s="44"/>
      <c r="H188" s="44" t="s">
        <v>257</v>
      </c>
      <c r="I188" s="44" t="s">
        <v>1408</v>
      </c>
      <c r="J188" s="44" t="s">
        <v>1268</v>
      </c>
      <c r="K188" s="44"/>
      <c r="L188" s="44" t="s">
        <v>258</v>
      </c>
      <c r="M188" s="44" t="s">
        <v>1409</v>
      </c>
      <c r="N188" s="44" t="s">
        <v>1405</v>
      </c>
      <c r="O188" s="44"/>
      <c r="P188" s="44" t="s">
        <v>259</v>
      </c>
      <c r="Q188" s="44" t="s">
        <v>1410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1184</v>
      </c>
      <c r="Y188" s="44" t="s">
        <v>180</v>
      </c>
      <c r="Z188" s="44" t="s">
        <v>192</v>
      </c>
      <c r="AA188" s="44" t="s">
        <v>2403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1411</v>
      </c>
      <c r="G189" s="44" t="s">
        <v>309</v>
      </c>
      <c r="H189" s="44" t="s">
        <v>1223</v>
      </c>
      <c r="I189" s="44" t="s">
        <v>1412</v>
      </c>
      <c r="J189" s="44" t="s">
        <v>1411</v>
      </c>
      <c r="K189" s="44" t="s">
        <v>310</v>
      </c>
      <c r="L189" s="44" t="s">
        <v>1223</v>
      </c>
      <c r="M189" s="44" t="s">
        <v>1413</v>
      </c>
      <c r="N189" s="44" t="s">
        <v>1414</v>
      </c>
      <c r="O189" s="44" t="s">
        <v>311</v>
      </c>
      <c r="P189" s="44" t="s">
        <v>1223</v>
      </c>
      <c r="Q189" s="44" t="s">
        <v>1415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1184</v>
      </c>
      <c r="Y189" s="44" t="s">
        <v>180</v>
      </c>
      <c r="Z189" s="44" t="s">
        <v>192</v>
      </c>
      <c r="AA189" s="44" t="s">
        <v>2403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1416</v>
      </c>
      <c r="G190" s="44" t="s">
        <v>762</v>
      </c>
      <c r="H190" s="44" t="s">
        <v>1417</v>
      </c>
      <c r="I190" s="44" t="s">
        <v>1418</v>
      </c>
      <c r="J190" s="44" t="s">
        <v>1419</v>
      </c>
      <c r="K190" s="44" t="s">
        <v>150</v>
      </c>
      <c r="L190" s="44" t="s">
        <v>1420</v>
      </c>
      <c r="M190" s="44" t="s">
        <v>1421</v>
      </c>
      <c r="N190" s="44" t="s">
        <v>1422</v>
      </c>
      <c r="O190" s="44" t="s">
        <v>767</v>
      </c>
      <c r="P190" s="44" t="s">
        <v>1417</v>
      </c>
      <c r="Q190" s="44" t="s">
        <v>1423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1184</v>
      </c>
      <c r="Y190" s="44" t="s">
        <v>180</v>
      </c>
      <c r="Z190" s="44" t="s">
        <v>192</v>
      </c>
      <c r="AA190" s="44" t="s">
        <v>2403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1424</v>
      </c>
      <c r="G191" s="44" t="s">
        <v>293</v>
      </c>
      <c r="H191" s="44"/>
      <c r="I191" s="44" t="s">
        <v>1425</v>
      </c>
      <c r="J191" s="44" t="s">
        <v>1426</v>
      </c>
      <c r="K191" s="44" t="s">
        <v>294</v>
      </c>
      <c r="L191" s="44"/>
      <c r="M191" s="44" t="s">
        <v>1427</v>
      </c>
      <c r="N191" s="44" t="s">
        <v>1428</v>
      </c>
      <c r="O191" s="44" t="s">
        <v>295</v>
      </c>
      <c r="P191" s="44"/>
      <c r="Q191" s="44" t="s">
        <v>1429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1184</v>
      </c>
      <c r="Y191" s="44" t="s">
        <v>180</v>
      </c>
      <c r="Z191" s="44" t="s">
        <v>192</v>
      </c>
      <c r="AA191" s="44" t="s">
        <v>2403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1433</v>
      </c>
      <c r="G192" s="44"/>
      <c r="H192" s="44" t="s">
        <v>271</v>
      </c>
      <c r="I192" s="44" t="s">
        <v>1434</v>
      </c>
      <c r="J192" s="44" t="s">
        <v>1435</v>
      </c>
      <c r="K192" s="44"/>
      <c r="L192" s="44" t="s">
        <v>271</v>
      </c>
      <c r="M192" s="44" t="s">
        <v>1436</v>
      </c>
      <c r="N192" s="44" t="s">
        <v>1437</v>
      </c>
      <c r="O192" s="44"/>
      <c r="P192" s="44" t="s">
        <v>271</v>
      </c>
      <c r="Q192" s="44" t="s">
        <v>1438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1184</v>
      </c>
      <c r="Y192" s="44" t="s">
        <v>180</v>
      </c>
      <c r="Z192" s="44" t="s">
        <v>192</v>
      </c>
      <c r="AA192" s="44" t="s">
        <v>2403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1439</v>
      </c>
      <c r="G193" s="44"/>
      <c r="H193" s="44" t="s">
        <v>261</v>
      </c>
      <c r="I193" s="44" t="s">
        <v>1440</v>
      </c>
      <c r="J193" s="44" t="s">
        <v>1441</v>
      </c>
      <c r="K193" s="44" t="s">
        <v>1442</v>
      </c>
      <c r="L193" s="44" t="s">
        <v>261</v>
      </c>
      <c r="M193" s="44" t="s">
        <v>1443</v>
      </c>
      <c r="N193" s="44" t="s">
        <v>1444</v>
      </c>
      <c r="O193" s="44"/>
      <c r="P193" s="44" t="s">
        <v>261</v>
      </c>
      <c r="Q193" s="44" t="s">
        <v>1445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1184</v>
      </c>
      <c r="Y193" s="44" t="s">
        <v>180</v>
      </c>
      <c r="Z193" s="44" t="s">
        <v>192</v>
      </c>
      <c r="AA193" s="44" t="s">
        <v>2403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1446</v>
      </c>
      <c r="G194" s="44"/>
      <c r="H194" s="44" t="s">
        <v>297</v>
      </c>
      <c r="I194" s="44" t="s">
        <v>1447</v>
      </c>
      <c r="J194" s="44" t="s">
        <v>1448</v>
      </c>
      <c r="K194" s="44" t="s">
        <v>765</v>
      </c>
      <c r="L194" s="44" t="s">
        <v>297</v>
      </c>
      <c r="M194" s="44" t="s">
        <v>1449</v>
      </c>
      <c r="N194" s="44" t="s">
        <v>1450</v>
      </c>
      <c r="O194" s="44"/>
      <c r="P194" s="44" t="s">
        <v>297</v>
      </c>
      <c r="Q194" s="44" t="s">
        <v>1451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1184</v>
      </c>
      <c r="Y194" s="44" t="s">
        <v>180</v>
      </c>
      <c r="Z194" s="44" t="s">
        <v>192</v>
      </c>
      <c r="AA194" s="44" t="s">
        <v>2403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1452</v>
      </c>
      <c r="G195" s="44"/>
      <c r="H195" s="44" t="s">
        <v>271</v>
      </c>
      <c r="I195" s="44" t="s">
        <v>1453</v>
      </c>
      <c r="J195" s="44" t="s">
        <v>1454</v>
      </c>
      <c r="K195" s="44"/>
      <c r="L195" s="44" t="s">
        <v>271</v>
      </c>
      <c r="M195" s="44" t="s">
        <v>1455</v>
      </c>
      <c r="N195" s="44" t="s">
        <v>1456</v>
      </c>
      <c r="O195" s="44"/>
      <c r="P195" s="44" t="s">
        <v>271</v>
      </c>
      <c r="Q195" s="44" t="s">
        <v>1457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1184</v>
      </c>
      <c r="Y195" s="44" t="s">
        <v>180</v>
      </c>
      <c r="Z195" s="44" t="s">
        <v>192</v>
      </c>
      <c r="AA195" s="44" t="s">
        <v>2403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1458</v>
      </c>
      <c r="G196" s="44"/>
      <c r="H196" s="44" t="s">
        <v>271</v>
      </c>
      <c r="I196" s="44" t="s">
        <v>1459</v>
      </c>
      <c r="J196" s="44" t="s">
        <v>1460</v>
      </c>
      <c r="K196" s="44"/>
      <c r="L196" s="44" t="s">
        <v>271</v>
      </c>
      <c r="M196" s="44" t="s">
        <v>1461</v>
      </c>
      <c r="N196" s="44" t="s">
        <v>1462</v>
      </c>
      <c r="O196" s="44"/>
      <c r="P196" s="44" t="s">
        <v>271</v>
      </c>
      <c r="Q196" s="44" t="s">
        <v>1463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1184</v>
      </c>
      <c r="Y196" s="44" t="s">
        <v>180</v>
      </c>
      <c r="Z196" s="44" t="s">
        <v>192</v>
      </c>
      <c r="AA196" s="44" t="s">
        <v>2403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1464</v>
      </c>
      <c r="G197" s="44"/>
      <c r="H197" s="44" t="s">
        <v>257</v>
      </c>
      <c r="I197" s="44" t="s">
        <v>1465</v>
      </c>
      <c r="J197" s="44" t="s">
        <v>1466</v>
      </c>
      <c r="K197" s="44"/>
      <c r="L197" s="44" t="s">
        <v>258</v>
      </c>
      <c r="M197" s="44" t="s">
        <v>1467</v>
      </c>
      <c r="N197" s="44" t="s">
        <v>1468</v>
      </c>
      <c r="O197" s="44"/>
      <c r="P197" s="44" t="s">
        <v>259</v>
      </c>
      <c r="Q197" s="44" t="s">
        <v>1469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1184</v>
      </c>
      <c r="Y197" s="44" t="s">
        <v>180</v>
      </c>
      <c r="Z197" s="44" t="s">
        <v>192</v>
      </c>
      <c r="AA197" s="44" t="s">
        <v>2403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1470</v>
      </c>
      <c r="G198" s="44"/>
      <c r="H198" s="44" t="s">
        <v>257</v>
      </c>
      <c r="I198" s="44" t="s">
        <v>1471</v>
      </c>
      <c r="J198" s="44" t="s">
        <v>1472</v>
      </c>
      <c r="K198" s="44"/>
      <c r="L198" s="44" t="s">
        <v>258</v>
      </c>
      <c r="M198" s="44" t="s">
        <v>1473</v>
      </c>
      <c r="N198" s="44" t="s">
        <v>1474</v>
      </c>
      <c r="O198" s="44"/>
      <c r="P198" s="44" t="s">
        <v>259</v>
      </c>
      <c r="Q198" s="44" t="s">
        <v>1475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1184</v>
      </c>
      <c r="Y198" s="44" t="s">
        <v>180</v>
      </c>
      <c r="Z198" s="44" t="s">
        <v>192</v>
      </c>
      <c r="AA198" s="44" t="s">
        <v>2403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1476</v>
      </c>
      <c r="G199" s="44"/>
      <c r="H199" s="44" t="s">
        <v>268</v>
      </c>
      <c r="I199" s="44" t="s">
        <v>1477</v>
      </c>
      <c r="J199" s="44" t="s">
        <v>1472</v>
      </c>
      <c r="K199" s="44" t="s">
        <v>2408</v>
      </c>
      <c r="L199" s="44" t="s">
        <v>269</v>
      </c>
      <c r="M199" s="44" t="s">
        <v>1478</v>
      </c>
      <c r="N199" s="44" t="s">
        <v>1479</v>
      </c>
      <c r="O199" s="44"/>
      <c r="P199" s="44" t="s">
        <v>270</v>
      </c>
      <c r="Q199" s="44" t="s">
        <v>1480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1184</v>
      </c>
      <c r="Y199" s="44" t="s">
        <v>180</v>
      </c>
      <c r="Z199" s="44" t="s">
        <v>192</v>
      </c>
      <c r="AA199" s="44" t="s">
        <v>2403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1481</v>
      </c>
      <c r="G200" s="44"/>
      <c r="H200" s="44" t="s">
        <v>268</v>
      </c>
      <c r="I200" s="44" t="s">
        <v>1482</v>
      </c>
      <c r="J200" s="44" t="s">
        <v>1483</v>
      </c>
      <c r="K200" s="44"/>
      <c r="L200" s="44" t="s">
        <v>269</v>
      </c>
      <c r="M200" s="44" t="s">
        <v>1484</v>
      </c>
      <c r="N200" s="44" t="s">
        <v>1485</v>
      </c>
      <c r="O200" s="44"/>
      <c r="P200" s="44" t="s">
        <v>270</v>
      </c>
      <c r="Q200" s="44" t="s">
        <v>1486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1184</v>
      </c>
      <c r="Y200" s="44" t="s">
        <v>180</v>
      </c>
      <c r="Z200" s="44" t="s">
        <v>192</v>
      </c>
      <c r="AA200" s="44" t="s">
        <v>2403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1487</v>
      </c>
      <c r="G201" s="44"/>
      <c r="H201" s="44" t="s">
        <v>271</v>
      </c>
      <c r="I201" s="44" t="s">
        <v>1488</v>
      </c>
      <c r="J201" s="44" t="s">
        <v>1489</v>
      </c>
      <c r="K201" s="44"/>
      <c r="L201" s="44" t="s">
        <v>271</v>
      </c>
      <c r="M201" s="44" t="s">
        <v>1490</v>
      </c>
      <c r="N201" s="44" t="s">
        <v>1491</v>
      </c>
      <c r="O201" s="44"/>
      <c r="P201" s="44" t="s">
        <v>271</v>
      </c>
      <c r="Q201" s="44" t="s">
        <v>1492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1184</v>
      </c>
      <c r="Y201" s="44" t="s">
        <v>180</v>
      </c>
      <c r="Z201" s="44" t="s">
        <v>192</v>
      </c>
      <c r="AA201" s="44" t="s">
        <v>2403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1493</v>
      </c>
      <c r="G202" s="44"/>
      <c r="H202" s="44" t="s">
        <v>1494</v>
      </c>
      <c r="I202" s="44" t="s">
        <v>1495</v>
      </c>
      <c r="J202" s="44" t="s">
        <v>1496</v>
      </c>
      <c r="K202" s="44"/>
      <c r="L202" s="44" t="s">
        <v>1497</v>
      </c>
      <c r="M202" s="44" t="s">
        <v>1498</v>
      </c>
      <c r="N202" s="44" t="s">
        <v>1499</v>
      </c>
      <c r="O202" s="44"/>
      <c r="P202" s="44" t="s">
        <v>1494</v>
      </c>
      <c r="Q202" s="44" t="s">
        <v>1500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1184</v>
      </c>
      <c r="Y202" s="44" t="s">
        <v>180</v>
      </c>
      <c r="Z202" s="44" t="s">
        <v>192</v>
      </c>
      <c r="AA202" s="44" t="s">
        <v>2403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1501</v>
      </c>
      <c r="G203" s="44"/>
      <c r="H203" s="44"/>
      <c r="I203" s="44" t="s">
        <v>1501</v>
      </c>
      <c r="J203" s="44" t="s">
        <v>1502</v>
      </c>
      <c r="K203" s="44"/>
      <c r="L203" s="44"/>
      <c r="M203" s="44" t="s">
        <v>1502</v>
      </c>
      <c r="N203" s="44" t="s">
        <v>1432</v>
      </c>
      <c r="O203" s="44" t="s">
        <v>1503</v>
      </c>
      <c r="P203" s="44"/>
      <c r="Q203" s="44" t="s">
        <v>1504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1184</v>
      </c>
      <c r="Y203" s="44" t="s">
        <v>180</v>
      </c>
      <c r="Z203" s="44" t="s">
        <v>192</v>
      </c>
      <c r="AA203" s="44" t="s">
        <v>2403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1505</v>
      </c>
      <c r="G204" s="44"/>
      <c r="H204" s="44"/>
      <c r="I204" s="44" t="s">
        <v>1505</v>
      </c>
      <c r="J204" s="44" t="s">
        <v>1506</v>
      </c>
      <c r="K204" s="44" t="s">
        <v>322</v>
      </c>
      <c r="L204" s="44"/>
      <c r="M204" s="44" t="s">
        <v>1507</v>
      </c>
      <c r="N204" s="44" t="s">
        <v>1508</v>
      </c>
      <c r="O204" s="44" t="s">
        <v>1503</v>
      </c>
      <c r="P204" s="44"/>
      <c r="Q204" s="44" t="s">
        <v>1509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1184</v>
      </c>
      <c r="Y204" s="44" t="s">
        <v>180</v>
      </c>
      <c r="Z204" s="44" t="s">
        <v>192</v>
      </c>
      <c r="AA204" s="44" t="s">
        <v>2403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1510</v>
      </c>
      <c r="G205" s="44"/>
      <c r="H205" s="44"/>
      <c r="I205" s="44" t="s">
        <v>1510</v>
      </c>
      <c r="J205" s="44" t="s">
        <v>1718</v>
      </c>
      <c r="K205" s="44" t="s">
        <v>322</v>
      </c>
      <c r="L205" s="44"/>
      <c r="M205" s="44" t="s">
        <v>1511</v>
      </c>
      <c r="N205" s="44" t="s">
        <v>1512</v>
      </c>
      <c r="O205" s="44" t="s">
        <v>1503</v>
      </c>
      <c r="P205" s="44"/>
      <c r="Q205" s="44" t="s">
        <v>1513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1184</v>
      </c>
      <c r="Y205" s="44" t="s">
        <v>180</v>
      </c>
      <c r="Z205" s="44" t="s">
        <v>192</v>
      </c>
      <c r="AA205" s="44" t="s">
        <v>2403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1514</v>
      </c>
      <c r="G206" s="44" t="s">
        <v>319</v>
      </c>
      <c r="H206" s="44"/>
      <c r="I206" s="44" t="s">
        <v>1515</v>
      </c>
      <c r="J206" s="44" t="s">
        <v>1516</v>
      </c>
      <c r="K206" s="44" t="s">
        <v>322</v>
      </c>
      <c r="L206" s="44"/>
      <c r="M206" s="44" t="s">
        <v>1517</v>
      </c>
      <c r="N206" s="44" t="s">
        <v>1518</v>
      </c>
      <c r="O206" s="44" t="s">
        <v>308</v>
      </c>
      <c r="P206" s="44"/>
      <c r="Q206" s="44" t="s">
        <v>1519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1184</v>
      </c>
      <c r="Y206" s="44" t="s">
        <v>180</v>
      </c>
      <c r="Z206" s="44" t="s">
        <v>192</v>
      </c>
      <c r="AA206" s="44" t="s">
        <v>2403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1520</v>
      </c>
      <c r="G207" s="44" t="s">
        <v>319</v>
      </c>
      <c r="H207" s="44"/>
      <c r="I207" s="44" t="s">
        <v>1521</v>
      </c>
      <c r="J207" s="44" t="s">
        <v>1522</v>
      </c>
      <c r="K207" s="44" t="s">
        <v>322</v>
      </c>
      <c r="L207" s="44"/>
      <c r="M207" s="44" t="s">
        <v>1523</v>
      </c>
      <c r="N207" s="44" t="s">
        <v>1524</v>
      </c>
      <c r="O207" s="44" t="s">
        <v>308</v>
      </c>
      <c r="P207" s="44"/>
      <c r="Q207" s="44" t="s">
        <v>1525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1184</v>
      </c>
      <c r="Y207" s="44" t="s">
        <v>180</v>
      </c>
      <c r="Z207" s="44" t="s">
        <v>192</v>
      </c>
      <c r="AA207" s="44" t="s">
        <v>2403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1520</v>
      </c>
      <c r="G208" s="44"/>
      <c r="H208" s="44"/>
      <c r="I208" s="44" t="s">
        <v>1526</v>
      </c>
      <c r="J208" s="44" t="s">
        <v>1522</v>
      </c>
      <c r="K208" s="44"/>
      <c r="L208" s="44"/>
      <c r="M208" s="44" t="s">
        <v>1522</v>
      </c>
      <c r="N208" s="44" t="s">
        <v>1524</v>
      </c>
      <c r="O208" s="44"/>
      <c r="P208" s="44"/>
      <c r="Q208" s="44" t="s">
        <v>1524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1184</v>
      </c>
      <c r="Y208" s="44" t="s">
        <v>180</v>
      </c>
      <c r="Z208" s="44" t="s">
        <v>192</v>
      </c>
      <c r="AA208" s="44" t="s">
        <v>2403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1527</v>
      </c>
      <c r="G209" s="44"/>
      <c r="H209" s="44" t="s">
        <v>257</v>
      </c>
      <c r="I209" s="44" t="s">
        <v>1528</v>
      </c>
      <c r="J209" s="44" t="s">
        <v>1529</v>
      </c>
      <c r="K209" s="44"/>
      <c r="L209" s="44" t="s">
        <v>258</v>
      </c>
      <c r="M209" s="44" t="s">
        <v>1529</v>
      </c>
      <c r="N209" s="44" t="s">
        <v>1530</v>
      </c>
      <c r="O209" s="44"/>
      <c r="P209" s="44" t="s">
        <v>259</v>
      </c>
      <c r="Q209" s="44" t="s">
        <v>1531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1184</v>
      </c>
      <c r="Y209" s="44" t="s">
        <v>180</v>
      </c>
      <c r="Z209" s="44" t="s">
        <v>192</v>
      </c>
      <c r="AA209" s="44" t="s">
        <v>2403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1532</v>
      </c>
      <c r="G210" s="44"/>
      <c r="H210" s="44"/>
      <c r="I210" s="44" t="s">
        <v>1532</v>
      </c>
      <c r="J210" s="44" t="s">
        <v>1533</v>
      </c>
      <c r="K210" s="44"/>
      <c r="L210" s="44"/>
      <c r="M210" s="44" t="s">
        <v>1533</v>
      </c>
      <c r="N210" s="44" t="s">
        <v>1534</v>
      </c>
      <c r="O210" s="44"/>
      <c r="P210" s="44"/>
      <c r="Q210" s="44" t="s">
        <v>1534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1184</v>
      </c>
      <c r="Y210" s="44" t="s">
        <v>180</v>
      </c>
      <c r="Z210" s="44" t="s">
        <v>192</v>
      </c>
      <c r="AA210" s="44" t="s">
        <v>2403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1535</v>
      </c>
      <c r="G211" s="44"/>
      <c r="H211" s="44" t="s">
        <v>257</v>
      </c>
      <c r="I211" s="44" t="s">
        <v>1536</v>
      </c>
      <c r="J211" s="44" t="s">
        <v>1537</v>
      </c>
      <c r="K211" s="44"/>
      <c r="L211" s="44" t="s">
        <v>258</v>
      </c>
      <c r="M211" s="44" t="s">
        <v>1537</v>
      </c>
      <c r="N211" s="44" t="s">
        <v>1538</v>
      </c>
      <c r="O211" s="44"/>
      <c r="P211" s="44" t="s">
        <v>259</v>
      </c>
      <c r="Q211" s="44" t="s">
        <v>1539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1184</v>
      </c>
      <c r="Y211" s="44" t="s">
        <v>180</v>
      </c>
      <c r="Z211" s="44" t="s">
        <v>192</v>
      </c>
      <c r="AA211" s="44" t="s">
        <v>2403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1540</v>
      </c>
      <c r="G212" s="44" t="s">
        <v>319</v>
      </c>
      <c r="H212" s="44"/>
      <c r="I212" s="44" t="s">
        <v>1540</v>
      </c>
      <c r="J212" s="44" t="s">
        <v>1541</v>
      </c>
      <c r="K212" s="44" t="s">
        <v>322</v>
      </c>
      <c r="L212" s="44"/>
      <c r="M212" s="44" t="s">
        <v>1542</v>
      </c>
      <c r="N212" s="44" t="s">
        <v>1543</v>
      </c>
      <c r="O212" s="44" t="s">
        <v>308</v>
      </c>
      <c r="P212" s="44"/>
      <c r="Q212" s="44" t="s">
        <v>1544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1184</v>
      </c>
      <c r="Y212" s="44" t="s">
        <v>180</v>
      </c>
      <c r="Z212" s="44" t="s">
        <v>192</v>
      </c>
      <c r="AA212" s="44" t="s">
        <v>2403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1545</v>
      </c>
      <c r="G213" s="44" t="s">
        <v>762</v>
      </c>
      <c r="H213" s="44" t="s">
        <v>261</v>
      </c>
      <c r="I213" s="44" t="s">
        <v>1546</v>
      </c>
      <c r="J213" s="44" t="s">
        <v>1547</v>
      </c>
      <c r="K213" s="44" t="s">
        <v>150</v>
      </c>
      <c r="L213" s="44" t="s">
        <v>261</v>
      </c>
      <c r="M213" s="44" t="s">
        <v>1548</v>
      </c>
      <c r="N213" s="44" t="s">
        <v>1549</v>
      </c>
      <c r="O213" s="44" t="s">
        <v>767</v>
      </c>
      <c r="P213" s="44" t="s">
        <v>261</v>
      </c>
      <c r="Q213" s="44" t="s">
        <v>1550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1184</v>
      </c>
      <c r="Y213" s="44" t="s">
        <v>180</v>
      </c>
      <c r="Z213" s="44" t="s">
        <v>192</v>
      </c>
      <c r="AA213" s="44" t="s">
        <v>2403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1551</v>
      </c>
      <c r="G214" s="44" t="s">
        <v>762</v>
      </c>
      <c r="H214" s="44" t="s">
        <v>776</v>
      </c>
      <c r="I214" s="44" t="s">
        <v>1552</v>
      </c>
      <c r="J214" s="44" t="s">
        <v>1553</v>
      </c>
      <c r="K214" s="44" t="s">
        <v>150</v>
      </c>
      <c r="L214" s="44" t="s">
        <v>776</v>
      </c>
      <c r="M214" s="44" t="s">
        <v>1554</v>
      </c>
      <c r="N214" s="44" t="s">
        <v>1555</v>
      </c>
      <c r="O214" s="44" t="s">
        <v>767</v>
      </c>
      <c r="P214" s="44" t="s">
        <v>776</v>
      </c>
      <c r="Q214" s="44" t="s">
        <v>1556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1184</v>
      </c>
      <c r="Y214" s="44" t="s">
        <v>180</v>
      </c>
      <c r="Z214" s="44" t="s">
        <v>192</v>
      </c>
      <c r="AA214" s="44" t="s">
        <v>2403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1551</v>
      </c>
      <c r="G215" s="44"/>
      <c r="H215" s="44"/>
      <c r="I215" s="44" t="s">
        <v>1551</v>
      </c>
      <c r="J215" s="44" t="s">
        <v>1553</v>
      </c>
      <c r="K215" s="44"/>
      <c r="L215" s="44"/>
      <c r="M215" s="44" t="s">
        <v>1553</v>
      </c>
      <c r="N215" s="44" t="s">
        <v>1555</v>
      </c>
      <c r="O215" s="44"/>
      <c r="P215" s="44"/>
      <c r="Q215" s="44" t="s">
        <v>1555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1184</v>
      </c>
      <c r="Y215" s="44" t="s">
        <v>180</v>
      </c>
      <c r="Z215" s="44" t="s">
        <v>192</v>
      </c>
      <c r="AA215" s="44" t="s">
        <v>2403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1557</v>
      </c>
      <c r="G216" s="44" t="s">
        <v>319</v>
      </c>
      <c r="H216" s="44"/>
      <c r="I216" s="44" t="s">
        <v>1558</v>
      </c>
      <c r="J216" s="44" t="s">
        <v>1559</v>
      </c>
      <c r="K216" s="44" t="s">
        <v>322</v>
      </c>
      <c r="L216" s="44"/>
      <c r="M216" s="44" t="s">
        <v>1560</v>
      </c>
      <c r="N216" s="44" t="s">
        <v>1561</v>
      </c>
      <c r="O216" s="44" t="s">
        <v>308</v>
      </c>
      <c r="P216" s="44"/>
      <c r="Q216" s="44" t="s">
        <v>1562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1184</v>
      </c>
      <c r="Y216" s="44" t="s">
        <v>180</v>
      </c>
      <c r="Z216" s="44" t="s">
        <v>192</v>
      </c>
      <c r="AA216" s="44" t="s">
        <v>2403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1557</v>
      </c>
      <c r="G217" s="44"/>
      <c r="H217" s="44" t="s">
        <v>998</v>
      </c>
      <c r="I217" s="44" t="s">
        <v>1563</v>
      </c>
      <c r="J217" s="44" t="s">
        <v>1559</v>
      </c>
      <c r="K217" s="44"/>
      <c r="L217" s="44" t="s">
        <v>1001</v>
      </c>
      <c r="M217" s="44" t="s">
        <v>1564</v>
      </c>
      <c r="N217" s="44" t="s">
        <v>1561</v>
      </c>
      <c r="O217" s="44"/>
      <c r="P217" s="44" t="s">
        <v>998</v>
      </c>
      <c r="Q217" s="44" t="s">
        <v>1565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1184</v>
      </c>
      <c r="Y217" s="44" t="s">
        <v>180</v>
      </c>
      <c r="Z217" s="44" t="s">
        <v>192</v>
      </c>
      <c r="AA217" s="44" t="s">
        <v>2403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1566</v>
      </c>
      <c r="G218" s="44" t="s">
        <v>319</v>
      </c>
      <c r="H218" s="44"/>
      <c r="I218" s="44" t="s">
        <v>1567</v>
      </c>
      <c r="J218" s="44" t="s">
        <v>1568</v>
      </c>
      <c r="K218" s="44" t="s">
        <v>322</v>
      </c>
      <c r="L218" s="44"/>
      <c r="M218" s="44" t="s">
        <v>1569</v>
      </c>
      <c r="N218" s="44" t="s">
        <v>1570</v>
      </c>
      <c r="O218" s="44" t="s">
        <v>308</v>
      </c>
      <c r="P218" s="44"/>
      <c r="Q218" s="44" t="s">
        <v>1571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1184</v>
      </c>
      <c r="Y218" s="44" t="s">
        <v>180</v>
      </c>
      <c r="Z218" s="44" t="s">
        <v>192</v>
      </c>
      <c r="AA218" s="44" t="s">
        <v>2403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1572</v>
      </c>
      <c r="G219" s="44" t="s">
        <v>319</v>
      </c>
      <c r="H219" s="44"/>
      <c r="I219" s="44" t="s">
        <v>1573</v>
      </c>
      <c r="J219" s="44" t="s">
        <v>1574</v>
      </c>
      <c r="K219" s="44" t="s">
        <v>322</v>
      </c>
      <c r="L219" s="44"/>
      <c r="M219" s="44" t="s">
        <v>1575</v>
      </c>
      <c r="N219" s="44" t="s">
        <v>1576</v>
      </c>
      <c r="O219" s="44" t="s">
        <v>308</v>
      </c>
      <c r="P219" s="44"/>
      <c r="Q219" s="44" t="s">
        <v>1577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1184</v>
      </c>
      <c r="Y219" s="44" t="s">
        <v>180</v>
      </c>
      <c r="Z219" s="44" t="s">
        <v>192</v>
      </c>
      <c r="AA219" s="44" t="s">
        <v>2403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1578</v>
      </c>
      <c r="G220" s="44" t="s">
        <v>762</v>
      </c>
      <c r="H220" s="44" t="s">
        <v>261</v>
      </c>
      <c r="I220" s="44" t="s">
        <v>1579</v>
      </c>
      <c r="J220" s="44" t="s">
        <v>1441</v>
      </c>
      <c r="K220" s="44" t="s">
        <v>150</v>
      </c>
      <c r="L220" s="44" t="s">
        <v>261</v>
      </c>
      <c r="M220" s="44" t="s">
        <v>1441</v>
      </c>
      <c r="N220" s="44" t="s">
        <v>1580</v>
      </c>
      <c r="O220" s="44" t="s">
        <v>767</v>
      </c>
      <c r="P220" s="44" t="s">
        <v>261</v>
      </c>
      <c r="Q220" s="44" t="s">
        <v>1581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1184</v>
      </c>
      <c r="Y220" s="44" t="s">
        <v>180</v>
      </c>
      <c r="Z220" s="44" t="s">
        <v>192</v>
      </c>
      <c r="AA220" s="44" t="s">
        <v>2403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1572</v>
      </c>
      <c r="G221" s="44"/>
      <c r="H221" s="44" t="s">
        <v>261</v>
      </c>
      <c r="I221" s="44" t="s">
        <v>1582</v>
      </c>
      <c r="J221" s="44" t="s">
        <v>1574</v>
      </c>
      <c r="K221" s="44"/>
      <c r="L221" s="44" t="s">
        <v>261</v>
      </c>
      <c r="M221" s="44" t="s">
        <v>1583</v>
      </c>
      <c r="N221" s="44" t="s">
        <v>1584</v>
      </c>
      <c r="O221" s="44" t="s">
        <v>1585</v>
      </c>
      <c r="P221" s="44" t="s">
        <v>261</v>
      </c>
      <c r="Q221" s="44" t="s">
        <v>1586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1184</v>
      </c>
      <c r="Y221" s="44" t="s">
        <v>180</v>
      </c>
      <c r="Z221" s="44" t="s">
        <v>192</v>
      </c>
      <c r="AA221" s="44" t="s">
        <v>2403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1572</v>
      </c>
      <c r="G222" s="44" t="s">
        <v>1587</v>
      </c>
      <c r="H222" s="44" t="s">
        <v>1588</v>
      </c>
      <c r="I222" s="44" t="s">
        <v>1589</v>
      </c>
      <c r="J222" s="44" t="s">
        <v>1574</v>
      </c>
      <c r="K222" s="44" t="s">
        <v>150</v>
      </c>
      <c r="L222" s="44" t="s">
        <v>1588</v>
      </c>
      <c r="M222" s="44" t="s">
        <v>1590</v>
      </c>
      <c r="N222" s="44" t="s">
        <v>1584</v>
      </c>
      <c r="O222" s="44" t="s">
        <v>1591</v>
      </c>
      <c r="P222" s="44" t="s">
        <v>1588</v>
      </c>
      <c r="Q222" s="44" t="s">
        <v>1592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1184</v>
      </c>
      <c r="Y222" s="44" t="s">
        <v>180</v>
      </c>
      <c r="Z222" s="44" t="s">
        <v>192</v>
      </c>
      <c r="AA222" s="44" t="s">
        <v>2403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1593</v>
      </c>
      <c r="G223" s="44" t="s">
        <v>1594</v>
      </c>
      <c r="H223" s="44"/>
      <c r="I223" s="44" t="s">
        <v>1595</v>
      </c>
      <c r="J223" s="44" t="s">
        <v>1596</v>
      </c>
      <c r="K223" s="44" t="s">
        <v>1597</v>
      </c>
      <c r="L223" s="44"/>
      <c r="M223" s="44" t="s">
        <v>1598</v>
      </c>
      <c r="N223" s="44" t="s">
        <v>1599</v>
      </c>
      <c r="O223" s="44" t="s">
        <v>1600</v>
      </c>
      <c r="P223" s="44"/>
      <c r="Q223" s="44" t="s">
        <v>1601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1184</v>
      </c>
      <c r="Y223" s="44" t="s">
        <v>180</v>
      </c>
      <c r="Z223" s="44" t="s">
        <v>192</v>
      </c>
      <c r="AA223" s="44" t="s">
        <v>2403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1578</v>
      </c>
      <c r="G224" s="44" t="s">
        <v>1602</v>
      </c>
      <c r="H224" s="44"/>
      <c r="I224" s="44" t="s">
        <v>1603</v>
      </c>
      <c r="J224" s="44" t="s">
        <v>1441</v>
      </c>
      <c r="K224" s="44" t="s">
        <v>1604</v>
      </c>
      <c r="L224" s="44"/>
      <c r="M224" s="44" t="s">
        <v>1605</v>
      </c>
      <c r="N224" s="44" t="s">
        <v>1580</v>
      </c>
      <c r="O224" s="44" t="s">
        <v>1606</v>
      </c>
      <c r="P224" s="44"/>
      <c r="Q224" s="44" t="s">
        <v>1607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1184</v>
      </c>
      <c r="Y224" s="44" t="s">
        <v>180</v>
      </c>
      <c r="Z224" s="44" t="s">
        <v>192</v>
      </c>
      <c r="AA224" s="44" t="s">
        <v>2403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1608</v>
      </c>
      <c r="G225" s="44" t="s">
        <v>1602</v>
      </c>
      <c r="H225" s="44" t="s">
        <v>1588</v>
      </c>
      <c r="I225" s="44" t="s">
        <v>1611</v>
      </c>
      <c r="J225" s="44" t="s">
        <v>1609</v>
      </c>
      <c r="K225" s="44" t="s">
        <v>1604</v>
      </c>
      <c r="L225" s="44" t="s">
        <v>1588</v>
      </c>
      <c r="M225" s="44" t="s">
        <v>1612</v>
      </c>
      <c r="N225" s="44" t="s">
        <v>1610</v>
      </c>
      <c r="O225" s="44" t="s">
        <v>1606</v>
      </c>
      <c r="P225" s="44" t="s">
        <v>1588</v>
      </c>
      <c r="Q225" s="44" t="s">
        <v>1613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1184</v>
      </c>
      <c r="Y225" s="44" t="s">
        <v>180</v>
      </c>
      <c r="Z225" s="44" t="s">
        <v>192</v>
      </c>
      <c r="AA225" s="44" t="s">
        <v>2403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1614</v>
      </c>
      <c r="G226" s="44" t="s">
        <v>319</v>
      </c>
      <c r="H226" s="44"/>
      <c r="I226" s="44" t="s">
        <v>1615</v>
      </c>
      <c r="J226" s="44" t="s">
        <v>1616</v>
      </c>
      <c r="K226" s="44" t="s">
        <v>322</v>
      </c>
      <c r="L226" s="44"/>
      <c r="M226" s="44" t="s">
        <v>1617</v>
      </c>
      <c r="N226" s="44" t="s">
        <v>1618</v>
      </c>
      <c r="O226" s="44" t="s">
        <v>308</v>
      </c>
      <c r="P226" s="44"/>
      <c r="Q226" s="44" t="s">
        <v>1619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1184</v>
      </c>
      <c r="Y226" s="44" t="s">
        <v>180</v>
      </c>
      <c r="Z226" s="44" t="s">
        <v>192</v>
      </c>
      <c r="AA226" s="44" t="s">
        <v>2403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1614</v>
      </c>
      <c r="G227" s="44"/>
      <c r="H227" s="44" t="s">
        <v>257</v>
      </c>
      <c r="I227" s="44" t="s">
        <v>1620</v>
      </c>
      <c r="J227" s="44" t="s">
        <v>1616</v>
      </c>
      <c r="K227" s="44"/>
      <c r="L227" s="44" t="s">
        <v>258</v>
      </c>
      <c r="M227" s="44" t="s">
        <v>1621</v>
      </c>
      <c r="N227" s="44" t="s">
        <v>1618</v>
      </c>
      <c r="O227" s="44"/>
      <c r="P227" s="44" t="s">
        <v>259</v>
      </c>
      <c r="Q227" s="44" t="s">
        <v>1622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1184</v>
      </c>
      <c r="Y227" s="44" t="s">
        <v>180</v>
      </c>
      <c r="Z227" s="44" t="s">
        <v>192</v>
      </c>
      <c r="AA227" s="44" t="s">
        <v>2403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1614</v>
      </c>
      <c r="G228" s="44"/>
      <c r="H228" s="44" t="s">
        <v>1623</v>
      </c>
      <c r="I228" s="44" t="s">
        <v>1624</v>
      </c>
      <c r="J228" s="44" t="s">
        <v>1616</v>
      </c>
      <c r="K228" s="44"/>
      <c r="L228" s="44" t="s">
        <v>1625</v>
      </c>
      <c r="M228" s="44" t="s">
        <v>1626</v>
      </c>
      <c r="N228" s="44" t="s">
        <v>1618</v>
      </c>
      <c r="O228" s="44"/>
      <c r="P228" s="44" t="s">
        <v>1627</v>
      </c>
      <c r="Q228" s="44" t="s">
        <v>1628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1184</v>
      </c>
      <c r="Y228" s="44" t="s">
        <v>180</v>
      </c>
      <c r="Z228" s="44" t="s">
        <v>192</v>
      </c>
      <c r="AA228" s="44" t="s">
        <v>2403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1629</v>
      </c>
      <c r="G229" s="44"/>
      <c r="H229" s="44" t="s">
        <v>257</v>
      </c>
      <c r="I229" s="44" t="s">
        <v>1630</v>
      </c>
      <c r="J229" s="44" t="s">
        <v>1631</v>
      </c>
      <c r="K229" s="44"/>
      <c r="L229" s="44" t="s">
        <v>258</v>
      </c>
      <c r="M229" s="44" t="s">
        <v>1632</v>
      </c>
      <c r="N229" s="44" t="s">
        <v>1633</v>
      </c>
      <c r="O229" s="44"/>
      <c r="P229" s="44" t="s">
        <v>259</v>
      </c>
      <c r="Q229" s="44" t="s">
        <v>1634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1184</v>
      </c>
      <c r="Y229" s="44" t="s">
        <v>180</v>
      </c>
      <c r="Z229" s="44" t="s">
        <v>192</v>
      </c>
      <c r="AA229" s="44" t="s">
        <v>2403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1635</v>
      </c>
      <c r="G230" s="44" t="s">
        <v>1636</v>
      </c>
      <c r="H230" s="44" t="s">
        <v>1637</v>
      </c>
      <c r="I230" s="44" t="s">
        <v>1638</v>
      </c>
      <c r="J230" s="44" t="s">
        <v>1639</v>
      </c>
      <c r="K230" s="44" t="s">
        <v>1640</v>
      </c>
      <c r="L230" s="44" t="s">
        <v>1637</v>
      </c>
      <c r="M230" s="44" t="s">
        <v>1641</v>
      </c>
      <c r="N230" s="44" t="s">
        <v>1642</v>
      </c>
      <c r="O230" s="44" t="s">
        <v>1643</v>
      </c>
      <c r="P230" s="44" t="s">
        <v>1637</v>
      </c>
      <c r="Q230" s="44" t="s">
        <v>1644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1184</v>
      </c>
      <c r="Y230" s="44" t="s">
        <v>180</v>
      </c>
      <c r="Z230" s="44" t="s">
        <v>192</v>
      </c>
      <c r="AA230" s="44" t="s">
        <v>2403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1645</v>
      </c>
      <c r="G231" s="44"/>
      <c r="H231" s="44" t="s">
        <v>257</v>
      </c>
      <c r="I231" s="44" t="s">
        <v>1646</v>
      </c>
      <c r="J231" s="44" t="s">
        <v>1647</v>
      </c>
      <c r="K231" s="44"/>
      <c r="L231" s="44" t="s">
        <v>258</v>
      </c>
      <c r="M231" s="44" t="s">
        <v>1648</v>
      </c>
      <c r="N231" s="44" t="s">
        <v>1649</v>
      </c>
      <c r="O231" s="44"/>
      <c r="P231" s="44" t="s">
        <v>259</v>
      </c>
      <c r="Q231" s="44" t="s">
        <v>1650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1184</v>
      </c>
      <c r="Y231" s="44" t="s">
        <v>180</v>
      </c>
      <c r="Z231" s="44" t="s">
        <v>192</v>
      </c>
      <c r="AA231" s="44" t="s">
        <v>2403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1635</v>
      </c>
      <c r="G232" s="44"/>
      <c r="H232" s="44" t="s">
        <v>257</v>
      </c>
      <c r="I232" s="44" t="s">
        <v>1651</v>
      </c>
      <c r="J232" s="44" t="s">
        <v>1639</v>
      </c>
      <c r="K232" s="44"/>
      <c r="L232" s="44" t="s">
        <v>258</v>
      </c>
      <c r="M232" s="44" t="s">
        <v>1652</v>
      </c>
      <c r="N232" s="44" t="s">
        <v>1642</v>
      </c>
      <c r="O232" s="44"/>
      <c r="P232" s="44" t="s">
        <v>259</v>
      </c>
      <c r="Q232" s="44" t="s">
        <v>1653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1184</v>
      </c>
      <c r="Y232" s="44" t="s">
        <v>180</v>
      </c>
      <c r="Z232" s="44" t="s">
        <v>192</v>
      </c>
      <c r="AA232" s="44" t="s">
        <v>2403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1654</v>
      </c>
      <c r="G233" s="44"/>
      <c r="H233" s="44" t="s">
        <v>257</v>
      </c>
      <c r="I233" s="44" t="s">
        <v>1655</v>
      </c>
      <c r="J233" s="44" t="s">
        <v>1656</v>
      </c>
      <c r="K233" s="44"/>
      <c r="L233" s="44" t="s">
        <v>258</v>
      </c>
      <c r="M233" s="44" t="s">
        <v>1657</v>
      </c>
      <c r="N233" s="44" t="s">
        <v>1658</v>
      </c>
      <c r="O233" s="44" t="s">
        <v>1659</v>
      </c>
      <c r="P233" s="44" t="s">
        <v>259</v>
      </c>
      <c r="Q233" s="44" t="s">
        <v>1660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1184</v>
      </c>
      <c r="Y233" s="44" t="s">
        <v>180</v>
      </c>
      <c r="Z233" s="44" t="s">
        <v>192</v>
      </c>
      <c r="AA233" s="44" t="s">
        <v>2403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1654</v>
      </c>
      <c r="G234" s="44"/>
      <c r="H234" s="44" t="s">
        <v>257</v>
      </c>
      <c r="I234" s="44" t="s">
        <v>1655</v>
      </c>
      <c r="J234" s="44" t="s">
        <v>1656</v>
      </c>
      <c r="K234" s="44"/>
      <c r="L234" s="44" t="s">
        <v>258</v>
      </c>
      <c r="M234" s="44" t="s">
        <v>1657</v>
      </c>
      <c r="N234" s="44" t="s">
        <v>1658</v>
      </c>
      <c r="O234" s="44" t="s">
        <v>1659</v>
      </c>
      <c r="P234" s="44" t="s">
        <v>259</v>
      </c>
      <c r="Q234" s="44" t="s">
        <v>1660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1184</v>
      </c>
      <c r="Y234" s="44" t="s">
        <v>180</v>
      </c>
      <c r="Z234" s="44" t="s">
        <v>192</v>
      </c>
      <c r="AA234" s="44" t="s">
        <v>2403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1661</v>
      </c>
      <c r="G235" s="44"/>
      <c r="H235" s="44" t="s">
        <v>257</v>
      </c>
      <c r="I235" s="44" t="s">
        <v>1662</v>
      </c>
      <c r="J235" s="44" t="s">
        <v>1663</v>
      </c>
      <c r="K235" s="44"/>
      <c r="L235" s="44" t="s">
        <v>258</v>
      </c>
      <c r="M235" s="44" t="s">
        <v>1664</v>
      </c>
      <c r="N235" s="44" t="s">
        <v>1665</v>
      </c>
      <c r="O235" s="44"/>
      <c r="P235" s="44" t="s">
        <v>259</v>
      </c>
      <c r="Q235" s="44" t="s">
        <v>1666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1184</v>
      </c>
      <c r="Y235" s="44" t="s">
        <v>180</v>
      </c>
      <c r="Z235" s="44" t="s">
        <v>192</v>
      </c>
      <c r="AA235" s="44" t="s">
        <v>2403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1667</v>
      </c>
      <c r="G236" s="44" t="s">
        <v>309</v>
      </c>
      <c r="H236" s="44" t="s">
        <v>1223</v>
      </c>
      <c r="I236" s="44" t="s">
        <v>1668</v>
      </c>
      <c r="J236" s="44" t="s">
        <v>1669</v>
      </c>
      <c r="K236" s="44" t="s">
        <v>310</v>
      </c>
      <c r="L236" s="44" t="s">
        <v>1223</v>
      </c>
      <c r="M236" s="44" t="s">
        <v>1670</v>
      </c>
      <c r="N236" s="44" t="s">
        <v>1671</v>
      </c>
      <c r="O236" s="44" t="s">
        <v>311</v>
      </c>
      <c r="P236" s="44" t="s">
        <v>1223</v>
      </c>
      <c r="Q236" s="44" t="s">
        <v>1672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1184</v>
      </c>
      <c r="Y236" s="44" t="s">
        <v>180</v>
      </c>
      <c r="Z236" s="44" t="s">
        <v>192</v>
      </c>
      <c r="AA236" s="44" t="s">
        <v>2403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1673</v>
      </c>
      <c r="G237" s="44"/>
      <c r="H237" s="44"/>
      <c r="I237" s="44" t="s">
        <v>1673</v>
      </c>
      <c r="J237" s="44" t="s">
        <v>1674</v>
      </c>
      <c r="K237" s="44"/>
      <c r="L237" s="44"/>
      <c r="M237" s="44" t="s">
        <v>1674</v>
      </c>
      <c r="N237" s="44" t="s">
        <v>1675</v>
      </c>
      <c r="O237" s="44"/>
      <c r="P237" s="44"/>
      <c r="Q237" s="44" t="s">
        <v>1675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1184</v>
      </c>
      <c r="Y237" s="44" t="s">
        <v>180</v>
      </c>
      <c r="Z237" s="44" t="s">
        <v>192</v>
      </c>
      <c r="AA237" s="44" t="s">
        <v>2403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1676</v>
      </c>
      <c r="G238" s="44"/>
      <c r="H238" s="44" t="s">
        <v>267</v>
      </c>
      <c r="I238" s="44" t="s">
        <v>1676</v>
      </c>
      <c r="J238" s="44" t="s">
        <v>1677</v>
      </c>
      <c r="K238" s="44"/>
      <c r="L238" s="44" t="s">
        <v>267</v>
      </c>
      <c r="M238" s="44" t="s">
        <v>1678</v>
      </c>
      <c r="N238" s="44" t="s">
        <v>1679</v>
      </c>
      <c r="O238" s="44"/>
      <c r="P238" s="44" t="s">
        <v>267</v>
      </c>
      <c r="Q238" s="44" t="s">
        <v>1679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1184</v>
      </c>
      <c r="Y238" s="44" t="s">
        <v>180</v>
      </c>
      <c r="Z238" s="44" t="s">
        <v>192</v>
      </c>
      <c r="AA238" s="44" t="s">
        <v>2403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1680</v>
      </c>
      <c r="G239" s="44" t="s">
        <v>1681</v>
      </c>
      <c r="H239" s="44"/>
      <c r="I239" s="44" t="s">
        <v>1682</v>
      </c>
      <c r="J239" s="44" t="s">
        <v>1683</v>
      </c>
      <c r="K239" s="44" t="s">
        <v>1684</v>
      </c>
      <c r="L239" s="44"/>
      <c r="M239" s="44" t="s">
        <v>1685</v>
      </c>
      <c r="N239" s="44" t="s">
        <v>1686</v>
      </c>
      <c r="O239" s="44" t="s">
        <v>1687</v>
      </c>
      <c r="P239" s="44"/>
      <c r="Q239" s="44" t="s">
        <v>1688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1184</v>
      </c>
      <c r="Y239" s="44" t="s">
        <v>180</v>
      </c>
      <c r="Z239" s="44" t="s">
        <v>192</v>
      </c>
      <c r="AA239" s="44" t="s">
        <v>2403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1680</v>
      </c>
      <c r="G240" s="44" t="s">
        <v>1689</v>
      </c>
      <c r="H240" s="44" t="s">
        <v>1430</v>
      </c>
      <c r="I240" s="44" t="s">
        <v>1690</v>
      </c>
      <c r="J240" s="44" t="s">
        <v>1683</v>
      </c>
      <c r="K240" s="44" t="s">
        <v>1691</v>
      </c>
      <c r="L240" s="44" t="s">
        <v>1431</v>
      </c>
      <c r="M240" s="44" t="s">
        <v>1692</v>
      </c>
      <c r="N240" s="44" t="s">
        <v>1686</v>
      </c>
      <c r="O240" s="44" t="s">
        <v>1693</v>
      </c>
      <c r="P240" s="44" t="s">
        <v>1430</v>
      </c>
      <c r="Q240" s="44" t="s">
        <v>1694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1184</v>
      </c>
      <c r="Y240" s="44" t="s">
        <v>180</v>
      </c>
      <c r="Z240" s="44" t="s">
        <v>192</v>
      </c>
      <c r="AA240" s="44" t="s">
        <v>2403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1695</v>
      </c>
      <c r="G241" s="44"/>
      <c r="H241" s="44"/>
      <c r="I241" s="44" t="s">
        <v>1695</v>
      </c>
      <c r="J241" s="44" t="s">
        <v>1696</v>
      </c>
      <c r="K241" s="44"/>
      <c r="L241" s="44"/>
      <c r="M241" s="44" t="s">
        <v>1696</v>
      </c>
      <c r="N241" s="44" t="s">
        <v>1697</v>
      </c>
      <c r="O241" s="44"/>
      <c r="P241" s="44"/>
      <c r="Q241" s="44" t="s">
        <v>1697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1184</v>
      </c>
      <c r="Y241" s="44" t="s">
        <v>180</v>
      </c>
      <c r="Z241" s="44" t="s">
        <v>192</v>
      </c>
      <c r="AA241" s="44" t="s">
        <v>2403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1698</v>
      </c>
      <c r="G242" s="44"/>
      <c r="H242" s="44" t="s">
        <v>268</v>
      </c>
      <c r="I242" s="44" t="s">
        <v>1699</v>
      </c>
      <c r="J242" s="44" t="s">
        <v>1700</v>
      </c>
      <c r="K242" s="44"/>
      <c r="L242" s="44" t="s">
        <v>269</v>
      </c>
      <c r="M242" s="44" t="s">
        <v>1701</v>
      </c>
      <c r="N242" s="44" t="s">
        <v>1702</v>
      </c>
      <c r="O242" s="44"/>
      <c r="P242" s="44" t="s">
        <v>270</v>
      </c>
      <c r="Q242" s="44" t="s">
        <v>1703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1184</v>
      </c>
      <c r="Y242" s="44" t="s">
        <v>180</v>
      </c>
      <c r="Z242" s="44" t="s">
        <v>192</v>
      </c>
      <c r="AA242" s="44" t="s">
        <v>2403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1698</v>
      </c>
      <c r="G243" s="44"/>
      <c r="H243" s="44" t="s">
        <v>1704</v>
      </c>
      <c r="I243" s="44" t="s">
        <v>1705</v>
      </c>
      <c r="J243" s="44" t="s">
        <v>1700</v>
      </c>
      <c r="K243" s="44"/>
      <c r="L243" s="44" t="s">
        <v>1706</v>
      </c>
      <c r="M243" s="44" t="s">
        <v>1707</v>
      </c>
      <c r="N243" s="44" t="s">
        <v>1702</v>
      </c>
      <c r="O243" s="44"/>
      <c r="P243" s="44" t="s">
        <v>1704</v>
      </c>
      <c r="Q243" s="44" t="s">
        <v>1708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1184</v>
      </c>
      <c r="Y243" s="44" t="s">
        <v>180</v>
      </c>
      <c r="Z243" s="44" t="s">
        <v>192</v>
      </c>
      <c r="AA243" s="44" t="s">
        <v>2403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1698</v>
      </c>
      <c r="G244" s="44" t="s">
        <v>319</v>
      </c>
      <c r="H244" s="44"/>
      <c r="I244" s="44" t="s">
        <v>1709</v>
      </c>
      <c r="J244" s="44" t="s">
        <v>1700</v>
      </c>
      <c r="K244" s="44" t="s">
        <v>322</v>
      </c>
      <c r="L244" s="44"/>
      <c r="M244" s="44" t="s">
        <v>1710</v>
      </c>
      <c r="N244" s="44" t="s">
        <v>1702</v>
      </c>
      <c r="O244" s="44" t="s">
        <v>308</v>
      </c>
      <c r="P244" s="44"/>
      <c r="Q244" s="44" t="s">
        <v>1711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1184</v>
      </c>
      <c r="Y244" s="44" t="s">
        <v>180</v>
      </c>
      <c r="Z244" s="44" t="s">
        <v>192</v>
      </c>
      <c r="AA244" s="44" t="s">
        <v>2403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1712</v>
      </c>
      <c r="G245" s="44"/>
      <c r="H245" s="44"/>
      <c r="I245" s="44" t="s">
        <v>1712</v>
      </c>
      <c r="J245" s="44" t="s">
        <v>1713</v>
      </c>
      <c r="K245" s="44"/>
      <c r="L245" s="44"/>
      <c r="M245" s="44" t="s">
        <v>1714</v>
      </c>
      <c r="N245" s="44" t="s">
        <v>1715</v>
      </c>
      <c r="O245" s="44"/>
      <c r="P245" s="44"/>
      <c r="Q245" s="44" t="s">
        <v>1715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1184</v>
      </c>
      <c r="Y245" s="44" t="s">
        <v>180</v>
      </c>
      <c r="Z245" s="44" t="s">
        <v>192</v>
      </c>
      <c r="AA245" s="44" t="s">
        <v>2403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1716</v>
      </c>
      <c r="G246" s="44" t="s">
        <v>2426</v>
      </c>
      <c r="H246" s="44"/>
      <c r="I246" s="44" t="s">
        <v>1717</v>
      </c>
      <c r="J246" s="44" t="s">
        <v>1718</v>
      </c>
      <c r="K246" s="44" t="s">
        <v>1719</v>
      </c>
      <c r="L246" s="44"/>
      <c r="M246" s="44" t="s">
        <v>1720</v>
      </c>
      <c r="N246" s="44" t="s">
        <v>1721</v>
      </c>
      <c r="O246" s="44" t="s">
        <v>1722</v>
      </c>
      <c r="P246" s="44"/>
      <c r="Q246" s="44" t="s">
        <v>1723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1184</v>
      </c>
      <c r="Y246" s="44" t="s">
        <v>180</v>
      </c>
      <c r="Z246" s="44" t="s">
        <v>192</v>
      </c>
      <c r="AA246" s="44" t="s">
        <v>2403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1716</v>
      </c>
      <c r="G247" s="44" t="s">
        <v>1636</v>
      </c>
      <c r="H247" s="44"/>
      <c r="I247" s="44" t="s">
        <v>1724</v>
      </c>
      <c r="J247" s="44" t="s">
        <v>1718</v>
      </c>
      <c r="K247" s="44" t="s">
        <v>1725</v>
      </c>
      <c r="L247" s="44"/>
      <c r="M247" s="44" t="s">
        <v>1726</v>
      </c>
      <c r="N247" s="44" t="s">
        <v>1721</v>
      </c>
      <c r="O247" s="44" t="s">
        <v>2427</v>
      </c>
      <c r="P247" s="44"/>
      <c r="Q247" s="44" t="s">
        <v>1727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1184</v>
      </c>
      <c r="Y247" s="44" t="s">
        <v>180</v>
      </c>
      <c r="Z247" s="44" t="s">
        <v>192</v>
      </c>
      <c r="AA247" s="44" t="s">
        <v>2403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1728</v>
      </c>
      <c r="G248" s="44"/>
      <c r="H248" s="44" t="s">
        <v>257</v>
      </c>
      <c r="I248" s="44" t="s">
        <v>1729</v>
      </c>
      <c r="J248" s="44" t="s">
        <v>1730</v>
      </c>
      <c r="K248" s="44"/>
      <c r="L248" s="44" t="s">
        <v>258</v>
      </c>
      <c r="M248" s="44" t="s">
        <v>1731</v>
      </c>
      <c r="N248" s="44" t="s">
        <v>1732</v>
      </c>
      <c r="O248" s="44"/>
      <c r="P248" s="44" t="s">
        <v>259</v>
      </c>
      <c r="Q248" s="44" t="s">
        <v>1733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1184</v>
      </c>
      <c r="Y248" s="44" t="s">
        <v>180</v>
      </c>
      <c r="Z248" s="44" t="s">
        <v>192</v>
      </c>
      <c r="AA248" s="44" t="s">
        <v>2403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1734</v>
      </c>
      <c r="G249" s="44"/>
      <c r="H249" s="44" t="s">
        <v>257</v>
      </c>
      <c r="I249" s="44" t="s">
        <v>1735</v>
      </c>
      <c r="J249" s="44" t="s">
        <v>1736</v>
      </c>
      <c r="K249" s="44"/>
      <c r="L249" s="44" t="s">
        <v>258</v>
      </c>
      <c r="M249" s="44" t="s">
        <v>1737</v>
      </c>
      <c r="N249" s="44" t="s">
        <v>1738</v>
      </c>
      <c r="O249" s="44"/>
      <c r="P249" s="44" t="s">
        <v>259</v>
      </c>
      <c r="Q249" s="44" t="s">
        <v>1739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1184</v>
      </c>
      <c r="Y249" s="44" t="s">
        <v>180</v>
      </c>
      <c r="Z249" s="44" t="s">
        <v>192</v>
      </c>
      <c r="AA249" s="44" t="s">
        <v>2403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1740</v>
      </c>
      <c r="G250" s="44" t="s">
        <v>309</v>
      </c>
      <c r="H250" s="44" t="s">
        <v>1223</v>
      </c>
      <c r="I250" s="44" t="s">
        <v>1741</v>
      </c>
      <c r="J250" s="44" t="s">
        <v>1742</v>
      </c>
      <c r="K250" s="44" t="s">
        <v>310</v>
      </c>
      <c r="L250" s="44" t="s">
        <v>1223</v>
      </c>
      <c r="M250" s="44" t="s">
        <v>1743</v>
      </c>
      <c r="N250" s="44" t="s">
        <v>1744</v>
      </c>
      <c r="O250" s="44" t="s">
        <v>311</v>
      </c>
      <c r="P250" s="44" t="s">
        <v>1223</v>
      </c>
      <c r="Q250" s="44" t="s">
        <v>1745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1184</v>
      </c>
      <c r="Y250" s="44" t="s">
        <v>180</v>
      </c>
      <c r="Z250" s="44" t="s">
        <v>192</v>
      </c>
      <c r="AA250" s="44" t="s">
        <v>2403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1746</v>
      </c>
      <c r="G251" s="44" t="s">
        <v>309</v>
      </c>
      <c r="H251" s="44" t="s">
        <v>1223</v>
      </c>
      <c r="I251" s="44" t="s">
        <v>1747</v>
      </c>
      <c r="J251" s="44" t="s">
        <v>1748</v>
      </c>
      <c r="K251" s="44" t="s">
        <v>310</v>
      </c>
      <c r="L251" s="44" t="s">
        <v>1223</v>
      </c>
      <c r="M251" s="44" t="s">
        <v>1749</v>
      </c>
      <c r="N251" s="44" t="s">
        <v>1750</v>
      </c>
      <c r="O251" s="44" t="s">
        <v>311</v>
      </c>
      <c r="P251" s="44" t="s">
        <v>1223</v>
      </c>
      <c r="Q251" s="44" t="s">
        <v>1751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1184</v>
      </c>
      <c r="Y251" s="44" t="s">
        <v>180</v>
      </c>
      <c r="Z251" s="44" t="s">
        <v>192</v>
      </c>
      <c r="AA251" s="44" t="s">
        <v>2403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1752</v>
      </c>
      <c r="G252" s="44" t="s">
        <v>1753</v>
      </c>
      <c r="H252" s="44" t="s">
        <v>271</v>
      </c>
      <c r="I252" s="44" t="s">
        <v>1754</v>
      </c>
      <c r="J252" s="44" t="s">
        <v>1755</v>
      </c>
      <c r="K252" s="44" t="s">
        <v>1753</v>
      </c>
      <c r="L252" s="44" t="s">
        <v>271</v>
      </c>
      <c r="M252" s="44" t="s">
        <v>1756</v>
      </c>
      <c r="N252" s="44" t="s">
        <v>1757</v>
      </c>
      <c r="O252" s="44" t="s">
        <v>1753</v>
      </c>
      <c r="P252" s="44" t="s">
        <v>271</v>
      </c>
      <c r="Q252" s="44" t="s">
        <v>1758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1184</v>
      </c>
      <c r="Y252" s="44" t="s">
        <v>180</v>
      </c>
      <c r="Z252" s="44" t="s">
        <v>192</v>
      </c>
      <c r="AA252" s="44" t="s">
        <v>2403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1752</v>
      </c>
      <c r="G253" s="44" t="s">
        <v>1759</v>
      </c>
      <c r="H253" s="44" t="s">
        <v>1637</v>
      </c>
      <c r="I253" s="44" t="s">
        <v>1760</v>
      </c>
      <c r="J253" s="44" t="s">
        <v>1755</v>
      </c>
      <c r="K253" s="44" t="s">
        <v>1761</v>
      </c>
      <c r="L253" s="44" t="s">
        <v>1637</v>
      </c>
      <c r="M253" s="44" t="s">
        <v>1762</v>
      </c>
      <c r="N253" s="44" t="s">
        <v>1757</v>
      </c>
      <c r="O253" s="44" t="s">
        <v>1643</v>
      </c>
      <c r="P253" s="44" t="s">
        <v>1637</v>
      </c>
      <c r="Q253" s="44" t="s">
        <v>1763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1184</v>
      </c>
      <c r="Y253" s="44" t="s">
        <v>180</v>
      </c>
      <c r="Z253" s="44" t="s">
        <v>192</v>
      </c>
      <c r="AA253" s="44" t="s">
        <v>2403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1764</v>
      </c>
      <c r="G254" s="44"/>
      <c r="H254" s="44" t="s">
        <v>271</v>
      </c>
      <c r="I254" s="44" t="s">
        <v>1765</v>
      </c>
      <c r="J254" s="44" t="s">
        <v>1766</v>
      </c>
      <c r="K254" s="44"/>
      <c r="L254" s="44" t="s">
        <v>271</v>
      </c>
      <c r="M254" s="44" t="s">
        <v>1767</v>
      </c>
      <c r="N254" s="44" t="s">
        <v>1768</v>
      </c>
      <c r="O254" s="44"/>
      <c r="P254" s="44" t="s">
        <v>271</v>
      </c>
      <c r="Q254" s="44" t="s">
        <v>1769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1184</v>
      </c>
      <c r="Y254" s="44" t="s">
        <v>180</v>
      </c>
      <c r="Z254" s="44" t="s">
        <v>192</v>
      </c>
      <c r="AA254" s="44" t="s">
        <v>2403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1752</v>
      </c>
      <c r="G255" s="44" t="s">
        <v>1770</v>
      </c>
      <c r="H255" s="44" t="s">
        <v>271</v>
      </c>
      <c r="I255" s="44" t="s">
        <v>1771</v>
      </c>
      <c r="J255" s="44" t="s">
        <v>1755</v>
      </c>
      <c r="K255" s="44" t="s">
        <v>1770</v>
      </c>
      <c r="L255" s="44" t="s">
        <v>271</v>
      </c>
      <c r="M255" s="44" t="s">
        <v>1772</v>
      </c>
      <c r="N255" s="44" t="s">
        <v>1757</v>
      </c>
      <c r="O255" s="44" t="s">
        <v>1770</v>
      </c>
      <c r="P255" s="44" t="s">
        <v>271</v>
      </c>
      <c r="Q255" s="44" t="s">
        <v>1773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1184</v>
      </c>
      <c r="Y255" s="44" t="s">
        <v>180</v>
      </c>
      <c r="Z255" s="44" t="s">
        <v>192</v>
      </c>
      <c r="AA255" s="44" t="s">
        <v>2403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1752</v>
      </c>
      <c r="G256" s="44" t="s">
        <v>1774</v>
      </c>
      <c r="H256" s="44" t="s">
        <v>1775</v>
      </c>
      <c r="I256" s="44" t="s">
        <v>1776</v>
      </c>
      <c r="J256" s="44" t="s">
        <v>1755</v>
      </c>
      <c r="K256" s="44" t="s">
        <v>1774</v>
      </c>
      <c r="L256" s="44" t="s">
        <v>1775</v>
      </c>
      <c r="M256" s="44" t="s">
        <v>1777</v>
      </c>
      <c r="N256" s="44" t="s">
        <v>1757</v>
      </c>
      <c r="O256" s="44" t="s">
        <v>1774</v>
      </c>
      <c r="P256" s="44" t="s">
        <v>1775</v>
      </c>
      <c r="Q256" s="44" t="s">
        <v>1778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1184</v>
      </c>
      <c r="Y256" s="44" t="s">
        <v>180</v>
      </c>
      <c r="Z256" s="44" t="s">
        <v>192</v>
      </c>
      <c r="AA256" s="44" t="s">
        <v>2403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1752</v>
      </c>
      <c r="G257" s="44" t="s">
        <v>1779</v>
      </c>
      <c r="H257" s="44" t="s">
        <v>1775</v>
      </c>
      <c r="I257" s="44" t="s">
        <v>1780</v>
      </c>
      <c r="J257" s="44" t="s">
        <v>1755</v>
      </c>
      <c r="K257" s="44" t="s">
        <v>1779</v>
      </c>
      <c r="L257" s="44" t="s">
        <v>1775</v>
      </c>
      <c r="M257" s="44" t="s">
        <v>1781</v>
      </c>
      <c r="N257" s="44" t="s">
        <v>1757</v>
      </c>
      <c r="O257" s="44" t="s">
        <v>1779</v>
      </c>
      <c r="P257" s="44" t="s">
        <v>1775</v>
      </c>
      <c r="Q257" s="44" t="s">
        <v>1782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1184</v>
      </c>
      <c r="Y257" s="44" t="s">
        <v>180</v>
      </c>
      <c r="Z257" s="44" t="s">
        <v>192</v>
      </c>
      <c r="AA257" s="44" t="s">
        <v>2403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1752</v>
      </c>
      <c r="G258" s="44" t="s">
        <v>1783</v>
      </c>
      <c r="H258" s="44" t="s">
        <v>271</v>
      </c>
      <c r="I258" s="44" t="s">
        <v>1784</v>
      </c>
      <c r="J258" s="44" t="s">
        <v>1755</v>
      </c>
      <c r="K258" s="44" t="s">
        <v>1783</v>
      </c>
      <c r="L258" s="44" t="s">
        <v>271</v>
      </c>
      <c r="M258" s="44" t="s">
        <v>1785</v>
      </c>
      <c r="N258" s="44" t="s">
        <v>1757</v>
      </c>
      <c r="O258" s="44" t="s">
        <v>1783</v>
      </c>
      <c r="P258" s="44" t="s">
        <v>271</v>
      </c>
      <c r="Q258" s="44" t="s">
        <v>1786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1184</v>
      </c>
      <c r="Y258" s="44" t="s">
        <v>180</v>
      </c>
      <c r="Z258" s="44" t="s">
        <v>192</v>
      </c>
      <c r="AA258" s="44" t="s">
        <v>2403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1752</v>
      </c>
      <c r="G259" s="44" t="s">
        <v>1787</v>
      </c>
      <c r="H259" s="44" t="s">
        <v>261</v>
      </c>
      <c r="I259" s="44" t="s">
        <v>1788</v>
      </c>
      <c r="J259" s="44" t="s">
        <v>1755</v>
      </c>
      <c r="K259" s="44" t="s">
        <v>1787</v>
      </c>
      <c r="L259" s="44" t="s">
        <v>261</v>
      </c>
      <c r="M259" s="44" t="s">
        <v>1789</v>
      </c>
      <c r="N259" s="44" t="s">
        <v>1757</v>
      </c>
      <c r="O259" s="44" t="s">
        <v>1790</v>
      </c>
      <c r="P259" s="44" t="s">
        <v>261</v>
      </c>
      <c r="Q259" s="44" t="s">
        <v>1791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1184</v>
      </c>
      <c r="Y259" s="44" t="s">
        <v>180</v>
      </c>
      <c r="Z259" s="44" t="s">
        <v>192</v>
      </c>
      <c r="AA259" s="44" t="s">
        <v>2403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1752</v>
      </c>
      <c r="G260" s="44" t="s">
        <v>1787</v>
      </c>
      <c r="H260" s="44" t="s">
        <v>253</v>
      </c>
      <c r="I260" s="44" t="s">
        <v>1792</v>
      </c>
      <c r="J260" s="44" t="s">
        <v>1755</v>
      </c>
      <c r="K260" s="44" t="s">
        <v>1787</v>
      </c>
      <c r="L260" s="44" t="s">
        <v>253</v>
      </c>
      <c r="M260" s="44" t="s">
        <v>1793</v>
      </c>
      <c r="N260" s="44" t="s">
        <v>1757</v>
      </c>
      <c r="O260" s="44" t="s">
        <v>1790</v>
      </c>
      <c r="P260" s="44" t="s">
        <v>253</v>
      </c>
      <c r="Q260" s="44" t="s">
        <v>1794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1184</v>
      </c>
      <c r="Y260" s="44" t="s">
        <v>180</v>
      </c>
      <c r="Z260" s="44" t="s">
        <v>192</v>
      </c>
      <c r="AA260" s="44" t="s">
        <v>2403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1752</v>
      </c>
      <c r="G261" s="44" t="s">
        <v>1795</v>
      </c>
      <c r="H261" s="44" t="s">
        <v>271</v>
      </c>
      <c r="I261" s="44" t="s">
        <v>1796</v>
      </c>
      <c r="J261" s="44" t="s">
        <v>1755</v>
      </c>
      <c r="K261" s="44" t="s">
        <v>1797</v>
      </c>
      <c r="L261" s="44" t="s">
        <v>271</v>
      </c>
      <c r="M261" s="44" t="s">
        <v>1798</v>
      </c>
      <c r="N261" s="44" t="s">
        <v>1757</v>
      </c>
      <c r="O261" s="44" t="s">
        <v>1799</v>
      </c>
      <c r="P261" s="44" t="s">
        <v>271</v>
      </c>
      <c r="Q261" s="44" t="s">
        <v>1800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1184</v>
      </c>
      <c r="Y261" s="44" t="s">
        <v>180</v>
      </c>
      <c r="Z261" s="44" t="s">
        <v>192</v>
      </c>
      <c r="AA261" s="44" t="s">
        <v>2403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1801</v>
      </c>
      <c r="G262" s="44" t="s">
        <v>762</v>
      </c>
      <c r="H262" s="44" t="s">
        <v>264</v>
      </c>
      <c r="I262" s="44" t="s">
        <v>1802</v>
      </c>
      <c r="J262" s="44" t="s">
        <v>1803</v>
      </c>
      <c r="K262" s="44" t="s">
        <v>150</v>
      </c>
      <c r="L262" s="44" t="s">
        <v>264</v>
      </c>
      <c r="M262" s="44" t="s">
        <v>1804</v>
      </c>
      <c r="N262" s="44" t="s">
        <v>1805</v>
      </c>
      <c r="O262" s="44" t="s">
        <v>767</v>
      </c>
      <c r="P262" s="44" t="s">
        <v>264</v>
      </c>
      <c r="Q262" s="44" t="s">
        <v>1806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1184</v>
      </c>
      <c r="Y262" s="44" t="s">
        <v>180</v>
      </c>
      <c r="Z262" s="44" t="s">
        <v>192</v>
      </c>
      <c r="AA262" s="44" t="s">
        <v>2403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1801</v>
      </c>
      <c r="G263" s="44" t="s">
        <v>1807</v>
      </c>
      <c r="H263" s="44" t="s">
        <v>264</v>
      </c>
      <c r="I263" s="44" t="s">
        <v>1808</v>
      </c>
      <c r="J263" s="44" t="s">
        <v>1803</v>
      </c>
      <c r="K263" s="44" t="s">
        <v>1809</v>
      </c>
      <c r="L263" s="44" t="s">
        <v>264</v>
      </c>
      <c r="M263" s="44" t="s">
        <v>1810</v>
      </c>
      <c r="N263" s="44" t="s">
        <v>1805</v>
      </c>
      <c r="O263" s="44" t="s">
        <v>1811</v>
      </c>
      <c r="P263" s="44" t="s">
        <v>264</v>
      </c>
      <c r="Q263" s="44" t="s">
        <v>1812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1184</v>
      </c>
      <c r="Y263" s="44" t="s">
        <v>180</v>
      </c>
      <c r="Z263" s="44" t="s">
        <v>192</v>
      </c>
      <c r="AA263" s="44" t="s">
        <v>2403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1801</v>
      </c>
      <c r="G264" s="44" t="s">
        <v>309</v>
      </c>
      <c r="H264" s="44"/>
      <c r="I264" s="44" t="s">
        <v>1813</v>
      </c>
      <c r="J264" s="44" t="s">
        <v>1803</v>
      </c>
      <c r="K264" s="44" t="s">
        <v>310</v>
      </c>
      <c r="L264" s="44"/>
      <c r="M264" s="44" t="s">
        <v>1814</v>
      </c>
      <c r="N264" s="44" t="s">
        <v>1805</v>
      </c>
      <c r="O264" s="44" t="s">
        <v>311</v>
      </c>
      <c r="P264" s="44"/>
      <c r="Q264" s="44" t="s">
        <v>1815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1184</v>
      </c>
      <c r="Y264" s="44" t="s">
        <v>180</v>
      </c>
      <c r="Z264" s="44" t="s">
        <v>192</v>
      </c>
      <c r="AA264" s="44" t="s">
        <v>2403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1816</v>
      </c>
      <c r="G265" s="44" t="s">
        <v>309</v>
      </c>
      <c r="H265" s="44" t="s">
        <v>1223</v>
      </c>
      <c r="I265" s="44" t="s">
        <v>1817</v>
      </c>
      <c r="J265" s="44" t="s">
        <v>1818</v>
      </c>
      <c r="K265" s="44" t="s">
        <v>310</v>
      </c>
      <c r="L265" s="44" t="s">
        <v>1223</v>
      </c>
      <c r="M265" s="44" t="s">
        <v>1819</v>
      </c>
      <c r="N265" s="44" t="s">
        <v>1820</v>
      </c>
      <c r="O265" s="44" t="s">
        <v>311</v>
      </c>
      <c r="P265" s="44" t="s">
        <v>1223</v>
      </c>
      <c r="Q265" s="44" t="s">
        <v>1821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1184</v>
      </c>
      <c r="Y265" s="44" t="s">
        <v>180</v>
      </c>
      <c r="Z265" s="44" t="s">
        <v>192</v>
      </c>
      <c r="AA265" s="44" t="s">
        <v>2403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1822</v>
      </c>
      <c r="G266" s="44" t="s">
        <v>1823</v>
      </c>
      <c r="H266" s="44" t="s">
        <v>256</v>
      </c>
      <c r="I266" s="44" t="s">
        <v>1824</v>
      </c>
      <c r="J266" s="44" t="s">
        <v>1825</v>
      </c>
      <c r="K266" s="44" t="s">
        <v>1826</v>
      </c>
      <c r="L266" s="44" t="s">
        <v>256</v>
      </c>
      <c r="M266" s="44" t="s">
        <v>1827</v>
      </c>
      <c r="N266" s="44" t="s">
        <v>1828</v>
      </c>
      <c r="O266" s="44" t="s">
        <v>1829</v>
      </c>
      <c r="P266" s="44" t="s">
        <v>256</v>
      </c>
      <c r="Q266" s="44" t="s">
        <v>1830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1184</v>
      </c>
      <c r="Y266" s="44" t="s">
        <v>180</v>
      </c>
      <c r="Z266" s="44" t="s">
        <v>192</v>
      </c>
      <c r="AA266" s="44" t="s">
        <v>2403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1831</v>
      </c>
      <c r="G267" s="44" t="s">
        <v>1832</v>
      </c>
      <c r="H267" s="44" t="s">
        <v>256</v>
      </c>
      <c r="I267" s="44" t="s">
        <v>1833</v>
      </c>
      <c r="J267" s="44" t="s">
        <v>1834</v>
      </c>
      <c r="K267" s="44" t="s">
        <v>1835</v>
      </c>
      <c r="L267" s="44" t="s">
        <v>256</v>
      </c>
      <c r="M267" s="44" t="s">
        <v>1836</v>
      </c>
      <c r="N267" s="44" t="s">
        <v>1837</v>
      </c>
      <c r="O267" s="44" t="s">
        <v>1838</v>
      </c>
      <c r="P267" s="44" t="s">
        <v>256</v>
      </c>
      <c r="Q267" s="44" t="s">
        <v>1839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1184</v>
      </c>
      <c r="Y267" s="44" t="s">
        <v>180</v>
      </c>
      <c r="Z267" s="44" t="s">
        <v>192</v>
      </c>
      <c r="AA267" s="44" t="s">
        <v>2403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1840</v>
      </c>
      <c r="G268" s="44"/>
      <c r="H268" s="44" t="s">
        <v>264</v>
      </c>
      <c r="I268" s="44" t="s">
        <v>1841</v>
      </c>
      <c r="J268" s="44" t="s">
        <v>1842</v>
      </c>
      <c r="K268" s="44"/>
      <c r="L268" s="44" t="s">
        <v>264</v>
      </c>
      <c r="M268" s="44" t="s">
        <v>1843</v>
      </c>
      <c r="N268" s="44" t="s">
        <v>1844</v>
      </c>
      <c r="O268" s="44"/>
      <c r="P268" s="44" t="s">
        <v>264</v>
      </c>
      <c r="Q268" s="44" t="s">
        <v>1845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1184</v>
      </c>
      <c r="Y268" s="44" t="s">
        <v>180</v>
      </c>
      <c r="Z268" s="44" t="s">
        <v>192</v>
      </c>
      <c r="AA268" s="44" t="s">
        <v>2403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1846</v>
      </c>
      <c r="G269" s="44" t="s">
        <v>319</v>
      </c>
      <c r="H269" s="44"/>
      <c r="I269" s="44" t="s">
        <v>1847</v>
      </c>
      <c r="J269" s="44" t="s">
        <v>1848</v>
      </c>
      <c r="K269" s="44" t="s">
        <v>322</v>
      </c>
      <c r="L269" s="44"/>
      <c r="M269" s="44" t="s">
        <v>1849</v>
      </c>
      <c r="N269" s="44" t="s">
        <v>1850</v>
      </c>
      <c r="O269" s="44" t="s">
        <v>308</v>
      </c>
      <c r="P269" s="44"/>
      <c r="Q269" s="44" t="s">
        <v>1851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1184</v>
      </c>
      <c r="Y269" s="44" t="s">
        <v>180</v>
      </c>
      <c r="Z269" s="44" t="s">
        <v>192</v>
      </c>
      <c r="AA269" s="44" t="s">
        <v>2403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1852</v>
      </c>
      <c r="G270" s="44" t="s">
        <v>1853</v>
      </c>
      <c r="H270" s="44"/>
      <c r="I270" s="44" t="s">
        <v>1854</v>
      </c>
      <c r="J270" s="44" t="s">
        <v>1852</v>
      </c>
      <c r="K270" s="44" t="s">
        <v>1855</v>
      </c>
      <c r="L270" s="44"/>
      <c r="M270" s="44" t="s">
        <v>1856</v>
      </c>
      <c r="N270" s="44" t="s">
        <v>1852</v>
      </c>
      <c r="O270" s="44" t="s">
        <v>1855</v>
      </c>
      <c r="P270" s="44"/>
      <c r="Q270" s="44" t="s">
        <v>1856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1184</v>
      </c>
      <c r="Y270" s="44" t="s">
        <v>180</v>
      </c>
      <c r="Z270" s="44" t="s">
        <v>192</v>
      </c>
      <c r="AA270" s="44" t="s">
        <v>2403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1857</v>
      </c>
      <c r="G271" s="44" t="s">
        <v>1858</v>
      </c>
      <c r="H271" s="44" t="s">
        <v>268</v>
      </c>
      <c r="I271" s="44" t="s">
        <v>1859</v>
      </c>
      <c r="J271" s="44" t="s">
        <v>1860</v>
      </c>
      <c r="K271" s="44" t="s">
        <v>1861</v>
      </c>
      <c r="L271" s="44" t="s">
        <v>269</v>
      </c>
      <c r="M271" s="44" t="s">
        <v>1862</v>
      </c>
      <c r="N271" s="44" t="s">
        <v>1857</v>
      </c>
      <c r="O271" s="44" t="s">
        <v>1863</v>
      </c>
      <c r="P271" s="44" t="s">
        <v>270</v>
      </c>
      <c r="Q271" s="44" t="s">
        <v>1864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1184</v>
      </c>
      <c r="Y271" s="44" t="s">
        <v>180</v>
      </c>
      <c r="Z271" s="44" t="s">
        <v>192</v>
      </c>
      <c r="AA271" s="44" t="s">
        <v>2403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1865</v>
      </c>
      <c r="G272" s="44" t="s">
        <v>319</v>
      </c>
      <c r="H272" s="44"/>
      <c r="I272" s="44" t="s">
        <v>1866</v>
      </c>
      <c r="J272" s="44" t="s">
        <v>1867</v>
      </c>
      <c r="K272" s="44" t="s">
        <v>322</v>
      </c>
      <c r="L272" s="44"/>
      <c r="M272" s="44" t="s">
        <v>1868</v>
      </c>
      <c r="N272" s="44" t="s">
        <v>1869</v>
      </c>
      <c r="O272" s="44" t="s">
        <v>308</v>
      </c>
      <c r="P272" s="44"/>
      <c r="Q272" s="44" t="s">
        <v>1870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1184</v>
      </c>
      <c r="Y272" s="44" t="s">
        <v>180</v>
      </c>
      <c r="Z272" s="44" t="s">
        <v>192</v>
      </c>
      <c r="AA272" s="44" t="s">
        <v>2403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1871</v>
      </c>
      <c r="G273" s="44" t="s">
        <v>319</v>
      </c>
      <c r="H273" s="44"/>
      <c r="I273" s="44" t="s">
        <v>1872</v>
      </c>
      <c r="J273" s="44" t="s">
        <v>1873</v>
      </c>
      <c r="K273" s="44" t="s">
        <v>322</v>
      </c>
      <c r="L273" s="44"/>
      <c r="M273" s="44" t="s">
        <v>1874</v>
      </c>
      <c r="N273" s="44" t="s">
        <v>1875</v>
      </c>
      <c r="O273" s="44" t="s">
        <v>308</v>
      </c>
      <c r="P273" s="44"/>
      <c r="Q273" s="44" t="s">
        <v>1876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1184</v>
      </c>
      <c r="Y273" s="44" t="s">
        <v>180</v>
      </c>
      <c r="Z273" s="44" t="s">
        <v>192</v>
      </c>
      <c r="AA273" s="44" t="s">
        <v>2403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1877</v>
      </c>
      <c r="G274" s="44" t="s">
        <v>319</v>
      </c>
      <c r="H274" s="44"/>
      <c r="I274" s="44" t="s">
        <v>1878</v>
      </c>
      <c r="J274" s="44" t="s">
        <v>1879</v>
      </c>
      <c r="K274" s="44" t="s">
        <v>322</v>
      </c>
      <c r="L274" s="44"/>
      <c r="M274" s="44" t="s">
        <v>1880</v>
      </c>
      <c r="N274" s="44" t="s">
        <v>1881</v>
      </c>
      <c r="O274" s="44" t="s">
        <v>308</v>
      </c>
      <c r="P274" s="44"/>
      <c r="Q274" s="44" t="s">
        <v>1882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1184</v>
      </c>
      <c r="Y274" s="44" t="s">
        <v>180</v>
      </c>
      <c r="Z274" s="44" t="s">
        <v>192</v>
      </c>
      <c r="AA274" s="44" t="s">
        <v>2403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1883</v>
      </c>
      <c r="G275" s="44" t="s">
        <v>319</v>
      </c>
      <c r="H275" s="44"/>
      <c r="I275" s="44" t="s">
        <v>1884</v>
      </c>
      <c r="J275" s="44" t="s">
        <v>1885</v>
      </c>
      <c r="K275" s="44" t="s">
        <v>322</v>
      </c>
      <c r="L275" s="44"/>
      <c r="M275" s="44" t="s">
        <v>1886</v>
      </c>
      <c r="N275" s="44" t="s">
        <v>1887</v>
      </c>
      <c r="O275" s="44" t="s">
        <v>308</v>
      </c>
      <c r="P275" s="44"/>
      <c r="Q275" s="44" t="s">
        <v>1888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1184</v>
      </c>
      <c r="Y275" s="44" t="s">
        <v>180</v>
      </c>
      <c r="Z275" s="44" t="s">
        <v>192</v>
      </c>
      <c r="AA275" s="44" t="s">
        <v>2403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1889</v>
      </c>
      <c r="G276" s="44" t="s">
        <v>762</v>
      </c>
      <c r="H276" s="44" t="s">
        <v>271</v>
      </c>
      <c r="I276" s="44" t="s">
        <v>1890</v>
      </c>
      <c r="J276" s="44" t="s">
        <v>1891</v>
      </c>
      <c r="K276" s="44" t="s">
        <v>150</v>
      </c>
      <c r="L276" s="44" t="s">
        <v>271</v>
      </c>
      <c r="M276" s="44" t="s">
        <v>1892</v>
      </c>
      <c r="N276" s="44" t="s">
        <v>1889</v>
      </c>
      <c r="O276" s="44" t="s">
        <v>767</v>
      </c>
      <c r="P276" s="44" t="s">
        <v>271</v>
      </c>
      <c r="Q276" s="44" t="s">
        <v>1893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1184</v>
      </c>
      <c r="Y276" s="44" t="s">
        <v>180</v>
      </c>
      <c r="Z276" s="44" t="s">
        <v>192</v>
      </c>
      <c r="AA276" s="44" t="s">
        <v>2403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1894</v>
      </c>
      <c r="G277" s="44" t="s">
        <v>762</v>
      </c>
      <c r="H277" s="44" t="s">
        <v>256</v>
      </c>
      <c r="I277" s="44" t="s">
        <v>1895</v>
      </c>
      <c r="J277" s="44" t="s">
        <v>1896</v>
      </c>
      <c r="K277" s="44" t="s">
        <v>150</v>
      </c>
      <c r="L277" s="44" t="s">
        <v>256</v>
      </c>
      <c r="M277" s="44" t="s">
        <v>1897</v>
      </c>
      <c r="N277" s="44" t="s">
        <v>1898</v>
      </c>
      <c r="O277" s="44" t="s">
        <v>767</v>
      </c>
      <c r="P277" s="44" t="s">
        <v>256</v>
      </c>
      <c r="Q277" s="44" t="s">
        <v>1899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1184</v>
      </c>
      <c r="Y277" s="44" t="s">
        <v>180</v>
      </c>
      <c r="Z277" s="44" t="s">
        <v>192</v>
      </c>
      <c r="AA277" s="44" t="s">
        <v>2403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1900</v>
      </c>
      <c r="G278" s="44" t="s">
        <v>319</v>
      </c>
      <c r="H278" s="44"/>
      <c r="I278" s="44" t="s">
        <v>1901</v>
      </c>
      <c r="J278" s="44" t="s">
        <v>1902</v>
      </c>
      <c r="K278" s="44" t="s">
        <v>322</v>
      </c>
      <c r="L278" s="44"/>
      <c r="M278" s="44" t="s">
        <v>1903</v>
      </c>
      <c r="N278" s="44" t="s">
        <v>1904</v>
      </c>
      <c r="O278" s="44" t="s">
        <v>308</v>
      </c>
      <c r="P278" s="44"/>
      <c r="Q278" s="44" t="s">
        <v>1905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1184</v>
      </c>
      <c r="Y278" s="44" t="s">
        <v>180</v>
      </c>
      <c r="Z278" s="44" t="s">
        <v>192</v>
      </c>
      <c r="AA278" s="44" t="s">
        <v>2403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1906</v>
      </c>
      <c r="G279" s="44"/>
      <c r="H279" s="44"/>
      <c r="I279" s="44" t="s">
        <v>1906</v>
      </c>
      <c r="J279" s="44" t="s">
        <v>1907</v>
      </c>
      <c r="K279" s="44"/>
      <c r="L279" s="44"/>
      <c r="M279" s="44" t="s">
        <v>1908</v>
      </c>
      <c r="N279" s="44" t="s">
        <v>1909</v>
      </c>
      <c r="O279" s="44" t="s">
        <v>1207</v>
      </c>
      <c r="P279" s="44"/>
      <c r="Q279" s="44" t="s">
        <v>1910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1184</v>
      </c>
      <c r="Y279" s="44" t="s">
        <v>180</v>
      </c>
      <c r="Z279" s="44" t="s">
        <v>192</v>
      </c>
      <c r="AA279" s="44" t="s">
        <v>2403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1900</v>
      </c>
      <c r="G280" s="44" t="s">
        <v>309</v>
      </c>
      <c r="H280" s="44" t="s">
        <v>1223</v>
      </c>
      <c r="I280" s="44" t="s">
        <v>1911</v>
      </c>
      <c r="J280" s="44" t="s">
        <v>1902</v>
      </c>
      <c r="K280" s="44" t="s">
        <v>310</v>
      </c>
      <c r="L280" s="44" t="s">
        <v>1223</v>
      </c>
      <c r="M280" s="44" t="s">
        <v>1912</v>
      </c>
      <c r="N280" s="44" t="s">
        <v>1904</v>
      </c>
      <c r="O280" s="44" t="s">
        <v>311</v>
      </c>
      <c r="P280" s="44" t="s">
        <v>1223</v>
      </c>
      <c r="Q280" s="44" t="s">
        <v>1913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1184</v>
      </c>
      <c r="Y280" s="44" t="s">
        <v>180</v>
      </c>
      <c r="Z280" s="44" t="s">
        <v>192</v>
      </c>
      <c r="AA280" s="44" t="s">
        <v>2403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1914</v>
      </c>
      <c r="G281" s="44" t="s">
        <v>309</v>
      </c>
      <c r="H281" s="44" t="s">
        <v>1223</v>
      </c>
      <c r="I281" s="44" t="s">
        <v>1915</v>
      </c>
      <c r="J281" s="44" t="s">
        <v>1916</v>
      </c>
      <c r="K281" s="44" t="s">
        <v>310</v>
      </c>
      <c r="L281" s="44" t="s">
        <v>1223</v>
      </c>
      <c r="M281" s="44" t="s">
        <v>1917</v>
      </c>
      <c r="N281" s="44" t="s">
        <v>1918</v>
      </c>
      <c r="O281" s="44" t="s">
        <v>311</v>
      </c>
      <c r="P281" s="44" t="s">
        <v>1223</v>
      </c>
      <c r="Q281" s="44" t="s">
        <v>1919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1184</v>
      </c>
      <c r="Y281" s="44" t="s">
        <v>180</v>
      </c>
      <c r="Z281" s="44" t="s">
        <v>192</v>
      </c>
      <c r="AA281" s="44" t="s">
        <v>2403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1920</v>
      </c>
      <c r="G282" s="44" t="s">
        <v>319</v>
      </c>
      <c r="H282" s="44"/>
      <c r="I282" s="44" t="s">
        <v>1921</v>
      </c>
      <c r="J282" s="44" t="s">
        <v>1922</v>
      </c>
      <c r="K282" s="44" t="s">
        <v>322</v>
      </c>
      <c r="L282" s="44"/>
      <c r="M282" s="44" t="s">
        <v>1923</v>
      </c>
      <c r="N282" s="44" t="s">
        <v>1918</v>
      </c>
      <c r="O282" s="44" t="s">
        <v>308</v>
      </c>
      <c r="P282" s="44"/>
      <c r="Q282" s="44" t="s">
        <v>1924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1184</v>
      </c>
      <c r="Y282" s="44" t="s">
        <v>180</v>
      </c>
      <c r="Z282" s="44" t="s">
        <v>192</v>
      </c>
      <c r="AA282" s="44" t="s">
        <v>2403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1920</v>
      </c>
      <c r="G283" s="44" t="s">
        <v>1203</v>
      </c>
      <c r="H283" s="44"/>
      <c r="I283" s="44" t="s">
        <v>1925</v>
      </c>
      <c r="J283" s="44" t="s">
        <v>1922</v>
      </c>
      <c r="K283" s="44" t="s">
        <v>1205</v>
      </c>
      <c r="L283" s="44"/>
      <c r="M283" s="44" t="s">
        <v>1926</v>
      </c>
      <c r="N283" s="44" t="s">
        <v>1918</v>
      </c>
      <c r="O283" s="44" t="s">
        <v>1207</v>
      </c>
      <c r="P283" s="44"/>
      <c r="Q283" s="44" t="s">
        <v>1918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1184</v>
      </c>
      <c r="Y283" s="44" t="s">
        <v>180</v>
      </c>
      <c r="Z283" s="44" t="s">
        <v>192</v>
      </c>
      <c r="AA283" s="44" t="s">
        <v>2403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1927</v>
      </c>
      <c r="G284" s="44"/>
      <c r="H284" s="44" t="s">
        <v>475</v>
      </c>
      <c r="I284" s="44" t="s">
        <v>1928</v>
      </c>
      <c r="J284" s="44" t="s">
        <v>1929</v>
      </c>
      <c r="K284" s="44"/>
      <c r="L284" s="44" t="s">
        <v>475</v>
      </c>
      <c r="M284" s="44" t="s">
        <v>1930</v>
      </c>
      <c r="N284" s="44" t="s">
        <v>1927</v>
      </c>
      <c r="O284" s="44"/>
      <c r="P284" s="44" t="s">
        <v>475</v>
      </c>
      <c r="Q284" s="44" t="s">
        <v>1928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1184</v>
      </c>
      <c r="Y284" s="44" t="s">
        <v>180</v>
      </c>
      <c r="Z284" s="44" t="s">
        <v>192</v>
      </c>
      <c r="AA284" s="44" t="s">
        <v>2403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1931</v>
      </c>
      <c r="G285" s="44" t="s">
        <v>1932</v>
      </c>
      <c r="H285" s="44"/>
      <c r="I285" s="44" t="s">
        <v>1933</v>
      </c>
      <c r="J285" s="44" t="s">
        <v>1934</v>
      </c>
      <c r="K285" s="44" t="s">
        <v>1935</v>
      </c>
      <c r="L285" s="44"/>
      <c r="M285" s="44" t="s">
        <v>1936</v>
      </c>
      <c r="N285" s="44" t="s">
        <v>1937</v>
      </c>
      <c r="O285" s="44" t="s">
        <v>1938</v>
      </c>
      <c r="P285" s="44"/>
      <c r="Q285" s="44" t="s">
        <v>1939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1184</v>
      </c>
      <c r="Y285" s="44" t="s">
        <v>180</v>
      </c>
      <c r="Z285" s="44" t="s">
        <v>192</v>
      </c>
      <c r="AA285" s="44" t="s">
        <v>2403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1940</v>
      </c>
      <c r="G286" s="44" t="s">
        <v>1203</v>
      </c>
      <c r="H286" s="44"/>
      <c r="I286" s="44" t="s">
        <v>1941</v>
      </c>
      <c r="J286" s="44" t="s">
        <v>1942</v>
      </c>
      <c r="K286" s="44" t="s">
        <v>1943</v>
      </c>
      <c r="L286" s="44"/>
      <c r="M286" s="44" t="s">
        <v>1944</v>
      </c>
      <c r="N286" s="44" t="s">
        <v>1945</v>
      </c>
      <c r="O286" s="44" t="s">
        <v>1207</v>
      </c>
      <c r="P286" s="44"/>
      <c r="Q286" s="44" t="s">
        <v>1946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1184</v>
      </c>
      <c r="Y286" s="44" t="s">
        <v>180</v>
      </c>
      <c r="Z286" s="44" t="s">
        <v>192</v>
      </c>
      <c r="AA286" s="44" t="s">
        <v>2403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1947</v>
      </c>
      <c r="G287" s="44" t="s">
        <v>1948</v>
      </c>
      <c r="H287" s="44" t="s">
        <v>256</v>
      </c>
      <c r="I287" s="44" t="s">
        <v>1949</v>
      </c>
      <c r="J287" s="44" t="s">
        <v>1950</v>
      </c>
      <c r="K287" s="44" t="s">
        <v>1951</v>
      </c>
      <c r="L287" s="44" t="s">
        <v>256</v>
      </c>
      <c r="M287" s="44" t="s">
        <v>1952</v>
      </c>
      <c r="N287" s="44" t="s">
        <v>1953</v>
      </c>
      <c r="O287" s="44" t="s">
        <v>1954</v>
      </c>
      <c r="P287" s="44" t="s">
        <v>256</v>
      </c>
      <c r="Q287" s="44" t="s">
        <v>1955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1184</v>
      </c>
      <c r="Y287" s="44" t="s">
        <v>180</v>
      </c>
      <c r="Z287" s="44" t="s">
        <v>192</v>
      </c>
      <c r="AA287" s="44" t="s">
        <v>2403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1956</v>
      </c>
      <c r="G288" s="44" t="s">
        <v>319</v>
      </c>
      <c r="H288" s="44"/>
      <c r="I288" s="44" t="s">
        <v>1957</v>
      </c>
      <c r="J288" s="44" t="s">
        <v>1958</v>
      </c>
      <c r="K288" s="44" t="s">
        <v>322</v>
      </c>
      <c r="L288" s="44"/>
      <c r="M288" s="44" t="s">
        <v>1959</v>
      </c>
      <c r="N288" s="44" t="s">
        <v>1960</v>
      </c>
      <c r="O288" s="44" t="s">
        <v>308</v>
      </c>
      <c r="P288" s="44"/>
      <c r="Q288" s="44" t="s">
        <v>1961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1184</v>
      </c>
      <c r="Y288" s="44" t="s">
        <v>180</v>
      </c>
      <c r="Z288" s="44" t="s">
        <v>192</v>
      </c>
      <c r="AA288" s="44" t="s">
        <v>2403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1962</v>
      </c>
      <c r="G289" s="44" t="s">
        <v>762</v>
      </c>
      <c r="H289" s="44" t="s">
        <v>265</v>
      </c>
      <c r="I289" s="44" t="s">
        <v>1963</v>
      </c>
      <c r="J289" s="44" t="s">
        <v>1964</v>
      </c>
      <c r="K289" s="44" t="s">
        <v>150</v>
      </c>
      <c r="L289" s="44" t="s">
        <v>265</v>
      </c>
      <c r="M289" s="44" t="s">
        <v>1965</v>
      </c>
      <c r="N289" s="44" t="s">
        <v>1966</v>
      </c>
      <c r="O289" s="44" t="s">
        <v>767</v>
      </c>
      <c r="P289" s="44" t="s">
        <v>265</v>
      </c>
      <c r="Q289" s="44" t="s">
        <v>1967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1184</v>
      </c>
      <c r="Y289" s="44" t="s">
        <v>180</v>
      </c>
      <c r="Z289" s="44" t="s">
        <v>192</v>
      </c>
      <c r="AA289" s="44" t="s">
        <v>2403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1962</v>
      </c>
      <c r="G290" s="44" t="s">
        <v>1968</v>
      </c>
      <c r="H290" s="44" t="s">
        <v>256</v>
      </c>
      <c r="I290" s="44" t="s">
        <v>1969</v>
      </c>
      <c r="J290" s="44" t="s">
        <v>1964</v>
      </c>
      <c r="K290" s="44" t="s">
        <v>1970</v>
      </c>
      <c r="L290" s="44" t="s">
        <v>256</v>
      </c>
      <c r="M290" s="44" t="s">
        <v>1971</v>
      </c>
      <c r="N290" s="44" t="s">
        <v>1966</v>
      </c>
      <c r="O290" s="44" t="s">
        <v>1972</v>
      </c>
      <c r="P290" s="44" t="s">
        <v>256</v>
      </c>
      <c r="Q290" s="44" t="s">
        <v>1973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1184</v>
      </c>
      <c r="Y290" s="44" t="s">
        <v>180</v>
      </c>
      <c r="Z290" s="44" t="s">
        <v>192</v>
      </c>
      <c r="AA290" s="44" t="s">
        <v>2403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1974</v>
      </c>
      <c r="G291" s="44" t="s">
        <v>319</v>
      </c>
      <c r="H291" s="44"/>
      <c r="I291" s="44" t="s">
        <v>1975</v>
      </c>
      <c r="J291" s="44" t="s">
        <v>1976</v>
      </c>
      <c r="K291" s="44" t="s">
        <v>322</v>
      </c>
      <c r="L291" s="44"/>
      <c r="M291" s="44" t="s">
        <v>1977</v>
      </c>
      <c r="N291" s="44" t="s">
        <v>1978</v>
      </c>
      <c r="O291" s="44" t="s">
        <v>308</v>
      </c>
      <c r="P291" s="44"/>
      <c r="Q291" s="44" t="s">
        <v>1979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1184</v>
      </c>
      <c r="Y291" s="44" t="s">
        <v>180</v>
      </c>
      <c r="Z291" s="44" t="s">
        <v>192</v>
      </c>
      <c r="AA291" s="44" t="s">
        <v>2403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1974</v>
      </c>
      <c r="G292" s="44"/>
      <c r="H292" s="44" t="s">
        <v>1430</v>
      </c>
      <c r="I292" s="44" t="s">
        <v>1980</v>
      </c>
      <c r="J292" s="44" t="s">
        <v>1976</v>
      </c>
      <c r="K292" s="44"/>
      <c r="L292" s="44" t="s">
        <v>1431</v>
      </c>
      <c r="M292" s="44" t="s">
        <v>1981</v>
      </c>
      <c r="N292" s="44" t="s">
        <v>1978</v>
      </c>
      <c r="O292" s="44"/>
      <c r="P292" s="44" t="s">
        <v>1430</v>
      </c>
      <c r="Q292" s="44" t="s">
        <v>1982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1184</v>
      </c>
      <c r="Y292" s="44" t="s">
        <v>180</v>
      </c>
      <c r="Z292" s="44" t="s">
        <v>192</v>
      </c>
      <c r="AA292" s="44" t="s">
        <v>2403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1983</v>
      </c>
      <c r="G293" s="44"/>
      <c r="H293" s="44" t="s">
        <v>303</v>
      </c>
      <c r="I293" s="44" t="s">
        <v>1984</v>
      </c>
      <c r="J293" s="44" t="s">
        <v>1985</v>
      </c>
      <c r="K293" s="44"/>
      <c r="L293" s="44" t="s">
        <v>305</v>
      </c>
      <c r="M293" s="44" t="s">
        <v>1985</v>
      </c>
      <c r="N293" s="44" t="s">
        <v>1986</v>
      </c>
      <c r="O293" s="44"/>
      <c r="P293" s="44" t="s">
        <v>303</v>
      </c>
      <c r="Q293" s="44" t="s">
        <v>1987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1184</v>
      </c>
      <c r="Y293" s="44" t="s">
        <v>180</v>
      </c>
      <c r="Z293" s="44" t="s">
        <v>192</v>
      </c>
      <c r="AA293" s="44" t="s">
        <v>2403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1988</v>
      </c>
      <c r="G294" s="44"/>
      <c r="H294" s="44"/>
      <c r="I294" s="44" t="s">
        <v>1988</v>
      </c>
      <c r="J294" s="44" t="s">
        <v>1988</v>
      </c>
      <c r="K294" s="44"/>
      <c r="L294" s="44"/>
      <c r="M294" s="44" t="s">
        <v>1988</v>
      </c>
      <c r="N294" s="44" t="s">
        <v>1988</v>
      </c>
      <c r="O294" s="44"/>
      <c r="P294" s="44"/>
      <c r="Q294" s="44" t="s">
        <v>1988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1184</v>
      </c>
      <c r="Y294" s="44" t="s">
        <v>180</v>
      </c>
      <c r="Z294" s="44" t="s">
        <v>192</v>
      </c>
      <c r="AA294" s="44" t="s">
        <v>2403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1989</v>
      </c>
      <c r="G295" s="44" t="s">
        <v>762</v>
      </c>
      <c r="H295" s="44" t="s">
        <v>256</v>
      </c>
      <c r="I295" s="44" t="s">
        <v>1990</v>
      </c>
      <c r="J295" s="44" t="s">
        <v>1991</v>
      </c>
      <c r="K295" s="44" t="s">
        <v>150</v>
      </c>
      <c r="L295" s="44" t="s">
        <v>256</v>
      </c>
      <c r="M295" s="44" t="s">
        <v>1992</v>
      </c>
      <c r="N295" s="44" t="s">
        <v>1993</v>
      </c>
      <c r="O295" s="44" t="s">
        <v>767</v>
      </c>
      <c r="P295" s="44" t="s">
        <v>256</v>
      </c>
      <c r="Q295" s="44" t="s">
        <v>1994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1184</v>
      </c>
      <c r="Y295" s="44" t="s">
        <v>180</v>
      </c>
      <c r="Z295" s="44" t="s">
        <v>192</v>
      </c>
      <c r="AA295" s="44" t="s">
        <v>2403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1995</v>
      </c>
      <c r="G296" s="44" t="s">
        <v>309</v>
      </c>
      <c r="H296" s="44" t="s">
        <v>1223</v>
      </c>
      <c r="I296" s="44" t="s">
        <v>1996</v>
      </c>
      <c r="J296" s="44" t="s">
        <v>1997</v>
      </c>
      <c r="K296" s="44" t="s">
        <v>310</v>
      </c>
      <c r="L296" s="44" t="s">
        <v>1223</v>
      </c>
      <c r="M296" s="44" t="s">
        <v>1998</v>
      </c>
      <c r="N296" s="44" t="s">
        <v>1999</v>
      </c>
      <c r="O296" s="44" t="s">
        <v>311</v>
      </c>
      <c r="P296" s="44" t="s">
        <v>1223</v>
      </c>
      <c r="Q296" s="44" t="s">
        <v>2000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1184</v>
      </c>
      <c r="Y296" s="44" t="s">
        <v>180</v>
      </c>
      <c r="Z296" s="44" t="s">
        <v>192</v>
      </c>
      <c r="AA296" s="44" t="s">
        <v>2403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2001</v>
      </c>
      <c r="G297" s="44" t="s">
        <v>319</v>
      </c>
      <c r="H297" s="44"/>
      <c r="I297" s="44" t="s">
        <v>2002</v>
      </c>
      <c r="J297" s="44" t="s">
        <v>2003</v>
      </c>
      <c r="K297" s="44" t="s">
        <v>322</v>
      </c>
      <c r="L297" s="44"/>
      <c r="M297" s="44" t="s">
        <v>2004</v>
      </c>
      <c r="N297" s="44" t="s">
        <v>2005</v>
      </c>
      <c r="O297" s="44" t="s">
        <v>308</v>
      </c>
      <c r="P297" s="44"/>
      <c r="Q297" s="44" t="s">
        <v>2006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1184</v>
      </c>
      <c r="Y297" s="44" t="s">
        <v>180</v>
      </c>
      <c r="Z297" s="44" t="s">
        <v>192</v>
      </c>
      <c r="AA297" s="44" t="s">
        <v>2403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2001</v>
      </c>
      <c r="G298" s="44"/>
      <c r="H298" s="44" t="s">
        <v>257</v>
      </c>
      <c r="I298" s="44" t="s">
        <v>2007</v>
      </c>
      <c r="J298" s="44" t="s">
        <v>2003</v>
      </c>
      <c r="K298" s="44"/>
      <c r="L298" s="44" t="s">
        <v>258</v>
      </c>
      <c r="M298" s="44" t="s">
        <v>2008</v>
      </c>
      <c r="N298" s="44" t="s">
        <v>2005</v>
      </c>
      <c r="O298" s="44"/>
      <c r="P298" s="44" t="s">
        <v>259</v>
      </c>
      <c r="Q298" s="44" t="s">
        <v>2009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1184</v>
      </c>
      <c r="Y298" s="44" t="s">
        <v>180</v>
      </c>
      <c r="Z298" s="44" t="s">
        <v>192</v>
      </c>
      <c r="AA298" s="44" t="s">
        <v>2403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2010</v>
      </c>
      <c r="G299" s="44" t="s">
        <v>762</v>
      </c>
      <c r="H299" s="44" t="s">
        <v>264</v>
      </c>
      <c r="I299" s="44" t="s">
        <v>2011</v>
      </c>
      <c r="J299" s="44" t="s">
        <v>2012</v>
      </c>
      <c r="K299" s="44" t="s">
        <v>150</v>
      </c>
      <c r="L299" s="44" t="s">
        <v>264</v>
      </c>
      <c r="M299" s="44" t="s">
        <v>2013</v>
      </c>
      <c r="N299" s="44" t="s">
        <v>2010</v>
      </c>
      <c r="O299" s="44" t="s">
        <v>767</v>
      </c>
      <c r="P299" s="44" t="s">
        <v>264</v>
      </c>
      <c r="Q299" s="44" t="s">
        <v>2014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1184</v>
      </c>
      <c r="Y299" s="44" t="s">
        <v>180</v>
      </c>
      <c r="Z299" s="44" t="s">
        <v>192</v>
      </c>
      <c r="AA299" s="44" t="s">
        <v>2403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2015</v>
      </c>
      <c r="G300" s="44" t="s">
        <v>762</v>
      </c>
      <c r="H300" s="44" t="s">
        <v>262</v>
      </c>
      <c r="I300" s="44" t="s">
        <v>2016</v>
      </c>
      <c r="J300" s="44" t="s">
        <v>2017</v>
      </c>
      <c r="K300" s="44" t="s">
        <v>150</v>
      </c>
      <c r="L300" s="44" t="s">
        <v>262</v>
      </c>
      <c r="M300" s="44" t="s">
        <v>2018</v>
      </c>
      <c r="N300" s="44" t="s">
        <v>2019</v>
      </c>
      <c r="O300" s="44" t="s">
        <v>767</v>
      </c>
      <c r="P300" s="44" t="s">
        <v>262</v>
      </c>
      <c r="Q300" s="44" t="s">
        <v>2020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1184</v>
      </c>
      <c r="Y300" s="44" t="s">
        <v>180</v>
      </c>
      <c r="Z300" s="44" t="s">
        <v>192</v>
      </c>
      <c r="AA300" s="44" t="s">
        <v>2403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2021</v>
      </c>
      <c r="G301" s="44"/>
      <c r="H301" s="44" t="s">
        <v>271</v>
      </c>
      <c r="I301" s="44" t="s">
        <v>2022</v>
      </c>
      <c r="J301" s="44" t="s">
        <v>2023</v>
      </c>
      <c r="K301" s="44"/>
      <c r="L301" s="44" t="s">
        <v>271</v>
      </c>
      <c r="M301" s="44" t="s">
        <v>2024</v>
      </c>
      <c r="N301" s="44" t="s">
        <v>2025</v>
      </c>
      <c r="O301" s="44"/>
      <c r="P301" s="44" t="s">
        <v>271</v>
      </c>
      <c r="Q301" s="44" t="s">
        <v>2026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1184</v>
      </c>
      <c r="Y301" s="44" t="s">
        <v>180</v>
      </c>
      <c r="Z301" s="44" t="s">
        <v>192</v>
      </c>
      <c r="AA301" s="44" t="s">
        <v>2403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2027</v>
      </c>
      <c r="G302" s="44" t="s">
        <v>1807</v>
      </c>
      <c r="H302" s="44" t="s">
        <v>264</v>
      </c>
      <c r="I302" s="44" t="s">
        <v>2028</v>
      </c>
      <c r="J302" s="44" t="s">
        <v>2027</v>
      </c>
      <c r="K302" s="44" t="s">
        <v>2029</v>
      </c>
      <c r="L302" s="44" t="s">
        <v>264</v>
      </c>
      <c r="M302" s="44" t="s">
        <v>2030</v>
      </c>
      <c r="N302" s="44" t="s">
        <v>2027</v>
      </c>
      <c r="O302" s="44" t="s">
        <v>1811</v>
      </c>
      <c r="P302" s="44" t="s">
        <v>264</v>
      </c>
      <c r="Q302" s="44" t="s">
        <v>2031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1184</v>
      </c>
      <c r="Y302" s="44" t="s">
        <v>180</v>
      </c>
      <c r="Z302" s="44" t="s">
        <v>192</v>
      </c>
      <c r="AA302" s="44" t="s">
        <v>2403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2032</v>
      </c>
      <c r="G303" s="44"/>
      <c r="H303" s="44" t="s">
        <v>257</v>
      </c>
      <c r="I303" s="44" t="s">
        <v>2033</v>
      </c>
      <c r="J303" s="44" t="s">
        <v>2034</v>
      </c>
      <c r="K303" s="44"/>
      <c r="L303" s="44" t="s">
        <v>258</v>
      </c>
      <c r="M303" s="44" t="s">
        <v>2035</v>
      </c>
      <c r="N303" s="44" t="s">
        <v>2036</v>
      </c>
      <c r="O303" s="44"/>
      <c r="P303" s="44" t="s">
        <v>259</v>
      </c>
      <c r="Q303" s="44" t="s">
        <v>2037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1184</v>
      </c>
      <c r="Y303" s="44" t="s">
        <v>180</v>
      </c>
      <c r="Z303" s="44" t="s">
        <v>192</v>
      </c>
      <c r="AA303" s="44" t="s">
        <v>2403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2038</v>
      </c>
      <c r="G304" s="44" t="s">
        <v>309</v>
      </c>
      <c r="H304" s="44" t="s">
        <v>1223</v>
      </c>
      <c r="I304" s="44" t="s">
        <v>2039</v>
      </c>
      <c r="J304" s="44" t="s">
        <v>2040</v>
      </c>
      <c r="K304" s="44" t="s">
        <v>310</v>
      </c>
      <c r="L304" s="44" t="s">
        <v>1223</v>
      </c>
      <c r="M304" s="44" t="s">
        <v>2041</v>
      </c>
      <c r="N304" s="44" t="s">
        <v>2042</v>
      </c>
      <c r="O304" s="44" t="s">
        <v>311</v>
      </c>
      <c r="P304" s="44" t="s">
        <v>1223</v>
      </c>
      <c r="Q304" s="44" t="s">
        <v>2043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1184</v>
      </c>
      <c r="Y304" s="44" t="s">
        <v>180</v>
      </c>
      <c r="Z304" s="44" t="s">
        <v>192</v>
      </c>
      <c r="AA304" s="44" t="s">
        <v>2403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2044</v>
      </c>
      <c r="G305" s="44" t="s">
        <v>309</v>
      </c>
      <c r="H305" s="44" t="s">
        <v>1223</v>
      </c>
      <c r="I305" s="44" t="s">
        <v>2045</v>
      </c>
      <c r="J305" s="44" t="s">
        <v>2046</v>
      </c>
      <c r="K305" s="44" t="s">
        <v>310</v>
      </c>
      <c r="L305" s="44" t="s">
        <v>1223</v>
      </c>
      <c r="M305" s="44" t="s">
        <v>2047</v>
      </c>
      <c r="N305" s="44" t="s">
        <v>2048</v>
      </c>
      <c r="O305" s="44" t="s">
        <v>311</v>
      </c>
      <c r="P305" s="44" t="s">
        <v>1223</v>
      </c>
      <c r="Q305" s="44" t="s">
        <v>2049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1184</v>
      </c>
      <c r="Y305" s="44" t="s">
        <v>180</v>
      </c>
      <c r="Z305" s="44" t="s">
        <v>192</v>
      </c>
      <c r="AA305" s="44" t="s">
        <v>2403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2044</v>
      </c>
      <c r="G306" s="44" t="s">
        <v>1636</v>
      </c>
      <c r="H306" s="44" t="s">
        <v>264</v>
      </c>
      <c r="I306" s="44" t="s">
        <v>2409</v>
      </c>
      <c r="J306" s="44" t="s">
        <v>2050</v>
      </c>
      <c r="K306" s="44"/>
      <c r="L306" s="44" t="s">
        <v>264</v>
      </c>
      <c r="M306" s="44" t="s">
        <v>2051</v>
      </c>
      <c r="N306" s="44" t="s">
        <v>2052</v>
      </c>
      <c r="O306" s="44"/>
      <c r="P306" s="44" t="s">
        <v>264</v>
      </c>
      <c r="Q306" s="44" t="s">
        <v>2053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1184</v>
      </c>
      <c r="Y306" s="44" t="s">
        <v>180</v>
      </c>
      <c r="Z306" s="44" t="s">
        <v>192</v>
      </c>
      <c r="AA306" s="44" t="s">
        <v>2403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2044</v>
      </c>
      <c r="G307" s="44" t="s">
        <v>309</v>
      </c>
      <c r="H307" s="44" t="s">
        <v>2054</v>
      </c>
      <c r="I307" s="44" t="s">
        <v>2055</v>
      </c>
      <c r="J307" s="44" t="s">
        <v>2046</v>
      </c>
      <c r="K307" s="44" t="s">
        <v>310</v>
      </c>
      <c r="L307" s="44" t="s">
        <v>2054</v>
      </c>
      <c r="M307" s="44" t="s">
        <v>2056</v>
      </c>
      <c r="N307" s="44" t="s">
        <v>2048</v>
      </c>
      <c r="O307" s="44" t="s">
        <v>311</v>
      </c>
      <c r="P307" s="44" t="s">
        <v>2054</v>
      </c>
      <c r="Q307" s="44" t="s">
        <v>2057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1184</v>
      </c>
      <c r="Y307" s="44" t="s">
        <v>180</v>
      </c>
      <c r="Z307" s="44" t="s">
        <v>192</v>
      </c>
      <c r="AA307" s="44" t="s">
        <v>2403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2058</v>
      </c>
      <c r="G308" s="44"/>
      <c r="H308" s="44" t="s">
        <v>271</v>
      </c>
      <c r="I308" s="44" t="s">
        <v>2059</v>
      </c>
      <c r="J308" s="44" t="s">
        <v>2060</v>
      </c>
      <c r="K308" s="44"/>
      <c r="L308" s="44" t="s">
        <v>271</v>
      </c>
      <c r="M308" s="44" t="s">
        <v>2061</v>
      </c>
      <c r="N308" s="44" t="s">
        <v>2062</v>
      </c>
      <c r="O308" s="44"/>
      <c r="P308" s="44" t="s">
        <v>271</v>
      </c>
      <c r="Q308" s="44" t="s">
        <v>2063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1184</v>
      </c>
      <c r="Y308" s="44" t="s">
        <v>180</v>
      </c>
      <c r="Z308" s="44" t="s">
        <v>192</v>
      </c>
      <c r="AA308" s="44" t="s">
        <v>2403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2064</v>
      </c>
      <c r="G309" s="44" t="s">
        <v>2065</v>
      </c>
      <c r="H309" s="44"/>
      <c r="I309" s="44" t="s">
        <v>2066</v>
      </c>
      <c r="J309" s="44" t="s">
        <v>2067</v>
      </c>
      <c r="K309" s="44" t="s">
        <v>2068</v>
      </c>
      <c r="L309" s="44"/>
      <c r="M309" s="44" t="s">
        <v>2069</v>
      </c>
      <c r="N309" s="44" t="s">
        <v>2070</v>
      </c>
      <c r="O309" s="44" t="s">
        <v>2071</v>
      </c>
      <c r="P309" s="44"/>
      <c r="Q309" s="44" t="s">
        <v>2072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1184</v>
      </c>
      <c r="Y309" s="44" t="s">
        <v>180</v>
      </c>
      <c r="Z309" s="44" t="s">
        <v>192</v>
      </c>
      <c r="AA309" s="44" t="s">
        <v>2403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2073</v>
      </c>
      <c r="G310" s="44"/>
      <c r="H310" s="44"/>
      <c r="I310" s="44" t="s">
        <v>2073</v>
      </c>
      <c r="J310" s="44" t="s">
        <v>2074</v>
      </c>
      <c r="K310" s="44"/>
      <c r="L310" s="44"/>
      <c r="M310" s="44" t="s">
        <v>2075</v>
      </c>
      <c r="N310" s="44" t="s">
        <v>2076</v>
      </c>
      <c r="O310" s="44"/>
      <c r="P310" s="44"/>
      <c r="Q310" s="44" t="s">
        <v>2076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1184</v>
      </c>
      <c r="Y310" s="44" t="s">
        <v>180</v>
      </c>
      <c r="Z310" s="44" t="s">
        <v>192</v>
      </c>
      <c r="AA310" s="44" t="s">
        <v>2403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2077</v>
      </c>
      <c r="G311" s="44"/>
      <c r="H311" s="44"/>
      <c r="I311" s="44" t="s">
        <v>2077</v>
      </c>
      <c r="J311" s="44" t="s">
        <v>2078</v>
      </c>
      <c r="K311" s="44"/>
      <c r="L311" s="44"/>
      <c r="M311" s="44" t="s">
        <v>2078</v>
      </c>
      <c r="N311" s="44" t="s">
        <v>2079</v>
      </c>
      <c r="O311" s="44"/>
      <c r="P311" s="44"/>
      <c r="Q311" s="44" t="s">
        <v>2079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1184</v>
      </c>
      <c r="Y311" s="44" t="s">
        <v>180</v>
      </c>
      <c r="Z311" s="44" t="s">
        <v>192</v>
      </c>
      <c r="AA311" s="44" t="s">
        <v>2403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2080</v>
      </c>
      <c r="G312" s="44" t="s">
        <v>309</v>
      </c>
      <c r="H312" s="44" t="s">
        <v>2081</v>
      </c>
      <c r="I312" s="44" t="s">
        <v>2082</v>
      </c>
      <c r="J312" s="44" t="s">
        <v>2083</v>
      </c>
      <c r="K312" s="44" t="s">
        <v>310</v>
      </c>
      <c r="L312" s="44" t="s">
        <v>2081</v>
      </c>
      <c r="M312" s="44" t="s">
        <v>2084</v>
      </c>
      <c r="N312" s="44" t="s">
        <v>2085</v>
      </c>
      <c r="O312" s="44" t="s">
        <v>311</v>
      </c>
      <c r="P312" s="44" t="s">
        <v>2081</v>
      </c>
      <c r="Q312" s="44" t="s">
        <v>2086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1184</v>
      </c>
      <c r="Y312" s="44" t="s">
        <v>180</v>
      </c>
      <c r="Z312" s="44" t="s">
        <v>192</v>
      </c>
      <c r="AA312" s="44" t="s">
        <v>2403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2087</v>
      </c>
      <c r="G313" s="44"/>
      <c r="H313" s="44" t="s">
        <v>1637</v>
      </c>
      <c r="I313" s="44" t="s">
        <v>2088</v>
      </c>
      <c r="J313" s="44" t="s">
        <v>2089</v>
      </c>
      <c r="K313" s="44"/>
      <c r="L313" s="44" t="s">
        <v>1637</v>
      </c>
      <c r="M313" s="44" t="s">
        <v>2090</v>
      </c>
      <c r="N313" s="44" t="s">
        <v>2091</v>
      </c>
      <c r="O313" s="44"/>
      <c r="P313" s="44" t="s">
        <v>1637</v>
      </c>
      <c r="Q313" s="44" t="s">
        <v>2092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1184</v>
      </c>
      <c r="Y313" s="44" t="s">
        <v>180</v>
      </c>
      <c r="Z313" s="44" t="s">
        <v>192</v>
      </c>
      <c r="AA313" s="44" t="s">
        <v>2403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2093</v>
      </c>
      <c r="G314" s="44" t="s">
        <v>319</v>
      </c>
      <c r="H314" s="44"/>
      <c r="I314" s="44" t="s">
        <v>2094</v>
      </c>
      <c r="J314" s="44" t="s">
        <v>2095</v>
      </c>
      <c r="K314" s="44" t="s">
        <v>322</v>
      </c>
      <c r="L314" s="44"/>
      <c r="M314" s="44" t="s">
        <v>2096</v>
      </c>
      <c r="N314" s="44" t="s">
        <v>2097</v>
      </c>
      <c r="O314" s="44" t="s">
        <v>308</v>
      </c>
      <c r="P314" s="44"/>
      <c r="Q314" s="44" t="s">
        <v>2098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1184</v>
      </c>
      <c r="Y314" s="44" t="s">
        <v>180</v>
      </c>
      <c r="Z314" s="44" t="s">
        <v>192</v>
      </c>
      <c r="AA314" s="44" t="s">
        <v>2403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2099</v>
      </c>
      <c r="G315" s="44"/>
      <c r="H315" s="44" t="s">
        <v>261</v>
      </c>
      <c r="I315" s="44" t="s">
        <v>2100</v>
      </c>
      <c r="J315" s="44" t="s">
        <v>2101</v>
      </c>
      <c r="K315" s="44"/>
      <c r="L315" s="44" t="s">
        <v>261</v>
      </c>
      <c r="M315" s="44" t="s">
        <v>2102</v>
      </c>
      <c r="N315" s="44" t="s">
        <v>2103</v>
      </c>
      <c r="O315" s="44"/>
      <c r="P315" s="44" t="s">
        <v>261</v>
      </c>
      <c r="Q315" s="44" t="s">
        <v>2104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1184</v>
      </c>
      <c r="Y315" s="44" t="s">
        <v>180</v>
      </c>
      <c r="Z315" s="44" t="s">
        <v>192</v>
      </c>
      <c r="AA315" s="44" t="s">
        <v>2403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2105</v>
      </c>
      <c r="G316" s="44"/>
      <c r="H316" s="44" t="s">
        <v>261</v>
      </c>
      <c r="I316" s="44" t="s">
        <v>2106</v>
      </c>
      <c r="J316" s="44" t="s">
        <v>2107</v>
      </c>
      <c r="K316" s="44"/>
      <c r="L316" s="44" t="s">
        <v>261</v>
      </c>
      <c r="M316" s="44" t="s">
        <v>2108</v>
      </c>
      <c r="N316" s="44" t="s">
        <v>2109</v>
      </c>
      <c r="O316" s="44"/>
      <c r="P316" s="44" t="s">
        <v>261</v>
      </c>
      <c r="Q316" s="44" t="s">
        <v>2110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1184</v>
      </c>
      <c r="Y316" s="44" t="s">
        <v>180</v>
      </c>
      <c r="Z316" s="44" t="s">
        <v>192</v>
      </c>
      <c r="AA316" s="44" t="s">
        <v>2403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2111</v>
      </c>
      <c r="G317" s="44"/>
      <c r="H317" s="44" t="s">
        <v>256</v>
      </c>
      <c r="I317" s="44" t="s">
        <v>2112</v>
      </c>
      <c r="J317" s="44" t="s">
        <v>2113</v>
      </c>
      <c r="K317" s="44"/>
      <c r="L317" s="44" t="s">
        <v>256</v>
      </c>
      <c r="M317" s="44" t="s">
        <v>2114</v>
      </c>
      <c r="N317" s="44" t="s">
        <v>2115</v>
      </c>
      <c r="O317" s="44"/>
      <c r="P317" s="44" t="s">
        <v>256</v>
      </c>
      <c r="Q317" s="44" t="s">
        <v>2116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1184</v>
      </c>
      <c r="Y317" s="44" t="s">
        <v>180</v>
      </c>
      <c r="Z317" s="44" t="s">
        <v>192</v>
      </c>
      <c r="AA317" s="44" t="s">
        <v>2403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2117</v>
      </c>
      <c r="G318" s="44"/>
      <c r="H318" s="44" t="s">
        <v>266</v>
      </c>
      <c r="I318" s="44" t="s">
        <v>2118</v>
      </c>
      <c r="J318" s="44" t="s">
        <v>2119</v>
      </c>
      <c r="K318" s="44"/>
      <c r="L318" s="44" t="s">
        <v>266</v>
      </c>
      <c r="M318" s="44" t="s">
        <v>2120</v>
      </c>
      <c r="N318" s="44" t="s">
        <v>2103</v>
      </c>
      <c r="O318" s="44" t="s">
        <v>2121</v>
      </c>
      <c r="P318" s="44" t="s">
        <v>266</v>
      </c>
      <c r="Q318" s="44" t="s">
        <v>2122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1184</v>
      </c>
      <c r="Y318" s="44" t="s">
        <v>180</v>
      </c>
      <c r="Z318" s="44" t="s">
        <v>192</v>
      </c>
      <c r="AA318" s="44" t="s">
        <v>2403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2093</v>
      </c>
      <c r="G319" s="44"/>
      <c r="H319" s="44" t="s">
        <v>260</v>
      </c>
      <c r="I319" s="44" t="s">
        <v>2123</v>
      </c>
      <c r="J319" s="44" t="s">
        <v>2095</v>
      </c>
      <c r="K319" s="44"/>
      <c r="L319" s="44" t="s">
        <v>260</v>
      </c>
      <c r="M319" s="44" t="s">
        <v>2124</v>
      </c>
      <c r="N319" s="44" t="s">
        <v>2097</v>
      </c>
      <c r="O319" s="44"/>
      <c r="P319" s="44" t="s">
        <v>260</v>
      </c>
      <c r="Q319" s="44" t="s">
        <v>2125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1184</v>
      </c>
      <c r="Y319" s="44" t="s">
        <v>180</v>
      </c>
      <c r="Z319" s="44" t="s">
        <v>192</v>
      </c>
      <c r="AA319" s="44" t="s">
        <v>2403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2126</v>
      </c>
      <c r="G320" s="44" t="s">
        <v>762</v>
      </c>
      <c r="H320" s="44" t="s">
        <v>256</v>
      </c>
      <c r="I320" s="44" t="s">
        <v>2127</v>
      </c>
      <c r="J320" s="44" t="s">
        <v>2128</v>
      </c>
      <c r="K320" s="44" t="s">
        <v>150</v>
      </c>
      <c r="L320" s="44" t="s">
        <v>256</v>
      </c>
      <c r="M320" s="44" t="s">
        <v>2129</v>
      </c>
      <c r="N320" s="44" t="s">
        <v>2130</v>
      </c>
      <c r="O320" s="44" t="s">
        <v>767</v>
      </c>
      <c r="P320" s="44" t="s">
        <v>256</v>
      </c>
      <c r="Q320" s="44" t="s">
        <v>2131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1184</v>
      </c>
      <c r="Y320" s="44" t="s">
        <v>180</v>
      </c>
      <c r="Z320" s="44" t="s">
        <v>192</v>
      </c>
      <c r="AA320" s="44" t="s">
        <v>2403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2132</v>
      </c>
      <c r="G321" s="44"/>
      <c r="H321" s="44"/>
      <c r="I321" s="44" t="s">
        <v>2132</v>
      </c>
      <c r="J321" s="44" t="s">
        <v>2133</v>
      </c>
      <c r="K321" s="44" t="s">
        <v>2133</v>
      </c>
      <c r="L321" s="44"/>
      <c r="M321" s="44" t="s">
        <v>2133</v>
      </c>
      <c r="N321" s="44" t="s">
        <v>2134</v>
      </c>
      <c r="O321" s="44"/>
      <c r="P321" s="44"/>
      <c r="Q321" s="44" t="s">
        <v>2134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1184</v>
      </c>
      <c r="Y321" s="44" t="s">
        <v>180</v>
      </c>
      <c r="Z321" s="44" t="s">
        <v>192</v>
      </c>
      <c r="AA321" s="44" t="s">
        <v>2403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2135</v>
      </c>
      <c r="G322" s="44" t="s">
        <v>2136</v>
      </c>
      <c r="H322" s="44"/>
      <c r="I322" s="44" t="s">
        <v>2137</v>
      </c>
      <c r="J322" s="44" t="s">
        <v>2138</v>
      </c>
      <c r="K322" s="44" t="s">
        <v>2139</v>
      </c>
      <c r="L322" s="44"/>
      <c r="M322" s="44" t="s">
        <v>2140</v>
      </c>
      <c r="N322" s="44" t="s">
        <v>2141</v>
      </c>
      <c r="O322" s="44" t="s">
        <v>1291</v>
      </c>
      <c r="P322" s="44"/>
      <c r="Q322" s="44" t="s">
        <v>2141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1184</v>
      </c>
      <c r="Y322" s="44" t="s">
        <v>180</v>
      </c>
      <c r="Z322" s="44" t="s">
        <v>192</v>
      </c>
      <c r="AA322" s="44" t="s">
        <v>2403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2142</v>
      </c>
      <c r="G323" s="44" t="s">
        <v>309</v>
      </c>
      <c r="H323" s="44" t="s">
        <v>1223</v>
      </c>
      <c r="I323" s="44" t="s">
        <v>2143</v>
      </c>
      <c r="J323" s="44" t="s">
        <v>2144</v>
      </c>
      <c r="K323" s="44" t="s">
        <v>310</v>
      </c>
      <c r="L323" s="44" t="s">
        <v>1223</v>
      </c>
      <c r="M323" s="44" t="s">
        <v>2145</v>
      </c>
      <c r="N323" s="44" t="s">
        <v>2146</v>
      </c>
      <c r="O323" s="44" t="s">
        <v>311</v>
      </c>
      <c r="P323" s="44" t="s">
        <v>1223</v>
      </c>
      <c r="Q323" s="44" t="s">
        <v>2147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1184</v>
      </c>
      <c r="Y323" s="44" t="s">
        <v>180</v>
      </c>
      <c r="Z323" s="44" t="s">
        <v>192</v>
      </c>
      <c r="AA323" s="44" t="s">
        <v>2403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2148</v>
      </c>
      <c r="G324" s="44" t="s">
        <v>309</v>
      </c>
      <c r="H324" s="44" t="s">
        <v>256</v>
      </c>
      <c r="I324" s="44" t="s">
        <v>2149</v>
      </c>
      <c r="J324" s="44" t="s">
        <v>2150</v>
      </c>
      <c r="K324" s="44" t="s">
        <v>310</v>
      </c>
      <c r="L324" s="44" t="s">
        <v>256</v>
      </c>
      <c r="M324" s="44" t="s">
        <v>2151</v>
      </c>
      <c r="N324" s="44" t="s">
        <v>2152</v>
      </c>
      <c r="O324" s="44" t="s">
        <v>311</v>
      </c>
      <c r="P324" s="44" t="s">
        <v>256</v>
      </c>
      <c r="Q324" s="44" t="s">
        <v>2153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1184</v>
      </c>
      <c r="Y324" s="44" t="s">
        <v>180</v>
      </c>
      <c r="Z324" s="44" t="s">
        <v>192</v>
      </c>
      <c r="AA324" s="44" t="s">
        <v>2403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2154</v>
      </c>
      <c r="G325" s="44" t="s">
        <v>2155</v>
      </c>
      <c r="H325" s="44" t="s">
        <v>267</v>
      </c>
      <c r="I325" s="44" t="s">
        <v>2156</v>
      </c>
      <c r="J325" s="44" t="s">
        <v>2157</v>
      </c>
      <c r="K325" s="44" t="s">
        <v>310</v>
      </c>
      <c r="L325" s="44" t="s">
        <v>267</v>
      </c>
      <c r="M325" s="44" t="s">
        <v>2158</v>
      </c>
      <c r="N325" s="44" t="s">
        <v>2159</v>
      </c>
      <c r="O325" s="44" t="s">
        <v>311</v>
      </c>
      <c r="P325" s="44" t="s">
        <v>267</v>
      </c>
      <c r="Q325" s="44" t="s">
        <v>2160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1184</v>
      </c>
      <c r="Y325" s="44" t="s">
        <v>180</v>
      </c>
      <c r="Z325" s="44" t="s">
        <v>192</v>
      </c>
      <c r="AA325" s="44" t="s">
        <v>2403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2161</v>
      </c>
      <c r="G326" s="44" t="s">
        <v>319</v>
      </c>
      <c r="H326" s="44"/>
      <c r="I326" s="44" t="s">
        <v>2162</v>
      </c>
      <c r="J326" s="44" t="s">
        <v>2163</v>
      </c>
      <c r="K326" s="44" t="s">
        <v>322</v>
      </c>
      <c r="L326" s="44"/>
      <c r="M326" s="44" t="s">
        <v>2164</v>
      </c>
      <c r="N326" s="44" t="s">
        <v>2165</v>
      </c>
      <c r="O326" s="44" t="s">
        <v>308</v>
      </c>
      <c r="P326" s="44"/>
      <c r="Q326" s="44" t="s">
        <v>2166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1184</v>
      </c>
      <c r="Y326" s="44" t="s">
        <v>180</v>
      </c>
      <c r="Z326" s="44" t="s">
        <v>192</v>
      </c>
      <c r="AA326" s="44" t="s">
        <v>2403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2154</v>
      </c>
      <c r="G327" s="44" t="s">
        <v>309</v>
      </c>
      <c r="H327" s="44"/>
      <c r="I327" s="44" t="s">
        <v>2167</v>
      </c>
      <c r="J327" s="44" t="s">
        <v>2168</v>
      </c>
      <c r="K327" s="44" t="s">
        <v>310</v>
      </c>
      <c r="L327" s="44"/>
      <c r="M327" s="44" t="s">
        <v>2169</v>
      </c>
      <c r="N327" s="44" t="s">
        <v>2170</v>
      </c>
      <c r="O327" s="44" t="s">
        <v>311</v>
      </c>
      <c r="P327" s="44"/>
      <c r="Q327" s="44" t="s">
        <v>2171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1184</v>
      </c>
      <c r="Y327" s="44" t="s">
        <v>180</v>
      </c>
      <c r="Z327" s="44" t="s">
        <v>192</v>
      </c>
      <c r="AA327" s="44" t="s">
        <v>2403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2172</v>
      </c>
      <c r="G328" s="44" t="s">
        <v>309</v>
      </c>
      <c r="H328" s="44" t="s">
        <v>253</v>
      </c>
      <c r="I328" s="44" t="s">
        <v>2173</v>
      </c>
      <c r="J328" s="44" t="s">
        <v>2174</v>
      </c>
      <c r="K328" s="44" t="s">
        <v>310</v>
      </c>
      <c r="L328" s="44" t="s">
        <v>253</v>
      </c>
      <c r="M328" s="44" t="s">
        <v>2175</v>
      </c>
      <c r="N328" s="44" t="s">
        <v>2176</v>
      </c>
      <c r="O328" s="44" t="s">
        <v>311</v>
      </c>
      <c r="P328" s="44" t="s">
        <v>253</v>
      </c>
      <c r="Q328" s="44" t="s">
        <v>2177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1184</v>
      </c>
      <c r="Y328" s="44" t="s">
        <v>180</v>
      </c>
      <c r="Z328" s="44" t="s">
        <v>192</v>
      </c>
      <c r="AA328" s="44" t="s">
        <v>2403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2178</v>
      </c>
      <c r="G329" s="44" t="s">
        <v>309</v>
      </c>
      <c r="H329" s="44" t="s">
        <v>253</v>
      </c>
      <c r="I329" s="44" t="s">
        <v>2179</v>
      </c>
      <c r="J329" s="44" t="s">
        <v>2180</v>
      </c>
      <c r="K329" s="44" t="s">
        <v>310</v>
      </c>
      <c r="L329" s="44" t="s">
        <v>253</v>
      </c>
      <c r="M329" s="44" t="s">
        <v>2181</v>
      </c>
      <c r="N329" s="44" t="s">
        <v>2182</v>
      </c>
      <c r="O329" s="44" t="s">
        <v>311</v>
      </c>
      <c r="P329" s="44" t="s">
        <v>253</v>
      </c>
      <c r="Q329" s="44" t="s">
        <v>2183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1184</v>
      </c>
      <c r="Y329" s="44" t="s">
        <v>180</v>
      </c>
      <c r="Z329" s="44" t="s">
        <v>192</v>
      </c>
      <c r="AA329" s="44" t="s">
        <v>2403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2184</v>
      </c>
      <c r="G330" s="44" t="s">
        <v>309</v>
      </c>
      <c r="H330" s="44" t="s">
        <v>253</v>
      </c>
      <c r="I330" s="44" t="s">
        <v>2185</v>
      </c>
      <c r="J330" s="44" t="s">
        <v>2186</v>
      </c>
      <c r="K330" s="44" t="s">
        <v>310</v>
      </c>
      <c r="L330" s="44" t="s">
        <v>253</v>
      </c>
      <c r="M330" s="44" t="s">
        <v>2187</v>
      </c>
      <c r="N330" s="44" t="s">
        <v>2188</v>
      </c>
      <c r="O330" s="44" t="s">
        <v>311</v>
      </c>
      <c r="P330" s="44" t="s">
        <v>253</v>
      </c>
      <c r="Q330" s="44" t="s">
        <v>2189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1184</v>
      </c>
      <c r="Y330" s="44" t="s">
        <v>180</v>
      </c>
      <c r="Z330" s="44" t="s">
        <v>192</v>
      </c>
      <c r="AA330" s="44" t="s">
        <v>2403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2184</v>
      </c>
      <c r="G331" s="44" t="s">
        <v>309</v>
      </c>
      <c r="H331" s="44" t="s">
        <v>265</v>
      </c>
      <c r="I331" s="44" t="s">
        <v>2190</v>
      </c>
      <c r="J331" s="44" t="s">
        <v>2186</v>
      </c>
      <c r="K331" s="44" t="s">
        <v>310</v>
      </c>
      <c r="L331" s="44" t="s">
        <v>265</v>
      </c>
      <c r="M331" s="44" t="s">
        <v>2191</v>
      </c>
      <c r="N331" s="44" t="s">
        <v>2188</v>
      </c>
      <c r="O331" s="44" t="s">
        <v>311</v>
      </c>
      <c r="P331" s="44" t="s">
        <v>265</v>
      </c>
      <c r="Q331" s="44" t="s">
        <v>2192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1184</v>
      </c>
      <c r="Y331" s="44" t="s">
        <v>180</v>
      </c>
      <c r="Z331" s="44" t="s">
        <v>192</v>
      </c>
      <c r="AA331" s="44" t="s">
        <v>2403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2148</v>
      </c>
      <c r="G332" s="44" t="s">
        <v>319</v>
      </c>
      <c r="H332" s="44"/>
      <c r="I332" s="44" t="s">
        <v>2193</v>
      </c>
      <c r="J332" s="44" t="s">
        <v>2150</v>
      </c>
      <c r="K332" s="44" t="s">
        <v>322</v>
      </c>
      <c r="L332" s="44"/>
      <c r="M332" s="44" t="s">
        <v>2194</v>
      </c>
      <c r="N332" s="44" t="s">
        <v>2195</v>
      </c>
      <c r="O332" s="44" t="s">
        <v>308</v>
      </c>
      <c r="P332" s="44"/>
      <c r="Q332" s="44" t="s">
        <v>2196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1184</v>
      </c>
      <c r="Y332" s="44" t="s">
        <v>180</v>
      </c>
      <c r="Z332" s="44" t="s">
        <v>192</v>
      </c>
      <c r="AA332" s="44" t="s">
        <v>2403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2197</v>
      </c>
      <c r="G333" s="44" t="s">
        <v>309</v>
      </c>
      <c r="H333" s="44" t="s">
        <v>253</v>
      </c>
      <c r="I333" s="44" t="s">
        <v>2198</v>
      </c>
      <c r="J333" s="44" t="s">
        <v>2199</v>
      </c>
      <c r="K333" s="44" t="s">
        <v>310</v>
      </c>
      <c r="L333" s="44" t="s">
        <v>253</v>
      </c>
      <c r="M333" s="44" t="s">
        <v>2200</v>
      </c>
      <c r="N333" s="44" t="s">
        <v>2201</v>
      </c>
      <c r="O333" s="44" t="s">
        <v>311</v>
      </c>
      <c r="P333" s="44" t="s">
        <v>253</v>
      </c>
      <c r="Q333" s="44" t="s">
        <v>2202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1184</v>
      </c>
      <c r="Y333" s="44" t="s">
        <v>180</v>
      </c>
      <c r="Z333" s="44" t="s">
        <v>192</v>
      </c>
      <c r="AA333" s="44" t="s">
        <v>2403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2203</v>
      </c>
      <c r="G334" s="44" t="s">
        <v>319</v>
      </c>
      <c r="H334" s="44"/>
      <c r="I334" s="44" t="s">
        <v>2204</v>
      </c>
      <c r="J334" s="44" t="s">
        <v>2205</v>
      </c>
      <c r="K334" s="44" t="s">
        <v>322</v>
      </c>
      <c r="L334" s="44"/>
      <c r="M334" s="44" t="s">
        <v>2206</v>
      </c>
      <c r="N334" s="44" t="s">
        <v>2207</v>
      </c>
      <c r="O334" s="44" t="s">
        <v>308</v>
      </c>
      <c r="P334" s="44"/>
      <c r="Q334" s="44" t="s">
        <v>2208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1184</v>
      </c>
      <c r="Y334" s="44" t="s">
        <v>180</v>
      </c>
      <c r="Z334" s="44" t="s">
        <v>192</v>
      </c>
      <c r="AA334" s="44" t="s">
        <v>2403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2203</v>
      </c>
      <c r="G335" s="44" t="s">
        <v>309</v>
      </c>
      <c r="H335" s="44"/>
      <c r="I335" s="44" t="s">
        <v>2209</v>
      </c>
      <c r="J335" s="44" t="s">
        <v>2205</v>
      </c>
      <c r="K335" s="44" t="s">
        <v>310</v>
      </c>
      <c r="L335" s="44"/>
      <c r="M335" s="44" t="s">
        <v>2206</v>
      </c>
      <c r="N335" s="44" t="s">
        <v>2207</v>
      </c>
      <c r="O335" s="44" t="s">
        <v>311</v>
      </c>
      <c r="P335" s="44"/>
      <c r="Q335" s="44" t="s">
        <v>2210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1184</v>
      </c>
      <c r="Y335" s="44" t="s">
        <v>180</v>
      </c>
      <c r="Z335" s="44" t="s">
        <v>192</v>
      </c>
      <c r="AA335" s="44" t="s">
        <v>2403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2211</v>
      </c>
      <c r="G336" s="44" t="s">
        <v>309</v>
      </c>
      <c r="H336" s="44" t="s">
        <v>253</v>
      </c>
      <c r="I336" s="44" t="s">
        <v>2212</v>
      </c>
      <c r="J336" s="44" t="s">
        <v>2213</v>
      </c>
      <c r="K336" s="44" t="s">
        <v>310</v>
      </c>
      <c r="L336" s="44" t="s">
        <v>253</v>
      </c>
      <c r="M336" s="44" t="s">
        <v>2214</v>
      </c>
      <c r="N336" s="44" t="s">
        <v>2215</v>
      </c>
      <c r="O336" s="44" t="s">
        <v>311</v>
      </c>
      <c r="P336" s="44" t="s">
        <v>253</v>
      </c>
      <c r="Q336" s="44" t="s">
        <v>2216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1184</v>
      </c>
      <c r="Y336" s="44" t="s">
        <v>180</v>
      </c>
      <c r="Z336" s="44" t="s">
        <v>192</v>
      </c>
      <c r="AA336" s="44" t="s">
        <v>2403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2211</v>
      </c>
      <c r="G337" s="44" t="s">
        <v>2217</v>
      </c>
      <c r="H337" s="44"/>
      <c r="I337" s="44" t="s">
        <v>2218</v>
      </c>
      <c r="J337" s="44" t="s">
        <v>2213</v>
      </c>
      <c r="K337" s="44" t="s">
        <v>2219</v>
      </c>
      <c r="L337" s="44"/>
      <c r="M337" s="44" t="s">
        <v>2220</v>
      </c>
      <c r="N337" s="44" t="s">
        <v>2215</v>
      </c>
      <c r="O337" s="44" t="s">
        <v>2221</v>
      </c>
      <c r="P337" s="44"/>
      <c r="Q337" s="44" t="s">
        <v>2222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1184</v>
      </c>
      <c r="Y337" s="44" t="s">
        <v>180</v>
      </c>
      <c r="Z337" s="44" t="s">
        <v>192</v>
      </c>
      <c r="AA337" s="44" t="s">
        <v>2403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2223</v>
      </c>
      <c r="G338" s="44" t="s">
        <v>319</v>
      </c>
      <c r="H338" s="44"/>
      <c r="I338" s="44" t="s">
        <v>2224</v>
      </c>
      <c r="J338" s="44" t="s">
        <v>2225</v>
      </c>
      <c r="K338" s="44" t="s">
        <v>322</v>
      </c>
      <c r="L338" s="44"/>
      <c r="M338" s="44" t="s">
        <v>2226</v>
      </c>
      <c r="N338" s="44" t="s">
        <v>2227</v>
      </c>
      <c r="O338" s="44" t="s">
        <v>308</v>
      </c>
      <c r="P338" s="44"/>
      <c r="Q338" s="44" t="s">
        <v>2228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1184</v>
      </c>
      <c r="Y338" s="44" t="s">
        <v>180</v>
      </c>
      <c r="Z338" s="44" t="s">
        <v>192</v>
      </c>
      <c r="AA338" s="44" t="s">
        <v>2403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2223</v>
      </c>
      <c r="G339" s="44" t="s">
        <v>293</v>
      </c>
      <c r="H339" s="44" t="s">
        <v>268</v>
      </c>
      <c r="I339" s="44" t="s">
        <v>2229</v>
      </c>
      <c r="J339" s="44" t="s">
        <v>2225</v>
      </c>
      <c r="K339" s="44" t="s">
        <v>294</v>
      </c>
      <c r="L339" s="44" t="s">
        <v>269</v>
      </c>
      <c r="M339" s="44" t="s">
        <v>2230</v>
      </c>
      <c r="N339" s="44" t="s">
        <v>2227</v>
      </c>
      <c r="O339" s="44" t="s">
        <v>295</v>
      </c>
      <c r="P339" s="44" t="s">
        <v>270</v>
      </c>
      <c r="Q339" s="44" t="s">
        <v>2231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1184</v>
      </c>
      <c r="Y339" s="44" t="s">
        <v>180</v>
      </c>
      <c r="Z339" s="44" t="s">
        <v>192</v>
      </c>
      <c r="AA339" s="44" t="s">
        <v>2403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2232</v>
      </c>
      <c r="G340" s="44" t="s">
        <v>319</v>
      </c>
      <c r="H340" s="44"/>
      <c r="I340" s="44" t="s">
        <v>2233</v>
      </c>
      <c r="J340" s="44" t="s">
        <v>2180</v>
      </c>
      <c r="K340" s="44" t="s">
        <v>322</v>
      </c>
      <c r="L340" s="44"/>
      <c r="M340" s="44" t="s">
        <v>2234</v>
      </c>
      <c r="N340" s="44" t="s">
        <v>2235</v>
      </c>
      <c r="O340" s="44" t="s">
        <v>308</v>
      </c>
      <c r="P340" s="44"/>
      <c r="Q340" s="44" t="s">
        <v>2236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1184</v>
      </c>
      <c r="Y340" s="44" t="s">
        <v>180</v>
      </c>
      <c r="Z340" s="44" t="s">
        <v>192</v>
      </c>
      <c r="AA340" s="44" t="s">
        <v>2403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2237</v>
      </c>
      <c r="G341" s="44" t="s">
        <v>319</v>
      </c>
      <c r="H341" s="44"/>
      <c r="I341" s="44" t="s">
        <v>2238</v>
      </c>
      <c r="J341" s="44" t="s">
        <v>2239</v>
      </c>
      <c r="K341" s="44" t="s">
        <v>322</v>
      </c>
      <c r="L341" s="44"/>
      <c r="M341" s="44" t="s">
        <v>2240</v>
      </c>
      <c r="N341" s="44" t="s">
        <v>2241</v>
      </c>
      <c r="O341" s="44" t="s">
        <v>308</v>
      </c>
      <c r="P341" s="44"/>
      <c r="Q341" s="44" t="s">
        <v>2242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1184</v>
      </c>
      <c r="Y341" s="44" t="s">
        <v>180</v>
      </c>
      <c r="Z341" s="44" t="s">
        <v>192</v>
      </c>
      <c r="AA341" s="44" t="s">
        <v>2403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2243</v>
      </c>
      <c r="G342" s="44" t="s">
        <v>309</v>
      </c>
      <c r="H342" s="44"/>
      <c r="I342" s="44" t="s">
        <v>2244</v>
      </c>
      <c r="J342" s="44" t="s">
        <v>2245</v>
      </c>
      <c r="K342" s="44" t="s">
        <v>310</v>
      </c>
      <c r="L342" s="44"/>
      <c r="M342" s="44" t="s">
        <v>2246</v>
      </c>
      <c r="N342" s="44" t="s">
        <v>2247</v>
      </c>
      <c r="O342" s="44" t="s">
        <v>311</v>
      </c>
      <c r="P342" s="44"/>
      <c r="Q342" s="44" t="s">
        <v>2428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1184</v>
      </c>
      <c r="Y342" s="44" t="s">
        <v>180</v>
      </c>
      <c r="Z342" s="44" t="s">
        <v>192</v>
      </c>
      <c r="AA342" s="44" t="s">
        <v>2403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2243</v>
      </c>
      <c r="G343" s="44" t="s">
        <v>2248</v>
      </c>
      <c r="H343" s="44"/>
      <c r="I343" s="44" t="s">
        <v>2249</v>
      </c>
      <c r="J343" s="44" t="s">
        <v>2250</v>
      </c>
      <c r="K343" s="44" t="s">
        <v>322</v>
      </c>
      <c r="L343" s="44"/>
      <c r="M343" s="44" t="s">
        <v>2251</v>
      </c>
      <c r="N343" s="44" t="s">
        <v>2252</v>
      </c>
      <c r="O343" s="44" t="s">
        <v>308</v>
      </c>
      <c r="P343" s="44"/>
      <c r="Q343" s="44" t="s">
        <v>2253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1184</v>
      </c>
      <c r="Y343" s="44" t="s">
        <v>180</v>
      </c>
      <c r="Z343" s="44" t="s">
        <v>192</v>
      </c>
      <c r="AA343" s="44" t="s">
        <v>2403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2254</v>
      </c>
      <c r="G344" s="44" t="s">
        <v>319</v>
      </c>
      <c r="H344" s="44"/>
      <c r="I344" s="44" t="s">
        <v>2255</v>
      </c>
      <c r="J344" s="44" t="s">
        <v>2256</v>
      </c>
      <c r="K344" s="44" t="s">
        <v>322</v>
      </c>
      <c r="L344" s="44"/>
      <c r="M344" s="44" t="s">
        <v>2257</v>
      </c>
      <c r="N344" s="44" t="s">
        <v>2258</v>
      </c>
      <c r="O344" s="44" t="s">
        <v>308</v>
      </c>
      <c r="P344" s="44"/>
      <c r="Q344" s="44" t="s">
        <v>2259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1184</v>
      </c>
      <c r="Y344" s="44" t="s">
        <v>180</v>
      </c>
      <c r="Z344" s="44" t="s">
        <v>192</v>
      </c>
      <c r="AA344" s="44" t="s">
        <v>2403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2260</v>
      </c>
      <c r="G345" s="44" t="s">
        <v>309</v>
      </c>
      <c r="H345" s="44"/>
      <c r="I345" s="44" t="s">
        <v>2261</v>
      </c>
      <c r="J345" s="44" t="s">
        <v>2262</v>
      </c>
      <c r="K345" s="44" t="s">
        <v>310</v>
      </c>
      <c r="L345" s="44"/>
      <c r="M345" s="44" t="s">
        <v>2263</v>
      </c>
      <c r="N345" s="44" t="s">
        <v>2264</v>
      </c>
      <c r="O345" s="44" t="s">
        <v>311</v>
      </c>
      <c r="P345" s="44"/>
      <c r="Q345" s="44" t="s">
        <v>2265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1184</v>
      </c>
      <c r="Y345" s="44" t="s">
        <v>180</v>
      </c>
      <c r="Z345" s="44" t="s">
        <v>192</v>
      </c>
      <c r="AA345" s="44" t="s">
        <v>2403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2266</v>
      </c>
      <c r="G346" s="44" t="s">
        <v>319</v>
      </c>
      <c r="H346" s="44"/>
      <c r="I346" s="44" t="s">
        <v>2267</v>
      </c>
      <c r="J346" s="44" t="s">
        <v>2268</v>
      </c>
      <c r="K346" s="44" t="s">
        <v>322</v>
      </c>
      <c r="L346" s="44"/>
      <c r="M346" s="44" t="s">
        <v>2269</v>
      </c>
      <c r="N346" s="44" t="s">
        <v>2270</v>
      </c>
      <c r="O346" s="44" t="s">
        <v>308</v>
      </c>
      <c r="P346" s="44"/>
      <c r="Q346" s="44" t="s">
        <v>2271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1184</v>
      </c>
      <c r="Y346" s="44" t="s">
        <v>180</v>
      </c>
      <c r="Z346" s="44" t="s">
        <v>192</v>
      </c>
      <c r="AA346" s="44" t="s">
        <v>2403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2266</v>
      </c>
      <c r="G347" s="44"/>
      <c r="H347" s="44"/>
      <c r="I347" s="44" t="s">
        <v>2266</v>
      </c>
      <c r="J347" s="44" t="s">
        <v>2268</v>
      </c>
      <c r="K347" s="44"/>
      <c r="L347" s="44"/>
      <c r="M347" s="44" t="s">
        <v>2269</v>
      </c>
      <c r="N347" s="44" t="s">
        <v>2270</v>
      </c>
      <c r="O347" s="44"/>
      <c r="P347" s="44"/>
      <c r="Q347" s="44" t="s">
        <v>2270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1184</v>
      </c>
      <c r="Y347" s="44" t="s">
        <v>180</v>
      </c>
      <c r="Z347" s="44" t="s">
        <v>192</v>
      </c>
      <c r="AA347" s="44" t="s">
        <v>2403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2272</v>
      </c>
      <c r="G348" s="44" t="s">
        <v>309</v>
      </c>
      <c r="H348" s="44" t="s">
        <v>998</v>
      </c>
      <c r="I348" s="44" t="s">
        <v>2273</v>
      </c>
      <c r="J348" s="44" t="s">
        <v>2274</v>
      </c>
      <c r="K348" s="44" t="s">
        <v>310</v>
      </c>
      <c r="L348" s="44" t="s">
        <v>1001</v>
      </c>
      <c r="M348" s="44" t="s">
        <v>2275</v>
      </c>
      <c r="N348" s="44" t="s">
        <v>2276</v>
      </c>
      <c r="O348" s="44" t="s">
        <v>311</v>
      </c>
      <c r="P348" s="44" t="s">
        <v>998</v>
      </c>
      <c r="Q348" s="44" t="s">
        <v>2277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1184</v>
      </c>
      <c r="Y348" s="44" t="s">
        <v>180</v>
      </c>
      <c r="Z348" s="44" t="s">
        <v>192</v>
      </c>
      <c r="AA348" s="44" t="s">
        <v>2403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2278</v>
      </c>
      <c r="G349" s="44" t="s">
        <v>309</v>
      </c>
      <c r="H349" s="44"/>
      <c r="I349" s="44" t="s">
        <v>2279</v>
      </c>
      <c r="J349" s="44" t="s">
        <v>2280</v>
      </c>
      <c r="K349" s="44" t="s">
        <v>310</v>
      </c>
      <c r="L349" s="44"/>
      <c r="M349" s="44" t="s">
        <v>2281</v>
      </c>
      <c r="N349" s="44" t="s">
        <v>2282</v>
      </c>
      <c r="O349" s="44" t="s">
        <v>311</v>
      </c>
      <c r="P349" s="44"/>
      <c r="Q349" s="44" t="s">
        <v>2283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1184</v>
      </c>
      <c r="Y349" s="44" t="s">
        <v>180</v>
      </c>
      <c r="Z349" s="44" t="s">
        <v>192</v>
      </c>
      <c r="AA349" s="44" t="s">
        <v>2403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2284</v>
      </c>
      <c r="G350" s="44" t="s">
        <v>309</v>
      </c>
      <c r="H350" s="44"/>
      <c r="I350" s="44" t="s">
        <v>2285</v>
      </c>
      <c r="J350" s="44" t="s">
        <v>2286</v>
      </c>
      <c r="K350" s="44" t="s">
        <v>310</v>
      </c>
      <c r="L350" s="44"/>
      <c r="M350" s="44" t="s">
        <v>2287</v>
      </c>
      <c r="N350" s="44" t="s">
        <v>2288</v>
      </c>
      <c r="O350" s="44" t="s">
        <v>311</v>
      </c>
      <c r="P350" s="44"/>
      <c r="Q350" s="44" t="s">
        <v>2289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1184</v>
      </c>
      <c r="Y350" s="44" t="s">
        <v>180</v>
      </c>
      <c r="Z350" s="44" t="s">
        <v>192</v>
      </c>
      <c r="AA350" s="44" t="s">
        <v>2403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2290</v>
      </c>
      <c r="G351" s="44"/>
      <c r="H351" s="44" t="s">
        <v>271</v>
      </c>
      <c r="I351" s="44" t="s">
        <v>2291</v>
      </c>
      <c r="J351" s="44" t="s">
        <v>2292</v>
      </c>
      <c r="K351" s="44"/>
      <c r="L351" s="44" t="s">
        <v>271</v>
      </c>
      <c r="M351" s="44" t="s">
        <v>2293</v>
      </c>
      <c r="N351" s="44" t="s">
        <v>2294</v>
      </c>
      <c r="O351" s="44"/>
      <c r="P351" s="44" t="s">
        <v>271</v>
      </c>
      <c r="Q351" s="44" t="s">
        <v>2295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1184</v>
      </c>
      <c r="Y351" s="44" t="s">
        <v>180</v>
      </c>
      <c r="Z351" s="44" t="s">
        <v>192</v>
      </c>
      <c r="AA351" s="44" t="s">
        <v>2403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2296</v>
      </c>
      <c r="G352" s="44"/>
      <c r="H352" s="44"/>
      <c r="I352" s="44" t="s">
        <v>2296</v>
      </c>
      <c r="J352" s="44" t="s">
        <v>2297</v>
      </c>
      <c r="K352" s="44"/>
      <c r="L352" s="44"/>
      <c r="M352" s="44" t="s">
        <v>2297</v>
      </c>
      <c r="N352" s="44" t="s">
        <v>2298</v>
      </c>
      <c r="O352" s="44"/>
      <c r="P352" s="44"/>
      <c r="Q352" s="44" t="s">
        <v>2298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1184</v>
      </c>
      <c r="Y352" s="44" t="s">
        <v>180</v>
      </c>
      <c r="Z352" s="44" t="s">
        <v>192</v>
      </c>
      <c r="AA352" s="44" t="s">
        <v>2403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2299</v>
      </c>
      <c r="G353" s="44" t="s">
        <v>319</v>
      </c>
      <c r="H353" s="44"/>
      <c r="I353" s="44" t="s">
        <v>2300</v>
      </c>
      <c r="J353" s="44" t="s">
        <v>2301</v>
      </c>
      <c r="K353" s="44" t="s">
        <v>322</v>
      </c>
      <c r="L353" s="44"/>
      <c r="M353" s="44" t="s">
        <v>2302</v>
      </c>
      <c r="N353" s="44" t="s">
        <v>2303</v>
      </c>
      <c r="O353" s="44" t="s">
        <v>308</v>
      </c>
      <c r="P353" s="44"/>
      <c r="Q353" s="44" t="s">
        <v>2304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1184</v>
      </c>
      <c r="Y353" s="44" t="s">
        <v>180</v>
      </c>
      <c r="Z353" s="44" t="s">
        <v>192</v>
      </c>
      <c r="AA353" s="44" t="s">
        <v>2403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2305</v>
      </c>
      <c r="G354" s="44" t="s">
        <v>309</v>
      </c>
      <c r="H354" s="44" t="s">
        <v>1223</v>
      </c>
      <c r="I354" s="44" t="s">
        <v>2306</v>
      </c>
      <c r="J354" s="44" t="s">
        <v>2307</v>
      </c>
      <c r="K354" s="44" t="s">
        <v>310</v>
      </c>
      <c r="L354" s="44" t="s">
        <v>1223</v>
      </c>
      <c r="M354" s="44" t="s">
        <v>2308</v>
      </c>
      <c r="N354" s="44" t="s">
        <v>2309</v>
      </c>
      <c r="O354" s="44" t="s">
        <v>311</v>
      </c>
      <c r="P354" s="44" t="s">
        <v>1223</v>
      </c>
      <c r="Q354" s="44" t="s">
        <v>2310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1184</v>
      </c>
      <c r="Y354" s="44" t="s">
        <v>180</v>
      </c>
      <c r="Z354" s="44" t="s">
        <v>192</v>
      </c>
      <c r="AA354" s="44" t="s">
        <v>2403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2311</v>
      </c>
      <c r="G355" s="44" t="s">
        <v>309</v>
      </c>
      <c r="H355" s="44" t="s">
        <v>1223</v>
      </c>
      <c r="I355" s="44" t="s">
        <v>2312</v>
      </c>
      <c r="J355" s="44" t="s">
        <v>2313</v>
      </c>
      <c r="K355" s="44" t="s">
        <v>310</v>
      </c>
      <c r="L355" s="44" t="s">
        <v>1223</v>
      </c>
      <c r="M355" s="44" t="s">
        <v>2314</v>
      </c>
      <c r="N355" s="44" t="s">
        <v>2315</v>
      </c>
      <c r="O355" s="44" t="s">
        <v>311</v>
      </c>
      <c r="P355" s="44" t="s">
        <v>1223</v>
      </c>
      <c r="Q355" s="44" t="s">
        <v>2316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1184</v>
      </c>
      <c r="Y355" s="44" t="s">
        <v>180</v>
      </c>
      <c r="Z355" s="44" t="s">
        <v>192</v>
      </c>
      <c r="AA355" s="44" t="s">
        <v>2403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2317</v>
      </c>
      <c r="G356" s="44" t="s">
        <v>826</v>
      </c>
      <c r="H356" s="44" t="s">
        <v>261</v>
      </c>
      <c r="I356" s="44" t="s">
        <v>2318</v>
      </c>
      <c r="J356" s="44" t="s">
        <v>2319</v>
      </c>
      <c r="K356" s="44" t="s">
        <v>829</v>
      </c>
      <c r="L356" s="44" t="s">
        <v>261</v>
      </c>
      <c r="M356" s="44" t="s">
        <v>2320</v>
      </c>
      <c r="N356" s="44" t="s">
        <v>2321</v>
      </c>
      <c r="O356" s="44" t="s">
        <v>832</v>
      </c>
      <c r="P356" s="44" t="s">
        <v>261</v>
      </c>
      <c r="Q356" s="44" t="s">
        <v>2322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1184</v>
      </c>
      <c r="Y356" s="44" t="s">
        <v>180</v>
      </c>
      <c r="Z356" s="44" t="s">
        <v>192</v>
      </c>
      <c r="AA356" s="44" t="s">
        <v>2403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2323</v>
      </c>
      <c r="G357" s="44"/>
      <c r="H357" s="44" t="s">
        <v>998</v>
      </c>
      <c r="I357" s="44" t="s">
        <v>2324</v>
      </c>
      <c r="J357" s="44" t="s">
        <v>2325</v>
      </c>
      <c r="K357" s="44"/>
      <c r="L357" s="44" t="s">
        <v>1001</v>
      </c>
      <c r="M357" s="44" t="s">
        <v>2326</v>
      </c>
      <c r="N357" s="44" t="s">
        <v>2327</v>
      </c>
      <c r="O357" s="44"/>
      <c r="P357" s="44" t="s">
        <v>998</v>
      </c>
      <c r="Q357" s="44" t="s">
        <v>2328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1184</v>
      </c>
      <c r="Y357" s="44" t="s">
        <v>180</v>
      </c>
      <c r="Z357" s="44" t="s">
        <v>192</v>
      </c>
      <c r="AA357" s="44" t="s">
        <v>2403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2317</v>
      </c>
      <c r="G358" s="44"/>
      <c r="H358" s="44" t="s">
        <v>303</v>
      </c>
      <c r="I358" s="44" t="s">
        <v>2329</v>
      </c>
      <c r="J358" s="44" t="s">
        <v>2319</v>
      </c>
      <c r="K358" s="44"/>
      <c r="L358" s="44" t="s">
        <v>305</v>
      </c>
      <c r="M358" s="44" t="s">
        <v>2330</v>
      </c>
      <c r="N358" s="44" t="s">
        <v>2327</v>
      </c>
      <c r="O358" s="44"/>
      <c r="P358" s="44" t="s">
        <v>303</v>
      </c>
      <c r="Q358" s="44" t="s">
        <v>2331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1184</v>
      </c>
      <c r="Y358" s="44" t="s">
        <v>180</v>
      </c>
      <c r="Z358" s="44" t="s">
        <v>192</v>
      </c>
      <c r="AA358" s="44" t="s">
        <v>2403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2332</v>
      </c>
      <c r="G359" s="44" t="s">
        <v>319</v>
      </c>
      <c r="H359" s="44"/>
      <c r="I359" s="44" t="s">
        <v>2333</v>
      </c>
      <c r="J359" s="44" t="s">
        <v>2334</v>
      </c>
      <c r="K359" s="44" t="s">
        <v>322</v>
      </c>
      <c r="L359" s="44"/>
      <c r="M359" s="44" t="s">
        <v>2335</v>
      </c>
      <c r="N359" s="44" t="s">
        <v>2336</v>
      </c>
      <c r="O359" s="44" t="s">
        <v>308</v>
      </c>
      <c r="P359" s="44"/>
      <c r="Q359" s="44" t="s">
        <v>2337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1184</v>
      </c>
      <c r="Y359" s="44" t="s">
        <v>180</v>
      </c>
      <c r="Z359" s="44" t="s">
        <v>192</v>
      </c>
      <c r="AA359" s="44" t="s">
        <v>2403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2332</v>
      </c>
      <c r="G360" s="44"/>
      <c r="H360" s="44" t="s">
        <v>998</v>
      </c>
      <c r="I360" s="44" t="s">
        <v>2338</v>
      </c>
      <c r="J360" s="44" t="s">
        <v>2334</v>
      </c>
      <c r="K360" s="44"/>
      <c r="L360" s="44" t="s">
        <v>1001</v>
      </c>
      <c r="M360" s="44" t="s">
        <v>2339</v>
      </c>
      <c r="N360" s="44" t="s">
        <v>2336</v>
      </c>
      <c r="O360" s="44"/>
      <c r="P360" s="44" t="s">
        <v>998</v>
      </c>
      <c r="Q360" s="44" t="s">
        <v>2340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1184</v>
      </c>
      <c r="Y360" s="44" t="s">
        <v>180</v>
      </c>
      <c r="Z360" s="44" t="s">
        <v>192</v>
      </c>
      <c r="AA360" s="44" t="s">
        <v>2403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2341</v>
      </c>
      <c r="G361" s="44"/>
      <c r="H361" s="44"/>
      <c r="I361" s="44" t="s">
        <v>2341</v>
      </c>
      <c r="J361" s="44" t="s">
        <v>2342</v>
      </c>
      <c r="K361" s="44"/>
      <c r="L361" s="44"/>
      <c r="M361" s="44" t="s">
        <v>2342</v>
      </c>
      <c r="N361" s="44" t="s">
        <v>2343</v>
      </c>
      <c r="O361" s="44"/>
      <c r="P361" s="44"/>
      <c r="Q361" s="44" t="s">
        <v>2343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1184</v>
      </c>
      <c r="Y361" s="44" t="s">
        <v>180</v>
      </c>
      <c r="Z361" s="44" t="s">
        <v>192</v>
      </c>
      <c r="AA361" s="44" t="s">
        <v>2403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1795</v>
      </c>
      <c r="G362" s="44" t="s">
        <v>319</v>
      </c>
      <c r="H362" s="44"/>
      <c r="I362" s="44" t="s">
        <v>2344</v>
      </c>
      <c r="J362" s="44" t="s">
        <v>1797</v>
      </c>
      <c r="K362" s="44" t="s">
        <v>322</v>
      </c>
      <c r="L362" s="44"/>
      <c r="M362" s="44" t="s">
        <v>2345</v>
      </c>
      <c r="N362" s="44" t="s">
        <v>1799</v>
      </c>
      <c r="O362" s="44" t="s">
        <v>308</v>
      </c>
      <c r="P362" s="44"/>
      <c r="Q362" s="44" t="s">
        <v>2346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1184</v>
      </c>
      <c r="Y362" s="44" t="s">
        <v>180</v>
      </c>
      <c r="Z362" s="44" t="s">
        <v>192</v>
      </c>
      <c r="AA362" s="44" t="s">
        <v>2403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2347</v>
      </c>
      <c r="G363" s="44"/>
      <c r="H363" s="44"/>
      <c r="I363" s="44" t="s">
        <v>2348</v>
      </c>
      <c r="J363" s="44" t="s">
        <v>2349</v>
      </c>
      <c r="K363" s="44"/>
      <c r="L363" s="44"/>
      <c r="M363" s="44" t="s">
        <v>2349</v>
      </c>
      <c r="N363" s="44" t="s">
        <v>2350</v>
      </c>
      <c r="O363" s="44"/>
      <c r="P363" s="44"/>
      <c r="Q363" s="44" t="s">
        <v>2351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1184</v>
      </c>
      <c r="Y363" s="44" t="s">
        <v>180</v>
      </c>
      <c r="Z363" s="44" t="s">
        <v>192</v>
      </c>
      <c r="AA363" s="44" t="s">
        <v>2403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1795</v>
      </c>
      <c r="G364" s="44"/>
      <c r="H364" s="44"/>
      <c r="I364" s="44" t="s">
        <v>2352</v>
      </c>
      <c r="J364" s="44" t="s">
        <v>1797</v>
      </c>
      <c r="K364" s="44"/>
      <c r="L364" s="44"/>
      <c r="M364" s="44" t="s">
        <v>2345</v>
      </c>
      <c r="N364" s="44" t="s">
        <v>1799</v>
      </c>
      <c r="O364" s="44"/>
      <c r="P364" s="44"/>
      <c r="Q364" s="44" t="s">
        <v>1799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1184</v>
      </c>
      <c r="Y364" s="44" t="s">
        <v>180</v>
      </c>
      <c r="Z364" s="44" t="s">
        <v>192</v>
      </c>
      <c r="AA364" s="44" t="s">
        <v>2403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2353</v>
      </c>
      <c r="G365" s="44" t="s">
        <v>293</v>
      </c>
      <c r="H365" s="44" t="s">
        <v>268</v>
      </c>
      <c r="I365" s="44" t="s">
        <v>2354</v>
      </c>
      <c r="J365" s="44" t="s">
        <v>2355</v>
      </c>
      <c r="K365" s="44" t="s">
        <v>294</v>
      </c>
      <c r="L365" s="44" t="s">
        <v>269</v>
      </c>
      <c r="M365" s="44" t="s">
        <v>2356</v>
      </c>
      <c r="N365" s="44" t="s">
        <v>2357</v>
      </c>
      <c r="O365" s="44" t="s">
        <v>295</v>
      </c>
      <c r="P365" s="44" t="s">
        <v>270</v>
      </c>
      <c r="Q365" s="44" t="s">
        <v>2358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1184</v>
      </c>
      <c r="Y365" s="44" t="s">
        <v>180</v>
      </c>
      <c r="Z365" s="44" t="s">
        <v>192</v>
      </c>
      <c r="AA365" s="44" t="s">
        <v>2403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2359</v>
      </c>
      <c r="G366" s="44" t="s">
        <v>826</v>
      </c>
      <c r="H366" s="44" t="s">
        <v>261</v>
      </c>
      <c r="I366" s="44" t="s">
        <v>2360</v>
      </c>
      <c r="J366" s="44" t="s">
        <v>2361</v>
      </c>
      <c r="K366" s="44" t="s">
        <v>829</v>
      </c>
      <c r="L366" s="44" t="s">
        <v>261</v>
      </c>
      <c r="M366" s="44" t="s">
        <v>2362</v>
      </c>
      <c r="N366" s="44" t="s">
        <v>2363</v>
      </c>
      <c r="O366" s="44" t="s">
        <v>832</v>
      </c>
      <c r="P366" s="44" t="s">
        <v>261</v>
      </c>
      <c r="Q366" s="44" t="s">
        <v>2364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1184</v>
      </c>
      <c r="Y366" s="44" t="s">
        <v>180</v>
      </c>
      <c r="Z366" s="44" t="s">
        <v>192</v>
      </c>
      <c r="AA366" s="44" t="s">
        <v>2403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2365</v>
      </c>
      <c r="G367" s="44" t="s">
        <v>309</v>
      </c>
      <c r="H367" s="44" t="s">
        <v>256</v>
      </c>
      <c r="I367" s="44" t="s">
        <v>2366</v>
      </c>
      <c r="J367" s="44" t="s">
        <v>2367</v>
      </c>
      <c r="K367" s="44" t="s">
        <v>310</v>
      </c>
      <c r="L367" s="44" t="s">
        <v>256</v>
      </c>
      <c r="M367" s="44" t="s">
        <v>2368</v>
      </c>
      <c r="N367" s="44" t="s">
        <v>2369</v>
      </c>
      <c r="O367" s="44" t="s">
        <v>311</v>
      </c>
      <c r="P367" s="44" t="s">
        <v>256</v>
      </c>
      <c r="Q367" s="44" t="s">
        <v>2370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1184</v>
      </c>
      <c r="Y367" s="44" t="s">
        <v>180</v>
      </c>
      <c r="Z367" s="44" t="s">
        <v>192</v>
      </c>
      <c r="AA367" s="44" t="s">
        <v>2403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2371</v>
      </c>
      <c r="G368" s="44" t="s">
        <v>826</v>
      </c>
      <c r="H368" s="44" t="s">
        <v>256</v>
      </c>
      <c r="I368" s="44" t="s">
        <v>2372</v>
      </c>
      <c r="J368" s="44" t="s">
        <v>2373</v>
      </c>
      <c r="K368" s="44" t="s">
        <v>829</v>
      </c>
      <c r="L368" s="44" t="s">
        <v>256</v>
      </c>
      <c r="M368" s="44" t="s">
        <v>2374</v>
      </c>
      <c r="N368" s="44" t="s">
        <v>2375</v>
      </c>
      <c r="O368" s="44" t="s">
        <v>832</v>
      </c>
      <c r="P368" s="44" t="s">
        <v>256</v>
      </c>
      <c r="Q368" s="44" t="s">
        <v>2376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1184</v>
      </c>
      <c r="Y368" s="44" t="s">
        <v>180</v>
      </c>
      <c r="Z368" s="44" t="s">
        <v>192</v>
      </c>
      <c r="AA368" s="44" t="s">
        <v>2403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2377</v>
      </c>
      <c r="G369" s="44"/>
      <c r="H369" s="44"/>
      <c r="I369" s="44" t="s">
        <v>2377</v>
      </c>
      <c r="J369" s="44" t="s">
        <v>2378</v>
      </c>
      <c r="K369" s="44"/>
      <c r="L369" s="44"/>
      <c r="M369" s="44" t="s">
        <v>2429</v>
      </c>
      <c r="N369" s="44" t="s">
        <v>2379</v>
      </c>
      <c r="O369" s="44"/>
      <c r="P369" s="44"/>
      <c r="Q369" s="44" t="s">
        <v>2379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1184</v>
      </c>
      <c r="Y369" s="44" t="s">
        <v>180</v>
      </c>
      <c r="Z369" s="44" t="s">
        <v>192</v>
      </c>
      <c r="AA369" s="44" t="s">
        <v>2403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2380</v>
      </c>
      <c r="G370" s="44" t="s">
        <v>826</v>
      </c>
      <c r="H370" s="44" t="s">
        <v>256</v>
      </c>
      <c r="I370" s="44" t="s">
        <v>2381</v>
      </c>
      <c r="J370" s="44" t="s">
        <v>2382</v>
      </c>
      <c r="K370" s="44" t="s">
        <v>829</v>
      </c>
      <c r="L370" s="44" t="s">
        <v>256</v>
      </c>
      <c r="M370" s="44" t="s">
        <v>2383</v>
      </c>
      <c r="N370" s="44" t="s">
        <v>2384</v>
      </c>
      <c r="O370" s="44" t="s">
        <v>832</v>
      </c>
      <c r="P370" s="44" t="s">
        <v>256</v>
      </c>
      <c r="Q370" s="44" t="s">
        <v>2385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1184</v>
      </c>
      <c r="Y370" s="44" t="s">
        <v>180</v>
      </c>
      <c r="Z370" s="44" t="s">
        <v>192</v>
      </c>
      <c r="AA370" s="44" t="s">
        <v>2403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2380</v>
      </c>
      <c r="G371" s="44" t="s">
        <v>826</v>
      </c>
      <c r="H371" s="44" t="s">
        <v>261</v>
      </c>
      <c r="I371" s="44" t="s">
        <v>2386</v>
      </c>
      <c r="J371" s="44" t="s">
        <v>2382</v>
      </c>
      <c r="K371" s="44" t="s">
        <v>829</v>
      </c>
      <c r="L371" s="44" t="s">
        <v>261</v>
      </c>
      <c r="M371" s="44" t="s">
        <v>2387</v>
      </c>
      <c r="N371" s="44" t="s">
        <v>2384</v>
      </c>
      <c r="O371" s="44" t="s">
        <v>832</v>
      </c>
      <c r="P371" s="44" t="s">
        <v>261</v>
      </c>
      <c r="Q371" s="44" t="s">
        <v>2388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1184</v>
      </c>
      <c r="Y371" s="44" t="s">
        <v>180</v>
      </c>
      <c r="Z371" s="44" t="s">
        <v>192</v>
      </c>
      <c r="AA371" s="44" t="s">
        <v>2403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2380</v>
      </c>
      <c r="G372" s="44" t="s">
        <v>319</v>
      </c>
      <c r="H372" s="44"/>
      <c r="I372" s="44" t="s">
        <v>2389</v>
      </c>
      <c r="J372" s="44" t="s">
        <v>2382</v>
      </c>
      <c r="K372" s="44" t="s">
        <v>322</v>
      </c>
      <c r="L372" s="44"/>
      <c r="M372" s="44" t="s">
        <v>2390</v>
      </c>
      <c r="N372" s="44" t="s">
        <v>2384</v>
      </c>
      <c r="O372" s="44" t="s">
        <v>308</v>
      </c>
      <c r="P372" s="44"/>
      <c r="Q372" s="44" t="s">
        <v>2391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1184</v>
      </c>
      <c r="Y372" s="44" t="s">
        <v>180</v>
      </c>
      <c r="Z372" s="44" t="s">
        <v>192</v>
      </c>
      <c r="AA372" s="44" t="s">
        <v>2403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2392</v>
      </c>
      <c r="G373" s="44"/>
      <c r="H373" s="44" t="s">
        <v>1637</v>
      </c>
      <c r="I373" s="44" t="s">
        <v>2392</v>
      </c>
      <c r="J373" s="44" t="s">
        <v>2393</v>
      </c>
      <c r="K373" s="44"/>
      <c r="L373" s="44" t="s">
        <v>1637</v>
      </c>
      <c r="M373" s="44" t="s">
        <v>2394</v>
      </c>
      <c r="N373" s="44" t="s">
        <v>2395</v>
      </c>
      <c r="O373" s="44"/>
      <c r="P373" s="44" t="s">
        <v>1637</v>
      </c>
      <c r="Q373" s="44" t="s">
        <v>2396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2404</v>
      </c>
      <c r="W373" s="44" t="s">
        <v>2405</v>
      </c>
      <c r="X373" s="44" t="s">
        <v>2405</v>
      </c>
      <c r="Y373" s="44" t="s">
        <v>180</v>
      </c>
      <c r="Z373" s="44" t="s">
        <v>192</v>
      </c>
      <c r="AA373" s="44" t="s">
        <v>2403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2397</v>
      </c>
      <c r="G374" s="44"/>
      <c r="H374" s="44" t="s">
        <v>263</v>
      </c>
      <c r="I374" s="44" t="s">
        <v>2397</v>
      </c>
      <c r="J374" s="44" t="s">
        <v>2398</v>
      </c>
      <c r="K374" s="44"/>
      <c r="L374" s="44" t="s">
        <v>263</v>
      </c>
      <c r="M374" s="44" t="s">
        <v>2399</v>
      </c>
      <c r="N374" s="44" t="s">
        <v>2400</v>
      </c>
      <c r="O374" s="44" t="s">
        <v>2401</v>
      </c>
      <c r="P374" s="44" t="s">
        <v>263</v>
      </c>
      <c r="Q374" s="44" t="s">
        <v>2402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2404</v>
      </c>
      <c r="W374" s="44" t="s">
        <v>2405</v>
      </c>
      <c r="X374" s="44" t="s">
        <v>2405</v>
      </c>
      <c r="Y374" s="44" t="s">
        <v>180</v>
      </c>
      <c r="Z374" s="44" t="s">
        <v>192</v>
      </c>
      <c r="AA374" s="44" t="s">
        <v>2403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1" t="s">
        <v>29</v>
      </c>
      <c r="B1" s="92"/>
      <c r="C1" s="92"/>
      <c r="D1" s="92"/>
      <c r="E1" s="65" t="s">
        <v>34</v>
      </c>
      <c r="F1" s="91" t="s">
        <v>541</v>
      </c>
      <c r="G1" s="93"/>
      <c r="H1" s="93"/>
      <c r="I1" s="94"/>
      <c r="J1" s="93"/>
    </row>
    <row r="2" spans="1:12" ht="14.25" x14ac:dyDescent="0.45">
      <c r="A2" s="66" t="s">
        <v>26</v>
      </c>
      <c r="B2" s="67" t="s">
        <v>15</v>
      </c>
      <c r="C2" s="66" t="s">
        <v>27</v>
      </c>
      <c r="D2" s="66" t="s">
        <v>28</v>
      </c>
      <c r="E2" s="68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9" customFormat="1" ht="14.25" x14ac:dyDescent="0.45">
      <c r="B3" s="69" t="s">
        <v>544</v>
      </c>
      <c r="C3" s="69" t="s">
        <v>554</v>
      </c>
      <c r="D3" s="69" t="s">
        <v>555</v>
      </c>
      <c r="E3" s="70">
        <v>1031091</v>
      </c>
      <c r="F3" s="70" t="s">
        <v>555</v>
      </c>
      <c r="G3" s="70" t="s">
        <v>556</v>
      </c>
      <c r="H3" s="70" t="s">
        <v>557</v>
      </c>
      <c r="I3" s="71">
        <v>0.3</v>
      </c>
      <c r="J3" s="70" t="s">
        <v>558</v>
      </c>
      <c r="L3" s="69" t="s">
        <v>548</v>
      </c>
    </row>
    <row r="4" spans="1:12" s="69" customFormat="1" ht="14.25" x14ac:dyDescent="0.45">
      <c r="A4" s="72"/>
      <c r="B4" s="72" t="s">
        <v>544</v>
      </c>
      <c r="C4" s="72" t="s">
        <v>641</v>
      </c>
      <c r="D4" s="72" t="s">
        <v>555</v>
      </c>
      <c r="E4" s="73">
        <v>1031091</v>
      </c>
      <c r="F4" s="73" t="s">
        <v>555</v>
      </c>
      <c r="G4" s="73" t="s">
        <v>642</v>
      </c>
      <c r="H4" s="73" t="s">
        <v>643</v>
      </c>
      <c r="I4" s="74">
        <v>0.3</v>
      </c>
      <c r="J4" s="73" t="s">
        <v>558</v>
      </c>
      <c r="K4" s="72"/>
      <c r="L4" s="72" t="s">
        <v>615</v>
      </c>
    </row>
    <row r="5" spans="1:12" s="69" customFormat="1" ht="14.25" x14ac:dyDescent="0.45">
      <c r="B5" s="69" t="s">
        <v>544</v>
      </c>
      <c r="C5" s="69" t="s">
        <v>549</v>
      </c>
      <c r="D5" s="69" t="s">
        <v>550</v>
      </c>
      <c r="E5" s="70">
        <v>1031092</v>
      </c>
      <c r="F5" s="70" t="s">
        <v>550</v>
      </c>
      <c r="G5" s="70" t="s">
        <v>551</v>
      </c>
      <c r="H5" s="70" t="s">
        <v>552</v>
      </c>
      <c r="I5" s="71">
        <v>10</v>
      </c>
      <c r="J5" s="70" t="s">
        <v>553</v>
      </c>
      <c r="L5" s="69" t="s">
        <v>548</v>
      </c>
    </row>
    <row r="6" spans="1:12" s="69" customFormat="1" ht="14.25" x14ac:dyDescent="0.45">
      <c r="A6" s="72"/>
      <c r="B6" s="72" t="s">
        <v>544</v>
      </c>
      <c r="C6" s="72" t="s">
        <v>616</v>
      </c>
      <c r="D6" s="72" t="s">
        <v>617</v>
      </c>
      <c r="E6" s="73">
        <v>1031092</v>
      </c>
      <c r="F6" s="73" t="s">
        <v>617</v>
      </c>
      <c r="G6" s="73" t="s">
        <v>618</v>
      </c>
      <c r="H6" s="73" t="s">
        <v>619</v>
      </c>
      <c r="I6" s="74">
        <v>10</v>
      </c>
      <c r="J6" s="73" t="s">
        <v>553</v>
      </c>
      <c r="K6" s="72"/>
      <c r="L6" s="72" t="s">
        <v>615</v>
      </c>
    </row>
    <row r="7" spans="1:12" s="69" customFormat="1" ht="14.25" x14ac:dyDescent="0.45">
      <c r="B7" s="69" t="s">
        <v>544</v>
      </c>
      <c r="C7" s="69" t="s">
        <v>580</v>
      </c>
      <c r="D7" s="69" t="s">
        <v>581</v>
      </c>
      <c r="E7" s="70">
        <v>1031093</v>
      </c>
      <c r="F7" s="70" t="s">
        <v>581</v>
      </c>
      <c r="G7" s="70" t="s">
        <v>582</v>
      </c>
      <c r="H7" s="70" t="s">
        <v>583</v>
      </c>
      <c r="I7" s="71">
        <v>0.01</v>
      </c>
      <c r="J7" s="70" t="s">
        <v>584</v>
      </c>
      <c r="L7" s="69" t="s">
        <v>548</v>
      </c>
    </row>
    <row r="8" spans="1:12" s="69" customFormat="1" ht="14.25" x14ac:dyDescent="0.45">
      <c r="B8" s="69" t="s">
        <v>544</v>
      </c>
      <c r="C8" s="69" t="s">
        <v>585</v>
      </c>
      <c r="D8" s="69" t="s">
        <v>586</v>
      </c>
      <c r="E8" s="70">
        <v>1031095</v>
      </c>
      <c r="F8" s="70" t="s">
        <v>586</v>
      </c>
      <c r="G8" s="70" t="s">
        <v>587</v>
      </c>
      <c r="H8" s="70" t="s">
        <v>588</v>
      </c>
      <c r="I8" s="71">
        <v>5</v>
      </c>
      <c r="J8" s="70" t="s">
        <v>589</v>
      </c>
      <c r="L8" s="69" t="s">
        <v>548</v>
      </c>
    </row>
    <row r="9" spans="1:12" s="69" customFormat="1" ht="14.25" x14ac:dyDescent="0.45">
      <c r="A9" s="72"/>
      <c r="B9" s="72" t="s">
        <v>544</v>
      </c>
      <c r="C9" s="72" t="s">
        <v>626</v>
      </c>
      <c r="D9" s="72" t="s">
        <v>586</v>
      </c>
      <c r="E9" s="73">
        <v>1031095</v>
      </c>
      <c r="F9" s="73" t="s">
        <v>586</v>
      </c>
      <c r="G9" s="73" t="s">
        <v>627</v>
      </c>
      <c r="H9" s="73" t="s">
        <v>628</v>
      </c>
      <c r="I9" s="74">
        <v>5</v>
      </c>
      <c r="J9" s="73" t="s">
        <v>589</v>
      </c>
      <c r="K9" s="72"/>
      <c r="L9" s="72" t="s">
        <v>615</v>
      </c>
    </row>
    <row r="10" spans="1:12" s="69" customFormat="1" ht="14.25" x14ac:dyDescent="0.45">
      <c r="B10" s="69" t="s">
        <v>544</v>
      </c>
      <c r="C10" s="69" t="s">
        <v>565</v>
      </c>
      <c r="D10" s="69" t="s">
        <v>566</v>
      </c>
      <c r="E10" s="70">
        <v>1035856</v>
      </c>
      <c r="F10" s="70" t="s">
        <v>566</v>
      </c>
      <c r="G10" s="70" t="s">
        <v>567</v>
      </c>
      <c r="H10" s="70" t="s">
        <v>568</v>
      </c>
      <c r="I10" s="71">
        <v>11</v>
      </c>
      <c r="J10" s="70" t="s">
        <v>569</v>
      </c>
      <c r="L10" s="69" t="s">
        <v>548</v>
      </c>
    </row>
    <row r="11" spans="1:12" s="69" customFormat="1" ht="14.25" x14ac:dyDescent="0.45">
      <c r="B11" s="69" t="s">
        <v>544</v>
      </c>
      <c r="C11" s="69" t="s">
        <v>601</v>
      </c>
      <c r="D11" s="69" t="s">
        <v>602</v>
      </c>
      <c r="E11" s="70">
        <v>1035857</v>
      </c>
      <c r="F11" s="70" t="s">
        <v>602</v>
      </c>
      <c r="G11" s="70" t="s">
        <v>603</v>
      </c>
      <c r="H11" s="70" t="s">
        <v>604</v>
      </c>
      <c r="I11" s="71">
        <v>10</v>
      </c>
      <c r="J11" s="70" t="s">
        <v>605</v>
      </c>
      <c r="L11" s="69" t="s">
        <v>548</v>
      </c>
    </row>
    <row r="12" spans="1:12" s="69" customFormat="1" ht="14.25" x14ac:dyDescent="0.45">
      <c r="A12" s="72"/>
      <c r="B12" s="72" t="s">
        <v>544</v>
      </c>
      <c r="C12" s="72" t="s">
        <v>611</v>
      </c>
      <c r="D12" s="72" t="s">
        <v>612</v>
      </c>
      <c r="E12" s="73">
        <v>1035857</v>
      </c>
      <c r="F12" s="73" t="s">
        <v>612</v>
      </c>
      <c r="G12" s="73" t="s">
        <v>613</v>
      </c>
      <c r="H12" s="73" t="s">
        <v>614</v>
      </c>
      <c r="I12" s="74">
        <v>10</v>
      </c>
      <c r="J12" s="73" t="s">
        <v>605</v>
      </c>
      <c r="K12" s="72"/>
      <c r="L12" s="72" t="s">
        <v>615</v>
      </c>
    </row>
    <row r="13" spans="1:12" s="69" customFormat="1" ht="14.25" x14ac:dyDescent="0.45">
      <c r="A13" s="72"/>
      <c r="B13" s="72" t="s">
        <v>544</v>
      </c>
      <c r="C13" s="72" t="s">
        <v>657</v>
      </c>
      <c r="D13" s="72" t="s">
        <v>658</v>
      </c>
      <c r="E13" s="73">
        <v>1035858</v>
      </c>
      <c r="F13" s="73" t="s">
        <v>658</v>
      </c>
      <c r="G13" s="73" t="s">
        <v>659</v>
      </c>
      <c r="H13" s="73" t="s">
        <v>660</v>
      </c>
      <c r="I13" s="74">
        <v>0.01</v>
      </c>
      <c r="J13" s="73" t="s">
        <v>661</v>
      </c>
      <c r="K13" s="72"/>
      <c r="L13" s="72" t="s">
        <v>615</v>
      </c>
    </row>
    <row r="14" spans="1:12" s="69" customFormat="1" ht="14.25" x14ac:dyDescent="0.45">
      <c r="B14" s="69" t="s">
        <v>544</v>
      </c>
      <c r="C14" s="69" t="s">
        <v>545</v>
      </c>
      <c r="D14" s="69" t="s">
        <v>546</v>
      </c>
      <c r="E14" s="70">
        <v>1102242</v>
      </c>
      <c r="F14" s="70" t="s">
        <v>546</v>
      </c>
      <c r="G14" s="70" t="s">
        <v>546</v>
      </c>
      <c r="H14" s="70" t="s">
        <v>546</v>
      </c>
      <c r="I14" s="71">
        <v>0.1</v>
      </c>
      <c r="J14" s="70" t="s">
        <v>547</v>
      </c>
      <c r="L14" s="69" t="s">
        <v>548</v>
      </c>
    </row>
    <row r="15" spans="1:12" s="69" customFormat="1" ht="14.25" x14ac:dyDescent="0.45">
      <c r="B15" s="69" t="s">
        <v>544</v>
      </c>
      <c r="C15" s="69" t="s">
        <v>559</v>
      </c>
      <c r="D15" s="69" t="s">
        <v>560</v>
      </c>
      <c r="E15" s="70">
        <v>1102243</v>
      </c>
      <c r="F15" s="70" t="s">
        <v>560</v>
      </c>
      <c r="G15" s="70" t="s">
        <v>560</v>
      </c>
      <c r="H15" s="70" t="s">
        <v>560</v>
      </c>
      <c r="I15" s="71">
        <v>0.2</v>
      </c>
      <c r="J15" s="70" t="s">
        <v>561</v>
      </c>
      <c r="L15" s="69" t="s">
        <v>548</v>
      </c>
    </row>
    <row r="16" spans="1:12" s="69" customFormat="1" ht="14.25" x14ac:dyDescent="0.45">
      <c r="B16" s="69" t="s">
        <v>544</v>
      </c>
      <c r="C16" s="69" t="s">
        <v>590</v>
      </c>
      <c r="D16" s="69" t="s">
        <v>591</v>
      </c>
      <c r="E16" s="70">
        <v>1102244</v>
      </c>
      <c r="F16" s="70" t="s">
        <v>591</v>
      </c>
      <c r="G16" s="70" t="s">
        <v>591</v>
      </c>
      <c r="H16" s="70" t="s">
        <v>591</v>
      </c>
      <c r="I16" s="71">
        <v>0.3</v>
      </c>
      <c r="J16" s="70" t="s">
        <v>592</v>
      </c>
      <c r="L16" s="69" t="s">
        <v>548</v>
      </c>
    </row>
    <row r="17" spans="1:12" s="69" customFormat="1" ht="14.25" x14ac:dyDescent="0.45">
      <c r="B17" s="69" t="s">
        <v>544</v>
      </c>
      <c r="C17" s="69" t="s">
        <v>562</v>
      </c>
      <c r="D17" s="69" t="s">
        <v>563</v>
      </c>
      <c r="E17" s="70">
        <v>1102245</v>
      </c>
      <c r="F17" s="70" t="s">
        <v>563</v>
      </c>
      <c r="G17" s="70" t="s">
        <v>563</v>
      </c>
      <c r="H17" s="70" t="s">
        <v>563</v>
      </c>
      <c r="I17" s="71">
        <v>0.5</v>
      </c>
      <c r="J17" s="70" t="s">
        <v>564</v>
      </c>
      <c r="L17" s="69" t="s">
        <v>548</v>
      </c>
    </row>
    <row r="18" spans="1:12" s="72" customFormat="1" ht="21.75" customHeight="1" x14ac:dyDescent="0.45">
      <c r="A18" s="69"/>
      <c r="B18" s="69" t="s">
        <v>544</v>
      </c>
      <c r="C18" s="69" t="s">
        <v>598</v>
      </c>
      <c r="D18" s="69" t="s">
        <v>599</v>
      </c>
      <c r="E18" s="70">
        <v>1102280</v>
      </c>
      <c r="F18" s="70" t="s">
        <v>599</v>
      </c>
      <c r="G18" s="70" t="s">
        <v>599</v>
      </c>
      <c r="H18" s="70" t="s">
        <v>599</v>
      </c>
      <c r="I18" s="71">
        <v>1</v>
      </c>
      <c r="J18" s="70" t="s">
        <v>600</v>
      </c>
      <c r="K18" s="69"/>
      <c r="L18" s="69" t="s">
        <v>548</v>
      </c>
    </row>
    <row r="19" spans="1:12" s="72" customFormat="1" ht="21.75" customHeight="1" x14ac:dyDescent="0.45">
      <c r="A19" s="69"/>
      <c r="B19" s="69" t="s">
        <v>544</v>
      </c>
      <c r="C19" s="69" t="s">
        <v>575</v>
      </c>
      <c r="D19" s="69" t="s">
        <v>576</v>
      </c>
      <c r="E19" s="70">
        <v>1102315</v>
      </c>
      <c r="F19" s="70" t="s">
        <v>576</v>
      </c>
      <c r="G19" s="70" t="s">
        <v>577</v>
      </c>
      <c r="H19" s="70" t="s">
        <v>578</v>
      </c>
      <c r="I19" s="71">
        <v>5</v>
      </c>
      <c r="J19" s="70" t="s">
        <v>579</v>
      </c>
      <c r="K19" s="69"/>
      <c r="L19" s="69" t="s">
        <v>548</v>
      </c>
    </row>
    <row r="20" spans="1:12" s="72" customFormat="1" ht="21.75" customHeight="1" x14ac:dyDescent="0.45">
      <c r="A20" s="69"/>
      <c r="B20" s="69" t="s">
        <v>544</v>
      </c>
      <c r="C20" s="69" t="s">
        <v>606</v>
      </c>
      <c r="D20" s="69" t="s">
        <v>607</v>
      </c>
      <c r="E20" s="70">
        <v>1102316</v>
      </c>
      <c r="F20" s="70" t="s">
        <v>607</v>
      </c>
      <c r="G20" s="70" t="s">
        <v>608</v>
      </c>
      <c r="H20" s="70" t="s">
        <v>609</v>
      </c>
      <c r="I20" s="71">
        <v>10</v>
      </c>
      <c r="J20" s="70" t="s">
        <v>610</v>
      </c>
      <c r="K20" s="69"/>
      <c r="L20" s="69" t="s">
        <v>548</v>
      </c>
    </row>
    <row r="21" spans="1:12" s="72" customFormat="1" ht="21.75" customHeight="1" x14ac:dyDescent="0.45">
      <c r="A21" s="69"/>
      <c r="B21" s="69" t="s">
        <v>544</v>
      </c>
      <c r="C21" s="69" t="s">
        <v>593</v>
      </c>
      <c r="D21" s="69" t="s">
        <v>594</v>
      </c>
      <c r="E21" s="70">
        <v>1102317</v>
      </c>
      <c r="F21" s="70" t="s">
        <v>594</v>
      </c>
      <c r="G21" s="70" t="s">
        <v>595</v>
      </c>
      <c r="H21" s="70" t="s">
        <v>596</v>
      </c>
      <c r="I21" s="71">
        <v>55</v>
      </c>
      <c r="J21" s="70" t="s">
        <v>597</v>
      </c>
      <c r="K21" s="69"/>
      <c r="L21" s="69" t="s">
        <v>548</v>
      </c>
    </row>
    <row r="22" spans="1:12" s="72" customFormat="1" ht="21.75" customHeight="1" x14ac:dyDescent="0.45">
      <c r="A22" s="69"/>
      <c r="B22" s="69" t="s">
        <v>544</v>
      </c>
      <c r="C22" s="69" t="s">
        <v>570</v>
      </c>
      <c r="D22" s="69" t="s">
        <v>571</v>
      </c>
      <c r="E22" s="70">
        <v>1102318</v>
      </c>
      <c r="F22" s="70" t="s">
        <v>571</v>
      </c>
      <c r="G22" s="70" t="s">
        <v>572</v>
      </c>
      <c r="H22" s="70" t="s">
        <v>573</v>
      </c>
      <c r="I22" s="71">
        <v>65</v>
      </c>
      <c r="J22" s="70" t="s">
        <v>574</v>
      </c>
      <c r="K22" s="69"/>
      <c r="L22" s="69" t="s">
        <v>548</v>
      </c>
    </row>
    <row r="23" spans="1:12" s="72" customFormat="1" ht="21.75" customHeight="1" x14ac:dyDescent="0.45">
      <c r="B23" s="72" t="s">
        <v>544</v>
      </c>
      <c r="C23" s="72" t="s">
        <v>644</v>
      </c>
      <c r="D23" s="72" t="s">
        <v>645</v>
      </c>
      <c r="E23" s="73">
        <v>1601722</v>
      </c>
      <c r="F23" s="73" t="s">
        <v>645</v>
      </c>
      <c r="G23" s="73" t="s">
        <v>646</v>
      </c>
      <c r="H23" s="73" t="s">
        <v>647</v>
      </c>
      <c r="I23" s="74">
        <v>11</v>
      </c>
      <c r="J23" s="73" t="s">
        <v>569</v>
      </c>
      <c r="L23" s="72" t="s">
        <v>615</v>
      </c>
    </row>
    <row r="24" spans="1:12" s="72" customFormat="1" ht="21.75" customHeight="1" x14ac:dyDescent="0.45">
      <c r="B24" s="72" t="s">
        <v>544</v>
      </c>
      <c r="C24" s="72" t="s">
        <v>629</v>
      </c>
      <c r="D24" s="72" t="s">
        <v>630</v>
      </c>
      <c r="E24" s="73">
        <v>1601762</v>
      </c>
      <c r="F24" s="73" t="s">
        <v>630</v>
      </c>
      <c r="G24" s="73" t="s">
        <v>630</v>
      </c>
      <c r="H24" s="73" t="s">
        <v>630</v>
      </c>
      <c r="I24" s="74">
        <v>0.1</v>
      </c>
      <c r="J24" s="73" t="s">
        <v>631</v>
      </c>
      <c r="L24" s="72" t="s">
        <v>615</v>
      </c>
    </row>
    <row r="25" spans="1:12" s="72" customFormat="1" ht="21.75" customHeight="1" x14ac:dyDescent="0.45">
      <c r="B25" s="72" t="s">
        <v>544</v>
      </c>
      <c r="C25" s="72" t="s">
        <v>620</v>
      </c>
      <c r="D25" s="72" t="s">
        <v>621</v>
      </c>
      <c r="E25" s="73">
        <v>1601763</v>
      </c>
      <c r="F25" s="73" t="s">
        <v>621</v>
      </c>
      <c r="G25" s="73" t="s">
        <v>621</v>
      </c>
      <c r="H25" s="73" t="s">
        <v>621</v>
      </c>
      <c r="I25" s="74">
        <v>0.2</v>
      </c>
      <c r="J25" s="73" t="s">
        <v>622</v>
      </c>
      <c r="L25" s="72" t="s">
        <v>615</v>
      </c>
    </row>
    <row r="26" spans="1:12" s="72" customFormat="1" ht="21.75" customHeight="1" x14ac:dyDescent="0.45">
      <c r="B26" s="72" t="s">
        <v>544</v>
      </c>
      <c r="C26" s="72" t="s">
        <v>648</v>
      </c>
      <c r="D26" s="72" t="s">
        <v>649</v>
      </c>
      <c r="E26" s="73">
        <v>1601764</v>
      </c>
      <c r="F26" s="73" t="s">
        <v>649</v>
      </c>
      <c r="G26" s="73" t="s">
        <v>649</v>
      </c>
      <c r="H26" s="73" t="s">
        <v>649</v>
      </c>
      <c r="I26" s="74">
        <v>1</v>
      </c>
      <c r="J26" s="73" t="s">
        <v>650</v>
      </c>
      <c r="L26" s="72" t="s">
        <v>615</v>
      </c>
    </row>
    <row r="27" spans="1:12" s="72" customFormat="1" ht="21.75" customHeight="1" x14ac:dyDescent="0.45">
      <c r="B27" s="72" t="s">
        <v>544</v>
      </c>
      <c r="C27" s="72" t="s">
        <v>654</v>
      </c>
      <c r="D27" s="72" t="s">
        <v>655</v>
      </c>
      <c r="E27" s="73">
        <v>1601765</v>
      </c>
      <c r="F27" s="73" t="s">
        <v>655</v>
      </c>
      <c r="G27" s="73" t="s">
        <v>577</v>
      </c>
      <c r="H27" s="73" t="s">
        <v>578</v>
      </c>
      <c r="I27" s="74">
        <v>5</v>
      </c>
      <c r="J27" s="73" t="s">
        <v>656</v>
      </c>
      <c r="L27" s="72" t="s">
        <v>615</v>
      </c>
    </row>
    <row r="28" spans="1:12" s="72" customFormat="1" ht="21.75" customHeight="1" x14ac:dyDescent="0.45">
      <c r="B28" s="72" t="s">
        <v>544</v>
      </c>
      <c r="C28" s="72" t="s">
        <v>632</v>
      </c>
      <c r="D28" s="72" t="s">
        <v>633</v>
      </c>
      <c r="E28" s="73">
        <v>1601768</v>
      </c>
      <c r="F28" s="73" t="s">
        <v>633</v>
      </c>
      <c r="G28" s="73" t="s">
        <v>595</v>
      </c>
      <c r="H28" s="73" t="s">
        <v>596</v>
      </c>
      <c r="I28" s="74">
        <v>55</v>
      </c>
      <c r="J28" s="73" t="s">
        <v>634</v>
      </c>
      <c r="L28" s="72" t="s">
        <v>615</v>
      </c>
    </row>
    <row r="29" spans="1:12" s="72" customFormat="1" ht="21.75" customHeight="1" x14ac:dyDescent="0.45">
      <c r="B29" s="72" t="s">
        <v>544</v>
      </c>
      <c r="C29" s="72" t="s">
        <v>623</v>
      </c>
      <c r="D29" s="72" t="s">
        <v>624</v>
      </c>
      <c r="E29" s="73">
        <v>1601769</v>
      </c>
      <c r="F29" s="73" t="s">
        <v>624</v>
      </c>
      <c r="G29" s="73" t="s">
        <v>624</v>
      </c>
      <c r="H29" s="73" t="s">
        <v>624</v>
      </c>
      <c r="I29" s="74">
        <v>0.3</v>
      </c>
      <c r="J29" s="73" t="s">
        <v>625</v>
      </c>
      <c r="L29" s="72" t="s">
        <v>615</v>
      </c>
    </row>
    <row r="30" spans="1:12" s="72" customFormat="1" ht="21.75" customHeight="1" x14ac:dyDescent="0.45">
      <c r="B30" s="72" t="s">
        <v>544</v>
      </c>
      <c r="C30" s="72" t="s">
        <v>651</v>
      </c>
      <c r="D30" s="72" t="s">
        <v>652</v>
      </c>
      <c r="E30" s="73">
        <v>1601770</v>
      </c>
      <c r="F30" s="73" t="s">
        <v>652</v>
      </c>
      <c r="G30" s="73" t="s">
        <v>652</v>
      </c>
      <c r="H30" s="73" t="s">
        <v>652</v>
      </c>
      <c r="I30" s="74">
        <v>0.5</v>
      </c>
      <c r="J30" s="73" t="s">
        <v>653</v>
      </c>
      <c r="L30" s="72" t="s">
        <v>615</v>
      </c>
    </row>
    <row r="31" spans="1:12" s="72" customFormat="1" ht="21.75" customHeight="1" x14ac:dyDescent="0.45">
      <c r="B31" s="72" t="s">
        <v>544</v>
      </c>
      <c r="C31" s="72" t="s">
        <v>635</v>
      </c>
      <c r="D31" s="72" t="s">
        <v>636</v>
      </c>
      <c r="E31" s="73">
        <v>1601771</v>
      </c>
      <c r="F31" s="73" t="s">
        <v>636</v>
      </c>
      <c r="G31" s="73" t="s">
        <v>608</v>
      </c>
      <c r="H31" s="73" t="s">
        <v>609</v>
      </c>
      <c r="I31" s="74">
        <v>10</v>
      </c>
      <c r="J31" s="73" t="s">
        <v>637</v>
      </c>
      <c r="L31" s="72" t="s">
        <v>615</v>
      </c>
    </row>
    <row r="32" spans="1:12" s="72" customFormat="1" ht="21.75" customHeight="1" x14ac:dyDescent="0.45">
      <c r="B32" s="72" t="s">
        <v>544</v>
      </c>
      <c r="C32" s="72" t="s">
        <v>638</v>
      </c>
      <c r="D32" s="72" t="s">
        <v>639</v>
      </c>
      <c r="E32" s="73">
        <v>1601772</v>
      </c>
      <c r="F32" s="73" t="s">
        <v>639</v>
      </c>
      <c r="G32" s="73" t="s">
        <v>572</v>
      </c>
      <c r="H32" s="73" t="s">
        <v>573</v>
      </c>
      <c r="I32" s="74">
        <v>65</v>
      </c>
      <c r="J32" s="73" t="s">
        <v>640</v>
      </c>
      <c r="L32" s="72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2025-12-17T12:23:10Z</dcterms:modified>
</cp:coreProperties>
</file>