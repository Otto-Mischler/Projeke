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Import 3/"/>
    </mc:Choice>
  </mc:AlternateContent>
  <xr:revisionPtr revIDLastSave="10" documentId="8_{0D3383D8-06B9-4D43-A9E6-E1653231C6C0}" xr6:coauthVersionLast="47" xr6:coauthVersionMax="47" xr10:uidLastSave="{F95B0A89-E3FD-4AB4-BF8B-6E7DCE01EE13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  <externalReference r:id="rId11"/>
  </externalReferences>
  <definedNames>
    <definedName name="_xlnm._FilterDatabase" localSheetId="1" hidden="1">Entities!$A$2:$AS$119</definedName>
    <definedName name="_xlnm._FilterDatabase" localSheetId="2" hidden="1">Migrationsartikel!$A$1:$AJ$374</definedName>
    <definedName name="EntitiesCol">Entities!$SRI$2</definedName>
    <definedName name="EntitiesRow">Entities!$A$999198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<sst xmlns="http://schemas.openxmlformats.org/spreadsheetml/2006/main" count="14992" uniqueCount="2774">
  <si>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</si>
  <si>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</si>
  <si>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</si>
  <si>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</si>
  <si>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</si>
  <si>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</si>
  <si>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</si>
  <si>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</si>
  <si>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</si>
  <si>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</si>
  <si>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</si>
  <si>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</si>
  <si>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</si>
  <si>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</si>
  <si>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</si>
  <si>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</si>
  <si>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</si>
  <si>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</si>
  <si>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</si>
  <si>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</si>
  <si>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</si>
  <si>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</si>
  <si>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</si>
  <si>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</si>
  <si>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</si>
  <si>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</si>
  <si>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</si>
  <si>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</si>
  <si>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</si>
  <si>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</si>
  <si>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</si>
  <si>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</si>
  <si>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</si>
  <si>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</si>
  <si>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</si>
  <si>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</si>
  <si>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</si>
  <si>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</si>
  <si>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</si>
  <si>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</si>
  <si>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</si>
  <si>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</si>
  <si>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</si>
  <si>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</si>
  <si>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</si>
  <si>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</si>
  <si>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</si>
  <si>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</si>
  <si>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</si>
  <si>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</si>
  <si>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</si>
  <si>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</si>
  <si>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</si>
  <si>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</si>
  <si>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</si>
  <si>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</si>
  <si>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</si>
  <si>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</si>
  <si>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</si>
  <si>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</si>
  <si>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</si>
  <si>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</si>
  <si>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</si>
  <si>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</si>
  <si>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</si>
  <si>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</si>
  <si>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</si>
  <si>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</si>
  <si>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</si>
  <si>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</si>
  <si>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</si>
  <si>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</si>
  <si>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</si>
  <si>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</si>
  <si>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</si>
  <si>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</si>
  <si>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</si>
  <si>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</si>
  <si>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</si>
  <si>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</si>
  <si>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</si>
  <si>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</si>
  <si>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</si>
  <si>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</si>
  <si>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</si>
  <si>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</si>
  <si>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</si>
  <si>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</si>
  <si>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</si>
  <si>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</si>
  <si>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</si>
  <si>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</si>
  <si>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</si>
  <si>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</si>
  <si>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</si>
  <si>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</si>
  <si>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</si>
  <si>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</si>
  <si>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</si>
  <si>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</si>
  <si>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</si>
  <si>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</si>
  <si>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</si>
  <si>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</si>
  <si>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</si>
  <si>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</si>
  <si>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</si>
  <si>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</si>
  <si>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</si>
  <si>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</si>
  <si>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</si>
  <si>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</si>
  <si>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</si>
  <si>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</si>
  <si>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</si>
  <si>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</si>
  <si>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</si>
  <si>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</si>
  <si>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</si>
  <si>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</si>
  <si>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</si>
  <si>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</si>
  <si>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</si>
  <si>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</si>
  <si>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</si>
  <si>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</si>
  <si>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</si>
  <si>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</si>
  <si>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</si>
  <si>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</si>
  <si>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</si>
  <si>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</si>
  <si>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</si>
  <si>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</si>
  <si>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</si>
  <si>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</si>
  <si>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</si>
  <si>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</si>
  <si>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</si>
  <si>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</si>
  <si>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</si>
  <si>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</si>
  <si>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</si>
  <si>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</si>
  <si>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</si>
  <si>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</si>
  <si>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</si>
  <si>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</si>
  <si>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</si>
  <si>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</si>
  <si>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</si>
  <si>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</si>
  <si>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</si>
  <si>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</si>
  <si>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</si>
  <si>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</si>
  <si>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</si>
  <si>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</si>
  <si>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</si>
  <si>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</si>
  <si>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</si>
  <si>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</si>
  <si>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</si>
  <si>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</si>
  <si>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</si>
  <si>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</si>
  <si>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</si>
  <si>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</si>
  <si>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</si>
  <si>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</si>
  <si>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</si>
  <si>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</si>
  <si>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</si>
  <si>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</si>
  <si>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</si>
  <si>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</si>
  <si>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</si>
  <si>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</si>
  <si>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</si>
  <si>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</si>
  <si>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</si>
  <si>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</si>
  <si>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</si>
  <si>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</si>
  <si>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</si>
  <si>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</si>
  <si>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</si>
  <si>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</si>
  <si>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</si>
  <si>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</si>
  <si>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</si>
  <si>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</si>
  <si>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</si>
  <si>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</si>
  <si>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</si>
  <si>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</si>
  <si>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</si>
  <si>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</si>
  <si>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</si>
  <si>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</si>
  <si>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</si>
  <si>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</si>
  <si>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</si>
  <si>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</si>
  <si>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</si>
  <si>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</si>
  <si>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</si>
  <si>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</si>
  <si>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</si>
  <si>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</si>
  <si>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</si>
  <si>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</si>
  <si>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</si>
  <si>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</si>
  <si>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</si>
  <si>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</si>
  <si>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</si>
  <si>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</si>
  <si>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</si>
  <si>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</si>
  <si>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</si>
  <si>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</si>
  <si>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</si>
  <si>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</si>
  <si>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</si>
  <si>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</si>
  <si>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</si>
  <si>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</si>
  <si>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</si>
  <si>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</si>
  <si>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</si>
  <si>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</si>
  <si>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</si>
  <si>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</si>
  <si>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</si>
  <si>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</si>
  <si>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</si>
  <si>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</si>
  <si>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</si>
  <si>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</si>
  <si>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</si>
  <si>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</si>
  <si>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</si>
  <si>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</si>
  <si>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</si>
  <si>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</si>
  <si>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</si>
  <si>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</si>
  <si>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</si>
  <si>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</si>
  <si>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</si>
  <si>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</si>
  <si>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</si>
  <si>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</si>
  <si>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</si>
  <si>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</si>
  <si>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</si>
  <si>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</si>
  <si>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</si>
  <si>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</si>
  <si>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</si>
  <si>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</si>
  <si>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</si>
  <si>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</si>
  <si>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</si>
  <si>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</si>
  <si>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</si>
  <si>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</si>
  <si>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</si>
  <si>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</si>
  <si>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</si>
  <si>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</si>
  <si>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</si>
  <si>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</si>
  <si>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</si>
  <si>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</si>
  <si>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</si>
  <si>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</si>
  <si>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</si>
  <si>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</si>
  <si>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</si>
  <si>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</si>
  <si>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</si>
  <si>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</si>
  <si>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</si>
  <si>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</si>
  <si>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</si>
  <si>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</si>
  <si>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</si>
  <si>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</si>
  <si>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</si>
  <si>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</si>
  <si>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</si>
  <si>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</si>
  <si>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</si>
  <si>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</si>
  <si>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</si>
  <si>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</si>
  <si>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</si>
  <si>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</si>
  <si>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</si>
  <si>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</si>
  <si>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</si>
  <si>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</si>
  <si>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</si>
  <si>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</si>
  <si>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</si>
  <si>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</si>
  <si>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</si>
  <si>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</si>
  <si>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</si>
  <si>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</si>
  <si>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</si>
  <si>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</si>
  <si>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</si>
  <si>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</si>
  <si>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</si>
  <si>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</si>
  <si>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</si>
  <si>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</si>
  <si>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</si>
  <si>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</si>
  <si>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</si>
  <si>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</si>
  <si>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</si>
  <si>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</si>
  <si>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</si>
  <si>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</si>
  <si>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</si>
  <si>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</si>
  <si>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</si>
  <si>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</si>
  <si>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</si>
  <si>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</si>
  <si>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</si>
  <si>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</si>
  <si>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</si>
  <si>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</si>
  <si>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</si>
  <si>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</si>
  <si>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</si>
  <si>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</si>
  <si>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</si>
  <si>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</si>
  <si>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</si>
  <si>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</si>
  <si>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</si>
  <si>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</si>
  <si>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</si>
  <si>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</si>
  <si>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</si>
  <si>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</si>
  <si>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</si>
  <si>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</si>
  <si>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</si>
  <si>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</si>
  <si>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</si>
  <si>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</si>
  <si>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</si>
  <si>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</si>
  <si>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</si>
  <si>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</si>
  <si>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</si>
  <si>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</si>
  <si>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</si>
  <si>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</si>
  <si>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</si>
  <si>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</si>
  <si>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</si>
  <si>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</si>
  <si>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</si>
  <si>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</si>
  <si>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</si>
  <si>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</si>
  <si>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</si>
  <si>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</si>
  <si>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</si>
  <si>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</si>
  <si>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</si>
  <si>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</si>
  <si>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</si>
  <si>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</si>
  <si>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</si>
  <si>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</si>
  <si>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</si>
  <si>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</si>
  <si>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</si>
  <si>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</si>
  <si>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</si>
  <si>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</si>
  <si>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</si>
  <si>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</si>
  <si>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</si>
  <si>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</si>
  <si>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</si>
  <si>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</si>
  <si>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</si>
  <si>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</si>
  <si>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</si>
  <si>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</si>
  <si>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</si>
  <si>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</si>
  <si>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</si>
  <si>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</si>
  <si>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</si>
  <si>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</si>
  <si>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</si>
  <si>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</si>
  <si>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</si>
  <si>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</si>
  <si>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</si>
  <si>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</si>
  <si>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</si>
  <si>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</si>
  <si>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</si>
  <si>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</si>
  <si>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</si>
  <si>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</si>
  <si>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</si>
  <si>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</si>
  <si>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</si>
  <si>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</si>
  <si>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</si>
  <si>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</si>
  <si>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</si>
  <si>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</si>
  <si>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</si>
  <si>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</si>
  <si>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</si>
  <si>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</si>
  <si>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</si>
  <si>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</si>
  <si>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</si>
  <si>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</si>
  <si>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</si>
  <si>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</si>
  <si>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</si>
  <si>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</si>
  <si>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</si>
  <si>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</si>
  <si>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</si>
  <si>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</si>
  <si>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</si>
  <si>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</si>
  <si>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</si>
  <si>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</si>
  <si>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</si>
  <si>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</si>
  <si>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</si>
  <si>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</si>
  <si>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</si>
  <si>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</si>
  <si>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</si>
  <si>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</si>
  <si>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</si>
  <si>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</si>
  <si>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</si>
  <si>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</si>
  <si>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</si>
  <si>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</si>
  <si>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</si>
  <si>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</si>
  <si>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</si>
  <si>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</si>
  <si>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</si>
  <si>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</si>
  <si>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</si>
  <si>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</si>
  <si>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</si>
  <si>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</si>
  <si>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</si>
  <si>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</si>
  <si>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</si>
  <si>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</si>
  <si>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</si>
  <si>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</si>
  <si>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</si>
  <si>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</si>
  <si>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</si>
  <si>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</si>
  <si>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</si>
  <si>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</si>
  <si>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</si>
  <si>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</si>
  <si>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</si>
  <si>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</si>
  <si>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</si>
  <si>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</si>
  <si>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</si>
  <si>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</si>
  <si>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</si>
  <si>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</si>
  <si>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</si>
  <si>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</si>
  <si>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</si>
  <si>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</si>
  <si>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</si>
  <si>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</si>
  <si>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</si>
  <si>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</si>
  <si>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</si>
  <si>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</si>
  <si>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</si>
  <si>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</si>
  <si>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</si>
  <si>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</si>
  <si>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</si>
  <si>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</si>
  <si>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</si>
  <si>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</si>
  <si>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</si>
  <si>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</si>
  <si>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</si>
  <si>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</si>
  <si>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</si>
  <si>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</si>
  <si>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</si>
  <si>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</si>
  <si>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</si>
  <si>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</si>
  <si>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</si>
  <si>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</si>
  <si>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</si>
  <si>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</si>
  <si>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</si>
  <si>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</si>
  <si>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</si>
  <si>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</si>
  <si>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</si>
  <si>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</si>
  <si>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</si>
  <si>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</si>
  <si>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</si>
  <si>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</si>
  <si>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</si>
  <si>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</si>
  <si>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</si>
  <si>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</si>
  <si>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</si>
  <si>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</si>
  <si>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</si>
  <si>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</si>
  <si>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</si>
  <si>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</si>
  <si>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</si>
  <si>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</si>
  <si>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</si>
  <si>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</si>
  <si>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</si>
  <si>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</si>
  <si>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</si>
  <si>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</si>
  <si>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</si>
  <si>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</si>
  <si>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</si>
  <si>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</si>
  <si>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</si>
  <si>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</si>
  <si>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</si>
  <si>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</si>
  <si>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</si>
  <si>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</si>
  <si>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</si>
  <si>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</si>
  <si>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</si>
  <si>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</si>
  <si>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</si>
  <si>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</si>
  <si>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</si>
  <si>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</si>
  <si>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</si>
  <si>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</si>
  <si>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</si>
  <si>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</si>
  <si>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</si>
  <si>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</si>
  <si>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</si>
  <si>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</si>
  <si>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</si>
  <si>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</si>
  <si>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</si>
  <si>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</si>
  <si>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</si>
  <si>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</si>
  <si>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</si>
  <si>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</si>
  <si>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</si>
  <si>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</si>
  <si>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</si>
  <si>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</si>
  <si>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</si>
  <si>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</si>
  <si>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</si>
  <si>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</si>
  <si>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</si>
  <si>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</si>
  <si>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</si>
  <si>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</si>
  <si>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</si>
  <si>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</si>
  <si>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</si>
  <si>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</si>
  <si>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</si>
  <si>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</si>
  <si>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</si>
  <si>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</si>
  <si>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</si>
  <si>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</si>
  <si>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</si>
  <si>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</si>
  <si>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</si>
  <si>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</si>
  <si>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</si>
  <si>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</si>
  <si>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</si>
  <si>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</si>
  <si>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</si>
  <si>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</si>
  <si>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</si>
  <si>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</si>
  <si>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</si>
  <si>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</si>
  <si>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</si>
  <si>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</si>
  <si>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</si>
  <si>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</si>
  <si>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</si>
  <si>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</si>
  <si>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</si>
  <si>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</si>
  <si>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</si>
  <si>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</si>
  <si>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</si>
  <si>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</si>
  <si>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</si>
  <si>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</si>
  <si>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</si>
  <si>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</si>
  <si>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</si>
  <si>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</si>
  <si>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</si>
  <si>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</si>
  <si>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</si>
  <si>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</si>
  <si>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</si>
  <si>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</si>
  <si>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</si>
  <si>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</si>
  <si>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</si>
  <si>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</si>
  <si>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</si>
  <si>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</si>
  <si>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</si>
  <si>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</si>
  <si>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</si>
  <si>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</si>
  <si>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</si>
  <si>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</si>
  <si>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</si>
  <si>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</si>
  <si>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</si>
  <si>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</si>
  <si>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</si>
  <si>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</si>
  <si>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</si>
  <si>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</si>
  <si>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</si>
  <si>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</si>
  <si>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</si>
  <si>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</si>
  <si>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</si>
  <si>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</si>
  <si>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</si>
  <si>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</si>
  <si>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</si>
  <si>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</si>
  <si>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</si>
  <si>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</si>
  <si>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</si>
  <si>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</si>
  <si>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</si>
  <si>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</si>
  <si>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</si>
  <si>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</si>
  <si>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</si>
  <si>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</si>
  <si>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</si>
  <si>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</si>
  <si>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</si>
  <si>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</si>
  <si>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</si>
  <si>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</si>
  <si>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</si>
  <si>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</si>
  <si>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</si>
  <si>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</si>
  <si>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</si>
  <si>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</si>
  <si>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</si>
  <si>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</si>
  <si>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</si>
  <si>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</si>
  <si>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</si>
  <si>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</si>
  <si>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</si>
  <si>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</si>
  <si>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</si>
  <si>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</si>
  <si>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</si>
  <si>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</si>
  <si>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</si>
  <si>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</si>
  <si>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</si>
  <si>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</si>
  <si>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</si>
  <si>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</si>
  <si>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</si>
  <si>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</si>
  <si>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</si>
  <si>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</si>
  <si>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</si>
  <si>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</si>
  <si>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</si>
  <si>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</si>
  <si>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</si>
  <si>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</si>
  <si>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</si>
  <si>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</si>
  <si>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</si>
  <si>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</si>
  <si>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</si>
  <si>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</si>
  <si>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</si>
  <si>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</si>
  <si>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</si>
  <si>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</si>
  <si>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</si>
  <si>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</si>
  <si>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</si>
  <si>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</si>
  <si>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</si>
  <si>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</si>
  <si>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</si>
  <si>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</si>
  <si>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</si>
  <si>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</si>
  <si>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</si>
  <si>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</si>
  <si>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</si>
  <si>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</si>
  <si>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</si>
  <si>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</si>
  <si>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</si>
  <si>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</si>
  <si>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</si>
  <si>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</si>
  <si>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</si>
  <si>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</si>
  <si>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</si>
  <si>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</si>
  <si>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</si>
  <si>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</si>
  <si>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</si>
  <si>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</si>
  <si>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</si>
  <si>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</si>
  <si>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</si>
  <si>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</si>
  <si>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</si>
  <si>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</si>
  <si>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</si>
  <si>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</si>
  <si>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</si>
  <si>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</si>
  <si>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</si>
  <si>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</si>
  <si>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</si>
  <si>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</si>
  <si>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</si>
  <si>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</si>
  <si>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</si>
  <si>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</si>
  <si>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</si>
  <si>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</si>
  <si>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</si>
  <si>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</si>
  <si>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</si>
  <si>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</si>
  <si>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</si>
  <si>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</si>
  <si>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</si>
  <si>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</si>
  <si>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</si>
  <si>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</si>
  <si>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</si>
  <si>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</si>
  <si>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</si>
  <si>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</si>
  <si>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</si>
  <si>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</si>
  <si>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</si>
  <si>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</si>
  <si>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</si>
  <si>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</si>
  <si>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</si>
  <si>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</si>
  <si>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</si>
  <si>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</si>
  <si>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</si>
  <si>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</si>
  <si>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</si>
  <si>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</si>
  <si>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</si>
  <si>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</si>
  <si>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</si>
  <si>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</si>
  <si>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</si>
  <si>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</si>
  <si>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</si>
  <si>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</si>
  <si>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</si>
  <si>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</si>
  <si>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</si>
  <si>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</si>
  <si>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</si>
  <si>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</si>
  <si>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</si>
  <si>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</si>
  <si>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</si>
  <si>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</si>
  <si>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</si>
  <si>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</si>
  <si>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</si>
  <si>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</si>
  <si>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</si>
  <si>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</si>
  <si>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</si>
  <si>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</si>
  <si>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</si>
  <si>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</si>
  <si>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</si>
  <si>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</si>
  <si>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</si>
  <si>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</si>
  <si>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</si>
  <si>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</si>
  <si>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</si>
  <si>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</si>
  <si>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</si>
  <si>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</si>
  <si>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</si>
  <si>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</si>
  <si>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</si>
  <si>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</si>
  <si>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</si>
  <si>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</si>
  <si>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</si>
  <si>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</si>
  <si>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</si>
  <si>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</si>
  <si>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</si>
  <si>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</si>
  <si>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</si>
  <si>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</si>
  <si>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</si>
  <si>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</si>
  <si>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</si>
  <si>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</si>
  <si>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</si>
  <si>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</si>
  <si>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</si>
  <si>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</si>
  <si>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</si>
  <si>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</si>
  <si>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</si>
  <si>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</si>
  <si>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</si>
  <si>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</si>
  <si>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</si>
  <si>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</si>
  <si>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</si>
  <si>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</si>
  <si>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</si>
  <si>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</si>
  <si>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</si>
  <si>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</si>
  <si>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</si>
  <si>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</si>
  <si>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</si>
  <si>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</si>
  <si>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</si>
  <si>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</si>
  <si>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</si>
  <si>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</si>
  <si>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</si>
  <si>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</si>
  <si>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</si>
  <si>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</si>
  <si>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</si>
  <si>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</si>
  <si>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</si>
  <si>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</si>
  <si>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</si>
  <si>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</si>
  <si>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</si>
  <si>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</si>
  <si>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</si>
  <si>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</si>
  <si>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</si>
  <si>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</si>
  <si>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</si>
  <si>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</si>
  <si>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</si>
  <si>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</si>
  <si>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</si>
  <si>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</si>
  <si>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</si>
  <si>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</si>
  <si>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</si>
  <si>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</si>
  <si>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</si>
  <si>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</si>
  <si>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</si>
  <si>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</si>
  <si>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</si>
  <si>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</si>
  <si>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</si>
  <si>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</si>
  <si>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</si>
  <si>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</si>
  <si>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</si>
  <si>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</si>
  <si>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</si>
  <si>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</si>
  <si>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</si>
  <si>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</si>
  <si>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</si>
  <si>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</si>
  <si>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</si>
  <si>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</si>
  <si>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</si>
  <si>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</si>
  <si>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</si>
  <si>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</si>
  <si>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</si>
  <si>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</si>
  <si>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</si>
  <si>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</si>
  <si>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</si>
  <si>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</si>
  <si>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</si>
  <si>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</si>
  <si>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</si>
  <si>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</si>
  <si>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</si>
  <si>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</si>
  <si>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</si>
  <si>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</si>
  <si>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</si>
  <si>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</si>
  <si>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</si>
  <si>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</si>
  <si>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</si>
  <si>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</si>
  <si>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</si>
  <si>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</si>
  <si>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</si>
  <si>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</si>
  <si>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</si>
  <si>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</si>
  <si>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</si>
  <si>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</si>
  <si>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</si>
  <si>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</si>
  <si>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</si>
  <si>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</si>
  <si>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</si>
  <si>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</si>
  <si>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</si>
  <si>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</si>
  <si>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</si>
  <si>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</si>
  <si>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</si>
  <si>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</si>
  <si>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</si>
  <si>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</si>
  <si>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</si>
  <si>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</si>
  <si>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</si>
  <si>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</si>
  <si>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</si>
  <si>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</si>
  <si>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</si>
  <si>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</si>
  <si>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</si>
  <si>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</si>
  <si>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</si>
  <si>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</si>
  <si>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</si>
  <si>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</si>
  <si>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</si>
  <si>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</si>
  <si>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</si>
  <si>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</si>
  <si>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</si>
  <si>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</si>
  <si>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</si>
  <si>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</si>
  <si>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</si>
  <si>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</si>
  <si>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</si>
  <si>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</si>
  <si>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</si>
  <si>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</si>
  <si>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</si>
  <si>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</si>
  <si>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</si>
  <si>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</si>
  <si>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</si>
  <si>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</si>
  <si>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</si>
  <si>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</si>
  <si>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</si>
  <si>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</si>
  <si>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</si>
  <si>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</si>
  <si>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</si>
  <si>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</si>
  <si>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</si>
  <si>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</si>
  <si>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</si>
  <si>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</si>
  <si>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</si>
  <si>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</si>
  <si>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</si>
  <si>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</si>
  <si>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</si>
  <si>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</si>
  <si>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</si>
  <si>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</si>
  <si>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</si>
  <si>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</si>
  <si>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</si>
  <si>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</si>
  <si>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</si>
  <si>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</si>
  <si>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</si>
  <si>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</si>
  <si>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</si>
  <si>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</si>
  <si>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</si>
  <si>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</si>
  <si>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</si>
  <si>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</si>
  <si>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</si>
  <si>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</si>
  <si>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</si>
  <si>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</si>
  <si>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</si>
  <si>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</si>
  <si>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</si>
  <si>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</si>
  <si>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</si>
  <si>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</si>
  <si>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</si>
  <si>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</si>
  <si>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</si>
  <si>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</si>
  <si>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</si>
  <si>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</si>
  <si>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</si>
  <si>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</si>
  <si>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</si>
  <si>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</si>
  <si>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</si>
  <si>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</si>
  <si>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</si>
  <si>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</si>
  <si>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</si>
  <si>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</si>
  <si>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</si>
  <si>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</si>
  <si>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</si>
  <si>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</si>
  <si>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</si>
  <si>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</si>
  <si>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</si>
  <si>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</si>
  <si>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</si>
  <si>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</si>
  <si>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</si>
  <si>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</si>
  <si>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</si>
  <si>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</si>
  <si>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</si>
  <si>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</si>
  <si>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</si>
  <si>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</si>
  <si>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</si>
  <si>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</si>
  <si>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</si>
  <si>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</si>
  <si>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</si>
  <si>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</si>
  <si>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</si>
  <si>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</si>
  <si>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</si>
  <si>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</si>
  <si>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</si>
  <si>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</si>
  <si>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</si>
  <si>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</si>
  <si>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</si>
  <si>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</si>
  <si>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</si>
  <si>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</si>
  <si>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</si>
  <si>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</si>
  <si>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</si>
  <si>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</si>
  <si>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</si>
  <si>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</si>
  <si>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</si>
  <si>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</si>
  <si>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</si>
  <si>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</si>
  <si>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</si>
  <si>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</si>
  <si>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</si>
  <si>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</si>
  <si>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</si>
  <si>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</si>
  <si>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</si>
  <si>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</si>
  <si>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</si>
  <si>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</si>
  <si>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</si>
  <si>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</si>
  <si>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</si>
  <si>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</si>
  <si>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</si>
  <si>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</si>
  <si>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</si>
  <si>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</si>
  <si>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</si>
  <si>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</si>
  <si>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</si>
  <si>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</si>
  <si>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</si>
  <si>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</si>
  <si>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</si>
  <si>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</si>
  <si>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</si>
  <si>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</si>
  <si>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</si>
  <si>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</si>
  <si>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</si>
  <si>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</si>
  <si>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</si>
  <si>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</si>
  <si>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</si>
  <si>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</si>
  <si>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</si>
  <si>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</si>
  <si>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</si>
  <si>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</si>
  <si>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</si>
  <si>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</si>
  <si>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</si>
  <si>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</si>
  <si>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</si>
  <si>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</si>
  <si>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</si>
  <si>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</si>
  <si>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</si>
  <si>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</si>
  <si>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</si>
  <si>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</si>
  <si>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</si>
  <si>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</si>
  <si>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</si>
  <si>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</si>
  <si>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</si>
  <si>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</si>
  <si>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</si>
  <si>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</si>
  <si>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</si>
  <si>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</si>
  <si>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</si>
  <si>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</si>
  <si>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</si>
  <si>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</si>
  <si>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</si>
  <si>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</si>
  <si>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</si>
  <si>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</si>
  <si>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</si>
  <si>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</si>
  <si>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</si>
  <si>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</si>
  <si>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</si>
  <si>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</si>
  <si>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</si>
  <si>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</si>
  <si>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</si>
  <si>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</si>
  <si>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</si>
  <si>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</si>
  <si>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</si>
  <si>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</si>
  <si>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</si>
  <si>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</si>
  <si>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</si>
  <si>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</si>
  <si>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</si>
  <si>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</si>
  <si>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</si>
  <si>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</si>
  <si>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</si>
  <si>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</si>
  <si>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</si>
  <si>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</si>
  <si>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</si>
  <si>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</si>
  <si>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</si>
  <si>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</si>
  <si>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</si>
  <si>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</si>
  <si>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</si>
  <si>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</si>
  <si>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</si>
  <si>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</si>
  <si>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</si>
  <si>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</si>
  <si>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</si>
  <si>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</si>
  <si>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</si>
  <si>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</si>
  <si>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</si>
  <si>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</si>
  <si>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</si>
  <si>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</si>
  <si>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</si>
  <si>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</si>
  <si>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</si>
  <si>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</si>
  <si>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</si>
  <si>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</si>
  <si>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</si>
  <si>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</si>
  <si>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</si>
  <si>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</si>
  <si>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</si>
  <si>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</si>
  <si>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</si>
  <si>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</si>
  <si>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</si>
  <si>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</si>
  <si>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</si>
  <si>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</si>
  <si>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</si>
  <si>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</si>
  <si>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</si>
  <si>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</si>
  <si>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</si>
  <si>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</si>
  <si>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</si>
  <si>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</si>
  <si>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</si>
  <si>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</si>
  <si>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</si>
  <si>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</si>
  <si>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</si>
  <si>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</si>
  <si>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</si>
  <si>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</si>
  <si>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</si>
  <si>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</si>
  <si>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</si>
  <si>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</si>
  <si>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</si>
  <si>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</si>
  <si>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</si>
  <si>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</si>
  <si>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</si>
  <si>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</si>
  <si>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</si>
  <si>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</si>
  <si>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</si>
  <si>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</si>
  <si>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</si>
  <si>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</si>
  <si>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</si>
  <si>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</si>
  <si>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</si>
  <si>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</si>
  <si>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</si>
  <si>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</si>
  <si>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</si>
  <si>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</si>
  <si>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</si>
  <si>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</si>
  <si>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</si>
  <si>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</si>
  <si>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</si>
  <si>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</si>
  <si>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</si>
  <si>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</si>
  <si>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</si>
  <si>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</si>
  <si>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</si>
  <si>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</si>
  <si>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</si>
  <si>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</si>
  <si>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</si>
  <si>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</si>
  <si>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</si>
  <si>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</si>
  <si>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</si>
  <si>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</si>
  <si>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</si>
  <si>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</si>
  <si>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</si>
  <si>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</si>
  <si>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</si>
  <si>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</si>
  <si>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</si>
  <si>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</si>
  <si>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</si>
  <si>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</si>
  <si>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</si>
  <si>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</si>
  <si>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</si>
  <si>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</si>
  <si>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</si>
  <si>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</si>
  <si>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</si>
  <si>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</si>
  <si>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</si>
  <si>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</si>
  <si>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</si>
  <si>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</si>
  <si>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</si>
  <si>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</si>
  <si>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</si>
  <si>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</si>
  <si>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</si>
  <si>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</si>
  <si>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</si>
  <si>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</si>
  <si>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</si>
  <si>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</si>
  <si>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</si>
  <si>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</si>
  <si>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</si>
  <si>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</si>
  <si>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</si>
  <si>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</si>
  <si>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</si>
  <si>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</si>
  <si>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</si>
  <si>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</si>
  <si>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</si>
  <si>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</si>
  <si>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</si>
  <si>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</si>
  <si>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</si>
  <si>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</si>
  <si>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</si>
  <si>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</si>
  <si>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</si>
  <si>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</si>
  <si>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</si>
  <si>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</si>
  <si>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</si>
  <si>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</si>
  <si>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</si>
  <si>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</si>
  <si>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</si>
  <si>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</si>
  <si>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</si>
  <si>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</si>
  <si>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</si>
  <si>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</si>
  <si>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</si>
  <si>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</si>
  <si>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</si>
  <si>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</si>
  <si>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</si>
  <si>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</si>
  <si>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</si>
  <si>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</si>
  <si>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</si>
  <si>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</si>
  <si>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</si>
  <si>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</si>
  <si>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</si>
  <si>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</si>
  <si>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</si>
  <si>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</si>
  <si>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</si>
  <si>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</si>
  <si>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</si>
  <si>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</si>
  <si>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</si>
  <si>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</si>
  <si>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</si>
  <si>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</si>
  <si>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</si>
  <si>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</si>
  <si>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</si>
  <si>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</si>
  <si>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</si>
  <si>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</si>
  <si>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</si>
  <si>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</si>
  <si>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</si>
  <si>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</si>
  <si>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</si>
  <si>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</si>
  <si>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</si>
  <si>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</si>
  <si>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</si>
  <si>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</si>
  <si>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</si>
  <si>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</si>
  <si>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</si>
  <si>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</si>
  <si>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</si>
  <si>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</si>
  <si>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</si>
  <si>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</si>
  <si>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</si>
  <si>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</si>
  <si>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</si>
  <si>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</si>
  <si>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</si>
  <si>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</si>
  <si>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</si>
  <si>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</si>
  <si>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</si>
  <si>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</si>
  <si>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</si>
  <si>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</si>
  <si>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</si>
  <si>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</si>
  <si>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</si>
  <si>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</si>
  <si>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</si>
  <si>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</si>
  <si>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</si>
  <si>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</si>
  <si>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</si>
  <si>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</si>
  <si>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</si>
  <si>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</si>
  <si>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</si>
  <si>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</si>
  <si>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</si>
  <si>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</si>
  <si>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</si>
  <si>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</si>
  <si>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</si>
  <si>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</si>
  <si>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</si>
  <si>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</si>
  <si>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</si>
  <si>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</si>
  <si>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</si>
  <si>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</si>
  <si>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</si>
  <si>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</si>
  <si>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</si>
  <si>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</si>
  <si>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</si>
  <si>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</si>
  <si>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</si>
  <si>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</si>
  <si>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</si>
  <si>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</si>
  <si>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</si>
  <si>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</si>
  <si>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</si>
  <si>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</si>
  <si>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</si>
  <si>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</si>
  <si>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</si>
  <si>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</si>
  <si>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</si>
  <si>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</si>
  <si>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</si>
  <si>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</si>
  <si>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</si>
  <si>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</si>
  <si>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</si>
  <si>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</si>
  <si>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</si>
  <si>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</si>
  <si>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</si>
  <si>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</si>
  <si>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</si>
  <si>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</si>
  <si>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</si>
  <si>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</si>
  <si>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</si>
  <si>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</si>
  <si>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</si>
  <si>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</si>
  <si>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</si>
  <si>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</si>
  <si>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</si>
  <si>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</si>
  <si>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</si>
  <si>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</si>
  <si>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</si>
  <si>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</si>
  <si>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</si>
  <si>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</si>
  <si>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</si>
  <si>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</si>
  <si>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</si>
  <si>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</si>
  <si>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</si>
  <si>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</si>
  <si>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</si>
  <si>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</si>
  <si>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</si>
  <si>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</si>
  <si>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</si>
  <si>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</si>
  <si>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</si>
  <si>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</si>
  <si>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</si>
  <si>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</si>
  <si>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</si>
  <si>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</si>
  <si>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</si>
  <si>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</si>
  <si>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</si>
  <si>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</si>
  <si>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</si>
  <si>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</si>
  <si>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</si>
  <si>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</si>
  <si>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</si>
  <si>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</si>
  <si>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</si>
  <si>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</si>
  <si>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</si>
  <si>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</si>
  <si>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</si>
  <si>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</si>
  <si>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</si>
  <si>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</si>
  <si>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</si>
  <si>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</si>
  <si>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</si>
  <si>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</si>
  <si>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</si>
  <si>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</si>
  <si>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</si>
  <si>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</si>
  <si>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</si>
  <si>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</si>
  <si>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</si>
  <si>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</si>
  <si>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</si>
  <si>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</si>
  <si>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</si>
  <si>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</si>
  <si>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</si>
  <si>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</si>
  <si>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</si>
  <si>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</si>
  <si>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</si>
  <si>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</si>
  <si>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</si>
  <si>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</si>
  <si>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</si>
  <si>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</si>
  <si>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</si>
  <si>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</si>
  <si>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</si>
  <si>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</si>
  <si>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</si>
  <si>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</si>
  <si>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</si>
  <si>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</si>
  <si>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</si>
  <si>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</si>
  <si>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</si>
  <si>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</si>
  <si>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</si>
  <si>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</si>
  <si>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</si>
  <si>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</si>
  <si>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</si>
  <si>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</si>
  <si>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</si>
  <si>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</si>
  <si>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</si>
  <si>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</si>
  <si>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</si>
  <si>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</si>
  <si>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</si>
  <si>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</si>
  <si>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</si>
  <si>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</si>
  <si>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</si>
  <si>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</si>
  <si>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</si>
  <si>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</si>
  <si>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</si>
  <si>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</si>
  <si>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</si>
  <si>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</si>
  <si>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</si>
  <si>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</si>
  <si>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</si>
  <si>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</si>
  <si>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</si>
  <si>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</si>
  <si>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</si>
  <si>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</si>
  <si>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</si>
  <si>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</si>
  <si>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</si>
  <si>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</si>
  <si>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</si>
  <si>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</si>
  <si>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</si>
  <si>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</si>
  <si>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</si>
  <si>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</si>
  <si>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</si>
  <si>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</si>
  <si>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</si>
  <si>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</si>
  <si>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</si>
  <si>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</si>
  <si>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</si>
  <si>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</si>
  <si>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</si>
  <si>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</si>
  <si>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</si>
  <si>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</si>
  <si>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</si>
  <si>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</si>
  <si>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</si>
  <si>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</si>
  <si>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</si>
  <si>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</si>
  <si>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</si>
  <si>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</si>
  <si>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</si>
  <si>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</si>
  <si>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</si>
  <si>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</si>
  <si>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</si>
  <si>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</si>
  <si>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</si>
  <si>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</si>
  <si>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</si>
  <si>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</si>
  <si>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</si>
  <si>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</si>
  <si>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</si>
  <si>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</si>
  <si>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</si>
  <si>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</si>
  <si>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</si>
  <si>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</si>
  <si>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</si>
  <si>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</si>
  <si>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</si>
  <si>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</si>
  <si>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</si>
  <si>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</si>
  <si>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</si>
  <si>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</si>
  <si>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</si>
  <si>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</si>
  <si>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</si>
  <si>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</si>
  <si>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</si>
  <si>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</si>
  <si>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</si>
  <si>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</si>
  <si>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</si>
  <si>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</si>
  <si>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</si>
  <si>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</si>
  <si>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</si>
  <si>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</si>
  <si>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</si>
  <si>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</si>
  <si>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</si>
  <si>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</si>
  <si>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</si>
  <si>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</si>
  <si>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</si>
  <si>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</si>
  <si>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</si>
  <si>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</si>
  <si>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</si>
  <si>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</si>
  <si>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</si>
  <si>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</si>
  <si>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</si>
  <si>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</si>
  <si>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</si>
  <si>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</si>
  <si>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</si>
  <si>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</si>
  <si>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</si>
  <si>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</si>
  <si>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</si>
  <si>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</si>
  <si>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</si>
  <si>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</si>
  <si>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</si>
  <si>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</si>
  <si>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</si>
  <si>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</si>
  <si>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</si>
  <si>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</si>
  <si>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</si>
  <si>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</si>
  <si>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</si>
  <si>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</si>
  <si>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</si>
  <si>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</si>
  <si>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</si>
  <si>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</si>
  <si>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</si>
  <si>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</si>
  <si>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</si>
  <si>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</si>
  <si>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</si>
  <si>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</si>
  <si>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</si>
  <si>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</si>
  <si>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</si>
  <si>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</si>
  <si>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</si>
  <si>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</si>
  <si>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</si>
  <si>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</si>
  <si>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</si>
  <si>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</si>
  <si>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</si>
  <si>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</si>
  <si>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</si>
  <si>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</si>
  <si>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</si>
  <si>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</si>
  <si>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</si>
  <si>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</si>
  <si>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</si>
  <si>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</si>
  <si>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</si>
  <si>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</si>
  <si>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</si>
  <si>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</si>
  <si>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</si>
  <si>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</si>
  <si>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</si>
  <si>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</si>
  <si>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</si>
  <si>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</si>
  <si>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</si>
  <si>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</si>
  <si>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</si>
  <si>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</si>
  <si>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</si>
  <si>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</si>
  <si>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</si>
  <si>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</si>
  <si>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</si>
  <si>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</si>
  <si>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</si>
  <si>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</si>
  <si>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</si>
  <si>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</si>
  <si>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</si>
  <si>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</si>
  <si>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</si>
  <si>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</si>
  <si>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</si>
  <si>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</si>
  <si>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</si>
  <si>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</si>
  <si>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</si>
  <si>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</si>
  <si>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</si>
  <si>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</si>
  <si>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</si>
  <si>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</si>
  <si>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</si>
  <si>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</si>
  <si>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</si>
  <si>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</si>
  <si>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</si>
  <si>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</si>
  <si>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</si>
  <si>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</si>
  <si>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</si>
  <si>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</si>
  <si>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</si>
  <si>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</si>
  <si>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</si>
  <si>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</si>
  <si>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</si>
  <si>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</si>
  <si>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</si>
  <si>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</si>
  <si>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</si>
  <si>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</si>
  <si>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</si>
  <si>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</si>
  <si>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</si>
  <si>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</si>
  <si>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</si>
  <si>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</si>
  <si>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</si>
  <si>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</si>
  <si>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</si>
  <si>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</si>
  <si>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</si>
  <si>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</si>
  <si>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</si>
  <si>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</si>
  <si>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</si>
  <si>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</si>
  <si>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</si>
  <si>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</si>
  <si>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</si>
  <si>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</si>
  <si>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</si>
  <si>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</si>
  <si>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</si>
  <si>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</si>
  <si>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</si>
  <si>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</si>
  <si>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</si>
  <si>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</si>
  <si>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</si>
  <si>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</si>
  <si>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</si>
  <si>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</si>
  <si>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</si>
  <si>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</si>
  <si>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</si>
  <si>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</si>
  <si>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</si>
  <si>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</si>
  <si>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</si>
  <si>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</si>
  <si>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</si>
  <si>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</si>
  <si>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</si>
  <si>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</si>
  <si>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</si>
  <si>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</si>
  <si>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</si>
  <si>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</si>
  <si>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</si>
  <si>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</si>
  <si>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</si>
  <si>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</si>
  <si>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</si>
  <si>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</si>
  <si>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</si>
  <si>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</si>
  <si>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</si>
  <si>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</si>
  <si>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</si>
  <si>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</si>
  <si>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</si>
  <si>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</si>
  <si>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</si>
  <si>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</si>
  <si>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</si>
  <si>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</si>
  <si>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</si>
  <si>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</si>
  <si>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</si>
  <si>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</si>
  <si>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</si>
  <si>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</si>
  <si>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</si>
  <si>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</si>
  <si>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</si>
  <si>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</si>
  <si>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</si>
  <si>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</si>
  <si>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</si>
  <si>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</si>
  <si>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</si>
  <si>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</si>
  <si>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</si>
  <si>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</si>
  <si>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</si>
  <si>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</si>
  <si>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</si>
  <si>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</si>
  <si>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</si>
  <si>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</si>
  <si>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</si>
  <si>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</si>
  <si>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</si>
  <si>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</si>
  <si>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</si>
  <si>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</si>
  <si>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</si>
  <si>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</si>
  <si>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</si>
  <si>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</si>
  <si>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</si>
  <si>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</si>
  <si>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</si>
  <si>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</si>
  <si>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</si>
  <si>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</si>
  <si>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</si>
  <si>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</si>
  <si>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</si>
  <si>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</si>
  <si>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</si>
  <si>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</si>
  <si>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</si>
  <si>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</si>
  <si>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</si>
  <si>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</si>
  <si>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</si>
  <si>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</si>
  <si>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</si>
  <si>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</si>
  <si>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</si>
  <si>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</si>
  <si>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</si>
  <si>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</si>
  <si>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</si>
  <si>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</si>
  <si>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</si>
  <si>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</si>
  <si>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</si>
  <si>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</si>
  <si>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</si>
  <si>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</si>
  <si>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</si>
  <si>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</si>
  <si>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</si>
  <si>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</si>
  <si>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</si>
  <si>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</si>
  <si>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</si>
  <si>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</si>
  <si>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</si>
  <si>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</si>
  <si>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</si>
  <si>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</si>
  <si>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</si>
  <si>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</si>
  <si>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</si>
  <si>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</si>
  <si>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</si>
  <si>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</si>
  <si>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</si>
  <si>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</si>
  <si>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</si>
  <si>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</si>
  <si>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</si>
  <si>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</si>
  <si>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</si>
  <si>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</si>
  <si>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</si>
  <si>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</si>
  <si>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</si>
  <si>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</si>
  <si>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</si>
  <si>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</si>
  <si>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</si>
  <si>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</si>
  <si>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</si>
  <si>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</si>
  <si>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</si>
  <si>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</si>
  <si>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</si>
  <si>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</si>
  <si>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</si>
  <si>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</si>
  <si>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</si>
  <si>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</si>
  <si>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</si>
  <si>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</si>
  <si>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</si>
  <si>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</si>
  <si>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</si>
  <si>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</si>
  <si>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</si>
  <si>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</si>
  <si>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</si>
  <si>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</si>
  <si>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</si>
  <si>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</si>
  <si>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</si>
  <si>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</si>
  <si>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</si>
  <si>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</si>
  <si>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</si>
  <si>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</si>
  <si>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</si>
  <si>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</si>
  <si>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</si>
  <si>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</si>
  <si>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</si>
  <si>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</si>
  <si>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</si>
  <si>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</si>
  <si>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</si>
  <si>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</si>
  <si>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</si>
  <si>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</si>
  <si>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</si>
  <si>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</si>
  <si>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</si>
  <si>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</si>
  <si>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</si>
  <si>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</si>
  <si>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</si>
  <si>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</si>
  <si>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</si>
  <si>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</si>
  <si>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</si>
  <si>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</si>
  <si>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</si>
  <si>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</si>
  <si>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</si>
  <si>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</si>
  <si>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</si>
  <si>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</si>
  <si>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</si>
  <si>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</si>
  <si>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</si>
  <si>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</si>
  <si>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</si>
  <si>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</si>
  <si>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</si>
  <si>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</si>
  <si>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</si>
  <si>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</si>
  <si>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</si>
  <si>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</si>
  <si>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</si>
  <si>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</si>
  <si>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</si>
  <si>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</si>
  <si>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</si>
  <si>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</si>
  <si>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</si>
  <si>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</si>
  <si>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</si>
  <si>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</si>
  <si>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</si>
  <si>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</si>
  <si>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</si>
  <si>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</si>
  <si>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</si>
  <si>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</si>
  <si>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</si>
  <si>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</si>
  <si>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</si>
  <si>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</si>
  <si>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</si>
  <si>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</si>
  <si>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</si>
  <si>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</si>
  <si>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</si>
  <si>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</si>
  <si>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</si>
  <si>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</si>
  <si>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</si>
  <si>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</si>
  <si>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</si>
  <si>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</si>
  <si>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</si>
  <si>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</si>
  <si>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</si>
  <si>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</si>
  <si>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</si>
  <si>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</si>
  <si>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</si>
  <si>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</si>
  <si>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</si>
  <si>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</si>
  <si>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</si>
  <si>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</si>
  <si>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</si>
  <si>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</si>
  <si>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</si>
  <si>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</si>
  <si>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</si>
  <si>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</si>
  <si>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</si>
  <si>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</si>
  <si>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</si>
  <si>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</si>
  <si>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</si>
  <si>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</si>
  <si>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</si>
  <si>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</si>
  <si>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</si>
  <si>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</si>
  <si>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</si>
  <si>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</si>
  <si>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</si>
  <si>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</si>
  <si>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</si>
  <si>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</si>
  <si>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</si>
  <si>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</si>
  <si>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</si>
  <si>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</si>
  <si>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</si>
  <si>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</si>
  <si>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</si>
  <si>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</si>
  <si>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</si>
  <si>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</si>
  <si>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</si>
  <si>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</si>
  <si>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</si>
  <si>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</si>
  <si>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</si>
  <si>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</si>
  <si>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</si>
  <si>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</si>
  <si>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</si>
  <si>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</si>
  <si>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</si>
  <si>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</si>
  <si>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</si>
  <si>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</si>
  <si>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</si>
  <si>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</si>
  <si>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</si>
  <si>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</si>
  <si>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</si>
  <si>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</si>
  <si>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</si>
  <si>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</si>
  <si>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</si>
  <si>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</si>
  <si>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</si>
  <si>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</si>
  <si>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</si>
  <si>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</si>
  <si>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</si>
  <si>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</si>
  <si>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</si>
  <si>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</si>
  <si>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</si>
  <si>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</si>
  <si>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</si>
  <si>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</si>
  <si>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</si>
  <si>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</si>
  <si>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</si>
  <si>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</si>
  <si>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</si>
  <si>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</si>
  <si>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</si>
  <si>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</si>
  <si>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</si>
  <si>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</si>
  <si>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</si>
  <si>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</si>
  <si>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</si>
  <si>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</si>
  <si>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</si>
  <si>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</si>
  <si>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</si>
  <si>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</si>
  <si>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</si>
  <si>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</si>
  <si>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</si>
  <si>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</si>
  <si>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</si>
  <si>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</si>
  <si>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</si>
  <si>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</si>
  <si>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</si>
  <si>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</si>
  <si>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</si>
  <si>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</si>
  <si>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</si>
  <si>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</si>
  <si>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</si>
  <si>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</si>
  <si>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</si>
  <si>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</si>
  <si>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</si>
  <si>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</si>
  <si>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</si>
  <si>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</si>
  <si>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</si>
  <si>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</si>
  <si>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</si>
  <si>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</si>
  <si>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</si>
  <si>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</si>
  <si>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</si>
  <si>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</si>
  <si>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</si>
  <si>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</si>
  <si>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</si>
  <si>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</si>
  <si>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</si>
  <si>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</si>
  <si>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</si>
  <si>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</si>
  <si>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</si>
  <si>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</si>
  <si>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</si>
  <si>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</si>
  <si>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</si>
  <si>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</si>
  <si>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</si>
  <si>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</si>
  <si>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</si>
  <si>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</si>
  <si>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</si>
  <si>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</si>
  <si>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</si>
  <si>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</si>
  <si>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</si>
  <si>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</si>
  <si>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</si>
  <si>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</si>
  <si>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</si>
  <si>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</si>
  <si>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</si>
  <si>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</si>
  <si>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</si>
  <si>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</si>
  <si>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</si>
  <si>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</si>
  <si>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</si>
  <si>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</si>
  <si>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</si>
  <si>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</si>
  <si>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</si>
  <si>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</si>
  <si>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</si>
  <si>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</si>
  <si>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</si>
  <si>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</si>
  <si>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</si>
  <si>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</si>
  <si>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</si>
  <si>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</si>
  <si>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</si>
  <si>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</si>
  <si>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</si>
  <si>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</si>
  <si>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</si>
  <si>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</si>
  <si>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</si>
  <si>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</si>
  <si>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</si>
  <si>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</si>
  <si>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</si>
  <si>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</si>
  <si>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</si>
  <si>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</si>
  <si>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</si>
  <si>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</si>
  <si>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</si>
  <si>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</si>
  <si>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</si>
  <si>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</si>
  <si>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</si>
  <si>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</si>
  <si>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</si>
  <si>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</si>
  <si>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</si>
  <si>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</si>
  <si>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</si>
  <si>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</si>
  <si>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</si>
  <si>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</si>
  <si>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</si>
  <si>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</si>
  <si>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</si>
  <si>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</si>
  <si>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</si>
  <si>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</si>
  <si>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</si>
  <si>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</si>
  <si>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</si>
  <si>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</si>
  <si>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</si>
  <si>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</si>
  <si>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</si>
  <si>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</si>
  <si>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</si>
  <si>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</si>
  <si>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</si>
  <si>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</si>
  <si>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</si>
  <si>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</si>
  <si>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</si>
  <si>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</si>
  <si>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</si>
  <si>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</si>
  <si>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</si>
  <si>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</si>
  <si>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</si>
  <si>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</si>
  <si>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</si>
  <si>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</si>
  <si>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</si>
  <si>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</si>
  <si>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</si>
  <si>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</si>
  <si>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</si>
  <si>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</si>
  <si>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</si>
  <si>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</si>
  <si>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</si>
  <si>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</si>
  <si>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</si>
  <si>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</si>
  <si>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</si>
  <si>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</si>
  <si>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</si>
  <si>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</si>
  <si>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</si>
  <si>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</si>
  <si>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</si>
  <si>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</si>
  <si>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</si>
  <si>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</si>
  <si>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</si>
  <si>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</si>
  <si>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</si>
  <si>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</si>
  <si>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</si>
  <si>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</si>
  <si>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</si>
  <si>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</si>
  <si>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</si>
  <si>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</si>
  <si>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</si>
  <si>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</si>
  <si>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</si>
  <si>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</si>
  <si>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</si>
  <si>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</si>
  <si>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</si>
  <si>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</si>
  <si>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</si>
  <si>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</si>
  <si>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</si>
  <si>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</si>
  <si>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</si>
  <si>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</si>
  <si>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</si>
  <si>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</si>
  <si>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</si>
  <si>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</si>
  <si>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</si>
  <si>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</si>
  <si>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</si>
  <si>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</si>
  <si>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</si>
  <si>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</si>
  <si>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</si>
  <si>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</si>
  <si>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</si>
  <si>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</si>
  <si>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</si>
  <si>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</si>
  <si>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</si>
  <si>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</si>
  <si>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</si>
  <si>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</si>
  <si>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</si>
  <si>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</si>
  <si>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</si>
  <si>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</si>
  <si>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</si>
  <si>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</si>
  <si>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</si>
  <si>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</si>
  <si>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</si>
  <si>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</si>
  <si>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</si>
  <si>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</si>
  <si>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</si>
  <si>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</si>
  <si>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</si>
  <si>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</si>
  <si>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</si>
  <si>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</si>
  <si>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</si>
  <si>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</si>
  <si>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</si>
  <si>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</si>
  <si>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</si>
  <si>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</si>
  <si>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</si>
  <si>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</si>
  <si>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</si>
  <si>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</si>
  <si>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</si>
  <si>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</si>
  <si>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</si>
  <si>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</si>
  <si>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</si>
  <si>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</si>
  <si>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</si>
  <si>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</si>
  <si>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</si>
  <si>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</si>
  <si>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</si>
  <si>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</si>
  <si>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</si>
  <si>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</si>
  <si>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</si>
  <si>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Warengruppe&gt;&gt;Früchte und Gemüse&gt;&gt;Früchte und Gemüse&gt;&gt;Früchte</t>
  </si>
  <si>
    <t>false</t>
  </si>
  <si>
    <t>Kassentastenbelegung (ohne GTIN/PLU)</t>
  </si>
  <si>
    <t>Äpfel Boskoop Offen Kl. 1</t>
  </si>
  <si>
    <t>Pommes Boskoop En vrac, cl. 1</t>
  </si>
  <si>
    <t>Mele Boskoop Cl. 1 vendita sfusa</t>
  </si>
  <si>
    <t>Bio Clémentines En vrac</t>
  </si>
  <si>
    <t>Clémentines + feuilles En vrac</t>
  </si>
  <si>
    <t>Clementine con foglia vendita sfusa</t>
  </si>
  <si>
    <t>Pommes Cox Orange En vrac, cl. 1</t>
  </si>
  <si>
    <t>Mele Cox Orange Cl. 1 vendita sfusa</t>
  </si>
  <si>
    <t>Pommes Elstar En vrac, cl. 1</t>
  </si>
  <si>
    <t>Mele Elstar Cl. 1 vendita sfusa</t>
  </si>
  <si>
    <t>Pommes Elstar Cl. 1 emballé</t>
  </si>
  <si>
    <t>Mele Elstar Cl. 1 confezionato</t>
  </si>
  <si>
    <t>Pêches plates En vrac</t>
  </si>
  <si>
    <t>Pesche tabacchiera vendita sfusa</t>
  </si>
  <si>
    <t>Pommes Gala En vrac, cl. 1</t>
  </si>
  <si>
    <t>Mele Gala Cl. 1 vendita sfusa</t>
  </si>
  <si>
    <t>Pommes Gala Cl. 1 emballé</t>
  </si>
  <si>
    <t>Mele Gala Cl. 1 confezionato</t>
  </si>
  <si>
    <t>Äpfel Gala TT Kl. 1 1.5kg</t>
  </si>
  <si>
    <t>Pommes Gala Cl. 1 1.5kg</t>
  </si>
  <si>
    <t>Mele Gala TT Cl. 1 1.5kg</t>
  </si>
  <si>
    <t>Äpfel Gala TT Kl. 2 1.5kg</t>
  </si>
  <si>
    <t>Pommes Gala Cl. 2 1.5kg</t>
  </si>
  <si>
    <t>Mele Gala TT Cl. 2 1.5kg</t>
  </si>
  <si>
    <t>Bio Pommes Golden Cl. 1 emballé</t>
  </si>
  <si>
    <t>Bio Mele Gala Cl. 1 confezionato</t>
  </si>
  <si>
    <t>Pommes Galmac En vrac, cl. 1</t>
  </si>
  <si>
    <t>Mele Galmac Cl. 1 vendita sfusa</t>
  </si>
  <si>
    <t>Pommes Galmac Cl. 1 emballé</t>
  </si>
  <si>
    <t>Mele Galmac Cl. 1 confezionato</t>
  </si>
  <si>
    <t>Pommes Golden Cl. 1 emballé</t>
  </si>
  <si>
    <t>Mele Golden Cl. 1 confezionato</t>
  </si>
  <si>
    <t>Pommes Golden En vrac, cl. 2</t>
  </si>
  <si>
    <t>Mele Golden Cl. 2 vendita sfusa</t>
  </si>
  <si>
    <t>Äpfel Golden TT 1.5kg</t>
  </si>
  <si>
    <t>Pommes Golden sac 1.5kg</t>
  </si>
  <si>
    <t>Äpfel Granny Smith Offen Kl. 1</t>
  </si>
  <si>
    <t>Pommes Granny Smith En vrac, cl. 1</t>
  </si>
  <si>
    <t>Mele Granny Smith Cl. 1 vendita sfusa</t>
  </si>
  <si>
    <t>Äpfel Granny Smith Kl. 1 gepackt</t>
  </si>
  <si>
    <t>Pommes Granny Smith Cl. 1 emballé</t>
  </si>
  <si>
    <t>Mele Granny Smith Cl. 1 confezionato</t>
  </si>
  <si>
    <t>Grapefruits rot Netz 2Stk</t>
  </si>
  <si>
    <t>Pamplemousses rouges Filet 2pces</t>
  </si>
  <si>
    <t>Pompelmi rossi retina 2pz</t>
  </si>
  <si>
    <t>Pamplemousses jaune pce</t>
  </si>
  <si>
    <t>Äpfel Gravensteiner Offen Kl. 1</t>
  </si>
  <si>
    <t>Pommes Gravensteiner En vrac, cl. 1</t>
  </si>
  <si>
    <t>Mele Gravensteiner Cl. 1 vendita sfusa</t>
  </si>
  <si>
    <t>Äpfel Gravensteiner Kl. 1 gepackt</t>
  </si>
  <si>
    <t>Pommes Gravensteiner Cl. 1 emballé</t>
  </si>
  <si>
    <t>Mele Gravensteiner Cl. 1 confezionato</t>
  </si>
  <si>
    <t>Pommes Jazz En vrac, cl. 1</t>
  </si>
  <si>
    <t>Mele Jazz Cl. 1 vendita sfusa</t>
  </si>
  <si>
    <t>Pommes Jazz Cl. 1 emballé</t>
  </si>
  <si>
    <t>Mele Jazz Cl. 1 confezionato</t>
  </si>
  <si>
    <t>Raisinets Barquette 250g</t>
  </si>
  <si>
    <t>Pommes Jonagold En vrac, cl. 2</t>
  </si>
  <si>
    <t>Mele Jonagold Cl. 2 vendita sfusa</t>
  </si>
  <si>
    <t>Kakis Emballé</t>
  </si>
  <si>
    <t>Cerises En vrac</t>
  </si>
  <si>
    <t>Kokosnuss 1Stk</t>
  </si>
  <si>
    <t>Noix de coco 1pce</t>
  </si>
  <si>
    <t>Noce di cocco 1pz</t>
  </si>
  <si>
    <t>Noix de coco Gobelet 80g</t>
  </si>
  <si>
    <t>Noce di cocco bicchiere 80g</t>
  </si>
  <si>
    <t>Citrons verts Emballé</t>
  </si>
  <si>
    <t>Marrons Filet 750g</t>
  </si>
  <si>
    <t>Melonen Charentais 1Stk</t>
  </si>
  <si>
    <t>Melons charentais 1pce</t>
  </si>
  <si>
    <t>Meloni Charentais 1pz</t>
  </si>
  <si>
    <t>Melonen Jolly 1Stk</t>
  </si>
  <si>
    <t>Melons Jolly 1pce</t>
  </si>
  <si>
    <t>Meloni Jolly 1pz</t>
  </si>
  <si>
    <t>Melonen Limelon 1Stk</t>
  </si>
  <si>
    <t>Melons Limelon 1pce</t>
  </si>
  <si>
    <t>Meloni Limelon 1pz</t>
  </si>
  <si>
    <t>Melonen Netz 1Stk</t>
  </si>
  <si>
    <t>Melons, filet 1pce</t>
  </si>
  <si>
    <t>Meloni retificati 1pz</t>
  </si>
  <si>
    <t>Wassermelonen Dumara kg</t>
  </si>
  <si>
    <t>Wassermelonen gelb kg</t>
  </si>
  <si>
    <t>Pastèques Jaune kg</t>
  </si>
  <si>
    <t>Angurie Giallo kg</t>
  </si>
  <si>
    <t>Wassermelonen Mini 1Stk</t>
  </si>
  <si>
    <t>Pastèques Mini 1pce</t>
  </si>
  <si>
    <t>Angurie Mini 1pz</t>
  </si>
  <si>
    <t>Melonen weiss 1Stk</t>
  </si>
  <si>
    <t>Melons blancs 1pce</t>
  </si>
  <si>
    <t>Meloni bianchi 1pz</t>
  </si>
  <si>
    <t>Melons Gobelet 200g</t>
  </si>
  <si>
    <t>Pommes Milwa Cl. 1 emballé</t>
  </si>
  <si>
    <t>Mele Milwa Cl. 1 confezionato</t>
  </si>
  <si>
    <t>Mirabelles En vrac</t>
  </si>
  <si>
    <t>Poires Nashi En vrac, cl. 1</t>
  </si>
  <si>
    <t>Pere Nashi Cl. 1 vendita sfusa</t>
  </si>
  <si>
    <t>Bio Nectarines Barquette 500g</t>
  </si>
  <si>
    <t>Nectarines blanches A En vrac</t>
  </si>
  <si>
    <t>Nettarine bianche A vendita sfusa</t>
  </si>
  <si>
    <t>Oranges blondes Filet 1kg</t>
  </si>
  <si>
    <t>Arance bionde retina 1kg</t>
  </si>
  <si>
    <t>Oranges Moro En vrac</t>
  </si>
  <si>
    <t>Bio Pêches En vrac</t>
  </si>
  <si>
    <t>Pêches blanches En vrac</t>
  </si>
  <si>
    <t>Pesche bianche vendita sfusa</t>
  </si>
  <si>
    <t>Prunes jaunes En vrac</t>
  </si>
  <si>
    <t>Prunes jaunes Barquette 500g</t>
  </si>
  <si>
    <t>Mélange de prunes Barquette 500g</t>
  </si>
  <si>
    <t>Prugne assortite vaschetta 500g</t>
  </si>
  <si>
    <t>Prunes rouges En vrac</t>
  </si>
  <si>
    <t>Äpfel Pink Lady Kl. 1 gepackt</t>
  </si>
  <si>
    <t>Pommes Pink Lady Cl. 1 emballé</t>
  </si>
  <si>
    <t>Mele Pink Lady Cl. 1 confezionato</t>
  </si>
  <si>
    <t>Pommes Pinova En vrac, cl. 1</t>
  </si>
  <si>
    <t>Mele Pinova Cl. 1 vendita sfusa</t>
  </si>
  <si>
    <t>Pommes Pinova Cl. 1 emballé</t>
  </si>
  <si>
    <t>Mele Pinova Cl. 1 confezionato</t>
  </si>
  <si>
    <t>Äpfel Red Delicious Offen Kl. 1</t>
  </si>
  <si>
    <t>Pommes Red Delicious En vrac, cl. 1</t>
  </si>
  <si>
    <t>Mele Red Delicious Cl. 1 vendita sfusa</t>
  </si>
  <si>
    <t>Äpfel Red Delicious Kl. 1 gepackt</t>
  </si>
  <si>
    <t>Pommes Red Delicious Cl. 1 emballé</t>
  </si>
  <si>
    <t>Mele Red Delicious Cl. 1 confezionato</t>
  </si>
  <si>
    <t>Pommes Rubens En vrac, cl. 1</t>
  </si>
  <si>
    <t>Mele Rubens Cl. 1 vendita sfusa</t>
  </si>
  <si>
    <t>Pommes Rubens Cl. 1 emballé</t>
  </si>
  <si>
    <t>Mele Rubens Cl. 1 confezionato</t>
  </si>
  <si>
    <t>Pommes Rubinette En vrac, cl. 1</t>
  </si>
  <si>
    <t>Mele Rubinette Cl. 1 vendita sfusa</t>
  </si>
  <si>
    <t>Pommes Rubinette Cl. 1</t>
  </si>
  <si>
    <t>Mele Rubinette Cl. 1</t>
  </si>
  <si>
    <t>Saison Becher Typ1 200g</t>
  </si>
  <si>
    <t>Stagione Bicchiere tipo 1 200g</t>
  </si>
  <si>
    <t>Saison Becher Typ2 200g</t>
  </si>
  <si>
    <t>Stagione Bicchiere tipo 2 200g</t>
  </si>
  <si>
    <t>Satsumas En vrac</t>
  </si>
  <si>
    <t>Pommes Summerred En vrac, cl. 1</t>
  </si>
  <si>
    <t>Mele Summerred Cl. 1 vendita sfusa</t>
  </si>
  <si>
    <t>Äpfel Sweet Tango Kl. 1 gepackt</t>
  </si>
  <si>
    <t>Pommes Sweet Tango Cl. 1 emballé</t>
  </si>
  <si>
    <t>Mele Sweet Tango Cl. 1 confezionato</t>
  </si>
  <si>
    <t>Bio Äpfel Topaz Kl. 1 gepackt</t>
  </si>
  <si>
    <t>Bio Pommes Topaz Cl. 1 emballé</t>
  </si>
  <si>
    <t>Bio Mele Topazio Cl. 1 confezionato</t>
  </si>
  <si>
    <t>Raisins mélange Emballé env. 500g</t>
  </si>
  <si>
    <t>Uva mista confezionato ca. 500g</t>
  </si>
  <si>
    <t>Raisins rosé Red Globe En vrac</t>
  </si>
  <si>
    <t>Uva Rosa Red Globe vendita sfusa</t>
  </si>
  <si>
    <t>Trauben rose Red Globe gepackt</t>
  </si>
  <si>
    <t>Raisins rosé Red Globe Emballé</t>
  </si>
  <si>
    <t>Uva Rosa Red Globe confezionato</t>
  </si>
  <si>
    <t>Trauben weiss Vittoria Schale 1kg</t>
  </si>
  <si>
    <t>Raisins bl. Vittoria Barquette 1kg</t>
  </si>
  <si>
    <t>Uva bianca Vittoria vaschetta 1kg</t>
  </si>
  <si>
    <t>Bio Citrons Filet 500g</t>
  </si>
  <si>
    <t>Citrons En vrac</t>
  </si>
  <si>
    <t>Warengruppe&gt;&gt;Früchte und Gemüse&gt;&gt;Früchte und Gemüse&gt;&gt;Gemüse</t>
  </si>
  <si>
    <t>Guacamole Barquette 500g</t>
  </si>
  <si>
    <t>Chou rouge cuit Sachet 500g</t>
  </si>
  <si>
    <t>Cavolo rosso cotto sacchetto 500g</t>
  </si>
  <si>
    <t>Choucroute crue Sachet 500g</t>
  </si>
  <si>
    <t>Crauti crudi sacchetto 500g</t>
  </si>
  <si>
    <t>Compote aux raves Sachet 500g</t>
  </si>
  <si>
    <t>Rape fermentate sacchetto 500g</t>
  </si>
  <si>
    <t>Schnittlauch Bund 1Stk</t>
  </si>
  <si>
    <t>Ciboulette Bouquet 1pce</t>
  </si>
  <si>
    <t>Erba cipollina mazzetto 1pz</t>
  </si>
  <si>
    <t>Auberginen ca. 300-400g, gepackt 1Stk</t>
  </si>
  <si>
    <t>Aubergines 300-400g Emballé 1pce</t>
  </si>
  <si>
    <t>Melanzane ca 300-400g confezionato 1pz</t>
  </si>
  <si>
    <t>Bio Auberginen 1Stk</t>
  </si>
  <si>
    <t>Bio Aubergines 1pce</t>
  </si>
  <si>
    <t>Bio Melanzane 1pz</t>
  </si>
  <si>
    <t>Basilic Barquette 20g</t>
  </si>
  <si>
    <t>Bio Batavia 1Stk</t>
  </si>
  <si>
    <t>Bio Batavia 1pce</t>
  </si>
  <si>
    <t>Bio Batavia 1pz</t>
  </si>
  <si>
    <t>Batavia 1Stk</t>
  </si>
  <si>
    <t>Laitue batavia 1pce</t>
  </si>
  <si>
    <t>Batavia 1pz</t>
  </si>
  <si>
    <t>Bio Blumenkohl 1Stk</t>
  </si>
  <si>
    <t>Bio Chou-fleur 1pce</t>
  </si>
  <si>
    <t>Bio cavolfiore 1pz</t>
  </si>
  <si>
    <t>Bohnen Coco Beutel 500g</t>
  </si>
  <si>
    <t>Fagiolini piattoni sacchetto 500g</t>
  </si>
  <si>
    <t>Brocolis 500g</t>
  </si>
  <si>
    <t>Endives En vrac</t>
  </si>
  <si>
    <t>Endives Sachet 500g</t>
  </si>
  <si>
    <t>Cicoria belga sacchetto 500g</t>
  </si>
  <si>
    <t>Champignons bruns En vrac</t>
  </si>
  <si>
    <t>Champignons marrone vendita sfusa</t>
  </si>
  <si>
    <t>Champignons weiss Offen</t>
  </si>
  <si>
    <t>Champignons blancs En vrac</t>
  </si>
  <si>
    <t>Champignons bianchi vendita sfusa</t>
  </si>
  <si>
    <t>Champignons weiss Riesen 300g</t>
  </si>
  <si>
    <t>Champignons blancs Grand 300g</t>
  </si>
  <si>
    <t>Champignons bianchi grandi 300g</t>
  </si>
  <si>
    <t>Piments Habanero barquette 200g</t>
  </si>
  <si>
    <t>Peperoncini Habaneros vaschetta 200g</t>
  </si>
  <si>
    <t>Piments Jalapeno barquette 300g</t>
  </si>
  <si>
    <t>Peperoncini Jalapeno vaschetta 300g</t>
  </si>
  <si>
    <t>Chou chinois En vrac</t>
  </si>
  <si>
    <t>Bio Chinakohl 1Stk</t>
  </si>
  <si>
    <t>Bio Chou chinois 1pce</t>
  </si>
  <si>
    <t>Bio cavolo cinese 1pz</t>
  </si>
  <si>
    <t>Carottes Emballés</t>
  </si>
  <si>
    <t>Cicorino Rosso En vrac</t>
  </si>
  <si>
    <t>Cicorino Rosso 1Stk</t>
  </si>
  <si>
    <t>Cicorino Rosso 1pce</t>
  </si>
  <si>
    <t>Cicorino rosso 1pz</t>
  </si>
  <si>
    <t>Cima di Rapa Grelos En vrac</t>
  </si>
  <si>
    <t>Cime di Rapa Grelos vendita sfusa</t>
  </si>
  <si>
    <t>Bio Tomaten Datterino Schale 250g</t>
  </si>
  <si>
    <t>Bio Tomates Datterino Barquette 250g</t>
  </si>
  <si>
    <t>Bio Pomodori Datterino vaschetta 250g</t>
  </si>
  <si>
    <t>Aneth Barquette 20g</t>
  </si>
  <si>
    <t>Échalotes Filet 250g</t>
  </si>
  <si>
    <t>Eichblattsalat grün gepackt 1Stk</t>
  </si>
  <si>
    <t>Feuille de chêne vert 1pce</t>
  </si>
  <si>
    <t>Lattughino verde 1pz</t>
  </si>
  <si>
    <t>Peperoncini Chilisch. Habanero Sch. 200g</t>
  </si>
  <si>
    <t>Peperoncini Chilisch. Jalapeno Sch. 300g</t>
  </si>
  <si>
    <t>PLU</t>
  </si>
  <si>
    <t>Imp. Regio 3 - Lf Nr 443</t>
  </si>
  <si>
    <t>Imp. Regio 3 - Lf Nr 482</t>
  </si>
  <si>
    <t>Imp. Regio 3 - Lf Nr 484</t>
  </si>
  <si>
    <t>Imp. Regio 3 - Lf Nr 505</t>
  </si>
  <si>
    <t>Imp. Regio 3 - Lf Nr 546</t>
  </si>
  <si>
    <t>Imp. Regio 3 - Lf Nr 563</t>
  </si>
  <si>
    <t>Imp. Regio 3 - Lf Nr 564</t>
  </si>
  <si>
    <t>Imp. Regio 3 - Lf Nr 565</t>
  </si>
  <si>
    <t>Imp. Regio 3 - Lf Nr 571</t>
  </si>
  <si>
    <t>Imp. Regio 3 - Lf Nr 572</t>
  </si>
  <si>
    <t>Imp. Regio 3 - Lf Nr 575</t>
  </si>
  <si>
    <t>Imp. Regio 3 - Lf Nr 576</t>
  </si>
  <si>
    <t>Imp. Regio 3 - Lf Nr 578</t>
  </si>
  <si>
    <t>Imp. Regio 3 - Lf Nr 580</t>
  </si>
  <si>
    <t>Imp. Regio 3 - Lf Nr 586</t>
  </si>
  <si>
    <t>Imp. Regio 3 - Lf Nr 587</t>
  </si>
  <si>
    <t>Imp. Regio 3 - Lf Nr 588</t>
  </si>
  <si>
    <t>Imp. Regio 3 - Lf Nr 600</t>
  </si>
  <si>
    <t>Imp. Regio 3 - Lf Nr 605</t>
  </si>
  <si>
    <t>Imp. Regio 3 - Lf Nr 610</t>
  </si>
  <si>
    <t>Imp. Regio 3 - Lf Nr 611</t>
  </si>
  <si>
    <t>Imp. Regio 3 - Lf Nr 612</t>
  </si>
  <si>
    <t>Imp. Regio 3 - Lf Nr 615</t>
  </si>
  <si>
    <t>Imp. Regio 3 - Lf Nr 616</t>
  </si>
  <si>
    <t>Imp. Regio 3 - Lf Nr 641</t>
  </si>
  <si>
    <t>Imp. Regio 3 - Lf Nr 642</t>
  </si>
  <si>
    <t>Imp. Regio 3 - Lf Nr 649</t>
  </si>
  <si>
    <t>Imp. Regio 3 - Lf Nr 650</t>
  </si>
  <si>
    <t>Imp. Regio 3 - Lf Nr 653</t>
  </si>
  <si>
    <t>Imp. Regio 3 - Lf Nr 661</t>
  </si>
  <si>
    <t>Imp. Regio 3 - Lf Nr 671</t>
  </si>
  <si>
    <t>Imp. Regio 3 - Lf Nr 714</t>
  </si>
  <si>
    <t>Imp. Regio 3 - Lf Nr 715</t>
  </si>
  <si>
    <t>Imp. Regio 3 - Lf Nr 726</t>
  </si>
  <si>
    <t>Imp. Regio 3 - Lf Nr 764</t>
  </si>
  <si>
    <t>Imp. Regio 3 - Lf Nr 785</t>
  </si>
  <si>
    <t>Imp. Regio 3 - Lf Nr 809</t>
  </si>
  <si>
    <t>Imp. Regio 3 - Lf Nr 810</t>
  </si>
  <si>
    <t>Imp. Regio 3 - Lf Nr 811</t>
  </si>
  <si>
    <t>Imp. Regio 3 - Lf Nr 825</t>
  </si>
  <si>
    <t>Imp. Regio 3 - Lf Nr 826</t>
  </si>
  <si>
    <t>Imp. Regio 3 - Lf Nr 829</t>
  </si>
  <si>
    <t>Imp. Regio 3 - Lf Nr 832</t>
  </si>
  <si>
    <t>Imp. Regio 3 - Lf Nr 833</t>
  </si>
  <si>
    <t>Imp. Regio 3 - Lf Nr 834</t>
  </si>
  <si>
    <t>Imp. Regio 3 - Lf Nr 841</t>
  </si>
  <si>
    <t>Imp. Regio 3 - Lf Nr 846</t>
  </si>
  <si>
    <t>Imp. Regio 3 - Lf Nr 863</t>
  </si>
  <si>
    <t>Imp. Regio 3 - Lf Nr 864</t>
  </si>
  <si>
    <t>Imp. Regio 3 - Lf Nr 871</t>
  </si>
  <si>
    <t>Imp. Regio 3 - Lf Nr 899</t>
  </si>
  <si>
    <t>Imp. Regio 3 - Lf Nr 904</t>
  </si>
  <si>
    <t>Imp. Regio 3 - Lf Nr 938</t>
  </si>
  <si>
    <t>Imp. Regio 3 - Lf Nr 943</t>
  </si>
  <si>
    <t>Imp. Regio 3 - Lf Nr 947</t>
  </si>
  <si>
    <t>Imp. Regio 3 - Lf Nr 956</t>
  </si>
  <si>
    <t>Imp. Regio 3 - Lf Nr 957</t>
  </si>
  <si>
    <t>Imp. Regio 3 - Lf Nr 961</t>
  </si>
  <si>
    <t>Imp. Regio 3 - Lf Nr 964</t>
  </si>
  <si>
    <t>Imp. Regio 3 - Lf Nr 972</t>
  </si>
  <si>
    <t>Imp. Regio 3 - Lf Nr 973</t>
  </si>
  <si>
    <t>Imp. Regio 3 - Lf Nr 974</t>
  </si>
  <si>
    <t>Imp. Regio 3 - Lf Nr 979</t>
  </si>
  <si>
    <t>Imp. Regio 3 - Lf Nr 987</t>
  </si>
  <si>
    <t>Imp. Regio 3 - Lf Nr 989</t>
  </si>
  <si>
    <t>Imp. Regio 3 - Lf Nr 991</t>
  </si>
  <si>
    <t>Imp. Regio 3 - Lf Nr 992</t>
  </si>
  <si>
    <t>Imp. Regio 3 - Lf Nr 993</t>
  </si>
  <si>
    <t>Imp. Regio 3 - Lf Nr 994</t>
  </si>
  <si>
    <t>Imp. Regio 3 - Lf Nr 995</t>
  </si>
  <si>
    <t>Imp. Regio 3 - Lf Nr 996</t>
  </si>
  <si>
    <t>Imp. Regio 3 - Lf Nr 998</t>
  </si>
  <si>
    <t>Imp. Regio 3 - Lf Nr 1002</t>
  </si>
  <si>
    <t>Imp. Regio 3 - Lf Nr 1005</t>
  </si>
  <si>
    <t>Imp. Regio 3 - Lf Nr 1010</t>
  </si>
  <si>
    <t>Imp. Regio 3 - Lf Nr 1036</t>
  </si>
  <si>
    <t>Imp. Regio 3 - Lf Nr 1040</t>
  </si>
  <si>
    <t>Imp. Regio 3 - Lf Nr 1043</t>
  </si>
  <si>
    <t>Imp. Regio 3 - Lf Nr 1055</t>
  </si>
  <si>
    <t>Imp. Regio 3 - Lf Nr 1066</t>
  </si>
  <si>
    <t>Imp. Regio 3 - Lf Nr 1073</t>
  </si>
  <si>
    <t>Imp. Regio 3 - Lf Nr 1090</t>
  </si>
  <si>
    <t>Imp. Regio 3 - Lf Nr 1098</t>
  </si>
  <si>
    <t>Imp. Regio 3 - Lf Nr 1114</t>
  </si>
  <si>
    <t>Imp. Regio 3 - Lf Nr 1116</t>
  </si>
  <si>
    <t>Imp. Regio 3 - Lf Nr 1118</t>
  </si>
  <si>
    <t>Imp. Regio 3 - Lf Nr 1120</t>
  </si>
  <si>
    <t>Imp. Regio 3 - Lf Nr 1121</t>
  </si>
  <si>
    <t>Imp. Regio 3 - Lf Nr 1142</t>
  </si>
  <si>
    <t>Imp. Regio 3 - Lf Nr 1146</t>
  </si>
  <si>
    <t>Imp. Regio 3 - Lf Nr 1187</t>
  </si>
  <si>
    <t>Imp. Regio 3 - Lf Nr 1197</t>
  </si>
  <si>
    <t>Imp. Regio 3 - Lf Nr 1204</t>
  </si>
  <si>
    <t>Imp. Regio 3 - Lf Nr 1237</t>
  </si>
  <si>
    <t>Imp. Regio 3 - Lf Nr 1252</t>
  </si>
  <si>
    <t>Imp. Regio 3 - Lf Nr 1253</t>
  </si>
  <si>
    <t>Imp. Regio 3 - Lf Nr 1256</t>
  </si>
  <si>
    <t>Imp. Regio 3 - Lf Nr 1282</t>
  </si>
  <si>
    <t>Imp. Regio 3 - Lf Nr 1285</t>
  </si>
  <si>
    <t>Imp. Regio 3 - Lf Nr 1290</t>
  </si>
  <si>
    <t>Imp. Regio 3 - Lf Nr 1298</t>
  </si>
  <si>
    <t>Imp. Regio 3 - Lf Nr 1307</t>
  </si>
  <si>
    <t>Imp. Regio 3 - Lf Nr 1311</t>
  </si>
  <si>
    <t>Imp. Regio 3 - Lf Nr 1321</t>
  </si>
  <si>
    <t>Imp. Regio 3 - Lf Nr 1322</t>
  </si>
  <si>
    <t>Imp. Regio 3 - Lf Nr 1324</t>
  </si>
  <si>
    <t>Imp. Regio 3 - Lf Nr 1329</t>
  </si>
  <si>
    <t>Imp. Regio 3 - Lf Nr 1337</t>
  </si>
  <si>
    <t>Imp. Regio 3 - Lf Nr 1338</t>
  </si>
  <si>
    <t>Imp. Regio 3 - Lf Nr 1343</t>
  </si>
  <si>
    <t>Imp. Regio 3 - Lf Nr 1344</t>
  </si>
  <si>
    <t>Imp. Regio 3 - Lf Nr 1351</t>
  </si>
  <si>
    <t>Imp. Regio 3 - Lf Nr 1353</t>
  </si>
  <si>
    <t>Imp. Regio 3 - Lf Nr 1370</t>
  </si>
  <si>
    <t>Imp. Regio 3 - Lf Nr 1375</t>
  </si>
  <si>
    <t>Imp. Regio 3 - Lf Nr 1378</t>
  </si>
  <si>
    <t>Imp. Regio 3 - Lf Nr 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</si>
</sst>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5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1" fontId="0" fillId="0" borderId="0" xfId="0" applyNumberFormat="1" applyAlignment="1">
      <alignment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ischler\Downloads\3946384f-9b0b-4a83-9c5e-fe27c3af725b_out.xlsm" TargetMode="External"/><Relationship Id="rId1" Type="http://schemas.openxmlformats.org/officeDocument/2006/relationships/externalLinkPath" Target="file:///C:\Users\omischler\Downloads\3946384f-9b0b-4a83-9c5e-fe27c3af725b_ou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p"/>
      <sheetName val="Entities"/>
      <sheetName val="Model"/>
      <sheetName val="Reference Data"/>
    </sheetNames>
    <sheetDataSet>
      <sheetData sheetId="0"/>
      <sheetData sheetId="1">
        <row r="1">
          <cell r="K1" t="str">
            <v>99 - intern</v>
          </cell>
        </row>
        <row r="2">
          <cell r="K2" t="str">
            <v>Source</v>
          </cell>
        </row>
        <row r="3">
          <cell r="K3" t="str">
            <v>Imp. Regio 3 - Lf Nr 394</v>
          </cell>
        </row>
        <row r="4">
          <cell r="K4" t="str">
            <v>Imp. Regio 3 - Lf Nr 453</v>
          </cell>
        </row>
        <row r="5">
          <cell r="K5" t="str">
            <v>Imp. Regio 3 - Lf Nr 375</v>
          </cell>
        </row>
        <row r="6">
          <cell r="K6" t="str">
            <v>Imp. Regio 3 - Lf Nr 404</v>
          </cell>
        </row>
        <row r="7">
          <cell r="K7" t="str">
            <v>Imp. Regio 3 - Lf Nr 204</v>
          </cell>
        </row>
        <row r="8">
          <cell r="K8" t="str">
            <v>Imp. Regio 3 - Lf Nr 214</v>
          </cell>
        </row>
        <row r="9">
          <cell r="K9" t="str">
            <v>Imp. Regio 3 - Lf Nr 215</v>
          </cell>
        </row>
        <row r="10">
          <cell r="K10" t="str">
            <v>Imp. Regio 3 - Lf Nr 162</v>
          </cell>
        </row>
        <row r="11">
          <cell r="K11" t="str">
            <v>Imp. Regio 3 - Lf Nr 383</v>
          </cell>
        </row>
        <row r="12">
          <cell r="K12" t="str">
            <v>Imp. Regio 3 - Lf Nr 411</v>
          </cell>
        </row>
        <row r="13">
          <cell r="K13" t="str">
            <v>Imp. Regio 3 - Lf Nr 388</v>
          </cell>
        </row>
        <row r="14">
          <cell r="K14" t="str">
            <v>Imp. Regio 3 - Lf Nr 200</v>
          </cell>
        </row>
        <row r="15">
          <cell r="K15" t="str">
            <v>Imp. Regio 3 - Lf Nr 163</v>
          </cell>
        </row>
        <row r="16">
          <cell r="K16" t="str">
            <v>Imp. Regio 3 - Lf Nr 734</v>
          </cell>
        </row>
        <row r="17">
          <cell r="K17" t="str">
            <v>Imp. Regio 3 - Lf Nr 508</v>
          </cell>
        </row>
        <row r="18">
          <cell r="K18" t="str">
            <v>Imp. Regio 3 - Lf Nr 440</v>
          </cell>
        </row>
        <row r="19">
          <cell r="K19" t="str">
            <v>Imp. Regio 3 - Lf Nr 269</v>
          </cell>
        </row>
        <row r="20">
          <cell r="K20" t="str">
            <v>Imp. Regio 3 - Lf Nr 386</v>
          </cell>
        </row>
        <row r="21">
          <cell r="K21" t="str">
            <v>Imp. Regio 3 - Lf Nr 434</v>
          </cell>
        </row>
        <row r="22">
          <cell r="K22" t="str">
            <v>Imp. Regio 3 - Lf Nr 414</v>
          </cell>
        </row>
        <row r="23">
          <cell r="K23" t="str">
            <v>Imp. Regio 3 - Lf Nr 243</v>
          </cell>
        </row>
        <row r="24">
          <cell r="K24" t="str">
            <v>Imp. Regio 3 - Lf Nr 403</v>
          </cell>
        </row>
        <row r="25">
          <cell r="K25" t="str">
            <v>Imp. Regio 3 - Lf Nr 435</v>
          </cell>
        </row>
        <row r="26">
          <cell r="K26" t="str">
            <v>Imp. Regio 3 - Lf Nr 689</v>
          </cell>
        </row>
        <row r="27">
          <cell r="K27" t="str">
            <v>Imp. Regio 3 - Lf Nr 378</v>
          </cell>
        </row>
        <row r="28">
          <cell r="K28" t="str">
            <v>Imp. Regio 3 - Lf Nr 298</v>
          </cell>
        </row>
        <row r="29">
          <cell r="K29" t="str">
            <v>Imp. Regio 3 - Lf Nr 395</v>
          </cell>
        </row>
        <row r="30">
          <cell r="K30" t="str">
            <v>Imp. Regio 3 - Lf Nr 485</v>
          </cell>
        </row>
        <row r="31">
          <cell r="K31" t="str">
            <v>Imp. Regio 3 - Lf Nr 476</v>
          </cell>
        </row>
        <row r="32">
          <cell r="K32" t="str">
            <v>Imp. Regio 3 - Lf Nr 506</v>
          </cell>
        </row>
        <row r="33">
          <cell r="K33" t="str">
            <v>Imp. Regio 3 - Lf Nr 376</v>
          </cell>
        </row>
        <row r="34">
          <cell r="K34" t="str">
            <v>Imp. Regio 3 - Lf Nr 170</v>
          </cell>
        </row>
        <row r="35">
          <cell r="K35" t="str">
            <v>Imp. Regio 3 - Lf Nr 409</v>
          </cell>
        </row>
        <row r="36">
          <cell r="K36" t="str">
            <v>Imp. Regio 3 - Lf Nr 346</v>
          </cell>
        </row>
        <row r="37">
          <cell r="K37" t="str">
            <v>Imp. Regio 3 - Lf Nr 381</v>
          </cell>
        </row>
        <row r="38">
          <cell r="K38" t="str">
            <v>Imp. Regio 3 - Lf Nr 195</v>
          </cell>
        </row>
        <row r="39">
          <cell r="K39" t="str">
            <v>Imp. Regio 3 - Lf Nr 442</v>
          </cell>
        </row>
        <row r="40">
          <cell r="K40" t="str">
            <v>Imp. Regio 3 - Lf Nr 245</v>
          </cell>
        </row>
        <row r="41">
          <cell r="K41" t="str">
            <v>Imp. Regio 3 - Lf Nr 389</v>
          </cell>
        </row>
        <row r="42">
          <cell r="K42" t="str">
            <v>Imp. Regio 3 - Lf Nr 400</v>
          </cell>
        </row>
        <row r="43">
          <cell r="K43" t="str">
            <v>Imp. Regio 3 - Lf Nr 254</v>
          </cell>
        </row>
        <row r="44">
          <cell r="K44" t="str">
            <v>Imp. Regio 3 - Lf Nr 318</v>
          </cell>
        </row>
        <row r="45">
          <cell r="K45" t="str">
            <v>Imp. Regio 3 - Lf Nr 449</v>
          </cell>
        </row>
        <row r="46">
          <cell r="K46" t="str">
            <v>Imp. Regio 3 - Lf Nr 391</v>
          </cell>
        </row>
        <row r="47">
          <cell r="K47" t="str">
            <v>Imp. Regio 3 - Lf Nr 448</v>
          </cell>
        </row>
        <row r="48">
          <cell r="K48" t="str">
            <v>Imp. Regio 3 - Lf Nr 327</v>
          </cell>
        </row>
        <row r="49">
          <cell r="K49" t="str">
            <v>Imp. Regio 3 - Lf Nr 567</v>
          </cell>
        </row>
        <row r="50">
          <cell r="K50" t="str">
            <v>Imp. Regio 3 - Lf Nr 371</v>
          </cell>
        </row>
        <row r="51">
          <cell r="K51" t="str">
            <v>Imp. Regio 3 - Lf Nr 369</v>
          </cell>
        </row>
        <row r="52">
          <cell r="K52" t="str">
            <v>Imp. Regio 3 - Lf Nr 230</v>
          </cell>
        </row>
        <row r="53">
          <cell r="K53" t="str">
            <v>Imp. Regio 3 - Lf Nr 276</v>
          </cell>
        </row>
        <row r="54">
          <cell r="K54" t="str">
            <v>Imp. Regio 3 - Lf Nr 479</v>
          </cell>
        </row>
        <row r="55">
          <cell r="K55" t="str">
            <v>Imp. Regio 3 - Lf Nr 413</v>
          </cell>
        </row>
        <row r="56">
          <cell r="K56" t="str">
            <v>Imp. Regio 3 - Lf Nr 317</v>
          </cell>
        </row>
        <row r="57">
          <cell r="K57" t="str">
            <v>Imp. Regio 3 - Lf Nr 169</v>
          </cell>
        </row>
        <row r="58">
          <cell r="K58" t="str">
            <v>Imp. Regio 3 - Lf Nr 467</v>
          </cell>
        </row>
        <row r="59">
          <cell r="K59" t="str">
            <v>Imp. Regio 3 - Lf Nr 328</v>
          </cell>
        </row>
        <row r="60">
          <cell r="K60" t="str">
            <v>Imp. Regio 3 - Lf Nr 437</v>
          </cell>
        </row>
        <row r="61">
          <cell r="K61" t="str">
            <v>Imp. Regio 3 - Lf Nr 265</v>
          </cell>
        </row>
        <row r="62">
          <cell r="K62" t="str">
            <v>Imp. Regio 3 - Lf Nr 387</v>
          </cell>
        </row>
        <row r="63">
          <cell r="K63" t="str">
            <v>Imp. Regio 3 - Lf Nr 398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S1460"/>
  <sheetViews>
    <sheetView tabSelected="1" topLeftCell="AI1" zoomScale="80" zoomScaleNormal="80" workbookViewId="0">
      <pane ySplit="2" topLeftCell="A3" activePane="bottomLeft" state="frozen"/>
      <selection pane="bottomLeft" activeCell="AW130" sqref="AW130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5" ht="21.75" customHeight="1" x14ac:dyDescent="0.45">
      <c r="A1" s="80" t="s">
        <v>29</v>
      </c>
      <c r="B1" s="86"/>
      <c r="C1" s="86"/>
      <c r="D1" s="86"/>
      <c r="E1" s="87" t="s">
        <v>32</v>
      </c>
      <c r="F1" s="81"/>
      <c r="G1" s="53" t="s">
        <v>34</v>
      </c>
      <c r="H1" s="88" t="s">
        <v>38</v>
      </c>
      <c r="I1" s="81"/>
      <c r="J1" s="89" t="s">
        <v>41</v>
      </c>
      <c r="K1" s="81"/>
      <c r="L1" s="90" t="s">
        <v>38</v>
      </c>
      <c r="M1" s="81"/>
      <c r="N1" s="81"/>
      <c r="O1" s="80" t="s">
        <v>51</v>
      </c>
      <c r="P1" s="81"/>
      <c r="Q1" s="81"/>
      <c r="R1" s="81"/>
      <c r="S1" s="81"/>
      <c r="T1" s="81"/>
      <c r="U1" s="82" t="s">
        <v>41</v>
      </c>
      <c r="V1" s="81"/>
      <c r="W1" s="81"/>
      <c r="X1" s="81"/>
      <c r="Y1" s="81"/>
      <c r="Z1" s="81"/>
      <c r="AA1" s="83" t="s">
        <v>38</v>
      </c>
      <c r="AB1" s="81"/>
      <c r="AC1" s="81"/>
      <c r="AD1" s="81"/>
      <c r="AE1" s="81"/>
      <c r="AF1" s="81"/>
      <c r="AG1" s="81"/>
      <c r="AH1" s="84" t="s">
        <v>69</v>
      </c>
      <c r="AI1" s="81"/>
      <c r="AJ1" s="81"/>
      <c r="AK1" s="81"/>
      <c r="AL1" s="81"/>
      <c r="AM1" s="85" t="s">
        <v>41</v>
      </c>
      <c r="AN1" s="81"/>
      <c r="AO1" s="81"/>
      <c r="AP1" s="81"/>
      <c r="AQ1" s="81"/>
      <c r="AR1" s="51"/>
    </row>
    <row r="2" spans="1:45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5" ht="21.75" customHeight="1" x14ac:dyDescent="0.45">
      <c r="B3" s="51" t="s">
        <v>99</v>
      </c>
      <c r="E3" s="52" t="s">
        <v>87</v>
      </c>
      <c r="F3" s="51" t="s">
        <v>2431</v>
      </c>
      <c r="H3" s="52" t="s">
        <v>109</v>
      </c>
      <c r="J3" s="79">
        <v>100</v>
      </c>
      <c r="L3" s="51" t="s">
        <v>2434</v>
      </c>
      <c r="M3" s="51" t="s">
        <v>2435</v>
      </c>
      <c r="N3" s="51" t="s">
        <v>2436</v>
      </c>
      <c r="O3" s="51" t="s">
        <v>454</v>
      </c>
      <c r="P3" s="51" t="s">
        <v>455</v>
      </c>
      <c r="Q3" s="51" t="s">
        <v>456</v>
      </c>
      <c r="R3" s="51" t="s">
        <v>273</v>
      </c>
      <c r="S3" s="51" t="s">
        <v>276</v>
      </c>
      <c r="T3" s="51" t="s">
        <v>278</v>
      </c>
      <c r="U3" s="51" t="s">
        <v>689</v>
      </c>
      <c r="V3" s="51" t="s">
        <v>689</v>
      </c>
      <c r="W3" s="51" t="s">
        <v>689</v>
      </c>
      <c r="X3" s="51" t="s">
        <v>753</v>
      </c>
      <c r="Y3" s="51" t="s">
        <v>754</v>
      </c>
      <c r="Z3" s="51" t="s">
        <v>755</v>
      </c>
      <c r="AA3" s="60">
        <v>1</v>
      </c>
      <c r="AB3" s="51" t="s">
        <v>131</v>
      </c>
      <c r="AC3" s="62">
        <v>1</v>
      </c>
      <c r="AD3" s="51" t="s">
        <v>168</v>
      </c>
      <c r="AE3" s="52" t="s">
        <v>179</v>
      </c>
      <c r="AF3" s="64"/>
      <c r="AG3" s="52" t="s">
        <v>192</v>
      </c>
      <c r="AH3" s="51" t="s">
        <v>219</v>
      </c>
      <c r="AI3" s="51" t="s">
        <v>219</v>
      </c>
      <c r="AJ3" s="51" t="s">
        <v>219</v>
      </c>
      <c r="AK3" s="51" t="s">
        <v>219</v>
      </c>
      <c r="AL3" s="51" t="s">
        <v>689</v>
      </c>
      <c r="AM3" s="51" t="s">
        <v>2432</v>
      </c>
      <c r="AN3" s="51" t="s">
        <v>2656</v>
      </c>
      <c r="AO3" s="63" t="s">
        <v>219</v>
      </c>
      <c r="AP3" s="62" t="s">
        <v>2657</v>
      </c>
      <c r="AQ3" s="63" t="s">
        <v>217</v>
      </c>
      <c r="AR3" s="30" t="s">
        <v>219</v>
      </c>
      <c r="AS3" s="51" t="e">
        <f>_xlfn.XLOOKUP(AP3,[2]Entities!$K:$K,[2]Entities!$K:$K)</f>
        <v>#N/A</v>
      </c>
    </row>
    <row r="4" spans="1:45" ht="21.75" customHeight="1" x14ac:dyDescent="0.45">
      <c r="B4" s="51" t="s">
        <v>99</v>
      </c>
      <c r="E4" s="52" t="s">
        <v>87</v>
      </c>
      <c r="F4" s="51" t="s">
        <v>2431</v>
      </c>
      <c r="H4" s="52" t="s">
        <v>109</v>
      </c>
      <c r="J4" s="79">
        <v>139</v>
      </c>
      <c r="L4" s="51" t="s">
        <v>483</v>
      </c>
      <c r="M4" s="51" t="s">
        <v>2437</v>
      </c>
      <c r="N4" s="51" t="s">
        <v>487</v>
      </c>
      <c r="O4" s="51" t="s">
        <v>482</v>
      </c>
      <c r="P4" s="51" t="s">
        <v>484</v>
      </c>
      <c r="Q4" s="51" t="s">
        <v>486</v>
      </c>
      <c r="R4" s="51" t="s">
        <v>319</v>
      </c>
      <c r="S4" s="51" t="s">
        <v>322</v>
      </c>
      <c r="T4" s="51" t="s">
        <v>308</v>
      </c>
      <c r="U4" s="51" t="s">
        <v>689</v>
      </c>
      <c r="V4" s="51" t="s">
        <v>689</v>
      </c>
      <c r="W4" s="51" t="s">
        <v>689</v>
      </c>
      <c r="X4" s="51" t="s">
        <v>483</v>
      </c>
      <c r="Y4" s="51" t="s">
        <v>485</v>
      </c>
      <c r="Z4" s="51" t="s">
        <v>487</v>
      </c>
      <c r="AA4" s="60">
        <v>1</v>
      </c>
      <c r="AB4" s="51" t="s">
        <v>131</v>
      </c>
      <c r="AC4" s="62">
        <v>1</v>
      </c>
      <c r="AD4" s="51" t="s">
        <v>168</v>
      </c>
      <c r="AE4" s="52" t="s">
        <v>179</v>
      </c>
      <c r="AF4" s="64"/>
      <c r="AG4" s="52" t="s">
        <v>192</v>
      </c>
      <c r="AH4" s="51" t="s">
        <v>219</v>
      </c>
      <c r="AI4" s="51" t="s">
        <v>219</v>
      </c>
      <c r="AJ4" s="51" t="s">
        <v>219</v>
      </c>
      <c r="AK4" s="51" t="s">
        <v>219</v>
      </c>
      <c r="AL4" s="51" t="s">
        <v>689</v>
      </c>
      <c r="AM4" s="51" t="s">
        <v>2432</v>
      </c>
      <c r="AN4" s="51" t="s">
        <v>2656</v>
      </c>
      <c r="AO4" s="63" t="s">
        <v>219</v>
      </c>
      <c r="AP4" s="62" t="s">
        <v>2658</v>
      </c>
      <c r="AQ4" s="63" t="s">
        <v>217</v>
      </c>
      <c r="AR4" s="30" t="s">
        <v>219</v>
      </c>
      <c r="AS4" s="51" t="e">
        <f>_xlfn.XLOOKUP(AP4,[2]Entities!$K:$K,[2]Entities!$K:$K)</f>
        <v>#N/A</v>
      </c>
    </row>
    <row r="5" spans="1:45" ht="21.75" customHeight="1" x14ac:dyDescent="0.45">
      <c r="B5" s="51" t="s">
        <v>99</v>
      </c>
      <c r="E5" s="52" t="s">
        <v>87</v>
      </c>
      <c r="F5" s="51" t="s">
        <v>2431</v>
      </c>
      <c r="H5" s="52" t="s">
        <v>109</v>
      </c>
      <c r="J5" s="79">
        <v>140</v>
      </c>
      <c r="L5" s="51" t="s">
        <v>489</v>
      </c>
      <c r="M5" s="51" t="s">
        <v>2438</v>
      </c>
      <c r="N5" s="51" t="s">
        <v>2439</v>
      </c>
      <c r="O5" s="51" t="s">
        <v>488</v>
      </c>
      <c r="P5" s="51" t="s">
        <v>490</v>
      </c>
      <c r="Q5" s="51" t="s">
        <v>492</v>
      </c>
      <c r="R5" s="51" t="s">
        <v>319</v>
      </c>
      <c r="S5" s="51" t="s">
        <v>322</v>
      </c>
      <c r="T5" s="51" t="s">
        <v>308</v>
      </c>
      <c r="U5" s="51" t="s">
        <v>689</v>
      </c>
      <c r="V5" s="51" t="s">
        <v>689</v>
      </c>
      <c r="W5" s="51" t="s">
        <v>689</v>
      </c>
      <c r="X5" s="51" t="s">
        <v>489</v>
      </c>
      <c r="Y5" s="51" t="s">
        <v>491</v>
      </c>
      <c r="Z5" s="51" t="s">
        <v>493</v>
      </c>
      <c r="AA5" s="60">
        <v>1</v>
      </c>
      <c r="AB5" s="51" t="s">
        <v>131</v>
      </c>
      <c r="AC5" s="62">
        <v>1</v>
      </c>
      <c r="AD5" s="51" t="s">
        <v>168</v>
      </c>
      <c r="AE5" s="52" t="s">
        <v>179</v>
      </c>
      <c r="AF5" s="64"/>
      <c r="AG5" s="52" t="s">
        <v>192</v>
      </c>
      <c r="AH5" s="51" t="s">
        <v>219</v>
      </c>
      <c r="AI5" s="51" t="s">
        <v>219</v>
      </c>
      <c r="AJ5" s="51" t="s">
        <v>219</v>
      </c>
      <c r="AK5" s="51" t="s">
        <v>219</v>
      </c>
      <c r="AL5" s="51" t="s">
        <v>689</v>
      </c>
      <c r="AM5" s="51" t="s">
        <v>2432</v>
      </c>
      <c r="AN5" s="51" t="s">
        <v>2656</v>
      </c>
      <c r="AO5" s="63" t="s">
        <v>219</v>
      </c>
      <c r="AP5" s="62" t="s">
        <v>2659</v>
      </c>
      <c r="AQ5" s="63" t="s">
        <v>217</v>
      </c>
      <c r="AR5" s="30" t="s">
        <v>219</v>
      </c>
      <c r="AS5" s="51" t="e">
        <f>_xlfn.XLOOKUP(AP5,[2]Entities!$K:$K,[2]Entities!$K:$K)</f>
        <v>#N/A</v>
      </c>
    </row>
    <row r="6" spans="1:45" ht="21.75" customHeight="1" x14ac:dyDescent="0.45">
      <c r="B6" s="51" t="s">
        <v>99</v>
      </c>
      <c r="E6" s="52" t="s">
        <v>87</v>
      </c>
      <c r="F6" s="51" t="s">
        <v>2431</v>
      </c>
      <c r="H6" s="52" t="s">
        <v>109</v>
      </c>
      <c r="J6" s="79">
        <v>103</v>
      </c>
      <c r="L6" s="51" t="s">
        <v>495</v>
      </c>
      <c r="M6" s="51" t="s">
        <v>2440</v>
      </c>
      <c r="N6" s="51" t="s">
        <v>2441</v>
      </c>
      <c r="O6" s="51" t="s">
        <v>494</v>
      </c>
      <c r="P6" s="51" t="s">
        <v>496</v>
      </c>
      <c r="Q6" s="51" t="s">
        <v>498</v>
      </c>
      <c r="R6" s="51" t="s">
        <v>273</v>
      </c>
      <c r="S6" s="51" t="s">
        <v>276</v>
      </c>
      <c r="T6" s="51" t="s">
        <v>278</v>
      </c>
      <c r="U6" s="51" t="s">
        <v>689</v>
      </c>
      <c r="V6" s="51" t="s">
        <v>689</v>
      </c>
      <c r="W6" s="51" t="s">
        <v>689</v>
      </c>
      <c r="X6" s="51" t="s">
        <v>495</v>
      </c>
      <c r="Y6" s="51" t="s">
        <v>497</v>
      </c>
      <c r="Z6" s="51" t="s">
        <v>499</v>
      </c>
      <c r="AA6" s="60">
        <v>1</v>
      </c>
      <c r="AB6" s="51" t="s">
        <v>131</v>
      </c>
      <c r="AC6" s="62">
        <v>1</v>
      </c>
      <c r="AD6" s="51" t="s">
        <v>168</v>
      </c>
      <c r="AE6" s="52" t="s">
        <v>179</v>
      </c>
      <c r="AF6" s="64"/>
      <c r="AG6" s="52" t="s">
        <v>192</v>
      </c>
      <c r="AH6" s="51" t="s">
        <v>219</v>
      </c>
      <c r="AI6" s="51" t="s">
        <v>219</v>
      </c>
      <c r="AJ6" s="51" t="s">
        <v>219</v>
      </c>
      <c r="AK6" s="51" t="s">
        <v>219</v>
      </c>
      <c r="AL6" s="51" t="s">
        <v>689</v>
      </c>
      <c r="AM6" s="51" t="s">
        <v>2432</v>
      </c>
      <c r="AN6" s="51" t="s">
        <v>2656</v>
      </c>
      <c r="AO6" s="63" t="s">
        <v>219</v>
      </c>
      <c r="AP6" s="62" t="s">
        <v>2660</v>
      </c>
      <c r="AQ6" s="63" t="s">
        <v>217</v>
      </c>
      <c r="AR6" s="30" t="s">
        <v>219</v>
      </c>
      <c r="AS6" s="51" t="e">
        <f>_xlfn.XLOOKUP(AP6,[2]Entities!$K:$K,[2]Entities!$K:$K)</f>
        <v>#N/A</v>
      </c>
    </row>
    <row r="7" spans="1:45" ht="21.75" customHeight="1" x14ac:dyDescent="0.45">
      <c r="B7" s="51" t="s">
        <v>99</v>
      </c>
      <c r="E7" s="52" t="s">
        <v>87</v>
      </c>
      <c r="F7" s="51" t="s">
        <v>2431</v>
      </c>
      <c r="H7" s="52" t="s">
        <v>109</v>
      </c>
      <c r="J7" s="79">
        <v>110</v>
      </c>
      <c r="L7" s="51" t="s">
        <v>770</v>
      </c>
      <c r="M7" s="51" t="s">
        <v>2442</v>
      </c>
      <c r="N7" s="51" t="s">
        <v>2443</v>
      </c>
      <c r="O7" s="51" t="s">
        <v>503</v>
      </c>
      <c r="P7" s="51" t="s">
        <v>504</v>
      </c>
      <c r="Q7" s="51" t="s">
        <v>505</v>
      </c>
      <c r="R7" s="51" t="s">
        <v>273</v>
      </c>
      <c r="S7" s="51" t="s">
        <v>276</v>
      </c>
      <c r="T7" s="51" t="s">
        <v>278</v>
      </c>
      <c r="U7" s="51" t="s">
        <v>689</v>
      </c>
      <c r="V7" s="51" t="s">
        <v>689</v>
      </c>
      <c r="W7" s="51" t="s">
        <v>689</v>
      </c>
      <c r="X7" s="51" t="s">
        <v>770</v>
      </c>
      <c r="Y7" s="51" t="s">
        <v>771</v>
      </c>
      <c r="Z7" s="51" t="s">
        <v>772</v>
      </c>
      <c r="AA7" s="60">
        <v>1</v>
      </c>
      <c r="AB7" s="51" t="s">
        <v>131</v>
      </c>
      <c r="AC7" s="62">
        <v>1</v>
      </c>
      <c r="AD7" s="51" t="s">
        <v>168</v>
      </c>
      <c r="AE7" s="52" t="s">
        <v>179</v>
      </c>
      <c r="AF7" s="64"/>
      <c r="AG7" s="52" t="s">
        <v>192</v>
      </c>
      <c r="AH7" s="51" t="s">
        <v>219</v>
      </c>
      <c r="AI7" s="51" t="s">
        <v>219</v>
      </c>
      <c r="AJ7" s="51" t="s">
        <v>219</v>
      </c>
      <c r="AK7" s="51" t="s">
        <v>219</v>
      </c>
      <c r="AL7" s="51" t="s">
        <v>689</v>
      </c>
      <c r="AM7" s="51" t="s">
        <v>2432</v>
      </c>
      <c r="AN7" s="51" t="s">
        <v>2656</v>
      </c>
      <c r="AO7" s="63" t="s">
        <v>219</v>
      </c>
      <c r="AP7" s="62" t="s">
        <v>2661</v>
      </c>
      <c r="AQ7" s="63" t="s">
        <v>217</v>
      </c>
      <c r="AR7" s="30" t="s">
        <v>219</v>
      </c>
      <c r="AS7" s="51" t="e">
        <f>_xlfn.XLOOKUP(AP7,[2]Entities!$K:$K,[2]Entities!$K:$K)</f>
        <v>#N/A</v>
      </c>
    </row>
    <row r="8" spans="1:45" ht="21.75" customHeight="1" x14ac:dyDescent="0.45">
      <c r="B8" s="51" t="s">
        <v>99</v>
      </c>
      <c r="E8" s="52" t="s">
        <v>87</v>
      </c>
      <c r="F8" s="51" t="s">
        <v>2431</v>
      </c>
      <c r="H8" s="52" t="s">
        <v>109</v>
      </c>
      <c r="J8" s="79">
        <v>2202291000006</v>
      </c>
      <c r="L8" s="51" t="s">
        <v>506</v>
      </c>
      <c r="M8" s="51" t="s">
        <v>2444</v>
      </c>
      <c r="N8" s="51" t="s">
        <v>2445</v>
      </c>
      <c r="O8" s="51" t="s">
        <v>503</v>
      </c>
      <c r="P8" s="51" t="s">
        <v>504</v>
      </c>
      <c r="Q8" s="51" t="s">
        <v>505</v>
      </c>
      <c r="R8" s="51" t="s">
        <v>346</v>
      </c>
      <c r="S8" s="51" t="s">
        <v>349</v>
      </c>
      <c r="T8" s="51" t="s">
        <v>352</v>
      </c>
      <c r="U8" s="51" t="s">
        <v>689</v>
      </c>
      <c r="V8" s="51" t="s">
        <v>689</v>
      </c>
      <c r="W8" s="51" t="s">
        <v>689</v>
      </c>
      <c r="X8" s="51" t="s">
        <v>506</v>
      </c>
      <c r="Y8" s="51" t="s">
        <v>507</v>
      </c>
      <c r="Z8" s="51" t="s">
        <v>508</v>
      </c>
      <c r="AA8" s="60">
        <v>1</v>
      </c>
      <c r="AB8" s="51" t="s">
        <v>131</v>
      </c>
      <c r="AC8" s="62">
        <v>1</v>
      </c>
      <c r="AD8" s="51" t="s">
        <v>169</v>
      </c>
      <c r="AE8" s="52" t="s">
        <v>179</v>
      </c>
      <c r="AF8" s="64"/>
      <c r="AG8" s="52" t="s">
        <v>192</v>
      </c>
      <c r="AH8" s="51" t="s">
        <v>219</v>
      </c>
      <c r="AI8" s="51" t="s">
        <v>219</v>
      </c>
      <c r="AJ8" s="51" t="s">
        <v>219</v>
      </c>
      <c r="AK8" s="51" t="s">
        <v>219</v>
      </c>
      <c r="AL8" s="51" t="s">
        <v>689</v>
      </c>
      <c r="AM8" s="51" t="s">
        <v>2432</v>
      </c>
      <c r="AN8" s="51" t="s">
        <v>214</v>
      </c>
      <c r="AO8" s="63" t="s">
        <v>219</v>
      </c>
      <c r="AP8" s="62" t="s">
        <v>2662</v>
      </c>
      <c r="AQ8" s="63" t="s">
        <v>217</v>
      </c>
      <c r="AR8" s="30" t="s">
        <v>219</v>
      </c>
      <c r="AS8" s="51" t="e">
        <f>_xlfn.XLOOKUP(AP8,[2]Entities!$K:$K,[2]Entities!$K:$K)</f>
        <v>#N/A</v>
      </c>
    </row>
    <row r="9" spans="1:45" ht="21.75" customHeight="1" x14ac:dyDescent="0.45">
      <c r="B9" s="51" t="s">
        <v>99</v>
      </c>
      <c r="E9" s="52" t="s">
        <v>87</v>
      </c>
      <c r="F9" s="51" t="s">
        <v>2431</v>
      </c>
      <c r="H9" s="52" t="s">
        <v>109</v>
      </c>
      <c r="J9" s="79">
        <v>123</v>
      </c>
      <c r="L9" s="51" t="s">
        <v>510</v>
      </c>
      <c r="M9" s="51" t="s">
        <v>2446</v>
      </c>
      <c r="N9" s="51" t="s">
        <v>2447</v>
      </c>
      <c r="O9" s="51" t="s">
        <v>509</v>
      </c>
      <c r="P9" s="51" t="s">
        <v>511</v>
      </c>
      <c r="Q9" s="51" t="s">
        <v>513</v>
      </c>
      <c r="R9" s="51" t="s">
        <v>319</v>
      </c>
      <c r="S9" s="51" t="s">
        <v>322</v>
      </c>
      <c r="T9" s="51" t="s">
        <v>308</v>
      </c>
      <c r="U9" s="51" t="s">
        <v>689</v>
      </c>
      <c r="V9" s="51" t="s">
        <v>689</v>
      </c>
      <c r="W9" s="51" t="s">
        <v>689</v>
      </c>
      <c r="X9" s="51" t="s">
        <v>510</v>
      </c>
      <c r="Y9" s="51" t="s">
        <v>512</v>
      </c>
      <c r="Z9" s="51" t="s">
        <v>514</v>
      </c>
      <c r="AA9" s="60">
        <v>1</v>
      </c>
      <c r="AB9" s="51" t="s">
        <v>131</v>
      </c>
      <c r="AC9" s="62">
        <v>1</v>
      </c>
      <c r="AD9" s="51" t="s">
        <v>168</v>
      </c>
      <c r="AE9" s="52" t="s">
        <v>179</v>
      </c>
      <c r="AF9" s="64"/>
      <c r="AG9" s="52" t="s">
        <v>192</v>
      </c>
      <c r="AH9" s="51" t="s">
        <v>219</v>
      </c>
      <c r="AI9" s="51" t="s">
        <v>219</v>
      </c>
      <c r="AJ9" s="51" t="s">
        <v>219</v>
      </c>
      <c r="AK9" s="51" t="s">
        <v>219</v>
      </c>
      <c r="AL9" s="51" t="s">
        <v>689</v>
      </c>
      <c r="AM9" s="51" t="s">
        <v>2432</v>
      </c>
      <c r="AN9" s="51" t="s">
        <v>2656</v>
      </c>
      <c r="AO9" s="63" t="s">
        <v>219</v>
      </c>
      <c r="AP9" s="62" t="s">
        <v>2663</v>
      </c>
      <c r="AQ9" s="63" t="s">
        <v>217</v>
      </c>
      <c r="AR9" s="30" t="s">
        <v>219</v>
      </c>
      <c r="AS9" s="51" t="e">
        <f>_xlfn.XLOOKUP(AP9,[2]Entities!$K:$K,[2]Entities!$K:$K)</f>
        <v>#N/A</v>
      </c>
    </row>
    <row r="10" spans="1:45" ht="21.75" customHeight="1" x14ac:dyDescent="0.45">
      <c r="B10" s="51" t="s">
        <v>99</v>
      </c>
      <c r="E10" s="52" t="s">
        <v>87</v>
      </c>
      <c r="F10" s="51" t="s">
        <v>2431</v>
      </c>
      <c r="H10" s="52" t="s">
        <v>109</v>
      </c>
      <c r="J10" s="79">
        <v>7613399001287</v>
      </c>
      <c r="L10" s="51" t="s">
        <v>516</v>
      </c>
      <c r="M10" s="51" t="s">
        <v>518</v>
      </c>
      <c r="N10" s="51" t="s">
        <v>520</v>
      </c>
      <c r="O10" s="51" t="s">
        <v>515</v>
      </c>
      <c r="P10" s="51" t="s">
        <v>517</v>
      </c>
      <c r="Q10" s="51" t="s">
        <v>519</v>
      </c>
      <c r="R10" s="51" t="s">
        <v>689</v>
      </c>
      <c r="S10" s="51" t="s">
        <v>689</v>
      </c>
      <c r="T10" s="51" t="s">
        <v>689</v>
      </c>
      <c r="U10" s="51" t="s">
        <v>271</v>
      </c>
      <c r="V10" s="51" t="s">
        <v>271</v>
      </c>
      <c r="W10" s="51" t="s">
        <v>271</v>
      </c>
      <c r="X10" s="51" t="s">
        <v>516</v>
      </c>
      <c r="Y10" s="51" t="s">
        <v>518</v>
      </c>
      <c r="Z10" s="51" t="s">
        <v>520</v>
      </c>
      <c r="AA10" s="60">
        <v>0.2</v>
      </c>
      <c r="AB10" s="51" t="s">
        <v>130</v>
      </c>
      <c r="AC10" s="62">
        <v>100</v>
      </c>
      <c r="AD10" s="51" t="s">
        <v>169</v>
      </c>
      <c r="AE10" s="52" t="s">
        <v>179</v>
      </c>
      <c r="AF10" s="64"/>
      <c r="AG10" s="52" t="s">
        <v>192</v>
      </c>
      <c r="AH10" s="51" t="s">
        <v>219</v>
      </c>
      <c r="AI10" s="51" t="s">
        <v>219</v>
      </c>
      <c r="AJ10" s="51" t="s">
        <v>219</v>
      </c>
      <c r="AK10" s="51" t="s">
        <v>219</v>
      </c>
      <c r="AL10" s="51" t="s">
        <v>689</v>
      </c>
      <c r="AM10" s="51" t="s">
        <v>2432</v>
      </c>
      <c r="AN10" s="51" t="s">
        <v>214</v>
      </c>
      <c r="AO10" s="63" t="s">
        <v>219</v>
      </c>
      <c r="AP10" s="62" t="s">
        <v>2664</v>
      </c>
      <c r="AQ10" s="63" t="s">
        <v>217</v>
      </c>
      <c r="AR10" s="30" t="s">
        <v>219</v>
      </c>
      <c r="AS10" s="51" t="e">
        <f>_xlfn.XLOOKUP(AP10,[2]Entities!$K:$K,[2]Entities!$K:$K)</f>
        <v>#N/A</v>
      </c>
    </row>
    <row r="11" spans="1:45" ht="21.75" customHeight="1" x14ac:dyDescent="0.45">
      <c r="B11" s="51" t="s">
        <v>99</v>
      </c>
      <c r="E11" s="52" t="s">
        <v>87</v>
      </c>
      <c r="F11" s="51" t="s">
        <v>2431</v>
      </c>
      <c r="H11" s="52" t="s">
        <v>109</v>
      </c>
      <c r="J11" s="79">
        <v>113</v>
      </c>
      <c r="L11" s="51" t="s">
        <v>773</v>
      </c>
      <c r="M11" s="51" t="s">
        <v>2448</v>
      </c>
      <c r="N11" s="51" t="s">
        <v>2449</v>
      </c>
      <c r="O11" s="51" t="s">
        <v>530</v>
      </c>
      <c r="P11" s="51" t="s">
        <v>531</v>
      </c>
      <c r="Q11" s="51" t="s">
        <v>532</v>
      </c>
      <c r="R11" s="51" t="s">
        <v>273</v>
      </c>
      <c r="S11" s="51" t="s">
        <v>276</v>
      </c>
      <c r="T11" s="51" t="s">
        <v>278</v>
      </c>
      <c r="U11" s="51" t="s">
        <v>689</v>
      </c>
      <c r="V11" s="51" t="s">
        <v>689</v>
      </c>
      <c r="W11" s="51" t="s">
        <v>689</v>
      </c>
      <c r="X11" s="51" t="s">
        <v>773</v>
      </c>
      <c r="Y11" s="51" t="s">
        <v>774</v>
      </c>
      <c r="Z11" s="51" t="s">
        <v>775</v>
      </c>
      <c r="AA11" s="60">
        <v>1</v>
      </c>
      <c r="AB11" s="51" t="s">
        <v>131</v>
      </c>
      <c r="AC11" s="62">
        <v>1</v>
      </c>
      <c r="AD11" s="51" t="s">
        <v>168</v>
      </c>
      <c r="AE11" s="52" t="s">
        <v>179</v>
      </c>
      <c r="AF11" s="64"/>
      <c r="AG11" s="52" t="s">
        <v>192</v>
      </c>
      <c r="AH11" s="51" t="s">
        <v>219</v>
      </c>
      <c r="AI11" s="51" t="s">
        <v>219</v>
      </c>
      <c r="AJ11" s="51" t="s">
        <v>219</v>
      </c>
      <c r="AK11" s="51" t="s">
        <v>219</v>
      </c>
      <c r="AL11" s="51" t="s">
        <v>689</v>
      </c>
      <c r="AM11" s="51" t="s">
        <v>2432</v>
      </c>
      <c r="AN11" s="51" t="s">
        <v>2656</v>
      </c>
      <c r="AO11" s="63" t="s">
        <v>219</v>
      </c>
      <c r="AP11" s="62" t="s">
        <v>2665</v>
      </c>
      <c r="AQ11" s="63" t="s">
        <v>217</v>
      </c>
      <c r="AR11" s="30" t="s">
        <v>219</v>
      </c>
      <c r="AS11" s="51" t="e">
        <f>_xlfn.XLOOKUP(AP11,[2]Entities!$K:$K,[2]Entities!$K:$K)</f>
        <v>#N/A</v>
      </c>
    </row>
    <row r="12" spans="1:45" ht="21.75" customHeight="1" x14ac:dyDescent="0.45">
      <c r="B12" s="51" t="s">
        <v>99</v>
      </c>
      <c r="E12" s="52" t="s">
        <v>87</v>
      </c>
      <c r="F12" s="51" t="s">
        <v>2431</v>
      </c>
      <c r="H12" s="52" t="s">
        <v>109</v>
      </c>
      <c r="J12" s="79">
        <v>2202611000000</v>
      </c>
      <c r="L12" s="51" t="s">
        <v>533</v>
      </c>
      <c r="M12" s="51" t="s">
        <v>2450</v>
      </c>
      <c r="N12" s="51" t="s">
        <v>2451</v>
      </c>
      <c r="O12" s="51" t="s">
        <v>530</v>
      </c>
      <c r="P12" s="51" t="s">
        <v>531</v>
      </c>
      <c r="Q12" s="51" t="s">
        <v>532</v>
      </c>
      <c r="R12" s="51" t="s">
        <v>346</v>
      </c>
      <c r="S12" s="51" t="s">
        <v>349</v>
      </c>
      <c r="T12" s="51" t="s">
        <v>352</v>
      </c>
      <c r="U12" s="51" t="s">
        <v>689</v>
      </c>
      <c r="V12" s="51" t="s">
        <v>689</v>
      </c>
      <c r="W12" s="51" t="s">
        <v>689</v>
      </c>
      <c r="X12" s="51" t="s">
        <v>533</v>
      </c>
      <c r="Y12" s="51" t="s">
        <v>534</v>
      </c>
      <c r="Z12" s="51" t="s">
        <v>535</v>
      </c>
      <c r="AA12" s="60">
        <v>1</v>
      </c>
      <c r="AB12" s="51" t="s">
        <v>131</v>
      </c>
      <c r="AC12" s="62">
        <v>1</v>
      </c>
      <c r="AD12" s="51" t="s">
        <v>169</v>
      </c>
      <c r="AE12" s="52" t="s">
        <v>179</v>
      </c>
      <c r="AF12" s="64"/>
      <c r="AG12" s="52" t="s">
        <v>192</v>
      </c>
      <c r="AH12" s="51" t="s">
        <v>219</v>
      </c>
      <c r="AI12" s="51" t="s">
        <v>219</v>
      </c>
      <c r="AJ12" s="51" t="s">
        <v>219</v>
      </c>
      <c r="AK12" s="51" t="s">
        <v>219</v>
      </c>
      <c r="AL12" s="51" t="s">
        <v>689</v>
      </c>
      <c r="AM12" s="51" t="s">
        <v>2432</v>
      </c>
      <c r="AN12" s="51" t="s">
        <v>214</v>
      </c>
      <c r="AO12" s="63" t="s">
        <v>219</v>
      </c>
      <c r="AP12" s="62" t="s">
        <v>2666</v>
      </c>
      <c r="AQ12" s="63" t="s">
        <v>217</v>
      </c>
      <c r="AR12" s="30" t="s">
        <v>219</v>
      </c>
      <c r="AS12" s="51" t="e">
        <f>_xlfn.XLOOKUP(AP12,[2]Entities!$K:$K,[2]Entities!$K:$K)</f>
        <v>#N/A</v>
      </c>
    </row>
    <row r="13" spans="1:45" ht="21.75" customHeight="1" x14ac:dyDescent="0.45">
      <c r="B13" s="51" t="s">
        <v>99</v>
      </c>
      <c r="E13" s="52" t="s">
        <v>87</v>
      </c>
      <c r="F13" s="51" t="s">
        <v>2431</v>
      </c>
      <c r="H13" s="52" t="s">
        <v>109</v>
      </c>
      <c r="J13" s="79">
        <v>2202391000005</v>
      </c>
      <c r="L13" s="51" t="s">
        <v>2452</v>
      </c>
      <c r="M13" s="51" t="s">
        <v>2453</v>
      </c>
      <c r="N13" s="51" t="s">
        <v>2454</v>
      </c>
      <c r="O13" s="51" t="s">
        <v>776</v>
      </c>
      <c r="P13" s="51" t="s">
        <v>531</v>
      </c>
      <c r="Q13" s="51" t="s">
        <v>780</v>
      </c>
      <c r="R13" s="51" t="s">
        <v>703</v>
      </c>
      <c r="S13" s="51" t="s">
        <v>706</v>
      </c>
      <c r="T13" s="51" t="s">
        <v>706</v>
      </c>
      <c r="U13" s="51" t="s">
        <v>777</v>
      </c>
      <c r="V13" s="51" t="s">
        <v>777</v>
      </c>
      <c r="W13" s="51" t="s">
        <v>777</v>
      </c>
      <c r="X13" s="51" t="s">
        <v>778</v>
      </c>
      <c r="Y13" s="51" t="s">
        <v>779</v>
      </c>
      <c r="Z13" s="51" t="s">
        <v>781</v>
      </c>
      <c r="AA13" s="60">
        <v>1.5</v>
      </c>
      <c r="AB13" s="51" t="s">
        <v>131</v>
      </c>
      <c r="AC13" s="62">
        <v>1</v>
      </c>
      <c r="AD13" s="51" t="s">
        <v>169</v>
      </c>
      <c r="AE13" s="52" t="s">
        <v>179</v>
      </c>
      <c r="AF13" s="64"/>
      <c r="AG13" s="52" t="s">
        <v>192</v>
      </c>
      <c r="AH13" s="51" t="s">
        <v>219</v>
      </c>
      <c r="AI13" s="51" t="s">
        <v>219</v>
      </c>
      <c r="AJ13" s="51" t="s">
        <v>219</v>
      </c>
      <c r="AK13" s="51" t="s">
        <v>219</v>
      </c>
      <c r="AL13" s="51" t="s">
        <v>689</v>
      </c>
      <c r="AM13" s="51" t="s">
        <v>2432</v>
      </c>
      <c r="AN13" s="51" t="s">
        <v>214</v>
      </c>
      <c r="AO13" s="63" t="s">
        <v>219</v>
      </c>
      <c r="AP13" s="62" t="s">
        <v>2667</v>
      </c>
      <c r="AQ13" s="63" t="s">
        <v>217</v>
      </c>
      <c r="AR13" s="30" t="s">
        <v>219</v>
      </c>
      <c r="AS13" s="51" t="e">
        <f>_xlfn.XLOOKUP(AP13,[2]Entities!$K:$K,[2]Entities!$K:$K)</f>
        <v>#N/A</v>
      </c>
    </row>
    <row r="14" spans="1:45" ht="21.75" customHeight="1" x14ac:dyDescent="0.45">
      <c r="B14" s="51" t="s">
        <v>99</v>
      </c>
      <c r="E14" s="52" t="s">
        <v>87</v>
      </c>
      <c r="F14" s="51" t="s">
        <v>2431</v>
      </c>
      <c r="H14" s="52" t="s">
        <v>109</v>
      </c>
      <c r="J14" s="79">
        <v>2202633000000</v>
      </c>
      <c r="L14" s="51" t="s">
        <v>2455</v>
      </c>
      <c r="M14" s="51" t="s">
        <v>2456</v>
      </c>
      <c r="N14" s="51" t="s">
        <v>2457</v>
      </c>
      <c r="O14" s="51" t="s">
        <v>776</v>
      </c>
      <c r="P14" s="51" t="s">
        <v>531</v>
      </c>
      <c r="Q14" s="51" t="s">
        <v>780</v>
      </c>
      <c r="R14" s="51" t="s">
        <v>782</v>
      </c>
      <c r="S14" s="51" t="s">
        <v>784</v>
      </c>
      <c r="T14" s="51" t="s">
        <v>784</v>
      </c>
      <c r="U14" s="51" t="s">
        <v>777</v>
      </c>
      <c r="V14" s="51" t="s">
        <v>777</v>
      </c>
      <c r="W14" s="51" t="s">
        <v>777</v>
      </c>
      <c r="X14" s="51" t="s">
        <v>783</v>
      </c>
      <c r="Y14" s="51" t="s">
        <v>785</v>
      </c>
      <c r="Z14" s="51" t="s">
        <v>786</v>
      </c>
      <c r="AA14" s="60">
        <v>1.5</v>
      </c>
      <c r="AB14" s="51" t="s">
        <v>131</v>
      </c>
      <c r="AC14" s="62">
        <v>1</v>
      </c>
      <c r="AD14" s="51" t="s">
        <v>169</v>
      </c>
      <c r="AE14" s="52" t="s">
        <v>179</v>
      </c>
      <c r="AF14" s="64"/>
      <c r="AG14" s="52" t="s">
        <v>192</v>
      </c>
      <c r="AH14" s="51" t="s">
        <v>219</v>
      </c>
      <c r="AI14" s="51" t="s">
        <v>219</v>
      </c>
      <c r="AJ14" s="51" t="s">
        <v>219</v>
      </c>
      <c r="AK14" s="51" t="s">
        <v>219</v>
      </c>
      <c r="AL14" s="51" t="s">
        <v>689</v>
      </c>
      <c r="AM14" s="51" t="s">
        <v>2432</v>
      </c>
      <c r="AN14" s="51" t="s">
        <v>214</v>
      </c>
      <c r="AO14" s="63" t="s">
        <v>219</v>
      </c>
      <c r="AP14" s="62" t="s">
        <v>2668</v>
      </c>
      <c r="AQ14" s="63" t="s">
        <v>217</v>
      </c>
      <c r="AR14" s="30" t="s">
        <v>219</v>
      </c>
      <c r="AS14" s="51" t="e">
        <f>_xlfn.XLOOKUP(AP14,[2]Entities!$K:$K,[2]Entities!$K:$K)</f>
        <v>#N/A</v>
      </c>
    </row>
    <row r="15" spans="1:45" ht="21.75" customHeight="1" x14ac:dyDescent="0.45">
      <c r="B15" s="51" t="s">
        <v>99</v>
      </c>
      <c r="E15" s="52" t="s">
        <v>87</v>
      </c>
      <c r="F15" s="51" t="s">
        <v>2431</v>
      </c>
      <c r="H15" s="52" t="s">
        <v>109</v>
      </c>
      <c r="J15" s="79">
        <v>2202389000000</v>
      </c>
      <c r="L15" s="51" t="s">
        <v>788</v>
      </c>
      <c r="M15" s="51" t="s">
        <v>2458</v>
      </c>
      <c r="N15" s="51" t="s">
        <v>2459</v>
      </c>
      <c r="O15" s="51" t="s">
        <v>787</v>
      </c>
      <c r="P15" s="51" t="s">
        <v>789</v>
      </c>
      <c r="Q15" s="51" t="s">
        <v>791</v>
      </c>
      <c r="R15" s="51" t="s">
        <v>346</v>
      </c>
      <c r="S15" s="51" t="s">
        <v>349</v>
      </c>
      <c r="T15" s="51" t="s">
        <v>352</v>
      </c>
      <c r="U15" s="51" t="s">
        <v>689</v>
      </c>
      <c r="V15" s="51" t="s">
        <v>689</v>
      </c>
      <c r="W15" s="51" t="s">
        <v>689</v>
      </c>
      <c r="X15" s="51" t="s">
        <v>788</v>
      </c>
      <c r="Y15" s="51" t="s">
        <v>790</v>
      </c>
      <c r="Z15" s="51" t="s">
        <v>792</v>
      </c>
      <c r="AA15" s="60">
        <v>1</v>
      </c>
      <c r="AB15" s="51" t="s">
        <v>131</v>
      </c>
      <c r="AC15" s="62">
        <v>1</v>
      </c>
      <c r="AD15" s="51" t="s">
        <v>169</v>
      </c>
      <c r="AE15" s="52" t="s">
        <v>179</v>
      </c>
      <c r="AF15" s="64"/>
      <c r="AG15" s="52" t="s">
        <v>192</v>
      </c>
      <c r="AH15" s="51" t="s">
        <v>219</v>
      </c>
      <c r="AI15" s="51" t="s">
        <v>219</v>
      </c>
      <c r="AJ15" s="51" t="s">
        <v>219</v>
      </c>
      <c r="AK15" s="51" t="s">
        <v>219</v>
      </c>
      <c r="AL15" s="51" t="s">
        <v>689</v>
      </c>
      <c r="AM15" s="51" t="s">
        <v>2432</v>
      </c>
      <c r="AN15" s="51" t="s">
        <v>214</v>
      </c>
      <c r="AO15" s="63" t="s">
        <v>219</v>
      </c>
      <c r="AP15" s="62" t="s">
        <v>2669</v>
      </c>
      <c r="AQ15" s="63" t="s">
        <v>217</v>
      </c>
      <c r="AR15" s="30" t="s">
        <v>219</v>
      </c>
      <c r="AS15" s="51" t="e">
        <f>_xlfn.XLOOKUP(AP15,[2]Entities!$K:$K,[2]Entities!$K:$K)</f>
        <v>#N/A</v>
      </c>
    </row>
    <row r="16" spans="1:45" ht="21.75" customHeight="1" x14ac:dyDescent="0.45">
      <c r="B16" s="51" t="s">
        <v>99</v>
      </c>
      <c r="E16" s="52" t="s">
        <v>87</v>
      </c>
      <c r="F16" s="51" t="s">
        <v>2431</v>
      </c>
      <c r="H16" s="52" t="s">
        <v>109</v>
      </c>
      <c r="J16" s="79">
        <v>114</v>
      </c>
      <c r="L16" s="51" t="s">
        <v>794</v>
      </c>
      <c r="M16" s="51" t="s">
        <v>2460</v>
      </c>
      <c r="N16" s="51" t="s">
        <v>2461</v>
      </c>
      <c r="O16" s="51" t="s">
        <v>793</v>
      </c>
      <c r="P16" s="51" t="s">
        <v>795</v>
      </c>
      <c r="Q16" s="51" t="s">
        <v>797</v>
      </c>
      <c r="R16" s="51" t="s">
        <v>273</v>
      </c>
      <c r="S16" s="51" t="s">
        <v>276</v>
      </c>
      <c r="T16" s="51" t="s">
        <v>278</v>
      </c>
      <c r="U16" s="51" t="s">
        <v>689</v>
      </c>
      <c r="V16" s="51" t="s">
        <v>689</v>
      </c>
      <c r="W16" s="51" t="s">
        <v>689</v>
      </c>
      <c r="X16" s="51" t="s">
        <v>794</v>
      </c>
      <c r="Y16" s="51" t="s">
        <v>796</v>
      </c>
      <c r="Z16" s="51" t="s">
        <v>798</v>
      </c>
      <c r="AA16" s="60">
        <v>1</v>
      </c>
      <c r="AB16" s="51" t="s">
        <v>131</v>
      </c>
      <c r="AC16" s="62">
        <v>1</v>
      </c>
      <c r="AD16" s="51" t="s">
        <v>168</v>
      </c>
      <c r="AE16" s="52" t="s">
        <v>179</v>
      </c>
      <c r="AF16" s="64"/>
      <c r="AG16" s="52" t="s">
        <v>192</v>
      </c>
      <c r="AH16" s="51" t="s">
        <v>219</v>
      </c>
      <c r="AI16" s="51" t="s">
        <v>219</v>
      </c>
      <c r="AJ16" s="51" t="s">
        <v>219</v>
      </c>
      <c r="AK16" s="51" t="s">
        <v>219</v>
      </c>
      <c r="AL16" s="51" t="s">
        <v>689</v>
      </c>
      <c r="AM16" s="51" t="s">
        <v>2432</v>
      </c>
      <c r="AN16" s="51" t="s">
        <v>2656</v>
      </c>
      <c r="AO16" s="63" t="s">
        <v>219</v>
      </c>
      <c r="AP16" s="62" t="s">
        <v>2670</v>
      </c>
      <c r="AQ16" s="63" t="s">
        <v>217</v>
      </c>
      <c r="AR16" s="30" t="s">
        <v>219</v>
      </c>
      <c r="AS16" s="51" t="e">
        <f>_xlfn.XLOOKUP(AP16,[2]Entities!$K:$K,[2]Entities!$K:$K)</f>
        <v>#N/A</v>
      </c>
    </row>
    <row r="17" spans="2:45" ht="21.75" customHeight="1" x14ac:dyDescent="0.45">
      <c r="B17" s="51" t="s">
        <v>99</v>
      </c>
      <c r="E17" s="52" t="s">
        <v>87</v>
      </c>
      <c r="F17" s="51" t="s">
        <v>2431</v>
      </c>
      <c r="H17" s="52" t="s">
        <v>109</v>
      </c>
      <c r="J17" s="79">
        <v>2201354000000</v>
      </c>
      <c r="L17" s="51" t="s">
        <v>799</v>
      </c>
      <c r="M17" s="51" t="s">
        <v>2462</v>
      </c>
      <c r="N17" s="51" t="s">
        <v>2463</v>
      </c>
      <c r="O17" s="51" t="s">
        <v>793</v>
      </c>
      <c r="P17" s="51" t="s">
        <v>795</v>
      </c>
      <c r="Q17" s="51" t="s">
        <v>797</v>
      </c>
      <c r="R17" s="51" t="s">
        <v>346</v>
      </c>
      <c r="S17" s="51" t="s">
        <v>349</v>
      </c>
      <c r="T17" s="51" t="s">
        <v>352</v>
      </c>
      <c r="U17" s="51" t="s">
        <v>689</v>
      </c>
      <c r="V17" s="51" t="s">
        <v>689</v>
      </c>
      <c r="W17" s="51" t="s">
        <v>689</v>
      </c>
      <c r="X17" s="51" t="s">
        <v>799</v>
      </c>
      <c r="Y17" s="51" t="s">
        <v>800</v>
      </c>
      <c r="Z17" s="51" t="s">
        <v>801</v>
      </c>
      <c r="AA17" s="60">
        <v>1</v>
      </c>
      <c r="AB17" s="51" t="s">
        <v>131</v>
      </c>
      <c r="AC17" s="62">
        <v>1</v>
      </c>
      <c r="AD17" s="51" t="s">
        <v>169</v>
      </c>
      <c r="AE17" s="52" t="s">
        <v>179</v>
      </c>
      <c r="AF17" s="64"/>
      <c r="AG17" s="52" t="s">
        <v>192</v>
      </c>
      <c r="AH17" s="51" t="s">
        <v>219</v>
      </c>
      <c r="AI17" s="51" t="s">
        <v>219</v>
      </c>
      <c r="AJ17" s="51" t="s">
        <v>219</v>
      </c>
      <c r="AK17" s="51" t="s">
        <v>219</v>
      </c>
      <c r="AL17" s="51" t="s">
        <v>689</v>
      </c>
      <c r="AM17" s="51" t="s">
        <v>2432</v>
      </c>
      <c r="AN17" s="51" t="s">
        <v>214</v>
      </c>
      <c r="AO17" s="63" t="s">
        <v>219</v>
      </c>
      <c r="AP17" s="62" t="s">
        <v>2671</v>
      </c>
      <c r="AQ17" s="63" t="s">
        <v>217</v>
      </c>
      <c r="AR17" s="30" t="s">
        <v>219</v>
      </c>
      <c r="AS17" s="51" t="e">
        <f>_xlfn.XLOOKUP(AP17,[2]Entities!$K:$K,[2]Entities!$K:$K)</f>
        <v>#N/A</v>
      </c>
    </row>
    <row r="18" spans="2:45" ht="21.75" customHeight="1" x14ac:dyDescent="0.45">
      <c r="B18" s="51" t="s">
        <v>99</v>
      </c>
      <c r="E18" s="52" t="s">
        <v>87</v>
      </c>
      <c r="F18" s="51" t="s">
        <v>2431</v>
      </c>
      <c r="H18" s="52" t="s">
        <v>109</v>
      </c>
      <c r="J18" s="79">
        <v>2202663000000</v>
      </c>
      <c r="L18" s="51" t="s">
        <v>803</v>
      </c>
      <c r="M18" s="51" t="s">
        <v>2464</v>
      </c>
      <c r="N18" s="51" t="s">
        <v>2465</v>
      </c>
      <c r="O18" s="51" t="s">
        <v>802</v>
      </c>
      <c r="P18" s="51" t="s">
        <v>804</v>
      </c>
      <c r="Q18" s="51" t="s">
        <v>806</v>
      </c>
      <c r="R18" s="51" t="s">
        <v>346</v>
      </c>
      <c r="S18" s="51" t="s">
        <v>349</v>
      </c>
      <c r="T18" s="51" t="s">
        <v>352</v>
      </c>
      <c r="U18" s="51" t="s">
        <v>689</v>
      </c>
      <c r="V18" s="51" t="s">
        <v>689</v>
      </c>
      <c r="W18" s="51" t="s">
        <v>689</v>
      </c>
      <c r="X18" s="51" t="s">
        <v>803</v>
      </c>
      <c r="Y18" s="51" t="s">
        <v>805</v>
      </c>
      <c r="Z18" s="51" t="s">
        <v>807</v>
      </c>
      <c r="AA18" s="60">
        <v>1</v>
      </c>
      <c r="AB18" s="51" t="s">
        <v>131</v>
      </c>
      <c r="AC18" s="62">
        <v>1</v>
      </c>
      <c r="AD18" s="51" t="s">
        <v>169</v>
      </c>
      <c r="AE18" s="52" t="s">
        <v>179</v>
      </c>
      <c r="AF18" s="64"/>
      <c r="AG18" s="52" t="s">
        <v>192</v>
      </c>
      <c r="AH18" s="51" t="s">
        <v>219</v>
      </c>
      <c r="AI18" s="51" t="s">
        <v>219</v>
      </c>
      <c r="AJ18" s="51" t="s">
        <v>219</v>
      </c>
      <c r="AK18" s="51" t="s">
        <v>219</v>
      </c>
      <c r="AL18" s="51" t="s">
        <v>689</v>
      </c>
      <c r="AM18" s="51" t="s">
        <v>2432</v>
      </c>
      <c r="AN18" s="51" t="s">
        <v>214</v>
      </c>
      <c r="AO18" s="63" t="s">
        <v>219</v>
      </c>
      <c r="AP18" s="62" t="s">
        <v>2672</v>
      </c>
      <c r="AQ18" s="63" t="s">
        <v>217</v>
      </c>
      <c r="AR18" s="30" t="s">
        <v>219</v>
      </c>
      <c r="AS18" s="51" t="e">
        <f>_xlfn.XLOOKUP(AP18,[2]Entities!$K:$K,[2]Entities!$K:$K)</f>
        <v>#N/A</v>
      </c>
    </row>
    <row r="19" spans="2:45" ht="21.75" customHeight="1" x14ac:dyDescent="0.45">
      <c r="B19" s="51" t="s">
        <v>99</v>
      </c>
      <c r="E19" s="52" t="s">
        <v>87</v>
      </c>
      <c r="F19" s="51" t="s">
        <v>2431</v>
      </c>
      <c r="H19" s="52" t="s">
        <v>109</v>
      </c>
      <c r="J19" s="79">
        <v>115</v>
      </c>
      <c r="L19" s="51" t="s">
        <v>808</v>
      </c>
      <c r="M19" s="51" t="s">
        <v>2466</v>
      </c>
      <c r="N19" s="51" t="s">
        <v>2467</v>
      </c>
      <c r="O19" s="51" t="s">
        <v>802</v>
      </c>
      <c r="P19" s="51" t="s">
        <v>804</v>
      </c>
      <c r="Q19" s="51" t="s">
        <v>806</v>
      </c>
      <c r="R19" s="51" t="s">
        <v>469</v>
      </c>
      <c r="S19" s="51" t="s">
        <v>471</v>
      </c>
      <c r="T19" s="51" t="s">
        <v>473</v>
      </c>
      <c r="U19" s="51" t="s">
        <v>689</v>
      </c>
      <c r="V19" s="51" t="s">
        <v>689</v>
      </c>
      <c r="W19" s="51" t="s">
        <v>689</v>
      </c>
      <c r="X19" s="51" t="s">
        <v>808</v>
      </c>
      <c r="Y19" s="51" t="s">
        <v>809</v>
      </c>
      <c r="Z19" s="51" t="s">
        <v>810</v>
      </c>
      <c r="AA19" s="60">
        <v>1</v>
      </c>
      <c r="AB19" s="51" t="s">
        <v>131</v>
      </c>
      <c r="AC19" s="62">
        <v>1</v>
      </c>
      <c r="AD19" s="51" t="s">
        <v>168</v>
      </c>
      <c r="AE19" s="52" t="s">
        <v>179</v>
      </c>
      <c r="AF19" s="64"/>
      <c r="AG19" s="52" t="s">
        <v>192</v>
      </c>
      <c r="AH19" s="51" t="s">
        <v>219</v>
      </c>
      <c r="AI19" s="51" t="s">
        <v>219</v>
      </c>
      <c r="AJ19" s="51" t="s">
        <v>219</v>
      </c>
      <c r="AK19" s="51" t="s">
        <v>219</v>
      </c>
      <c r="AL19" s="51" t="s">
        <v>689</v>
      </c>
      <c r="AM19" s="51" t="s">
        <v>2432</v>
      </c>
      <c r="AN19" s="51" t="s">
        <v>2656</v>
      </c>
      <c r="AO19" s="63" t="s">
        <v>219</v>
      </c>
      <c r="AP19" s="62" t="s">
        <v>2673</v>
      </c>
      <c r="AQ19" s="63" t="s">
        <v>217</v>
      </c>
      <c r="AR19" s="30" t="s">
        <v>219</v>
      </c>
      <c r="AS19" s="51" t="e">
        <f>_xlfn.XLOOKUP(AP19,[2]Entities!$K:$K,[2]Entities!$K:$K)</f>
        <v>#N/A</v>
      </c>
    </row>
    <row r="20" spans="2:45" ht="21.75" customHeight="1" x14ac:dyDescent="0.45">
      <c r="B20" s="51" t="s">
        <v>99</v>
      </c>
      <c r="E20" s="52" t="s">
        <v>87</v>
      </c>
      <c r="F20" s="51" t="s">
        <v>2431</v>
      </c>
      <c r="H20" s="52" t="s">
        <v>109</v>
      </c>
      <c r="J20" s="79">
        <v>2202621000003</v>
      </c>
      <c r="L20" s="51" t="s">
        <v>2468</v>
      </c>
      <c r="M20" s="51" t="s">
        <v>2469</v>
      </c>
      <c r="N20" s="51" t="s">
        <v>816</v>
      </c>
      <c r="O20" s="51" t="s">
        <v>811</v>
      </c>
      <c r="P20" s="51" t="s">
        <v>813</v>
      </c>
      <c r="Q20" s="51" t="s">
        <v>815</v>
      </c>
      <c r="R20" s="51" t="s">
        <v>689</v>
      </c>
      <c r="S20" s="51" t="s">
        <v>689</v>
      </c>
      <c r="T20" s="51" t="s">
        <v>689</v>
      </c>
      <c r="U20" s="51" t="s">
        <v>777</v>
      </c>
      <c r="V20" s="51" t="s">
        <v>777</v>
      </c>
      <c r="W20" s="51" t="s">
        <v>777</v>
      </c>
      <c r="X20" s="51" t="s">
        <v>812</v>
      </c>
      <c r="Y20" s="51" t="s">
        <v>814</v>
      </c>
      <c r="Z20" s="51" t="s">
        <v>816</v>
      </c>
      <c r="AA20" s="60">
        <v>1.5</v>
      </c>
      <c r="AB20" s="51" t="s">
        <v>131</v>
      </c>
      <c r="AC20" s="62">
        <v>1</v>
      </c>
      <c r="AD20" s="51" t="s">
        <v>169</v>
      </c>
      <c r="AE20" s="52" t="s">
        <v>179</v>
      </c>
      <c r="AF20" s="64"/>
      <c r="AG20" s="52" t="s">
        <v>192</v>
      </c>
      <c r="AH20" s="51" t="s">
        <v>219</v>
      </c>
      <c r="AI20" s="51" t="s">
        <v>219</v>
      </c>
      <c r="AJ20" s="51" t="s">
        <v>219</v>
      </c>
      <c r="AK20" s="51" t="s">
        <v>219</v>
      </c>
      <c r="AL20" s="51" t="s">
        <v>689</v>
      </c>
      <c r="AM20" s="51" t="s">
        <v>2432</v>
      </c>
      <c r="AN20" s="51" t="s">
        <v>214</v>
      </c>
      <c r="AO20" s="63" t="s">
        <v>219</v>
      </c>
      <c r="AP20" s="62" t="s">
        <v>2674</v>
      </c>
      <c r="AQ20" s="63" t="s">
        <v>217</v>
      </c>
      <c r="AR20" s="30" t="s">
        <v>219</v>
      </c>
      <c r="AS20" s="51" t="e">
        <f>_xlfn.XLOOKUP(AP20,[2]Entities!$K:$K,[2]Entities!$K:$K)</f>
        <v>#N/A</v>
      </c>
    </row>
    <row r="21" spans="2:45" ht="21.75" customHeight="1" x14ac:dyDescent="0.45">
      <c r="B21" s="51" t="s">
        <v>99</v>
      </c>
      <c r="E21" s="52" t="s">
        <v>87</v>
      </c>
      <c r="F21" s="51" t="s">
        <v>2431</v>
      </c>
      <c r="H21" s="52" t="s">
        <v>109</v>
      </c>
      <c r="J21" s="79">
        <v>116</v>
      </c>
      <c r="L21" s="51" t="s">
        <v>2470</v>
      </c>
      <c r="M21" s="51" t="s">
        <v>2471</v>
      </c>
      <c r="N21" s="51" t="s">
        <v>2472</v>
      </c>
      <c r="O21" s="51" t="s">
        <v>817</v>
      </c>
      <c r="P21" s="51" t="s">
        <v>819</v>
      </c>
      <c r="Q21" s="51" t="s">
        <v>821</v>
      </c>
      <c r="R21" s="51" t="s">
        <v>273</v>
      </c>
      <c r="S21" s="51" t="s">
        <v>276</v>
      </c>
      <c r="T21" s="51" t="s">
        <v>278</v>
      </c>
      <c r="U21" s="51" t="s">
        <v>689</v>
      </c>
      <c r="V21" s="51" t="s">
        <v>689</v>
      </c>
      <c r="W21" s="51" t="s">
        <v>689</v>
      </c>
      <c r="X21" s="51" t="s">
        <v>818</v>
      </c>
      <c r="Y21" s="51" t="s">
        <v>820</v>
      </c>
      <c r="Z21" s="51" t="s">
        <v>822</v>
      </c>
      <c r="AA21" s="60">
        <v>1</v>
      </c>
      <c r="AB21" s="51" t="s">
        <v>131</v>
      </c>
      <c r="AC21" s="62">
        <v>1</v>
      </c>
      <c r="AD21" s="51" t="s">
        <v>168</v>
      </c>
      <c r="AE21" s="52" t="s">
        <v>179</v>
      </c>
      <c r="AF21" s="64"/>
      <c r="AG21" s="52" t="s">
        <v>192</v>
      </c>
      <c r="AH21" s="51" t="s">
        <v>219</v>
      </c>
      <c r="AI21" s="51" t="s">
        <v>219</v>
      </c>
      <c r="AJ21" s="51" t="s">
        <v>219</v>
      </c>
      <c r="AK21" s="51" t="s">
        <v>219</v>
      </c>
      <c r="AL21" s="51" t="s">
        <v>689</v>
      </c>
      <c r="AM21" s="51" t="s">
        <v>2432</v>
      </c>
      <c r="AN21" s="51" t="s">
        <v>2656</v>
      </c>
      <c r="AO21" s="63" t="s">
        <v>219</v>
      </c>
      <c r="AP21" s="62" t="s">
        <v>2675</v>
      </c>
      <c r="AQ21" s="63" t="s">
        <v>217</v>
      </c>
      <c r="AR21" s="30" t="s">
        <v>219</v>
      </c>
      <c r="AS21" s="51" t="e">
        <f>_xlfn.XLOOKUP(AP21,[2]Entities!$K:$K,[2]Entities!$K:$K)</f>
        <v>#N/A</v>
      </c>
    </row>
    <row r="22" spans="2:45" ht="21.75" customHeight="1" x14ac:dyDescent="0.45">
      <c r="B22" s="51" t="s">
        <v>99</v>
      </c>
      <c r="E22" s="52" t="s">
        <v>87</v>
      </c>
      <c r="F22" s="51" t="s">
        <v>2431</v>
      </c>
      <c r="H22" s="52" t="s">
        <v>109</v>
      </c>
      <c r="J22" s="79">
        <v>2202901000006</v>
      </c>
      <c r="L22" s="51" t="s">
        <v>2473</v>
      </c>
      <c r="M22" s="51" t="s">
        <v>2474</v>
      </c>
      <c r="N22" s="51" t="s">
        <v>2475</v>
      </c>
      <c r="O22" s="51" t="s">
        <v>817</v>
      </c>
      <c r="P22" s="51" t="s">
        <v>819</v>
      </c>
      <c r="Q22" s="51" t="s">
        <v>821</v>
      </c>
      <c r="R22" s="51" t="s">
        <v>346</v>
      </c>
      <c r="S22" s="51" t="s">
        <v>349</v>
      </c>
      <c r="T22" s="51" t="s">
        <v>352</v>
      </c>
      <c r="U22" s="51" t="s">
        <v>689</v>
      </c>
      <c r="V22" s="51" t="s">
        <v>689</v>
      </c>
      <c r="W22" s="51" t="s">
        <v>689</v>
      </c>
      <c r="X22" s="51" t="s">
        <v>823</v>
      </c>
      <c r="Y22" s="51" t="s">
        <v>824</v>
      </c>
      <c r="Z22" s="51" t="s">
        <v>825</v>
      </c>
      <c r="AA22" s="60">
        <v>1</v>
      </c>
      <c r="AB22" s="51" t="s">
        <v>131</v>
      </c>
      <c r="AC22" s="62">
        <v>1</v>
      </c>
      <c r="AD22" s="51" t="s">
        <v>169</v>
      </c>
      <c r="AE22" s="52" t="s">
        <v>179</v>
      </c>
      <c r="AF22" s="64"/>
      <c r="AG22" s="52" t="s">
        <v>192</v>
      </c>
      <c r="AH22" s="51" t="s">
        <v>219</v>
      </c>
      <c r="AI22" s="51" t="s">
        <v>219</v>
      </c>
      <c r="AJ22" s="51" t="s">
        <v>219</v>
      </c>
      <c r="AK22" s="51" t="s">
        <v>219</v>
      </c>
      <c r="AL22" s="51" t="s">
        <v>689</v>
      </c>
      <c r="AM22" s="51" t="s">
        <v>2432</v>
      </c>
      <c r="AN22" s="51" t="s">
        <v>214</v>
      </c>
      <c r="AO22" s="63" t="s">
        <v>219</v>
      </c>
      <c r="AP22" s="62" t="s">
        <v>2676</v>
      </c>
      <c r="AQ22" s="63" t="s">
        <v>217</v>
      </c>
      <c r="AR22" s="30" t="s">
        <v>219</v>
      </c>
      <c r="AS22" s="51" t="e">
        <f>_xlfn.XLOOKUP(AP22,[2]Entities!$K:$K,[2]Entities!$K:$K)</f>
        <v>#N/A</v>
      </c>
    </row>
    <row r="23" spans="2:45" ht="21.75" customHeight="1" x14ac:dyDescent="0.45">
      <c r="B23" s="51" t="s">
        <v>99</v>
      </c>
      <c r="E23" s="52" t="s">
        <v>87</v>
      </c>
      <c r="F23" s="51" t="s">
        <v>2431</v>
      </c>
      <c r="H23" s="52" t="s">
        <v>109</v>
      </c>
      <c r="J23" s="79">
        <v>2216811000001</v>
      </c>
      <c r="L23" s="51" t="s">
        <v>2476</v>
      </c>
      <c r="M23" s="51" t="s">
        <v>2477</v>
      </c>
      <c r="N23" s="51" t="s">
        <v>2478</v>
      </c>
      <c r="O23" s="51" t="s">
        <v>826</v>
      </c>
      <c r="P23" s="51" t="s">
        <v>829</v>
      </c>
      <c r="Q23" s="51" t="s">
        <v>832</v>
      </c>
      <c r="R23" s="51" t="s">
        <v>827</v>
      </c>
      <c r="S23" s="51" t="s">
        <v>830</v>
      </c>
      <c r="T23" s="51" t="s">
        <v>833</v>
      </c>
      <c r="U23" s="51" t="s">
        <v>268</v>
      </c>
      <c r="V23" s="51" t="s">
        <v>269</v>
      </c>
      <c r="W23" s="51" t="s">
        <v>270</v>
      </c>
      <c r="X23" s="51" t="s">
        <v>828</v>
      </c>
      <c r="Y23" s="51" t="s">
        <v>831</v>
      </c>
      <c r="Z23" s="51" t="s">
        <v>834</v>
      </c>
      <c r="AA23" s="60">
        <v>2</v>
      </c>
      <c r="AB23" s="51" t="s">
        <v>137</v>
      </c>
      <c r="AC23" s="62">
        <v>1</v>
      </c>
      <c r="AD23" s="51" t="s">
        <v>169</v>
      </c>
      <c r="AE23" s="52" t="s">
        <v>179</v>
      </c>
      <c r="AF23" s="64"/>
      <c r="AG23" s="52" t="s">
        <v>192</v>
      </c>
      <c r="AH23" s="51" t="s">
        <v>219</v>
      </c>
      <c r="AI23" s="51" t="s">
        <v>219</v>
      </c>
      <c r="AJ23" s="51" t="s">
        <v>219</v>
      </c>
      <c r="AK23" s="51" t="s">
        <v>219</v>
      </c>
      <c r="AL23" s="51" t="s">
        <v>689</v>
      </c>
      <c r="AM23" s="51" t="s">
        <v>2432</v>
      </c>
      <c r="AN23" s="51" t="s">
        <v>214</v>
      </c>
      <c r="AO23" s="63" t="s">
        <v>219</v>
      </c>
      <c r="AP23" s="62" t="s">
        <v>2677</v>
      </c>
      <c r="AQ23" s="63" t="s">
        <v>217</v>
      </c>
      <c r="AR23" s="30" t="s">
        <v>219</v>
      </c>
      <c r="AS23" s="51" t="e">
        <f>_xlfn.XLOOKUP(AP23,[2]Entities!$K:$K,[2]Entities!$K:$K)</f>
        <v>#N/A</v>
      </c>
    </row>
    <row r="24" spans="2:45" ht="21.75" customHeight="1" x14ac:dyDescent="0.45">
      <c r="B24" s="51" t="s">
        <v>99</v>
      </c>
      <c r="E24" s="52" t="s">
        <v>87</v>
      </c>
      <c r="F24" s="51" t="s">
        <v>2431</v>
      </c>
      <c r="H24" s="52" t="s">
        <v>109</v>
      </c>
      <c r="J24" s="79"/>
      <c r="L24" s="51" t="s">
        <v>836</v>
      </c>
      <c r="M24" s="51" t="s">
        <v>2479</v>
      </c>
      <c r="N24" s="51" t="s">
        <v>842</v>
      </c>
      <c r="O24" s="51" t="s">
        <v>835</v>
      </c>
      <c r="P24" s="51" t="s">
        <v>837</v>
      </c>
      <c r="Q24" s="51" t="s">
        <v>840</v>
      </c>
      <c r="R24" s="51" t="s">
        <v>689</v>
      </c>
      <c r="S24" s="51" t="s">
        <v>689</v>
      </c>
      <c r="T24" s="51" t="s">
        <v>689</v>
      </c>
      <c r="U24" s="51" t="s">
        <v>252</v>
      </c>
      <c r="V24" s="51" t="s">
        <v>838</v>
      </c>
      <c r="W24" s="51" t="s">
        <v>841</v>
      </c>
      <c r="X24" s="51" t="s">
        <v>836</v>
      </c>
      <c r="Y24" s="51" t="s">
        <v>839</v>
      </c>
      <c r="Z24" s="51" t="s">
        <v>842</v>
      </c>
      <c r="AA24" s="60">
        <v>1</v>
      </c>
      <c r="AB24" s="51" t="s">
        <v>137</v>
      </c>
      <c r="AC24" s="62">
        <v>1</v>
      </c>
      <c r="AD24" s="51" t="s">
        <v>169</v>
      </c>
      <c r="AE24" s="52" t="s">
        <v>179</v>
      </c>
      <c r="AF24" s="64"/>
      <c r="AG24" s="52" t="s">
        <v>192</v>
      </c>
      <c r="AH24" s="51" t="s">
        <v>219</v>
      </c>
      <c r="AI24" s="51" t="s">
        <v>219</v>
      </c>
      <c r="AJ24" s="51" t="s">
        <v>219</v>
      </c>
      <c r="AK24" s="51" t="s">
        <v>219</v>
      </c>
      <c r="AL24" s="51" t="s">
        <v>689</v>
      </c>
      <c r="AM24" s="51" t="s">
        <v>2432</v>
      </c>
      <c r="AN24" s="51" t="s">
        <v>2433</v>
      </c>
      <c r="AO24" s="63" t="s">
        <v>219</v>
      </c>
      <c r="AP24" s="62" t="s">
        <v>2678</v>
      </c>
      <c r="AQ24" s="63" t="s">
        <v>217</v>
      </c>
      <c r="AR24" s="30" t="s">
        <v>219</v>
      </c>
      <c r="AS24" s="51" t="e">
        <f>_xlfn.XLOOKUP(AP24,[2]Entities!$K:$K,[2]Entities!$K:$K)</f>
        <v>#N/A</v>
      </c>
    </row>
    <row r="25" spans="2:45" ht="21.75" customHeight="1" x14ac:dyDescent="0.45">
      <c r="B25" s="51" t="s">
        <v>99</v>
      </c>
      <c r="E25" s="52" t="s">
        <v>87</v>
      </c>
      <c r="F25" s="51" t="s">
        <v>2431</v>
      </c>
      <c r="H25" s="52" t="s">
        <v>109</v>
      </c>
      <c r="J25" s="79">
        <v>117</v>
      </c>
      <c r="L25" s="51" t="s">
        <v>2480</v>
      </c>
      <c r="M25" s="51" t="s">
        <v>2481</v>
      </c>
      <c r="N25" s="51" t="s">
        <v>2482</v>
      </c>
      <c r="O25" s="51" t="s">
        <v>843</v>
      </c>
      <c r="P25" s="51" t="s">
        <v>845</v>
      </c>
      <c r="Q25" s="51" t="s">
        <v>847</v>
      </c>
      <c r="R25" s="51" t="s">
        <v>273</v>
      </c>
      <c r="S25" s="51" t="s">
        <v>276</v>
      </c>
      <c r="T25" s="51" t="s">
        <v>278</v>
      </c>
      <c r="U25" s="51" t="s">
        <v>689</v>
      </c>
      <c r="V25" s="51" t="s">
        <v>689</v>
      </c>
      <c r="W25" s="51" t="s">
        <v>689</v>
      </c>
      <c r="X25" s="51" t="s">
        <v>844</v>
      </c>
      <c r="Y25" s="51" t="s">
        <v>846</v>
      </c>
      <c r="Z25" s="51" t="s">
        <v>848</v>
      </c>
      <c r="AA25" s="60">
        <v>1</v>
      </c>
      <c r="AB25" s="51" t="s">
        <v>131</v>
      </c>
      <c r="AC25" s="62">
        <v>1</v>
      </c>
      <c r="AD25" s="51" t="s">
        <v>168</v>
      </c>
      <c r="AE25" s="52" t="s">
        <v>179</v>
      </c>
      <c r="AF25" s="64"/>
      <c r="AG25" s="52" t="s">
        <v>192</v>
      </c>
      <c r="AH25" s="51" t="s">
        <v>219</v>
      </c>
      <c r="AI25" s="51" t="s">
        <v>219</v>
      </c>
      <c r="AJ25" s="51" t="s">
        <v>219</v>
      </c>
      <c r="AK25" s="51" t="s">
        <v>219</v>
      </c>
      <c r="AL25" s="51" t="s">
        <v>689</v>
      </c>
      <c r="AM25" s="51" t="s">
        <v>2432</v>
      </c>
      <c r="AN25" s="51" t="s">
        <v>2656</v>
      </c>
      <c r="AO25" s="63" t="s">
        <v>219</v>
      </c>
      <c r="AP25" s="62" t="s">
        <v>2679</v>
      </c>
      <c r="AQ25" s="63" t="s">
        <v>217</v>
      </c>
      <c r="AR25" s="30" t="s">
        <v>219</v>
      </c>
      <c r="AS25" s="51" t="e">
        <f>_xlfn.XLOOKUP(AP25,[2]Entities!$K:$K,[2]Entities!$K:$K)</f>
        <v>#N/A</v>
      </c>
    </row>
    <row r="26" spans="2:45" ht="21.75" customHeight="1" x14ac:dyDescent="0.45">
      <c r="B26" s="51" t="s">
        <v>99</v>
      </c>
      <c r="E26" s="52" t="s">
        <v>87</v>
      </c>
      <c r="F26" s="51" t="s">
        <v>2431</v>
      </c>
      <c r="H26" s="52" t="s">
        <v>109</v>
      </c>
      <c r="J26" s="79">
        <v>2202021000009</v>
      </c>
      <c r="L26" s="51" t="s">
        <v>2483</v>
      </c>
      <c r="M26" s="51" t="s">
        <v>2484</v>
      </c>
      <c r="N26" s="51" t="s">
        <v>2485</v>
      </c>
      <c r="O26" s="51" t="s">
        <v>843</v>
      </c>
      <c r="P26" s="51" t="s">
        <v>845</v>
      </c>
      <c r="Q26" s="51" t="s">
        <v>847</v>
      </c>
      <c r="R26" s="51" t="s">
        <v>346</v>
      </c>
      <c r="S26" s="51" t="s">
        <v>349</v>
      </c>
      <c r="T26" s="51" t="s">
        <v>352</v>
      </c>
      <c r="U26" s="51" t="s">
        <v>689</v>
      </c>
      <c r="V26" s="51" t="s">
        <v>689</v>
      </c>
      <c r="W26" s="51" t="s">
        <v>689</v>
      </c>
      <c r="X26" s="51" t="s">
        <v>2408</v>
      </c>
      <c r="Y26" s="51" t="s">
        <v>849</v>
      </c>
      <c r="Z26" s="51" t="s">
        <v>850</v>
      </c>
      <c r="AA26" s="60">
        <v>1</v>
      </c>
      <c r="AB26" s="51" t="s">
        <v>131</v>
      </c>
      <c r="AC26" s="62">
        <v>1</v>
      </c>
      <c r="AD26" s="51" t="s">
        <v>169</v>
      </c>
      <c r="AE26" s="52" t="s">
        <v>179</v>
      </c>
      <c r="AF26" s="64"/>
      <c r="AG26" s="52" t="s">
        <v>192</v>
      </c>
      <c r="AH26" s="51" t="s">
        <v>219</v>
      </c>
      <c r="AI26" s="51" t="s">
        <v>219</v>
      </c>
      <c r="AJ26" s="51" t="s">
        <v>219</v>
      </c>
      <c r="AK26" s="51" t="s">
        <v>219</v>
      </c>
      <c r="AL26" s="51" t="s">
        <v>689</v>
      </c>
      <c r="AM26" s="51" t="s">
        <v>2432</v>
      </c>
      <c r="AN26" s="51" t="s">
        <v>214</v>
      </c>
      <c r="AO26" s="63" t="s">
        <v>219</v>
      </c>
      <c r="AP26" s="62" t="s">
        <v>2680</v>
      </c>
      <c r="AQ26" s="63" t="s">
        <v>217</v>
      </c>
      <c r="AR26" s="30" t="s">
        <v>219</v>
      </c>
      <c r="AS26" s="51" t="e">
        <f>_xlfn.XLOOKUP(AP26,[2]Entities!$K:$K,[2]Entities!$K:$K)</f>
        <v>#N/A</v>
      </c>
    </row>
    <row r="27" spans="2:45" ht="21.75" customHeight="1" x14ac:dyDescent="0.45">
      <c r="B27" s="51" t="s">
        <v>99</v>
      </c>
      <c r="E27" s="52" t="s">
        <v>87</v>
      </c>
      <c r="F27" s="51" t="s">
        <v>2431</v>
      </c>
      <c r="H27" s="52" t="s">
        <v>109</v>
      </c>
      <c r="J27" s="79">
        <v>121</v>
      </c>
      <c r="L27" s="51" t="s">
        <v>852</v>
      </c>
      <c r="M27" s="51" t="s">
        <v>2486</v>
      </c>
      <c r="N27" s="51" t="s">
        <v>2487</v>
      </c>
      <c r="O27" s="51" t="s">
        <v>851</v>
      </c>
      <c r="P27" s="51" t="s">
        <v>853</v>
      </c>
      <c r="Q27" s="51" t="s">
        <v>855</v>
      </c>
      <c r="R27" s="51" t="s">
        <v>273</v>
      </c>
      <c r="S27" s="51" t="s">
        <v>276</v>
      </c>
      <c r="T27" s="51" t="s">
        <v>278</v>
      </c>
      <c r="U27" s="51" t="s">
        <v>689</v>
      </c>
      <c r="V27" s="51" t="s">
        <v>689</v>
      </c>
      <c r="W27" s="51" t="s">
        <v>689</v>
      </c>
      <c r="X27" s="51" t="s">
        <v>852</v>
      </c>
      <c r="Y27" s="51" t="s">
        <v>854</v>
      </c>
      <c r="Z27" s="51" t="s">
        <v>856</v>
      </c>
      <c r="AA27" s="60">
        <v>1</v>
      </c>
      <c r="AB27" s="51" t="s">
        <v>131</v>
      </c>
      <c r="AC27" s="62">
        <v>1</v>
      </c>
      <c r="AD27" s="51" t="s">
        <v>168</v>
      </c>
      <c r="AE27" s="52" t="s">
        <v>179</v>
      </c>
      <c r="AF27" s="64"/>
      <c r="AG27" s="52" t="s">
        <v>192</v>
      </c>
      <c r="AH27" s="51" t="s">
        <v>219</v>
      </c>
      <c r="AI27" s="51" t="s">
        <v>219</v>
      </c>
      <c r="AJ27" s="51" t="s">
        <v>219</v>
      </c>
      <c r="AK27" s="51" t="s">
        <v>219</v>
      </c>
      <c r="AL27" s="51" t="s">
        <v>689</v>
      </c>
      <c r="AM27" s="51" t="s">
        <v>2432</v>
      </c>
      <c r="AN27" s="51" t="s">
        <v>2656</v>
      </c>
      <c r="AO27" s="63" t="s">
        <v>219</v>
      </c>
      <c r="AP27" s="62" t="s">
        <v>2681</v>
      </c>
      <c r="AQ27" s="63" t="s">
        <v>217</v>
      </c>
      <c r="AR27" s="30" t="s">
        <v>219</v>
      </c>
      <c r="AS27" s="51" t="e">
        <f>_xlfn.XLOOKUP(AP27,[2]Entities!$K:$K,[2]Entities!$K:$K)</f>
        <v>#N/A</v>
      </c>
    </row>
    <row r="28" spans="2:45" ht="21.75" customHeight="1" x14ac:dyDescent="0.45">
      <c r="B28" s="51" t="s">
        <v>99</v>
      </c>
      <c r="E28" s="52" t="s">
        <v>87</v>
      </c>
      <c r="F28" s="51" t="s">
        <v>2431</v>
      </c>
      <c r="H28" s="52" t="s">
        <v>109</v>
      </c>
      <c r="J28" s="79">
        <v>2245251000005</v>
      </c>
      <c r="L28" s="51" t="s">
        <v>857</v>
      </c>
      <c r="M28" s="51" t="s">
        <v>2488</v>
      </c>
      <c r="N28" s="51" t="s">
        <v>2489</v>
      </c>
      <c r="O28" s="51" t="s">
        <v>851</v>
      </c>
      <c r="P28" s="51" t="s">
        <v>853</v>
      </c>
      <c r="Q28" s="51" t="s">
        <v>855</v>
      </c>
      <c r="R28" s="51" t="s">
        <v>346</v>
      </c>
      <c r="S28" s="51" t="s">
        <v>349</v>
      </c>
      <c r="T28" s="51" t="s">
        <v>352</v>
      </c>
      <c r="U28" s="51" t="s">
        <v>689</v>
      </c>
      <c r="V28" s="51" t="s">
        <v>689</v>
      </c>
      <c r="W28" s="51" t="s">
        <v>689</v>
      </c>
      <c r="X28" s="51" t="s">
        <v>857</v>
      </c>
      <c r="Y28" s="51" t="s">
        <v>858</v>
      </c>
      <c r="Z28" s="51" t="s">
        <v>859</v>
      </c>
      <c r="AA28" s="60">
        <v>1</v>
      </c>
      <c r="AB28" s="51" t="s">
        <v>131</v>
      </c>
      <c r="AC28" s="62">
        <v>1</v>
      </c>
      <c r="AD28" s="51" t="s">
        <v>169</v>
      </c>
      <c r="AE28" s="52" t="s">
        <v>179</v>
      </c>
      <c r="AF28" s="64"/>
      <c r="AG28" s="52" t="s">
        <v>192</v>
      </c>
      <c r="AH28" s="51" t="s">
        <v>219</v>
      </c>
      <c r="AI28" s="51" t="s">
        <v>219</v>
      </c>
      <c r="AJ28" s="51" t="s">
        <v>219</v>
      </c>
      <c r="AK28" s="51" t="s">
        <v>219</v>
      </c>
      <c r="AL28" s="51" t="s">
        <v>689</v>
      </c>
      <c r="AM28" s="51" t="s">
        <v>2432</v>
      </c>
      <c r="AN28" s="51" t="s">
        <v>214</v>
      </c>
      <c r="AO28" s="63" t="s">
        <v>219</v>
      </c>
      <c r="AP28" s="62" t="s">
        <v>2682</v>
      </c>
      <c r="AQ28" s="63" t="s">
        <v>217</v>
      </c>
      <c r="AR28" s="30" t="s">
        <v>219</v>
      </c>
      <c r="AS28" s="51" t="e">
        <f>_xlfn.XLOOKUP(AP28,[2]Entities!$K:$K,[2]Entities!$K:$K)</f>
        <v>#N/A</v>
      </c>
    </row>
    <row r="29" spans="2:45" ht="21.75" customHeight="1" x14ac:dyDescent="0.45">
      <c r="B29" s="51" t="s">
        <v>99</v>
      </c>
      <c r="E29" s="52" t="s">
        <v>87</v>
      </c>
      <c r="F29" s="51" t="s">
        <v>2431</v>
      </c>
      <c r="H29" s="52" t="s">
        <v>109</v>
      </c>
      <c r="J29" s="79">
        <v>7628072012627</v>
      </c>
      <c r="L29" s="51" t="s">
        <v>861</v>
      </c>
      <c r="M29" s="51" t="s">
        <v>2490</v>
      </c>
      <c r="N29" s="51" t="s">
        <v>865</v>
      </c>
      <c r="O29" s="51" t="s">
        <v>860</v>
      </c>
      <c r="P29" s="51" t="s">
        <v>862</v>
      </c>
      <c r="Q29" s="51" t="s">
        <v>864</v>
      </c>
      <c r="R29" s="51" t="s">
        <v>309</v>
      </c>
      <c r="S29" s="51" t="s">
        <v>310</v>
      </c>
      <c r="T29" s="51" t="s">
        <v>311</v>
      </c>
      <c r="U29" s="51" t="s">
        <v>253</v>
      </c>
      <c r="V29" s="51" t="s">
        <v>253</v>
      </c>
      <c r="W29" s="51" t="s">
        <v>253</v>
      </c>
      <c r="X29" s="51" t="s">
        <v>861</v>
      </c>
      <c r="Y29" s="51" t="s">
        <v>863</v>
      </c>
      <c r="Z29" s="51" t="s">
        <v>865</v>
      </c>
      <c r="AA29" s="60">
        <v>0.25</v>
      </c>
      <c r="AB29" s="51" t="s">
        <v>130</v>
      </c>
      <c r="AC29" s="62">
        <v>100</v>
      </c>
      <c r="AD29" s="51" t="s">
        <v>169</v>
      </c>
      <c r="AE29" s="52" t="s">
        <v>179</v>
      </c>
      <c r="AF29" s="64"/>
      <c r="AG29" s="52" t="s">
        <v>192</v>
      </c>
      <c r="AH29" s="51" t="s">
        <v>219</v>
      </c>
      <c r="AI29" s="51" t="s">
        <v>219</v>
      </c>
      <c r="AJ29" s="51" t="s">
        <v>219</v>
      </c>
      <c r="AK29" s="51" t="s">
        <v>219</v>
      </c>
      <c r="AL29" s="51" t="s">
        <v>689</v>
      </c>
      <c r="AM29" s="51" t="s">
        <v>2432</v>
      </c>
      <c r="AN29" s="51" t="s">
        <v>214</v>
      </c>
      <c r="AO29" s="63" t="s">
        <v>219</v>
      </c>
      <c r="AP29" s="62" t="s">
        <v>2683</v>
      </c>
      <c r="AQ29" s="63" t="s">
        <v>217</v>
      </c>
      <c r="AR29" s="30" t="s">
        <v>219</v>
      </c>
      <c r="AS29" s="51" t="e">
        <f>_xlfn.XLOOKUP(AP29,[2]Entities!$K:$K,[2]Entities!$K:$K)</f>
        <v>#N/A</v>
      </c>
    </row>
    <row r="30" spans="2:45" ht="21.75" customHeight="1" x14ac:dyDescent="0.45">
      <c r="B30" s="51" t="s">
        <v>99</v>
      </c>
      <c r="E30" s="52" t="s">
        <v>87</v>
      </c>
      <c r="F30" s="51" t="s">
        <v>2431</v>
      </c>
      <c r="H30" s="52" t="s">
        <v>109</v>
      </c>
      <c r="J30" s="79">
        <v>124</v>
      </c>
      <c r="L30" s="51" t="s">
        <v>867</v>
      </c>
      <c r="M30" s="51" t="s">
        <v>2491</v>
      </c>
      <c r="N30" s="51" t="s">
        <v>2492</v>
      </c>
      <c r="O30" s="51" t="s">
        <v>866</v>
      </c>
      <c r="P30" s="51" t="s">
        <v>868</v>
      </c>
      <c r="Q30" s="51" t="s">
        <v>870</v>
      </c>
      <c r="R30" s="51" t="s">
        <v>469</v>
      </c>
      <c r="S30" s="51" t="s">
        <v>471</v>
      </c>
      <c r="T30" s="51" t="s">
        <v>473</v>
      </c>
      <c r="U30" s="51" t="s">
        <v>689</v>
      </c>
      <c r="V30" s="51" t="s">
        <v>689</v>
      </c>
      <c r="W30" s="51" t="s">
        <v>689</v>
      </c>
      <c r="X30" s="51" t="s">
        <v>867</v>
      </c>
      <c r="Y30" s="51" t="s">
        <v>869</v>
      </c>
      <c r="Z30" s="51" t="s">
        <v>871</v>
      </c>
      <c r="AA30" s="60">
        <v>1</v>
      </c>
      <c r="AB30" s="51" t="s">
        <v>131</v>
      </c>
      <c r="AC30" s="62">
        <v>1</v>
      </c>
      <c r="AD30" s="51" t="s">
        <v>168</v>
      </c>
      <c r="AE30" s="52" t="s">
        <v>179</v>
      </c>
      <c r="AF30" s="64"/>
      <c r="AG30" s="52" t="s">
        <v>192</v>
      </c>
      <c r="AH30" s="51" t="s">
        <v>219</v>
      </c>
      <c r="AI30" s="51" t="s">
        <v>219</v>
      </c>
      <c r="AJ30" s="51" t="s">
        <v>219</v>
      </c>
      <c r="AK30" s="51" t="s">
        <v>219</v>
      </c>
      <c r="AL30" s="51" t="s">
        <v>689</v>
      </c>
      <c r="AM30" s="51" t="s">
        <v>2432</v>
      </c>
      <c r="AN30" s="51" t="s">
        <v>2656</v>
      </c>
      <c r="AO30" s="63" t="s">
        <v>219</v>
      </c>
      <c r="AP30" s="62" t="s">
        <v>2684</v>
      </c>
      <c r="AQ30" s="63" t="s">
        <v>217</v>
      </c>
      <c r="AR30" s="30" t="s">
        <v>219</v>
      </c>
      <c r="AS30" s="51" t="e">
        <f>_xlfn.XLOOKUP(AP30,[2]Entities!$K:$K,[2]Entities!$K:$K)</f>
        <v>#N/A</v>
      </c>
    </row>
    <row r="31" spans="2:45" ht="21.75" customHeight="1" x14ac:dyDescent="0.45">
      <c r="B31" s="51" t="s">
        <v>99</v>
      </c>
      <c r="E31" s="52" t="s">
        <v>87</v>
      </c>
      <c r="F31" s="51" t="s">
        <v>2431</v>
      </c>
      <c r="H31" s="52" t="s">
        <v>109</v>
      </c>
      <c r="J31" s="79">
        <v>2201761000003</v>
      </c>
      <c r="L31" s="51" t="s">
        <v>873</v>
      </c>
      <c r="M31" s="51" t="s">
        <v>2493</v>
      </c>
      <c r="N31" s="51" t="s">
        <v>877</v>
      </c>
      <c r="O31" s="51" t="s">
        <v>872</v>
      </c>
      <c r="P31" s="51" t="s">
        <v>874</v>
      </c>
      <c r="Q31" s="51" t="s">
        <v>876</v>
      </c>
      <c r="R31" s="51" t="s">
        <v>293</v>
      </c>
      <c r="S31" s="51" t="s">
        <v>294</v>
      </c>
      <c r="T31" s="51" t="s">
        <v>295</v>
      </c>
      <c r="U31" s="51" t="s">
        <v>689</v>
      </c>
      <c r="V31" s="51" t="s">
        <v>689</v>
      </c>
      <c r="W31" s="51" t="s">
        <v>689</v>
      </c>
      <c r="X31" s="51" t="s">
        <v>873</v>
      </c>
      <c r="Y31" s="51" t="s">
        <v>875</v>
      </c>
      <c r="Z31" s="51" t="s">
        <v>877</v>
      </c>
      <c r="AA31" s="60">
        <v>1</v>
      </c>
      <c r="AB31" s="51" t="s">
        <v>131</v>
      </c>
      <c r="AC31" s="62">
        <v>1</v>
      </c>
      <c r="AD31" s="51" t="s">
        <v>169</v>
      </c>
      <c r="AE31" s="52" t="s">
        <v>179</v>
      </c>
      <c r="AF31" s="64"/>
      <c r="AG31" s="52" t="s">
        <v>192</v>
      </c>
      <c r="AH31" s="51" t="s">
        <v>219</v>
      </c>
      <c r="AI31" s="51" t="s">
        <v>219</v>
      </c>
      <c r="AJ31" s="51" t="s">
        <v>219</v>
      </c>
      <c r="AK31" s="51" t="s">
        <v>219</v>
      </c>
      <c r="AL31" s="51" t="s">
        <v>689</v>
      </c>
      <c r="AM31" s="51" t="s">
        <v>2432</v>
      </c>
      <c r="AN31" s="51" t="s">
        <v>214</v>
      </c>
      <c r="AO31" s="63" t="s">
        <v>219</v>
      </c>
      <c r="AP31" s="62" t="s">
        <v>2685</v>
      </c>
      <c r="AQ31" s="63" t="s">
        <v>217</v>
      </c>
      <c r="AR31" s="30" t="s">
        <v>219</v>
      </c>
      <c r="AS31" s="51" t="e">
        <f>_xlfn.XLOOKUP(AP31,[2]Entities!$K:$K,[2]Entities!$K:$K)</f>
        <v>#N/A</v>
      </c>
    </row>
    <row r="32" spans="2:45" ht="21.75" customHeight="1" x14ac:dyDescent="0.45">
      <c r="B32" s="51" t="s">
        <v>99</v>
      </c>
      <c r="E32" s="52" t="s">
        <v>87</v>
      </c>
      <c r="F32" s="51" t="s">
        <v>2431</v>
      </c>
      <c r="H32" s="52" t="s">
        <v>109</v>
      </c>
      <c r="J32" s="79"/>
      <c r="L32" s="51" t="s">
        <v>878</v>
      </c>
      <c r="M32" s="51" t="s">
        <v>879</v>
      </c>
      <c r="N32" s="51" t="s">
        <v>880</v>
      </c>
      <c r="O32" s="51" t="s">
        <v>878</v>
      </c>
      <c r="P32" s="51" t="s">
        <v>879</v>
      </c>
      <c r="Q32" s="51" t="s">
        <v>880</v>
      </c>
      <c r="R32" s="51" t="s">
        <v>689</v>
      </c>
      <c r="S32" s="51" t="s">
        <v>689</v>
      </c>
      <c r="T32" s="51" t="s">
        <v>689</v>
      </c>
      <c r="U32" s="51" t="s">
        <v>689</v>
      </c>
      <c r="V32" s="51" t="s">
        <v>689</v>
      </c>
      <c r="W32" s="51" t="s">
        <v>689</v>
      </c>
      <c r="X32" s="51" t="s">
        <v>878</v>
      </c>
      <c r="Y32" s="51" t="s">
        <v>879</v>
      </c>
      <c r="Z32" s="51" t="s">
        <v>880</v>
      </c>
      <c r="AA32" s="60">
        <v>1</v>
      </c>
      <c r="AB32" s="51" t="s">
        <v>137</v>
      </c>
      <c r="AC32" s="62">
        <v>1</v>
      </c>
      <c r="AD32" s="51" t="s">
        <v>169</v>
      </c>
      <c r="AE32" s="52" t="s">
        <v>179</v>
      </c>
      <c r="AF32" s="64"/>
      <c r="AG32" s="52" t="s">
        <v>192</v>
      </c>
      <c r="AH32" s="51" t="s">
        <v>219</v>
      </c>
      <c r="AI32" s="51" t="s">
        <v>219</v>
      </c>
      <c r="AJ32" s="51" t="s">
        <v>219</v>
      </c>
      <c r="AK32" s="51" t="s">
        <v>219</v>
      </c>
      <c r="AL32" s="51" t="s">
        <v>689</v>
      </c>
      <c r="AM32" s="51" t="s">
        <v>2432</v>
      </c>
      <c r="AN32" s="51" t="s">
        <v>2433</v>
      </c>
      <c r="AO32" s="63" t="s">
        <v>219</v>
      </c>
      <c r="AP32" s="62" t="s">
        <v>2686</v>
      </c>
      <c r="AQ32" s="63" t="s">
        <v>217</v>
      </c>
      <c r="AR32" s="30" t="s">
        <v>219</v>
      </c>
      <c r="AS32" s="51" t="e">
        <f>_xlfn.XLOOKUP(AP32,[2]Entities!$K:$K,[2]Entities!$K:$K)</f>
        <v>#N/A</v>
      </c>
    </row>
    <row r="33" spans="2:45" ht="21.75" customHeight="1" x14ac:dyDescent="0.45">
      <c r="B33" s="51" t="s">
        <v>99</v>
      </c>
      <c r="E33" s="52" t="s">
        <v>87</v>
      </c>
      <c r="F33" s="51" t="s">
        <v>2431</v>
      </c>
      <c r="H33" s="52" t="s">
        <v>109</v>
      </c>
      <c r="J33" s="79">
        <v>149</v>
      </c>
      <c r="L33" s="51" t="s">
        <v>882</v>
      </c>
      <c r="M33" s="51" t="s">
        <v>2494</v>
      </c>
      <c r="N33" s="51" t="s">
        <v>886</v>
      </c>
      <c r="O33" s="51" t="s">
        <v>881</v>
      </c>
      <c r="P33" s="51" t="s">
        <v>883</v>
      </c>
      <c r="Q33" s="51" t="s">
        <v>885</v>
      </c>
      <c r="R33" s="51" t="s">
        <v>319</v>
      </c>
      <c r="S33" s="51" t="s">
        <v>322</v>
      </c>
      <c r="T33" s="51" t="s">
        <v>308</v>
      </c>
      <c r="U33" s="51" t="s">
        <v>689</v>
      </c>
      <c r="V33" s="51" t="s">
        <v>689</v>
      </c>
      <c r="W33" s="51" t="s">
        <v>689</v>
      </c>
      <c r="X33" s="51" t="s">
        <v>882</v>
      </c>
      <c r="Y33" s="51" t="s">
        <v>884</v>
      </c>
      <c r="Z33" s="51" t="s">
        <v>886</v>
      </c>
      <c r="AA33" s="60">
        <v>1</v>
      </c>
      <c r="AB33" s="51" t="s">
        <v>131</v>
      </c>
      <c r="AC33" s="62">
        <v>1</v>
      </c>
      <c r="AD33" s="51" t="s">
        <v>168</v>
      </c>
      <c r="AE33" s="52" t="s">
        <v>179</v>
      </c>
      <c r="AF33" s="64"/>
      <c r="AG33" s="52" t="s">
        <v>192</v>
      </c>
      <c r="AH33" s="51" t="s">
        <v>219</v>
      </c>
      <c r="AI33" s="51" t="s">
        <v>219</v>
      </c>
      <c r="AJ33" s="51" t="s">
        <v>219</v>
      </c>
      <c r="AK33" s="51" t="s">
        <v>219</v>
      </c>
      <c r="AL33" s="51" t="s">
        <v>689</v>
      </c>
      <c r="AM33" s="51" t="s">
        <v>2432</v>
      </c>
      <c r="AN33" s="51" t="s">
        <v>2656</v>
      </c>
      <c r="AO33" s="63" t="s">
        <v>219</v>
      </c>
      <c r="AP33" s="62" t="s">
        <v>2687</v>
      </c>
      <c r="AQ33" s="63" t="s">
        <v>217</v>
      </c>
      <c r="AR33" s="30" t="s">
        <v>219</v>
      </c>
      <c r="AS33" s="51" t="e">
        <f>_xlfn.XLOOKUP(AP33,[2]Entities!$K:$K,[2]Entities!$K:$K)</f>
        <v>#N/A</v>
      </c>
    </row>
    <row r="34" spans="2:45" ht="21.75" customHeight="1" x14ac:dyDescent="0.45">
      <c r="B34" s="51" t="s">
        <v>99</v>
      </c>
      <c r="E34" s="52" t="s">
        <v>87</v>
      </c>
      <c r="F34" s="51" t="s">
        <v>2431</v>
      </c>
      <c r="H34" s="52" t="s">
        <v>109</v>
      </c>
      <c r="J34" s="79"/>
      <c r="L34" s="51" t="s">
        <v>2495</v>
      </c>
      <c r="M34" s="51" t="s">
        <v>2496</v>
      </c>
      <c r="N34" s="51" t="s">
        <v>2497</v>
      </c>
      <c r="O34" s="51" t="s">
        <v>893</v>
      </c>
      <c r="P34" s="51" t="s">
        <v>895</v>
      </c>
      <c r="Q34" s="51" t="s">
        <v>897</v>
      </c>
      <c r="R34" s="51" t="s">
        <v>689</v>
      </c>
      <c r="S34" s="51" t="s">
        <v>689</v>
      </c>
      <c r="T34" s="51" t="s">
        <v>689</v>
      </c>
      <c r="U34" s="51" t="s">
        <v>257</v>
      </c>
      <c r="V34" s="51" t="s">
        <v>258</v>
      </c>
      <c r="W34" s="51" t="s">
        <v>259</v>
      </c>
      <c r="X34" s="51" t="s">
        <v>894</v>
      </c>
      <c r="Y34" s="51" t="s">
        <v>896</v>
      </c>
      <c r="Z34" s="51" t="s">
        <v>898</v>
      </c>
      <c r="AA34" s="60">
        <v>1</v>
      </c>
      <c r="AB34" s="51" t="s">
        <v>137</v>
      </c>
      <c r="AC34" s="62">
        <v>1</v>
      </c>
      <c r="AD34" s="51" t="s">
        <v>169</v>
      </c>
      <c r="AE34" s="52" t="s">
        <v>179</v>
      </c>
      <c r="AF34" s="64"/>
      <c r="AG34" s="52" t="s">
        <v>192</v>
      </c>
      <c r="AH34" s="51" t="s">
        <v>219</v>
      </c>
      <c r="AI34" s="51" t="s">
        <v>219</v>
      </c>
      <c r="AJ34" s="51" t="s">
        <v>219</v>
      </c>
      <c r="AK34" s="51" t="s">
        <v>219</v>
      </c>
      <c r="AL34" s="51" t="s">
        <v>689</v>
      </c>
      <c r="AM34" s="51" t="s">
        <v>2432</v>
      </c>
      <c r="AN34" s="51" t="s">
        <v>2433</v>
      </c>
      <c r="AO34" s="63" t="s">
        <v>219</v>
      </c>
      <c r="AP34" s="62" t="s">
        <v>2688</v>
      </c>
      <c r="AQ34" s="63" t="s">
        <v>217</v>
      </c>
      <c r="AR34" s="30" t="s">
        <v>219</v>
      </c>
      <c r="AS34" s="51" t="e">
        <f>_xlfn.XLOOKUP(AP34,[2]Entities!$K:$K,[2]Entities!$K:$K)</f>
        <v>#N/A</v>
      </c>
    </row>
    <row r="35" spans="2:45" ht="21.75" customHeight="1" x14ac:dyDescent="0.45">
      <c r="B35" s="51" t="s">
        <v>99</v>
      </c>
      <c r="E35" s="52" t="s">
        <v>87</v>
      </c>
      <c r="F35" s="51" t="s">
        <v>2431</v>
      </c>
      <c r="H35" s="52" t="s">
        <v>109</v>
      </c>
      <c r="J35" s="79">
        <v>7613399002598</v>
      </c>
      <c r="L35" s="51" t="s">
        <v>900</v>
      </c>
      <c r="M35" s="51" t="s">
        <v>2498</v>
      </c>
      <c r="N35" s="51" t="s">
        <v>2499</v>
      </c>
      <c r="O35" s="51" t="s">
        <v>893</v>
      </c>
      <c r="P35" s="51" t="s">
        <v>895</v>
      </c>
      <c r="Q35" s="51" t="s">
        <v>897</v>
      </c>
      <c r="R35" s="51" t="s">
        <v>287</v>
      </c>
      <c r="S35" s="51" t="s">
        <v>289</v>
      </c>
      <c r="T35" s="51" t="s">
        <v>291</v>
      </c>
      <c r="U35" s="51" t="s">
        <v>899</v>
      </c>
      <c r="V35" s="51" t="s">
        <v>899</v>
      </c>
      <c r="W35" s="51" t="s">
        <v>899</v>
      </c>
      <c r="X35" s="51" t="s">
        <v>900</v>
      </c>
      <c r="Y35" s="51" t="s">
        <v>901</v>
      </c>
      <c r="Z35" s="51" t="s">
        <v>902</v>
      </c>
      <c r="AA35" s="60">
        <v>0.08</v>
      </c>
      <c r="AB35" s="51" t="s">
        <v>130</v>
      </c>
      <c r="AC35" s="62">
        <v>100</v>
      </c>
      <c r="AD35" s="51" t="s">
        <v>169</v>
      </c>
      <c r="AE35" s="52" t="s">
        <v>179</v>
      </c>
      <c r="AF35" s="64"/>
      <c r="AG35" s="52" t="s">
        <v>192</v>
      </c>
      <c r="AH35" s="51" t="s">
        <v>219</v>
      </c>
      <c r="AI35" s="51" t="s">
        <v>219</v>
      </c>
      <c r="AJ35" s="51" t="s">
        <v>219</v>
      </c>
      <c r="AK35" s="51" t="s">
        <v>219</v>
      </c>
      <c r="AL35" s="51" t="s">
        <v>689</v>
      </c>
      <c r="AM35" s="51" t="s">
        <v>2432</v>
      </c>
      <c r="AN35" s="51" t="s">
        <v>214</v>
      </c>
      <c r="AO35" s="63" t="s">
        <v>219</v>
      </c>
      <c r="AP35" s="62" t="s">
        <v>2689</v>
      </c>
      <c r="AQ35" s="63" t="s">
        <v>217</v>
      </c>
      <c r="AR35" s="30" t="s">
        <v>219</v>
      </c>
      <c r="AS35" s="51" t="e">
        <f>_xlfn.XLOOKUP(AP35,[2]Entities!$K:$K,[2]Entities!$K:$K)</f>
        <v>#N/A</v>
      </c>
    </row>
    <row r="36" spans="2:45" ht="21.75" customHeight="1" x14ac:dyDescent="0.45">
      <c r="B36" s="51" t="s">
        <v>99</v>
      </c>
      <c r="E36" s="52" t="s">
        <v>87</v>
      </c>
      <c r="F36" s="51" t="s">
        <v>2431</v>
      </c>
      <c r="H36" s="52" t="s">
        <v>109</v>
      </c>
      <c r="J36" s="79">
        <v>2205051000001</v>
      </c>
      <c r="L36" s="51" t="s">
        <v>904</v>
      </c>
      <c r="M36" s="51" t="s">
        <v>2500</v>
      </c>
      <c r="N36" s="51" t="s">
        <v>908</v>
      </c>
      <c r="O36" s="51" t="s">
        <v>903</v>
      </c>
      <c r="P36" s="51" t="s">
        <v>905</v>
      </c>
      <c r="Q36" s="51" t="s">
        <v>907</v>
      </c>
      <c r="R36" s="51" t="s">
        <v>293</v>
      </c>
      <c r="S36" s="51" t="s">
        <v>294</v>
      </c>
      <c r="T36" s="51" t="s">
        <v>295</v>
      </c>
      <c r="U36" s="51" t="s">
        <v>689</v>
      </c>
      <c r="V36" s="51" t="s">
        <v>689</v>
      </c>
      <c r="W36" s="51" t="s">
        <v>689</v>
      </c>
      <c r="X36" s="51" t="s">
        <v>904</v>
      </c>
      <c r="Y36" s="51" t="s">
        <v>906</v>
      </c>
      <c r="Z36" s="51" t="s">
        <v>908</v>
      </c>
      <c r="AA36" s="60">
        <v>1</v>
      </c>
      <c r="AB36" s="51" t="s">
        <v>131</v>
      </c>
      <c r="AC36" s="62">
        <v>1</v>
      </c>
      <c r="AD36" s="51" t="s">
        <v>169</v>
      </c>
      <c r="AE36" s="52" t="s">
        <v>179</v>
      </c>
      <c r="AF36" s="64"/>
      <c r="AG36" s="52" t="s">
        <v>192</v>
      </c>
      <c r="AH36" s="51" t="s">
        <v>219</v>
      </c>
      <c r="AI36" s="51" t="s">
        <v>219</v>
      </c>
      <c r="AJ36" s="51" t="s">
        <v>219</v>
      </c>
      <c r="AK36" s="51" t="s">
        <v>219</v>
      </c>
      <c r="AL36" s="51" t="s">
        <v>689</v>
      </c>
      <c r="AM36" s="51" t="s">
        <v>2432</v>
      </c>
      <c r="AN36" s="51" t="s">
        <v>214</v>
      </c>
      <c r="AO36" s="63" t="s">
        <v>219</v>
      </c>
      <c r="AP36" s="62" t="s">
        <v>2690</v>
      </c>
      <c r="AQ36" s="63" t="s">
        <v>217</v>
      </c>
      <c r="AR36" s="30" t="s">
        <v>219</v>
      </c>
      <c r="AS36" s="51" t="e">
        <f>_xlfn.XLOOKUP(AP36,[2]Entities!$K:$K,[2]Entities!$K:$K)</f>
        <v>#N/A</v>
      </c>
    </row>
    <row r="37" spans="2:45" ht="21.75" customHeight="1" x14ac:dyDescent="0.45">
      <c r="B37" s="51" t="s">
        <v>99</v>
      </c>
      <c r="E37" s="52" t="s">
        <v>87</v>
      </c>
      <c r="F37" s="51" t="s">
        <v>2431</v>
      </c>
      <c r="H37" s="52" t="s">
        <v>109</v>
      </c>
      <c r="J37" s="79">
        <v>2201401000004</v>
      </c>
      <c r="L37" s="51" t="s">
        <v>917</v>
      </c>
      <c r="M37" s="51" t="s">
        <v>2501</v>
      </c>
      <c r="N37" s="51" t="s">
        <v>921</v>
      </c>
      <c r="O37" s="51" t="s">
        <v>915</v>
      </c>
      <c r="P37" s="51" t="s">
        <v>918</v>
      </c>
      <c r="Q37" s="51" t="s">
        <v>920</v>
      </c>
      <c r="R37" s="51" t="s">
        <v>827</v>
      </c>
      <c r="S37" s="51" t="s">
        <v>830</v>
      </c>
      <c r="T37" s="51" t="s">
        <v>833</v>
      </c>
      <c r="U37" s="51" t="s">
        <v>916</v>
      </c>
      <c r="V37" s="51" t="s">
        <v>916</v>
      </c>
      <c r="W37" s="51" t="s">
        <v>916</v>
      </c>
      <c r="X37" s="51" t="s">
        <v>917</v>
      </c>
      <c r="Y37" s="51" t="s">
        <v>919</v>
      </c>
      <c r="Z37" s="51" t="s">
        <v>921</v>
      </c>
      <c r="AA37" s="60">
        <v>0.75</v>
      </c>
      <c r="AB37" s="51" t="s">
        <v>131</v>
      </c>
      <c r="AC37" s="62">
        <v>1</v>
      </c>
      <c r="AD37" s="51" t="s">
        <v>169</v>
      </c>
      <c r="AE37" s="52" t="s">
        <v>179</v>
      </c>
      <c r="AF37" s="64"/>
      <c r="AG37" s="52" t="s">
        <v>192</v>
      </c>
      <c r="AH37" s="51" t="s">
        <v>219</v>
      </c>
      <c r="AI37" s="51" t="s">
        <v>219</v>
      </c>
      <c r="AJ37" s="51" t="s">
        <v>219</v>
      </c>
      <c r="AK37" s="51" t="s">
        <v>219</v>
      </c>
      <c r="AL37" s="51" t="s">
        <v>689</v>
      </c>
      <c r="AM37" s="51" t="s">
        <v>2432</v>
      </c>
      <c r="AN37" s="51" t="s">
        <v>214</v>
      </c>
      <c r="AO37" s="63" t="s">
        <v>219</v>
      </c>
      <c r="AP37" s="62" t="s">
        <v>2691</v>
      </c>
      <c r="AQ37" s="63" t="s">
        <v>217</v>
      </c>
      <c r="AR37" s="30" t="s">
        <v>219</v>
      </c>
      <c r="AS37" s="51" t="e">
        <f>_xlfn.XLOOKUP(AP37,[2]Entities!$K:$K,[2]Entities!$K:$K)</f>
        <v>#N/A</v>
      </c>
    </row>
    <row r="38" spans="2:45" ht="21.75" customHeight="1" x14ac:dyDescent="0.45">
      <c r="B38" s="51" t="s">
        <v>99</v>
      </c>
      <c r="E38" s="52" t="s">
        <v>87</v>
      </c>
      <c r="F38" s="51" t="s">
        <v>2431</v>
      </c>
      <c r="H38" s="52" t="s">
        <v>109</v>
      </c>
      <c r="J38" s="79">
        <v>2264431000000</v>
      </c>
      <c r="L38" s="51" t="s">
        <v>2502</v>
      </c>
      <c r="M38" s="51" t="s">
        <v>2503</v>
      </c>
      <c r="N38" s="51" t="s">
        <v>2504</v>
      </c>
      <c r="O38" s="51" t="s">
        <v>922</v>
      </c>
      <c r="P38" s="51" t="s">
        <v>924</v>
      </c>
      <c r="Q38" s="51" t="s">
        <v>926</v>
      </c>
      <c r="R38" s="51" t="s">
        <v>689</v>
      </c>
      <c r="S38" s="51" t="s">
        <v>689</v>
      </c>
      <c r="T38" s="51" t="s">
        <v>689</v>
      </c>
      <c r="U38" s="51" t="s">
        <v>257</v>
      </c>
      <c r="V38" s="51" t="s">
        <v>258</v>
      </c>
      <c r="W38" s="51" t="s">
        <v>259</v>
      </c>
      <c r="X38" s="51" t="s">
        <v>923</v>
      </c>
      <c r="Y38" s="51" t="s">
        <v>925</v>
      </c>
      <c r="Z38" s="51" t="s">
        <v>927</v>
      </c>
      <c r="AA38" s="60">
        <v>1</v>
      </c>
      <c r="AB38" s="51" t="s">
        <v>137</v>
      </c>
      <c r="AC38" s="62">
        <v>1</v>
      </c>
      <c r="AD38" s="51" t="s">
        <v>169</v>
      </c>
      <c r="AE38" s="52" t="s">
        <v>179</v>
      </c>
      <c r="AF38" s="64"/>
      <c r="AG38" s="52" t="s">
        <v>192</v>
      </c>
      <c r="AH38" s="51" t="s">
        <v>219</v>
      </c>
      <c r="AI38" s="51" t="s">
        <v>219</v>
      </c>
      <c r="AJ38" s="51" t="s">
        <v>219</v>
      </c>
      <c r="AK38" s="51" t="s">
        <v>219</v>
      </c>
      <c r="AL38" s="51" t="s">
        <v>689</v>
      </c>
      <c r="AM38" s="51" t="s">
        <v>2432</v>
      </c>
      <c r="AN38" s="51" t="s">
        <v>214</v>
      </c>
      <c r="AO38" s="63" t="s">
        <v>219</v>
      </c>
      <c r="AP38" s="62" t="s">
        <v>2692</v>
      </c>
      <c r="AQ38" s="63" t="s">
        <v>217</v>
      </c>
      <c r="AR38" s="30" t="s">
        <v>219</v>
      </c>
      <c r="AS38" s="51" t="e">
        <f>_xlfn.XLOOKUP(AP38,[2]Entities!$K:$K,[2]Entities!$K:$K)</f>
        <v>#N/A</v>
      </c>
    </row>
    <row r="39" spans="2:45" ht="21.75" customHeight="1" x14ac:dyDescent="0.45">
      <c r="B39" s="51" t="s">
        <v>99</v>
      </c>
      <c r="E39" s="52" t="s">
        <v>87</v>
      </c>
      <c r="F39" s="51" t="s">
        <v>2431</v>
      </c>
      <c r="H39" s="52" t="s">
        <v>109</v>
      </c>
      <c r="J39" s="79">
        <v>2217202000006</v>
      </c>
      <c r="L39" s="51" t="s">
        <v>2505</v>
      </c>
      <c r="M39" s="51" t="s">
        <v>2506</v>
      </c>
      <c r="N39" s="51" t="s">
        <v>2507</v>
      </c>
      <c r="O39" s="51" t="s">
        <v>928</v>
      </c>
      <c r="P39" s="51" t="s">
        <v>930</v>
      </c>
      <c r="Q39" s="51" t="s">
        <v>932</v>
      </c>
      <c r="R39" s="51" t="s">
        <v>689</v>
      </c>
      <c r="S39" s="51" t="s">
        <v>689</v>
      </c>
      <c r="T39" s="51" t="s">
        <v>689</v>
      </c>
      <c r="U39" s="51" t="s">
        <v>257</v>
      </c>
      <c r="V39" s="51" t="s">
        <v>258</v>
      </c>
      <c r="W39" s="51" t="s">
        <v>259</v>
      </c>
      <c r="X39" s="51" t="s">
        <v>929</v>
      </c>
      <c r="Y39" s="51" t="s">
        <v>931</v>
      </c>
      <c r="Z39" s="51" t="s">
        <v>933</v>
      </c>
      <c r="AA39" s="60">
        <v>1</v>
      </c>
      <c r="AB39" s="51" t="s">
        <v>137</v>
      </c>
      <c r="AC39" s="62">
        <v>1</v>
      </c>
      <c r="AD39" s="51" t="s">
        <v>169</v>
      </c>
      <c r="AE39" s="52" t="s">
        <v>179</v>
      </c>
      <c r="AF39" s="64"/>
      <c r="AG39" s="52" t="s">
        <v>192</v>
      </c>
      <c r="AH39" s="51" t="s">
        <v>219</v>
      </c>
      <c r="AI39" s="51" t="s">
        <v>219</v>
      </c>
      <c r="AJ39" s="51" t="s">
        <v>219</v>
      </c>
      <c r="AK39" s="51" t="s">
        <v>219</v>
      </c>
      <c r="AL39" s="51" t="s">
        <v>689</v>
      </c>
      <c r="AM39" s="51" t="s">
        <v>2432</v>
      </c>
      <c r="AN39" s="51" t="s">
        <v>214</v>
      </c>
      <c r="AO39" s="63" t="s">
        <v>219</v>
      </c>
      <c r="AP39" s="62" t="s">
        <v>2693</v>
      </c>
      <c r="AQ39" s="63" t="s">
        <v>217</v>
      </c>
      <c r="AR39" s="30" t="s">
        <v>219</v>
      </c>
      <c r="AS39" s="51" t="e">
        <f>_xlfn.XLOOKUP(AP39,[2]Entities!$K:$K,[2]Entities!$K:$K)</f>
        <v>#N/A</v>
      </c>
    </row>
    <row r="40" spans="2:45" ht="21.75" customHeight="1" x14ac:dyDescent="0.45">
      <c r="B40" s="51" t="s">
        <v>99</v>
      </c>
      <c r="E40" s="52" t="s">
        <v>87</v>
      </c>
      <c r="F40" s="51" t="s">
        <v>2431</v>
      </c>
      <c r="H40" s="52" t="s">
        <v>109</v>
      </c>
      <c r="J40" s="79">
        <v>2205673000000</v>
      </c>
      <c r="L40" s="51" t="s">
        <v>2508</v>
      </c>
      <c r="M40" s="51" t="s">
        <v>2509</v>
      </c>
      <c r="N40" s="51" t="s">
        <v>2510</v>
      </c>
      <c r="O40" s="51" t="s">
        <v>934</v>
      </c>
      <c r="P40" s="51" t="s">
        <v>936</v>
      </c>
      <c r="Q40" s="51" t="s">
        <v>938</v>
      </c>
      <c r="R40" s="51" t="s">
        <v>689</v>
      </c>
      <c r="S40" s="51" t="s">
        <v>689</v>
      </c>
      <c r="T40" s="51" t="s">
        <v>689</v>
      </c>
      <c r="U40" s="51" t="s">
        <v>257</v>
      </c>
      <c r="V40" s="51" t="s">
        <v>258</v>
      </c>
      <c r="W40" s="51" t="s">
        <v>259</v>
      </c>
      <c r="X40" s="51" t="s">
        <v>935</v>
      </c>
      <c r="Y40" s="51" t="s">
        <v>937</v>
      </c>
      <c r="Z40" s="51" t="s">
        <v>939</v>
      </c>
      <c r="AA40" s="60">
        <v>1</v>
      </c>
      <c r="AB40" s="51" t="s">
        <v>137</v>
      </c>
      <c r="AC40" s="62">
        <v>1</v>
      </c>
      <c r="AD40" s="51" t="s">
        <v>169</v>
      </c>
      <c r="AE40" s="52" t="s">
        <v>179</v>
      </c>
      <c r="AF40" s="64"/>
      <c r="AG40" s="52" t="s">
        <v>192</v>
      </c>
      <c r="AH40" s="51" t="s">
        <v>219</v>
      </c>
      <c r="AI40" s="51" t="s">
        <v>219</v>
      </c>
      <c r="AJ40" s="51" t="s">
        <v>219</v>
      </c>
      <c r="AK40" s="51" t="s">
        <v>219</v>
      </c>
      <c r="AL40" s="51" t="s">
        <v>689</v>
      </c>
      <c r="AM40" s="51" t="s">
        <v>2432</v>
      </c>
      <c r="AN40" s="51" t="s">
        <v>214</v>
      </c>
      <c r="AO40" s="63" t="s">
        <v>219</v>
      </c>
      <c r="AP40" s="62" t="s">
        <v>2694</v>
      </c>
      <c r="AQ40" s="63" t="s">
        <v>217</v>
      </c>
      <c r="AR40" s="30" t="s">
        <v>219</v>
      </c>
      <c r="AS40" s="51" t="e">
        <f>_xlfn.XLOOKUP(AP40,[2]Entities!$K:$K,[2]Entities!$K:$K)</f>
        <v>#N/A</v>
      </c>
    </row>
    <row r="41" spans="2:45" ht="21.75" customHeight="1" x14ac:dyDescent="0.45">
      <c r="B41" s="51" t="s">
        <v>99</v>
      </c>
      <c r="E41" s="52" t="s">
        <v>87</v>
      </c>
      <c r="F41" s="51" t="s">
        <v>2431</v>
      </c>
      <c r="H41" s="52" t="s">
        <v>109</v>
      </c>
      <c r="J41" s="79">
        <v>2260322000005</v>
      </c>
      <c r="L41" s="51" t="s">
        <v>2511</v>
      </c>
      <c r="M41" s="51" t="s">
        <v>2512</v>
      </c>
      <c r="N41" s="51" t="s">
        <v>2513</v>
      </c>
      <c r="O41" s="51" t="s">
        <v>940</v>
      </c>
      <c r="P41" s="51" t="s">
        <v>942</v>
      </c>
      <c r="Q41" s="51" t="s">
        <v>944</v>
      </c>
      <c r="R41" s="51" t="s">
        <v>689</v>
      </c>
      <c r="S41" s="51" t="s">
        <v>689</v>
      </c>
      <c r="T41" s="51" t="s">
        <v>689</v>
      </c>
      <c r="U41" s="51" t="s">
        <v>257</v>
      </c>
      <c r="V41" s="51" t="s">
        <v>258</v>
      </c>
      <c r="W41" s="51" t="s">
        <v>259</v>
      </c>
      <c r="X41" s="51" t="s">
        <v>941</v>
      </c>
      <c r="Y41" s="51" t="s">
        <v>943</v>
      </c>
      <c r="Z41" s="51" t="s">
        <v>945</v>
      </c>
      <c r="AA41" s="60">
        <v>1</v>
      </c>
      <c r="AB41" s="51" t="s">
        <v>137</v>
      </c>
      <c r="AC41" s="62">
        <v>1</v>
      </c>
      <c r="AD41" s="51" t="s">
        <v>169</v>
      </c>
      <c r="AE41" s="52" t="s">
        <v>179</v>
      </c>
      <c r="AF41" s="64"/>
      <c r="AG41" s="52" t="s">
        <v>192</v>
      </c>
      <c r="AH41" s="51" t="s">
        <v>219</v>
      </c>
      <c r="AI41" s="51" t="s">
        <v>219</v>
      </c>
      <c r="AJ41" s="51" t="s">
        <v>219</v>
      </c>
      <c r="AK41" s="51" t="s">
        <v>219</v>
      </c>
      <c r="AL41" s="51" t="s">
        <v>689</v>
      </c>
      <c r="AM41" s="51" t="s">
        <v>2432</v>
      </c>
      <c r="AN41" s="51" t="s">
        <v>214</v>
      </c>
      <c r="AO41" s="63" t="s">
        <v>219</v>
      </c>
      <c r="AP41" s="62" t="s">
        <v>2695</v>
      </c>
      <c r="AQ41" s="63" t="s">
        <v>217</v>
      </c>
      <c r="AR41" s="30" t="s">
        <v>219</v>
      </c>
      <c r="AS41" s="51" t="e">
        <f>_xlfn.XLOOKUP(AP41,[2]Entities!$K:$K,[2]Entities!$K:$K)</f>
        <v>#N/A</v>
      </c>
    </row>
    <row r="42" spans="2:45" ht="21.75" customHeight="1" x14ac:dyDescent="0.45">
      <c r="B42" s="51" t="s">
        <v>99</v>
      </c>
      <c r="E42" s="52" t="s">
        <v>87</v>
      </c>
      <c r="F42" s="51" t="s">
        <v>2431</v>
      </c>
      <c r="H42" s="52" t="s">
        <v>109</v>
      </c>
      <c r="J42" s="79">
        <v>173</v>
      </c>
      <c r="L42" s="51" t="s">
        <v>2514</v>
      </c>
      <c r="M42" s="51" t="s">
        <v>950</v>
      </c>
      <c r="N42" s="51" t="s">
        <v>952</v>
      </c>
      <c r="O42" s="51" t="s">
        <v>946</v>
      </c>
      <c r="P42" s="51" t="s">
        <v>949</v>
      </c>
      <c r="Q42" s="51" t="s">
        <v>951</v>
      </c>
      <c r="R42" s="51" t="s">
        <v>947</v>
      </c>
      <c r="S42" s="51" t="s">
        <v>947</v>
      </c>
      <c r="T42" s="51" t="s">
        <v>947</v>
      </c>
      <c r="U42" s="51" t="s">
        <v>267</v>
      </c>
      <c r="V42" s="51" t="s">
        <v>267</v>
      </c>
      <c r="W42" s="51" t="s">
        <v>267</v>
      </c>
      <c r="X42" s="51" t="s">
        <v>948</v>
      </c>
      <c r="Y42" s="51" t="s">
        <v>950</v>
      </c>
      <c r="Z42" s="51" t="s">
        <v>952</v>
      </c>
      <c r="AA42" s="60">
        <v>1</v>
      </c>
      <c r="AB42" s="51" t="s">
        <v>131</v>
      </c>
      <c r="AC42" s="62">
        <v>1</v>
      </c>
      <c r="AD42" s="51" t="s">
        <v>168</v>
      </c>
      <c r="AE42" s="52" t="s">
        <v>179</v>
      </c>
      <c r="AF42" s="64"/>
      <c r="AG42" s="52" t="s">
        <v>192</v>
      </c>
      <c r="AH42" s="51" t="s">
        <v>219</v>
      </c>
      <c r="AI42" s="51" t="s">
        <v>219</v>
      </c>
      <c r="AJ42" s="51" t="s">
        <v>219</v>
      </c>
      <c r="AK42" s="51" t="s">
        <v>219</v>
      </c>
      <c r="AL42" s="51" t="s">
        <v>689</v>
      </c>
      <c r="AM42" s="51" t="s">
        <v>2432</v>
      </c>
      <c r="AN42" s="51" t="s">
        <v>2656</v>
      </c>
      <c r="AO42" s="63" t="s">
        <v>219</v>
      </c>
      <c r="AP42" s="62" t="s">
        <v>2696</v>
      </c>
      <c r="AQ42" s="63" t="s">
        <v>217</v>
      </c>
      <c r="AR42" s="30" t="s">
        <v>219</v>
      </c>
      <c r="AS42" s="51" t="e">
        <f>_xlfn.XLOOKUP(AP42,[2]Entities!$K:$K,[2]Entities!$K:$K)</f>
        <v>#N/A</v>
      </c>
    </row>
    <row r="43" spans="2:45" ht="21.75" customHeight="1" x14ac:dyDescent="0.45">
      <c r="B43" s="51" t="s">
        <v>99</v>
      </c>
      <c r="E43" s="52" t="s">
        <v>87</v>
      </c>
      <c r="F43" s="51" t="s">
        <v>2431</v>
      </c>
      <c r="H43" s="52" t="s">
        <v>109</v>
      </c>
      <c r="J43" s="79">
        <v>2201250000000</v>
      </c>
      <c r="L43" s="51" t="s">
        <v>2515</v>
      </c>
      <c r="M43" s="51" t="s">
        <v>2516</v>
      </c>
      <c r="N43" s="51" t="s">
        <v>2517</v>
      </c>
      <c r="O43" s="51" t="s">
        <v>946</v>
      </c>
      <c r="P43" s="51" t="s">
        <v>949</v>
      </c>
      <c r="Q43" s="51" t="s">
        <v>951</v>
      </c>
      <c r="R43" s="51" t="s">
        <v>953</v>
      </c>
      <c r="S43" s="51" t="s">
        <v>955</v>
      </c>
      <c r="T43" s="51" t="s">
        <v>957</v>
      </c>
      <c r="U43" s="51" t="s">
        <v>267</v>
      </c>
      <c r="V43" s="51" t="s">
        <v>267</v>
      </c>
      <c r="W43" s="51" t="s">
        <v>267</v>
      </c>
      <c r="X43" s="51" t="s">
        <v>954</v>
      </c>
      <c r="Y43" s="51" t="s">
        <v>956</v>
      </c>
      <c r="Z43" s="51" t="s">
        <v>958</v>
      </c>
      <c r="AA43" s="60">
        <v>1</v>
      </c>
      <c r="AB43" s="51" t="s">
        <v>131</v>
      </c>
      <c r="AC43" s="62">
        <v>1</v>
      </c>
      <c r="AD43" s="51" t="s">
        <v>169</v>
      </c>
      <c r="AE43" s="52" t="s">
        <v>179</v>
      </c>
      <c r="AF43" s="64"/>
      <c r="AG43" s="52" t="s">
        <v>192</v>
      </c>
      <c r="AH43" s="51" t="s">
        <v>219</v>
      </c>
      <c r="AI43" s="51" t="s">
        <v>219</v>
      </c>
      <c r="AJ43" s="51" t="s">
        <v>219</v>
      </c>
      <c r="AK43" s="51" t="s">
        <v>219</v>
      </c>
      <c r="AL43" s="51" t="s">
        <v>689</v>
      </c>
      <c r="AM43" s="51" t="s">
        <v>2432</v>
      </c>
      <c r="AN43" s="51" t="s">
        <v>214</v>
      </c>
      <c r="AO43" s="63" t="s">
        <v>219</v>
      </c>
      <c r="AP43" s="62" t="s">
        <v>2697</v>
      </c>
      <c r="AQ43" s="63" t="s">
        <v>217</v>
      </c>
      <c r="AR43" s="30" t="s">
        <v>219</v>
      </c>
      <c r="AS43" s="51" t="e">
        <f>_xlfn.XLOOKUP(AP43,[2]Entities!$K:$K,[2]Entities!$K:$K)</f>
        <v>#N/A</v>
      </c>
    </row>
    <row r="44" spans="2:45" ht="21.75" customHeight="1" x14ac:dyDescent="0.45">
      <c r="B44" s="51" t="s">
        <v>99</v>
      </c>
      <c r="E44" s="52" t="s">
        <v>87</v>
      </c>
      <c r="F44" s="51" t="s">
        <v>2431</v>
      </c>
      <c r="H44" s="52" t="s">
        <v>109</v>
      </c>
      <c r="J44" s="79">
        <v>2202750000000</v>
      </c>
      <c r="L44" s="51" t="s">
        <v>2518</v>
      </c>
      <c r="M44" s="51" t="s">
        <v>2519</v>
      </c>
      <c r="N44" s="51" t="s">
        <v>2520</v>
      </c>
      <c r="O44" s="51" t="s">
        <v>946</v>
      </c>
      <c r="P44" s="51" t="s">
        <v>949</v>
      </c>
      <c r="Q44" s="51" t="s">
        <v>951</v>
      </c>
      <c r="R44" s="51" t="s">
        <v>338</v>
      </c>
      <c r="S44" s="51" t="s">
        <v>338</v>
      </c>
      <c r="T44" s="51" t="s">
        <v>338</v>
      </c>
      <c r="U44" s="51" t="s">
        <v>257</v>
      </c>
      <c r="V44" s="51" t="s">
        <v>258</v>
      </c>
      <c r="W44" s="51" t="s">
        <v>259</v>
      </c>
      <c r="X44" s="51" t="s">
        <v>959</v>
      </c>
      <c r="Y44" s="51" t="s">
        <v>960</v>
      </c>
      <c r="Z44" s="51" t="s">
        <v>961</v>
      </c>
      <c r="AA44" s="60">
        <v>1</v>
      </c>
      <c r="AB44" s="51" t="s">
        <v>137</v>
      </c>
      <c r="AC44" s="62">
        <v>1</v>
      </c>
      <c r="AD44" s="51" t="s">
        <v>169</v>
      </c>
      <c r="AE44" s="52" t="s">
        <v>179</v>
      </c>
      <c r="AF44" s="64"/>
      <c r="AG44" s="52" t="s">
        <v>192</v>
      </c>
      <c r="AH44" s="51" t="s">
        <v>219</v>
      </c>
      <c r="AI44" s="51" t="s">
        <v>219</v>
      </c>
      <c r="AJ44" s="51" t="s">
        <v>219</v>
      </c>
      <c r="AK44" s="51" t="s">
        <v>219</v>
      </c>
      <c r="AL44" s="51" t="s">
        <v>689</v>
      </c>
      <c r="AM44" s="51" t="s">
        <v>2432</v>
      </c>
      <c r="AN44" s="51" t="s">
        <v>214</v>
      </c>
      <c r="AO44" s="63" t="s">
        <v>219</v>
      </c>
      <c r="AP44" s="62" t="s">
        <v>2698</v>
      </c>
      <c r="AQ44" s="63" t="s">
        <v>217</v>
      </c>
      <c r="AR44" s="30" t="s">
        <v>219</v>
      </c>
      <c r="AS44" s="51" t="e">
        <f>_xlfn.XLOOKUP(AP44,[2]Entities!$K:$K,[2]Entities!$K:$K)</f>
        <v>#N/A</v>
      </c>
    </row>
    <row r="45" spans="2:45" ht="21.75" customHeight="1" x14ac:dyDescent="0.45">
      <c r="B45" s="51" t="s">
        <v>99</v>
      </c>
      <c r="E45" s="52" t="s">
        <v>87</v>
      </c>
      <c r="F45" s="51" t="s">
        <v>2431</v>
      </c>
      <c r="H45" s="52" t="s">
        <v>109</v>
      </c>
      <c r="J45" s="79"/>
      <c r="L45" s="51" t="s">
        <v>2521</v>
      </c>
      <c r="M45" s="51" t="s">
        <v>2522</v>
      </c>
      <c r="N45" s="51" t="s">
        <v>2523</v>
      </c>
      <c r="O45" s="51" t="s">
        <v>962</v>
      </c>
      <c r="P45" s="51" t="s">
        <v>964</v>
      </c>
      <c r="Q45" s="51" t="s">
        <v>966</v>
      </c>
      <c r="R45" s="51" t="s">
        <v>689</v>
      </c>
      <c r="S45" s="51" t="s">
        <v>689</v>
      </c>
      <c r="T45" s="51" t="s">
        <v>689</v>
      </c>
      <c r="U45" s="51" t="s">
        <v>257</v>
      </c>
      <c r="V45" s="51" t="s">
        <v>258</v>
      </c>
      <c r="W45" s="51" t="s">
        <v>259</v>
      </c>
      <c r="X45" s="51" t="s">
        <v>963</v>
      </c>
      <c r="Y45" s="51" t="s">
        <v>965</v>
      </c>
      <c r="Z45" s="51" t="s">
        <v>967</v>
      </c>
      <c r="AA45" s="60">
        <v>1</v>
      </c>
      <c r="AB45" s="51" t="s">
        <v>137</v>
      </c>
      <c r="AC45" s="62">
        <v>1</v>
      </c>
      <c r="AD45" s="51" t="s">
        <v>169</v>
      </c>
      <c r="AE45" s="52" t="s">
        <v>179</v>
      </c>
      <c r="AF45" s="64"/>
      <c r="AG45" s="52" t="s">
        <v>192</v>
      </c>
      <c r="AH45" s="51" t="s">
        <v>219</v>
      </c>
      <c r="AI45" s="51" t="s">
        <v>219</v>
      </c>
      <c r="AJ45" s="51" t="s">
        <v>219</v>
      </c>
      <c r="AK45" s="51" t="s">
        <v>219</v>
      </c>
      <c r="AL45" s="51" t="s">
        <v>689</v>
      </c>
      <c r="AM45" s="51" t="s">
        <v>2432</v>
      </c>
      <c r="AN45" s="51" t="s">
        <v>2433</v>
      </c>
      <c r="AO45" s="63" t="s">
        <v>219</v>
      </c>
      <c r="AP45" s="62" t="s">
        <v>2699</v>
      </c>
      <c r="AQ45" s="63" t="s">
        <v>217</v>
      </c>
      <c r="AR45" s="30" t="s">
        <v>219</v>
      </c>
      <c r="AS45" s="51" t="e">
        <f>_xlfn.XLOOKUP(AP45,[2]Entities!$K:$K,[2]Entities!$K:$K)</f>
        <v>#N/A</v>
      </c>
    </row>
    <row r="46" spans="2:45" ht="21.75" customHeight="1" x14ac:dyDescent="0.45">
      <c r="B46" s="51" t="s">
        <v>99</v>
      </c>
      <c r="E46" s="52" t="s">
        <v>87</v>
      </c>
      <c r="F46" s="51" t="s">
        <v>2431</v>
      </c>
      <c r="H46" s="52" t="s">
        <v>109</v>
      </c>
      <c r="J46" s="79">
        <v>7613399001294</v>
      </c>
      <c r="L46" s="51" t="s">
        <v>969</v>
      </c>
      <c r="M46" s="51" t="s">
        <v>2524</v>
      </c>
      <c r="N46" s="51" t="s">
        <v>973</v>
      </c>
      <c r="O46" s="51" t="s">
        <v>968</v>
      </c>
      <c r="P46" s="51" t="s">
        <v>970</v>
      </c>
      <c r="Q46" s="51" t="s">
        <v>972</v>
      </c>
      <c r="R46" s="51" t="s">
        <v>287</v>
      </c>
      <c r="S46" s="51" t="s">
        <v>289</v>
      </c>
      <c r="T46" s="51" t="s">
        <v>291</v>
      </c>
      <c r="U46" s="51" t="s">
        <v>271</v>
      </c>
      <c r="V46" s="51" t="s">
        <v>271</v>
      </c>
      <c r="W46" s="51" t="s">
        <v>271</v>
      </c>
      <c r="X46" s="51" t="s">
        <v>969</v>
      </c>
      <c r="Y46" s="51" t="s">
        <v>971</v>
      </c>
      <c r="Z46" s="51" t="s">
        <v>973</v>
      </c>
      <c r="AA46" s="60">
        <v>0.2</v>
      </c>
      <c r="AB46" s="51" t="s">
        <v>130</v>
      </c>
      <c r="AC46" s="62">
        <v>100</v>
      </c>
      <c r="AD46" s="51" t="s">
        <v>169</v>
      </c>
      <c r="AE46" s="52" t="s">
        <v>179</v>
      </c>
      <c r="AF46" s="64"/>
      <c r="AG46" s="52" t="s">
        <v>192</v>
      </c>
      <c r="AH46" s="51" t="s">
        <v>219</v>
      </c>
      <c r="AI46" s="51" t="s">
        <v>219</v>
      </c>
      <c r="AJ46" s="51" t="s">
        <v>219</v>
      </c>
      <c r="AK46" s="51" t="s">
        <v>219</v>
      </c>
      <c r="AL46" s="51" t="s">
        <v>689</v>
      </c>
      <c r="AM46" s="51" t="s">
        <v>2432</v>
      </c>
      <c r="AN46" s="51" t="s">
        <v>214</v>
      </c>
      <c r="AO46" s="63" t="s">
        <v>219</v>
      </c>
      <c r="AP46" s="62" t="s">
        <v>2700</v>
      </c>
      <c r="AQ46" s="63" t="s">
        <v>217</v>
      </c>
      <c r="AR46" s="30" t="s">
        <v>219</v>
      </c>
      <c r="AS46" s="51" t="e">
        <f>_xlfn.XLOOKUP(AP46,[2]Entities!$K:$K,[2]Entities!$K:$K)</f>
        <v>#N/A</v>
      </c>
    </row>
    <row r="47" spans="2:45" ht="21.75" customHeight="1" x14ac:dyDescent="0.45">
      <c r="B47" s="51" t="s">
        <v>99</v>
      </c>
      <c r="E47" s="52" t="s">
        <v>87</v>
      </c>
      <c r="F47" s="51" t="s">
        <v>2431</v>
      </c>
      <c r="H47" s="52" t="s">
        <v>109</v>
      </c>
      <c r="J47" s="79">
        <v>2205585000000</v>
      </c>
      <c r="L47" s="51" t="s">
        <v>975</v>
      </c>
      <c r="M47" s="51" t="s">
        <v>2525</v>
      </c>
      <c r="N47" s="51" t="s">
        <v>2526</v>
      </c>
      <c r="O47" s="51" t="s">
        <v>974</v>
      </c>
      <c r="P47" s="51" t="s">
        <v>976</v>
      </c>
      <c r="Q47" s="51" t="s">
        <v>978</v>
      </c>
      <c r="R47" s="51" t="s">
        <v>346</v>
      </c>
      <c r="S47" s="51" t="s">
        <v>349</v>
      </c>
      <c r="T47" s="51" t="s">
        <v>352</v>
      </c>
      <c r="U47" s="51" t="s">
        <v>689</v>
      </c>
      <c r="V47" s="51" t="s">
        <v>689</v>
      </c>
      <c r="W47" s="51" t="s">
        <v>689</v>
      </c>
      <c r="X47" s="51" t="s">
        <v>975</v>
      </c>
      <c r="Y47" s="51" t="s">
        <v>977</v>
      </c>
      <c r="Z47" s="51" t="s">
        <v>979</v>
      </c>
      <c r="AA47" s="60">
        <v>1</v>
      </c>
      <c r="AB47" s="51" t="s">
        <v>131</v>
      </c>
      <c r="AC47" s="62">
        <v>1</v>
      </c>
      <c r="AD47" s="51" t="s">
        <v>169</v>
      </c>
      <c r="AE47" s="52" t="s">
        <v>179</v>
      </c>
      <c r="AF47" s="64"/>
      <c r="AG47" s="52" t="s">
        <v>192</v>
      </c>
      <c r="AH47" s="51" t="s">
        <v>219</v>
      </c>
      <c r="AI47" s="51" t="s">
        <v>219</v>
      </c>
      <c r="AJ47" s="51" t="s">
        <v>219</v>
      </c>
      <c r="AK47" s="51" t="s">
        <v>219</v>
      </c>
      <c r="AL47" s="51" t="s">
        <v>689</v>
      </c>
      <c r="AM47" s="51" t="s">
        <v>2432</v>
      </c>
      <c r="AN47" s="51" t="s">
        <v>214</v>
      </c>
      <c r="AO47" s="63" t="s">
        <v>219</v>
      </c>
      <c r="AP47" s="62" t="s">
        <v>2701</v>
      </c>
      <c r="AQ47" s="63" t="s">
        <v>217</v>
      </c>
      <c r="AR47" s="30" t="s">
        <v>219</v>
      </c>
      <c r="AS47" s="51" t="e">
        <f>_xlfn.XLOOKUP(AP47,[2]Entities!$K:$K,[2]Entities!$K:$K)</f>
        <v>#N/A</v>
      </c>
    </row>
    <row r="48" spans="2:45" ht="21.75" customHeight="1" x14ac:dyDescent="0.45">
      <c r="B48" s="51" t="s">
        <v>99</v>
      </c>
      <c r="E48" s="52" t="s">
        <v>87</v>
      </c>
      <c r="F48" s="51" t="s">
        <v>2431</v>
      </c>
      <c r="H48" s="52" t="s">
        <v>109</v>
      </c>
      <c r="J48" s="79">
        <v>165</v>
      </c>
      <c r="L48" s="51" t="s">
        <v>981</v>
      </c>
      <c r="M48" s="51" t="s">
        <v>2527</v>
      </c>
      <c r="N48" s="51" t="s">
        <v>985</v>
      </c>
      <c r="O48" s="51" t="s">
        <v>980</v>
      </c>
      <c r="P48" s="51" t="s">
        <v>982</v>
      </c>
      <c r="Q48" s="51" t="s">
        <v>984</v>
      </c>
      <c r="R48" s="51" t="s">
        <v>319</v>
      </c>
      <c r="S48" s="51" t="s">
        <v>322</v>
      </c>
      <c r="T48" s="51" t="s">
        <v>308</v>
      </c>
      <c r="U48" s="51" t="s">
        <v>689</v>
      </c>
      <c r="V48" s="51" t="s">
        <v>689</v>
      </c>
      <c r="W48" s="51" t="s">
        <v>689</v>
      </c>
      <c r="X48" s="51" t="s">
        <v>981</v>
      </c>
      <c r="Y48" s="51" t="s">
        <v>983</v>
      </c>
      <c r="Z48" s="51" t="s">
        <v>985</v>
      </c>
      <c r="AA48" s="60">
        <v>1</v>
      </c>
      <c r="AB48" s="51" t="s">
        <v>131</v>
      </c>
      <c r="AC48" s="62">
        <v>1</v>
      </c>
      <c r="AD48" s="51" t="s">
        <v>168</v>
      </c>
      <c r="AE48" s="52" t="s">
        <v>179</v>
      </c>
      <c r="AF48" s="64"/>
      <c r="AG48" s="52" t="s">
        <v>192</v>
      </c>
      <c r="AH48" s="51" t="s">
        <v>219</v>
      </c>
      <c r="AI48" s="51" t="s">
        <v>219</v>
      </c>
      <c r="AJ48" s="51" t="s">
        <v>219</v>
      </c>
      <c r="AK48" s="51" t="s">
        <v>219</v>
      </c>
      <c r="AL48" s="51" t="s">
        <v>689</v>
      </c>
      <c r="AM48" s="51" t="s">
        <v>2432</v>
      </c>
      <c r="AN48" s="51" t="s">
        <v>2656</v>
      </c>
      <c r="AO48" s="63" t="s">
        <v>219</v>
      </c>
      <c r="AP48" s="62" t="s">
        <v>2702</v>
      </c>
      <c r="AQ48" s="63" t="s">
        <v>217</v>
      </c>
      <c r="AR48" s="30" t="s">
        <v>219</v>
      </c>
      <c r="AS48" s="51" t="e">
        <f>_xlfn.XLOOKUP(AP48,[2]Entities!$K:$K,[2]Entities!$K:$K)</f>
        <v>#N/A</v>
      </c>
    </row>
    <row r="49" spans="2:45" ht="21.75" customHeight="1" x14ac:dyDescent="0.45">
      <c r="B49" s="51" t="s">
        <v>99</v>
      </c>
      <c r="E49" s="52" t="s">
        <v>87</v>
      </c>
      <c r="F49" s="51" t="s">
        <v>2431</v>
      </c>
      <c r="H49" s="52" t="s">
        <v>109</v>
      </c>
      <c r="J49" s="79">
        <v>175</v>
      </c>
      <c r="L49" s="51" t="s">
        <v>987</v>
      </c>
      <c r="M49" s="51" t="s">
        <v>2528</v>
      </c>
      <c r="N49" s="51" t="s">
        <v>2529</v>
      </c>
      <c r="O49" s="51" t="s">
        <v>986</v>
      </c>
      <c r="P49" s="51" t="s">
        <v>988</v>
      </c>
      <c r="Q49" s="51" t="s">
        <v>990</v>
      </c>
      <c r="R49" s="51" t="s">
        <v>273</v>
      </c>
      <c r="S49" s="51" t="s">
        <v>276</v>
      </c>
      <c r="T49" s="51" t="s">
        <v>278</v>
      </c>
      <c r="U49" s="51" t="s">
        <v>689</v>
      </c>
      <c r="V49" s="51" t="s">
        <v>689</v>
      </c>
      <c r="W49" s="51" t="s">
        <v>689</v>
      </c>
      <c r="X49" s="51" t="s">
        <v>987</v>
      </c>
      <c r="Y49" s="51" t="s">
        <v>989</v>
      </c>
      <c r="Z49" s="51" t="s">
        <v>991</v>
      </c>
      <c r="AA49" s="60">
        <v>1</v>
      </c>
      <c r="AB49" s="51" t="s">
        <v>131</v>
      </c>
      <c r="AC49" s="62">
        <v>1</v>
      </c>
      <c r="AD49" s="51" t="s">
        <v>168</v>
      </c>
      <c r="AE49" s="52" t="s">
        <v>179</v>
      </c>
      <c r="AF49" s="64"/>
      <c r="AG49" s="52" t="s">
        <v>192</v>
      </c>
      <c r="AH49" s="51" t="s">
        <v>219</v>
      </c>
      <c r="AI49" s="51" t="s">
        <v>219</v>
      </c>
      <c r="AJ49" s="51" t="s">
        <v>219</v>
      </c>
      <c r="AK49" s="51" t="s">
        <v>219</v>
      </c>
      <c r="AL49" s="51" t="s">
        <v>689</v>
      </c>
      <c r="AM49" s="51" t="s">
        <v>2432</v>
      </c>
      <c r="AN49" s="51" t="s">
        <v>2656</v>
      </c>
      <c r="AO49" s="63" t="s">
        <v>219</v>
      </c>
      <c r="AP49" s="62" t="s">
        <v>2703</v>
      </c>
      <c r="AQ49" s="63" t="s">
        <v>217</v>
      </c>
      <c r="AR49" s="30" t="s">
        <v>219</v>
      </c>
      <c r="AS49" s="51" t="e">
        <f>_xlfn.XLOOKUP(AP49,[2]Entities!$K:$K,[2]Entities!$K:$K)</f>
        <v>#N/A</v>
      </c>
    </row>
    <row r="50" spans="2:45" ht="21.75" customHeight="1" x14ac:dyDescent="0.45">
      <c r="B50" s="51" t="s">
        <v>99</v>
      </c>
      <c r="E50" s="52" t="s">
        <v>87</v>
      </c>
      <c r="F50" s="51" t="s">
        <v>2431</v>
      </c>
      <c r="H50" s="52" t="s">
        <v>109</v>
      </c>
      <c r="J50" s="79">
        <v>2293431000000</v>
      </c>
      <c r="L50" s="51" t="s">
        <v>993</v>
      </c>
      <c r="M50" s="51" t="s">
        <v>2530</v>
      </c>
      <c r="N50" s="51" t="s">
        <v>997</v>
      </c>
      <c r="O50" s="51" t="s">
        <v>992</v>
      </c>
      <c r="P50" s="51" t="s">
        <v>994</v>
      </c>
      <c r="Q50" s="51" t="s">
        <v>996</v>
      </c>
      <c r="R50" s="51" t="s">
        <v>309</v>
      </c>
      <c r="S50" s="51" t="s">
        <v>310</v>
      </c>
      <c r="T50" s="51" t="s">
        <v>311</v>
      </c>
      <c r="U50" s="51" t="s">
        <v>256</v>
      </c>
      <c r="V50" s="51" t="s">
        <v>256</v>
      </c>
      <c r="W50" s="51" t="s">
        <v>256</v>
      </c>
      <c r="X50" s="51" t="s">
        <v>993</v>
      </c>
      <c r="Y50" s="51" t="s">
        <v>995</v>
      </c>
      <c r="Z50" s="51" t="s">
        <v>997</v>
      </c>
      <c r="AA50" s="60">
        <v>0.5</v>
      </c>
      <c r="AB50" s="51" t="s">
        <v>131</v>
      </c>
      <c r="AC50" s="62">
        <v>1</v>
      </c>
      <c r="AD50" s="51" t="s">
        <v>169</v>
      </c>
      <c r="AE50" s="52" t="s">
        <v>179</v>
      </c>
      <c r="AF50" s="64"/>
      <c r="AG50" s="52" t="s">
        <v>192</v>
      </c>
      <c r="AH50" s="51" t="s">
        <v>219</v>
      </c>
      <c r="AI50" s="51" t="s">
        <v>219</v>
      </c>
      <c r="AJ50" s="51" t="s">
        <v>219</v>
      </c>
      <c r="AK50" s="51" t="s">
        <v>219</v>
      </c>
      <c r="AL50" s="51" t="s">
        <v>689</v>
      </c>
      <c r="AM50" s="51" t="s">
        <v>2432</v>
      </c>
      <c r="AN50" s="51" t="s">
        <v>214</v>
      </c>
      <c r="AO50" s="63" t="s">
        <v>219</v>
      </c>
      <c r="AP50" s="62" t="s">
        <v>2704</v>
      </c>
      <c r="AQ50" s="63" t="s">
        <v>217</v>
      </c>
      <c r="AR50" s="30" t="s">
        <v>219</v>
      </c>
      <c r="AS50" s="51" t="e">
        <f>_xlfn.XLOOKUP(AP50,[2]Entities!$K:$K,[2]Entities!$K:$K)</f>
        <v>#N/A</v>
      </c>
    </row>
    <row r="51" spans="2:45" ht="21.75" customHeight="1" x14ac:dyDescent="0.45">
      <c r="B51" s="51" t="s">
        <v>99</v>
      </c>
      <c r="E51" s="52" t="s">
        <v>87</v>
      </c>
      <c r="F51" s="51" t="s">
        <v>2431</v>
      </c>
      <c r="H51" s="52" t="s">
        <v>109</v>
      </c>
      <c r="J51" s="79">
        <v>2268451000002</v>
      </c>
      <c r="L51" s="51" t="s">
        <v>1000</v>
      </c>
      <c r="M51" s="51" t="s">
        <v>1003</v>
      </c>
      <c r="N51" s="51" t="s">
        <v>1005</v>
      </c>
      <c r="O51" s="51" t="s">
        <v>998</v>
      </c>
      <c r="P51" s="51" t="s">
        <v>1001</v>
      </c>
      <c r="Q51" s="51" t="s">
        <v>1004</v>
      </c>
      <c r="R51" s="51" t="s">
        <v>689</v>
      </c>
      <c r="S51" s="51" t="s">
        <v>689</v>
      </c>
      <c r="T51" s="51" t="s">
        <v>689</v>
      </c>
      <c r="U51" s="51" t="s">
        <v>999</v>
      </c>
      <c r="V51" s="51" t="s">
        <v>1002</v>
      </c>
      <c r="W51" s="51" t="s">
        <v>999</v>
      </c>
      <c r="X51" s="51" t="s">
        <v>1000</v>
      </c>
      <c r="Y51" s="51" t="s">
        <v>1003</v>
      </c>
      <c r="Z51" s="51" t="s">
        <v>1005</v>
      </c>
      <c r="AA51" s="60">
        <v>0.5</v>
      </c>
      <c r="AB51" s="51" t="s">
        <v>131</v>
      </c>
      <c r="AC51" s="62">
        <v>1</v>
      </c>
      <c r="AD51" s="51" t="s">
        <v>169</v>
      </c>
      <c r="AE51" s="52" t="s">
        <v>179</v>
      </c>
      <c r="AF51" s="64"/>
      <c r="AG51" s="52" t="s">
        <v>192</v>
      </c>
      <c r="AH51" s="51" t="s">
        <v>219</v>
      </c>
      <c r="AI51" s="51" t="s">
        <v>219</v>
      </c>
      <c r="AJ51" s="51" t="s">
        <v>219</v>
      </c>
      <c r="AK51" s="51" t="s">
        <v>219</v>
      </c>
      <c r="AL51" s="51" t="s">
        <v>689</v>
      </c>
      <c r="AM51" s="51" t="s">
        <v>2432</v>
      </c>
      <c r="AN51" s="51" t="s">
        <v>214</v>
      </c>
      <c r="AO51" s="63" t="s">
        <v>219</v>
      </c>
      <c r="AP51" s="62" t="s">
        <v>2705</v>
      </c>
      <c r="AQ51" s="63" t="s">
        <v>217</v>
      </c>
      <c r="AR51" s="30" t="s">
        <v>219</v>
      </c>
      <c r="AS51" s="51" t="e">
        <f>_xlfn.XLOOKUP(AP51,[2]Entities!$K:$K,[2]Entities!$K:$K)</f>
        <v>#N/A</v>
      </c>
    </row>
    <row r="52" spans="2:45" ht="21.75" customHeight="1" x14ac:dyDescent="0.45">
      <c r="B52" s="51" t="s">
        <v>99</v>
      </c>
      <c r="E52" s="52" t="s">
        <v>87</v>
      </c>
      <c r="F52" s="51" t="s">
        <v>2431</v>
      </c>
      <c r="H52" s="52" t="s">
        <v>109</v>
      </c>
      <c r="J52" s="79">
        <v>166</v>
      </c>
      <c r="L52" s="51" t="s">
        <v>1007</v>
      </c>
      <c r="M52" s="51" t="s">
        <v>2531</v>
      </c>
      <c r="N52" s="51" t="s">
        <v>2532</v>
      </c>
      <c r="O52" s="51" t="s">
        <v>1006</v>
      </c>
      <c r="P52" s="51" t="s">
        <v>1008</v>
      </c>
      <c r="Q52" s="51" t="s">
        <v>1010</v>
      </c>
      <c r="R52" s="51" t="s">
        <v>319</v>
      </c>
      <c r="S52" s="51" t="s">
        <v>322</v>
      </c>
      <c r="T52" s="51" t="s">
        <v>308</v>
      </c>
      <c r="U52" s="51" t="s">
        <v>689</v>
      </c>
      <c r="V52" s="51" t="s">
        <v>689</v>
      </c>
      <c r="W52" s="51" t="s">
        <v>689</v>
      </c>
      <c r="X52" s="51" t="s">
        <v>1007</v>
      </c>
      <c r="Y52" s="51" t="s">
        <v>1009</v>
      </c>
      <c r="Z52" s="51" t="s">
        <v>1011</v>
      </c>
      <c r="AA52" s="60">
        <v>1</v>
      </c>
      <c r="AB52" s="51" t="s">
        <v>131</v>
      </c>
      <c r="AC52" s="62">
        <v>1</v>
      </c>
      <c r="AD52" s="51" t="s">
        <v>168</v>
      </c>
      <c r="AE52" s="52" t="s">
        <v>179</v>
      </c>
      <c r="AF52" s="64"/>
      <c r="AG52" s="52" t="s">
        <v>192</v>
      </c>
      <c r="AH52" s="51" t="s">
        <v>219</v>
      </c>
      <c r="AI52" s="51" t="s">
        <v>219</v>
      </c>
      <c r="AJ52" s="51" t="s">
        <v>219</v>
      </c>
      <c r="AK52" s="51" t="s">
        <v>219</v>
      </c>
      <c r="AL52" s="51" t="s">
        <v>689</v>
      </c>
      <c r="AM52" s="51" t="s">
        <v>2432</v>
      </c>
      <c r="AN52" s="51" t="s">
        <v>2656</v>
      </c>
      <c r="AO52" s="63" t="s">
        <v>219</v>
      </c>
      <c r="AP52" s="62" t="s">
        <v>2706</v>
      </c>
      <c r="AQ52" s="63" t="s">
        <v>217</v>
      </c>
      <c r="AR52" s="30" t="s">
        <v>219</v>
      </c>
      <c r="AS52" s="51" t="e">
        <f>_xlfn.XLOOKUP(AP52,[2]Entities!$K:$K,[2]Entities!$K:$K)</f>
        <v>#N/A</v>
      </c>
    </row>
    <row r="53" spans="2:45" ht="21.75" customHeight="1" x14ac:dyDescent="0.45">
      <c r="B53" s="51" t="s">
        <v>99</v>
      </c>
      <c r="E53" s="52" t="s">
        <v>87</v>
      </c>
      <c r="F53" s="51" t="s">
        <v>2431</v>
      </c>
      <c r="H53" s="52" t="s">
        <v>109</v>
      </c>
      <c r="J53" s="79">
        <v>2259901000000</v>
      </c>
      <c r="L53" s="51" t="s">
        <v>1013</v>
      </c>
      <c r="M53" s="51" t="s">
        <v>2533</v>
      </c>
      <c r="N53" s="51" t="s">
        <v>2534</v>
      </c>
      <c r="O53" s="51" t="s">
        <v>1012</v>
      </c>
      <c r="P53" s="51" t="s">
        <v>1014</v>
      </c>
      <c r="Q53" s="51" t="s">
        <v>1016</v>
      </c>
      <c r="R53" s="51" t="s">
        <v>827</v>
      </c>
      <c r="S53" s="51" t="s">
        <v>830</v>
      </c>
      <c r="T53" s="51" t="s">
        <v>833</v>
      </c>
      <c r="U53" s="51" t="s">
        <v>261</v>
      </c>
      <c r="V53" s="51" t="s">
        <v>261</v>
      </c>
      <c r="W53" s="51" t="s">
        <v>261</v>
      </c>
      <c r="X53" s="51" t="s">
        <v>1013</v>
      </c>
      <c r="Y53" s="51" t="s">
        <v>1015</v>
      </c>
      <c r="Z53" s="51" t="s">
        <v>1017</v>
      </c>
      <c r="AA53" s="60">
        <v>1</v>
      </c>
      <c r="AB53" s="51" t="s">
        <v>131</v>
      </c>
      <c r="AC53" s="62">
        <v>1</v>
      </c>
      <c r="AD53" s="51" t="s">
        <v>169</v>
      </c>
      <c r="AE53" s="52" t="s">
        <v>179</v>
      </c>
      <c r="AF53" s="64"/>
      <c r="AG53" s="52" t="s">
        <v>192</v>
      </c>
      <c r="AH53" s="51" t="s">
        <v>219</v>
      </c>
      <c r="AI53" s="51" t="s">
        <v>219</v>
      </c>
      <c r="AJ53" s="51" t="s">
        <v>219</v>
      </c>
      <c r="AK53" s="51" t="s">
        <v>219</v>
      </c>
      <c r="AL53" s="51" t="s">
        <v>689</v>
      </c>
      <c r="AM53" s="51" t="s">
        <v>2432</v>
      </c>
      <c r="AN53" s="51" t="s">
        <v>214</v>
      </c>
      <c r="AO53" s="63" t="s">
        <v>219</v>
      </c>
      <c r="AP53" s="62" t="s">
        <v>2707</v>
      </c>
      <c r="AQ53" s="63" t="s">
        <v>217</v>
      </c>
      <c r="AR53" s="30" t="s">
        <v>219</v>
      </c>
      <c r="AS53" s="51" t="e">
        <f>_xlfn.XLOOKUP(AP53,[2]Entities!$K:$K,[2]Entities!$K:$K)</f>
        <v>#N/A</v>
      </c>
    </row>
    <row r="54" spans="2:45" ht="21.75" customHeight="1" x14ac:dyDescent="0.45">
      <c r="B54" s="51" t="s">
        <v>99</v>
      </c>
      <c r="E54" s="52" t="s">
        <v>87</v>
      </c>
      <c r="F54" s="51" t="s">
        <v>2431</v>
      </c>
      <c r="H54" s="52" t="s">
        <v>109</v>
      </c>
      <c r="J54" s="79">
        <v>167</v>
      </c>
      <c r="L54" s="51" t="s">
        <v>1019</v>
      </c>
      <c r="M54" s="51" t="s">
        <v>2535</v>
      </c>
      <c r="N54" s="51" t="s">
        <v>1023</v>
      </c>
      <c r="O54" s="51" t="s">
        <v>1018</v>
      </c>
      <c r="P54" s="51" t="s">
        <v>1020</v>
      </c>
      <c r="Q54" s="51" t="s">
        <v>1022</v>
      </c>
      <c r="R54" s="51" t="s">
        <v>319</v>
      </c>
      <c r="S54" s="51" t="s">
        <v>322</v>
      </c>
      <c r="T54" s="51" t="s">
        <v>308</v>
      </c>
      <c r="U54" s="51" t="s">
        <v>689</v>
      </c>
      <c r="V54" s="51" t="s">
        <v>689</v>
      </c>
      <c r="W54" s="51" t="s">
        <v>689</v>
      </c>
      <c r="X54" s="51" t="s">
        <v>1019</v>
      </c>
      <c r="Y54" s="51" t="s">
        <v>1021</v>
      </c>
      <c r="Z54" s="51" t="s">
        <v>1023</v>
      </c>
      <c r="AA54" s="60">
        <v>1</v>
      </c>
      <c r="AB54" s="51" t="s">
        <v>131</v>
      </c>
      <c r="AC54" s="62">
        <v>1</v>
      </c>
      <c r="AD54" s="51" t="s">
        <v>168</v>
      </c>
      <c r="AE54" s="52" t="s">
        <v>179</v>
      </c>
      <c r="AF54" s="64"/>
      <c r="AG54" s="52" t="s">
        <v>192</v>
      </c>
      <c r="AH54" s="51" t="s">
        <v>219</v>
      </c>
      <c r="AI54" s="51" t="s">
        <v>219</v>
      </c>
      <c r="AJ54" s="51" t="s">
        <v>219</v>
      </c>
      <c r="AK54" s="51" t="s">
        <v>219</v>
      </c>
      <c r="AL54" s="51" t="s">
        <v>689</v>
      </c>
      <c r="AM54" s="51" t="s">
        <v>2432</v>
      </c>
      <c r="AN54" s="51" t="s">
        <v>2656</v>
      </c>
      <c r="AO54" s="63" t="s">
        <v>219</v>
      </c>
      <c r="AP54" s="62" t="s">
        <v>2708</v>
      </c>
      <c r="AQ54" s="63" t="s">
        <v>217</v>
      </c>
      <c r="AR54" s="30" t="s">
        <v>219</v>
      </c>
      <c r="AS54" s="51" t="e">
        <f>_xlfn.XLOOKUP(AP54,[2]Entities!$K:$K,[2]Entities!$K:$K)</f>
        <v>#N/A</v>
      </c>
    </row>
    <row r="55" spans="2:45" ht="21.75" customHeight="1" x14ac:dyDescent="0.45">
      <c r="B55" s="51" t="s">
        <v>99</v>
      </c>
      <c r="E55" s="52" t="s">
        <v>87</v>
      </c>
      <c r="F55" s="51" t="s">
        <v>2431</v>
      </c>
      <c r="H55" s="52" t="s">
        <v>109</v>
      </c>
      <c r="J55" s="79">
        <v>164</v>
      </c>
      <c r="L55" s="51" t="s">
        <v>1025</v>
      </c>
      <c r="M55" s="51" t="s">
        <v>2536</v>
      </c>
      <c r="N55" s="51" t="s">
        <v>1029</v>
      </c>
      <c r="O55" s="51" t="s">
        <v>1024</v>
      </c>
      <c r="P55" s="51" t="s">
        <v>1026</v>
      </c>
      <c r="Q55" s="51" t="s">
        <v>1028</v>
      </c>
      <c r="R55" s="51" t="s">
        <v>319</v>
      </c>
      <c r="S55" s="51" t="s">
        <v>322</v>
      </c>
      <c r="T55" s="51" t="s">
        <v>308</v>
      </c>
      <c r="U55" s="51" t="s">
        <v>689</v>
      </c>
      <c r="V55" s="51" t="s">
        <v>689</v>
      </c>
      <c r="W55" s="51" t="s">
        <v>689</v>
      </c>
      <c r="X55" s="51" t="s">
        <v>1025</v>
      </c>
      <c r="Y55" s="51" t="s">
        <v>1027</v>
      </c>
      <c r="Z55" s="51" t="s">
        <v>1029</v>
      </c>
      <c r="AA55" s="60">
        <v>1</v>
      </c>
      <c r="AB55" s="51" t="s">
        <v>131</v>
      </c>
      <c r="AC55" s="62">
        <v>1</v>
      </c>
      <c r="AD55" s="51" t="s">
        <v>168</v>
      </c>
      <c r="AE55" s="52" t="s">
        <v>179</v>
      </c>
      <c r="AF55" s="64"/>
      <c r="AG55" s="52" t="s">
        <v>192</v>
      </c>
      <c r="AH55" s="51" t="s">
        <v>219</v>
      </c>
      <c r="AI55" s="51" t="s">
        <v>219</v>
      </c>
      <c r="AJ55" s="51" t="s">
        <v>219</v>
      </c>
      <c r="AK55" s="51" t="s">
        <v>219</v>
      </c>
      <c r="AL55" s="51" t="s">
        <v>689</v>
      </c>
      <c r="AM55" s="51" t="s">
        <v>2432</v>
      </c>
      <c r="AN55" s="51" t="s">
        <v>2656</v>
      </c>
      <c r="AO55" s="63" t="s">
        <v>219</v>
      </c>
      <c r="AP55" s="62" t="s">
        <v>2709</v>
      </c>
      <c r="AQ55" s="63" t="s">
        <v>217</v>
      </c>
      <c r="AR55" s="30" t="s">
        <v>219</v>
      </c>
      <c r="AS55" s="51" t="e">
        <f>_xlfn.XLOOKUP(AP55,[2]Entities!$K:$K,[2]Entities!$K:$K)</f>
        <v>#N/A</v>
      </c>
    </row>
    <row r="56" spans="2:45" ht="21.75" customHeight="1" x14ac:dyDescent="0.45">
      <c r="B56" s="51" t="s">
        <v>99</v>
      </c>
      <c r="E56" s="52" t="s">
        <v>87</v>
      </c>
      <c r="F56" s="51" t="s">
        <v>2431</v>
      </c>
      <c r="H56" s="52" t="s">
        <v>109</v>
      </c>
      <c r="J56" s="79">
        <v>2203461000000</v>
      </c>
      <c r="L56" s="51" t="s">
        <v>1031</v>
      </c>
      <c r="M56" s="51" t="s">
        <v>1033</v>
      </c>
      <c r="N56" s="51" t="s">
        <v>1035</v>
      </c>
      <c r="O56" s="51" t="s">
        <v>1030</v>
      </c>
      <c r="P56" s="51" t="s">
        <v>1032</v>
      </c>
      <c r="Q56" s="51" t="s">
        <v>1034</v>
      </c>
      <c r="R56" s="51" t="s">
        <v>689</v>
      </c>
      <c r="S56" s="51" t="s">
        <v>689</v>
      </c>
      <c r="T56" s="51" t="s">
        <v>689</v>
      </c>
      <c r="U56" s="51" t="s">
        <v>303</v>
      </c>
      <c r="V56" s="51" t="s">
        <v>305</v>
      </c>
      <c r="W56" s="51" t="s">
        <v>303</v>
      </c>
      <c r="X56" s="51" t="s">
        <v>1031</v>
      </c>
      <c r="Y56" s="51" t="s">
        <v>1033</v>
      </c>
      <c r="Z56" s="51" t="s">
        <v>1035</v>
      </c>
      <c r="AA56" s="60">
        <v>0.8</v>
      </c>
      <c r="AB56" s="51" t="s">
        <v>131</v>
      </c>
      <c r="AC56" s="62">
        <v>1</v>
      </c>
      <c r="AD56" s="51" t="s">
        <v>169</v>
      </c>
      <c r="AE56" s="52" t="s">
        <v>179</v>
      </c>
      <c r="AF56" s="64"/>
      <c r="AG56" s="52" t="s">
        <v>192</v>
      </c>
      <c r="AH56" s="51" t="s">
        <v>219</v>
      </c>
      <c r="AI56" s="51" t="s">
        <v>219</v>
      </c>
      <c r="AJ56" s="51" t="s">
        <v>219</v>
      </c>
      <c r="AK56" s="51" t="s">
        <v>219</v>
      </c>
      <c r="AL56" s="51" t="s">
        <v>689</v>
      </c>
      <c r="AM56" s="51" t="s">
        <v>2432</v>
      </c>
      <c r="AN56" s="51" t="s">
        <v>214</v>
      </c>
      <c r="AO56" s="63" t="s">
        <v>219</v>
      </c>
      <c r="AP56" s="62" t="s">
        <v>2710</v>
      </c>
      <c r="AQ56" s="63" t="s">
        <v>217</v>
      </c>
      <c r="AR56" s="30" t="s">
        <v>219</v>
      </c>
      <c r="AS56" s="51" t="e">
        <f>_xlfn.XLOOKUP(AP56,[2]Entities!$K:$K,[2]Entities!$K:$K)</f>
        <v>#N/A</v>
      </c>
    </row>
    <row r="57" spans="2:45" ht="21.75" customHeight="1" x14ac:dyDescent="0.45">
      <c r="B57" s="51" t="s">
        <v>99</v>
      </c>
      <c r="E57" s="52" t="s">
        <v>87</v>
      </c>
      <c r="F57" s="51" t="s">
        <v>2431</v>
      </c>
      <c r="H57" s="52" t="s">
        <v>109</v>
      </c>
      <c r="J57" s="79">
        <v>163</v>
      </c>
      <c r="L57" s="51" t="s">
        <v>1037</v>
      </c>
      <c r="M57" s="51" t="s">
        <v>2537</v>
      </c>
      <c r="N57" s="51" t="s">
        <v>2538</v>
      </c>
      <c r="O57" s="51" t="s">
        <v>1036</v>
      </c>
      <c r="P57" s="51" t="s">
        <v>1038</v>
      </c>
      <c r="Q57" s="51" t="s">
        <v>1040</v>
      </c>
      <c r="R57" s="51" t="s">
        <v>319</v>
      </c>
      <c r="S57" s="51" t="s">
        <v>322</v>
      </c>
      <c r="T57" s="51" t="s">
        <v>308</v>
      </c>
      <c r="U57" s="51" t="s">
        <v>689</v>
      </c>
      <c r="V57" s="51" t="s">
        <v>689</v>
      </c>
      <c r="W57" s="51" t="s">
        <v>689</v>
      </c>
      <c r="X57" s="51" t="s">
        <v>1037</v>
      </c>
      <c r="Y57" s="51" t="s">
        <v>1039</v>
      </c>
      <c r="Z57" s="51" t="s">
        <v>1041</v>
      </c>
      <c r="AA57" s="60">
        <v>1</v>
      </c>
      <c r="AB57" s="51" t="s">
        <v>131</v>
      </c>
      <c r="AC57" s="62">
        <v>1</v>
      </c>
      <c r="AD57" s="51" t="s">
        <v>168</v>
      </c>
      <c r="AE57" s="52" t="s">
        <v>179</v>
      </c>
      <c r="AF57" s="64"/>
      <c r="AG57" s="52" t="s">
        <v>192</v>
      </c>
      <c r="AH57" s="51" t="s">
        <v>219</v>
      </c>
      <c r="AI57" s="51" t="s">
        <v>219</v>
      </c>
      <c r="AJ57" s="51" t="s">
        <v>219</v>
      </c>
      <c r="AK57" s="51" t="s">
        <v>219</v>
      </c>
      <c r="AL57" s="51" t="s">
        <v>689</v>
      </c>
      <c r="AM57" s="51" t="s">
        <v>2432</v>
      </c>
      <c r="AN57" s="51" t="s">
        <v>2656</v>
      </c>
      <c r="AO57" s="63" t="s">
        <v>219</v>
      </c>
      <c r="AP57" s="62" t="s">
        <v>2711</v>
      </c>
      <c r="AQ57" s="63" t="s">
        <v>217</v>
      </c>
      <c r="AR57" s="30" t="s">
        <v>219</v>
      </c>
      <c r="AS57" s="51" t="e">
        <f>_xlfn.XLOOKUP(AP57,[2]Entities!$K:$K,[2]Entities!$K:$K)</f>
        <v>#N/A</v>
      </c>
    </row>
    <row r="58" spans="2:45" ht="21.75" customHeight="1" x14ac:dyDescent="0.45">
      <c r="B58" s="51" t="s">
        <v>99</v>
      </c>
      <c r="E58" s="52" t="s">
        <v>87</v>
      </c>
      <c r="F58" s="51" t="s">
        <v>2431</v>
      </c>
      <c r="H58" s="52" t="s">
        <v>109</v>
      </c>
      <c r="J58" s="79">
        <v>169</v>
      </c>
      <c r="L58" s="51" t="s">
        <v>1043</v>
      </c>
      <c r="M58" s="51" t="s">
        <v>2539</v>
      </c>
      <c r="N58" s="51" t="s">
        <v>1047</v>
      </c>
      <c r="O58" s="51" t="s">
        <v>1042</v>
      </c>
      <c r="P58" s="51" t="s">
        <v>1044</v>
      </c>
      <c r="Q58" s="51" t="s">
        <v>1046</v>
      </c>
      <c r="R58" s="51" t="s">
        <v>319</v>
      </c>
      <c r="S58" s="51" t="s">
        <v>322</v>
      </c>
      <c r="T58" s="51" t="s">
        <v>308</v>
      </c>
      <c r="U58" s="51" t="s">
        <v>689</v>
      </c>
      <c r="V58" s="51" t="s">
        <v>689</v>
      </c>
      <c r="W58" s="51" t="s">
        <v>689</v>
      </c>
      <c r="X58" s="51" t="s">
        <v>1043</v>
      </c>
      <c r="Y58" s="51" t="s">
        <v>1045</v>
      </c>
      <c r="Z58" s="51" t="s">
        <v>1047</v>
      </c>
      <c r="AA58" s="60">
        <v>1</v>
      </c>
      <c r="AB58" s="51" t="s">
        <v>131</v>
      </c>
      <c r="AC58" s="62">
        <v>1</v>
      </c>
      <c r="AD58" s="51" t="s">
        <v>168</v>
      </c>
      <c r="AE58" s="52" t="s">
        <v>179</v>
      </c>
      <c r="AF58" s="64"/>
      <c r="AG58" s="52" t="s">
        <v>192</v>
      </c>
      <c r="AH58" s="51" t="s">
        <v>219</v>
      </c>
      <c r="AI58" s="51" t="s">
        <v>219</v>
      </c>
      <c r="AJ58" s="51" t="s">
        <v>219</v>
      </c>
      <c r="AK58" s="51" t="s">
        <v>219</v>
      </c>
      <c r="AL58" s="51" t="s">
        <v>689</v>
      </c>
      <c r="AM58" s="51" t="s">
        <v>2432</v>
      </c>
      <c r="AN58" s="51" t="s">
        <v>2656</v>
      </c>
      <c r="AO58" s="63" t="s">
        <v>219</v>
      </c>
      <c r="AP58" s="62" t="s">
        <v>2712</v>
      </c>
      <c r="AQ58" s="63" t="s">
        <v>217</v>
      </c>
      <c r="AR58" s="30" t="s">
        <v>219</v>
      </c>
      <c r="AS58" s="51" t="e">
        <f>_xlfn.XLOOKUP(AP58,[2]Entities!$K:$K,[2]Entities!$K:$K)</f>
        <v>#N/A</v>
      </c>
    </row>
    <row r="59" spans="2:45" ht="21.75" customHeight="1" x14ac:dyDescent="0.45">
      <c r="B59" s="51" t="s">
        <v>99</v>
      </c>
      <c r="E59" s="52" t="s">
        <v>87</v>
      </c>
      <c r="F59" s="51" t="s">
        <v>2431</v>
      </c>
      <c r="H59" s="52" t="s">
        <v>109</v>
      </c>
      <c r="J59" s="79">
        <v>2213991000005</v>
      </c>
      <c r="L59" s="51" t="s">
        <v>1048</v>
      </c>
      <c r="M59" s="51" t="s">
        <v>2540</v>
      </c>
      <c r="N59" s="51" t="s">
        <v>1050</v>
      </c>
      <c r="O59" s="51" t="s">
        <v>1042</v>
      </c>
      <c r="P59" s="51" t="s">
        <v>1044</v>
      </c>
      <c r="Q59" s="51" t="s">
        <v>1046</v>
      </c>
      <c r="R59" s="51" t="s">
        <v>309</v>
      </c>
      <c r="S59" s="51" t="s">
        <v>310</v>
      </c>
      <c r="T59" s="51" t="s">
        <v>311</v>
      </c>
      <c r="U59" s="51" t="s">
        <v>256</v>
      </c>
      <c r="V59" s="51" t="s">
        <v>256</v>
      </c>
      <c r="W59" s="51" t="s">
        <v>256</v>
      </c>
      <c r="X59" s="51" t="s">
        <v>1048</v>
      </c>
      <c r="Y59" s="51" t="s">
        <v>1049</v>
      </c>
      <c r="Z59" s="51" t="s">
        <v>1050</v>
      </c>
      <c r="AA59" s="60">
        <v>0.5</v>
      </c>
      <c r="AB59" s="51" t="s">
        <v>131</v>
      </c>
      <c r="AC59" s="62">
        <v>1</v>
      </c>
      <c r="AD59" s="51" t="s">
        <v>169</v>
      </c>
      <c r="AE59" s="52" t="s">
        <v>179</v>
      </c>
      <c r="AF59" s="64"/>
      <c r="AG59" s="52" t="s">
        <v>192</v>
      </c>
      <c r="AH59" s="51" t="s">
        <v>219</v>
      </c>
      <c r="AI59" s="51" t="s">
        <v>219</v>
      </c>
      <c r="AJ59" s="51" t="s">
        <v>219</v>
      </c>
      <c r="AK59" s="51" t="s">
        <v>219</v>
      </c>
      <c r="AL59" s="51" t="s">
        <v>689</v>
      </c>
      <c r="AM59" s="51" t="s">
        <v>2432</v>
      </c>
      <c r="AN59" s="51" t="s">
        <v>214</v>
      </c>
      <c r="AO59" s="63" t="s">
        <v>219</v>
      </c>
      <c r="AP59" s="62" t="s">
        <v>2713</v>
      </c>
      <c r="AQ59" s="63" t="s">
        <v>217</v>
      </c>
      <c r="AR59" s="30" t="s">
        <v>219</v>
      </c>
      <c r="AS59" s="51" t="e">
        <f>_xlfn.XLOOKUP(AP59,[2]Entities!$K:$K,[2]Entities!$K:$K)</f>
        <v>#N/A</v>
      </c>
    </row>
    <row r="60" spans="2:45" ht="21.75" customHeight="1" x14ac:dyDescent="0.45">
      <c r="B60" s="51" t="s">
        <v>99</v>
      </c>
      <c r="E60" s="52" t="s">
        <v>87</v>
      </c>
      <c r="F60" s="51" t="s">
        <v>2431</v>
      </c>
      <c r="H60" s="52" t="s">
        <v>109</v>
      </c>
      <c r="J60" s="79">
        <v>2203321000003</v>
      </c>
      <c r="L60" s="51" t="s">
        <v>1052</v>
      </c>
      <c r="M60" s="51" t="s">
        <v>2541</v>
      </c>
      <c r="N60" s="51" t="s">
        <v>2542</v>
      </c>
      <c r="O60" s="51" t="s">
        <v>1051</v>
      </c>
      <c r="P60" s="51" t="s">
        <v>1053</v>
      </c>
      <c r="Q60" s="51" t="s">
        <v>1055</v>
      </c>
      <c r="R60" s="51" t="s">
        <v>309</v>
      </c>
      <c r="S60" s="51" t="s">
        <v>310</v>
      </c>
      <c r="T60" s="51" t="s">
        <v>311</v>
      </c>
      <c r="U60" s="51" t="s">
        <v>256</v>
      </c>
      <c r="V60" s="51" t="s">
        <v>256</v>
      </c>
      <c r="W60" s="51" t="s">
        <v>256</v>
      </c>
      <c r="X60" s="51" t="s">
        <v>1052</v>
      </c>
      <c r="Y60" s="51" t="s">
        <v>1054</v>
      </c>
      <c r="Z60" s="51" t="s">
        <v>1056</v>
      </c>
      <c r="AA60" s="60">
        <v>0.5</v>
      </c>
      <c r="AB60" s="51" t="s">
        <v>131</v>
      </c>
      <c r="AC60" s="62">
        <v>1</v>
      </c>
      <c r="AD60" s="51" t="s">
        <v>169</v>
      </c>
      <c r="AE60" s="52" t="s">
        <v>179</v>
      </c>
      <c r="AF60" s="64"/>
      <c r="AG60" s="52" t="s">
        <v>192</v>
      </c>
      <c r="AH60" s="51" t="s">
        <v>219</v>
      </c>
      <c r="AI60" s="51" t="s">
        <v>219</v>
      </c>
      <c r="AJ60" s="51" t="s">
        <v>219</v>
      </c>
      <c r="AK60" s="51" t="s">
        <v>219</v>
      </c>
      <c r="AL60" s="51" t="s">
        <v>689</v>
      </c>
      <c r="AM60" s="51" t="s">
        <v>2432</v>
      </c>
      <c r="AN60" s="51" t="s">
        <v>214</v>
      </c>
      <c r="AO60" s="63" t="s">
        <v>219</v>
      </c>
      <c r="AP60" s="62" t="s">
        <v>2714</v>
      </c>
      <c r="AQ60" s="63" t="s">
        <v>217</v>
      </c>
      <c r="AR60" s="30" t="s">
        <v>219</v>
      </c>
      <c r="AS60" s="51" t="e">
        <f>_xlfn.XLOOKUP(AP60,[2]Entities!$K:$K,[2]Entities!$K:$K)</f>
        <v>#N/A</v>
      </c>
    </row>
    <row r="61" spans="2:45" ht="21.75" customHeight="1" x14ac:dyDescent="0.45">
      <c r="B61" s="51" t="s">
        <v>99</v>
      </c>
      <c r="E61" s="52" t="s">
        <v>87</v>
      </c>
      <c r="F61" s="51" t="s">
        <v>2431</v>
      </c>
      <c r="H61" s="52" t="s">
        <v>109</v>
      </c>
      <c r="J61" s="79">
        <v>170</v>
      </c>
      <c r="L61" s="51" t="s">
        <v>1058</v>
      </c>
      <c r="M61" s="51" t="s">
        <v>2543</v>
      </c>
      <c r="N61" s="51" t="s">
        <v>1062</v>
      </c>
      <c r="O61" s="51" t="s">
        <v>1057</v>
      </c>
      <c r="P61" s="51" t="s">
        <v>1059</v>
      </c>
      <c r="Q61" s="51" t="s">
        <v>1061</v>
      </c>
      <c r="R61" s="51" t="s">
        <v>319</v>
      </c>
      <c r="S61" s="51" t="s">
        <v>322</v>
      </c>
      <c r="T61" s="51" t="s">
        <v>308</v>
      </c>
      <c r="U61" s="51" t="s">
        <v>689</v>
      </c>
      <c r="V61" s="51" t="s">
        <v>689</v>
      </c>
      <c r="W61" s="51" t="s">
        <v>689</v>
      </c>
      <c r="X61" s="51" t="s">
        <v>1058</v>
      </c>
      <c r="Y61" s="51" t="s">
        <v>1060</v>
      </c>
      <c r="Z61" s="51" t="s">
        <v>1062</v>
      </c>
      <c r="AA61" s="60">
        <v>1</v>
      </c>
      <c r="AB61" s="51" t="s">
        <v>131</v>
      </c>
      <c r="AC61" s="62">
        <v>1</v>
      </c>
      <c r="AD61" s="51" t="s">
        <v>168</v>
      </c>
      <c r="AE61" s="52" t="s">
        <v>179</v>
      </c>
      <c r="AF61" s="64"/>
      <c r="AG61" s="52" t="s">
        <v>192</v>
      </c>
      <c r="AH61" s="51" t="s">
        <v>219</v>
      </c>
      <c r="AI61" s="51" t="s">
        <v>219</v>
      </c>
      <c r="AJ61" s="51" t="s">
        <v>219</v>
      </c>
      <c r="AK61" s="51" t="s">
        <v>219</v>
      </c>
      <c r="AL61" s="51" t="s">
        <v>689</v>
      </c>
      <c r="AM61" s="51" t="s">
        <v>2432</v>
      </c>
      <c r="AN61" s="51" t="s">
        <v>2656</v>
      </c>
      <c r="AO61" s="63" t="s">
        <v>219</v>
      </c>
      <c r="AP61" s="62" t="s">
        <v>2715</v>
      </c>
      <c r="AQ61" s="63" t="s">
        <v>217</v>
      </c>
      <c r="AR61" s="30" t="s">
        <v>219</v>
      </c>
      <c r="AS61" s="51" t="e">
        <f>_xlfn.XLOOKUP(AP61,[2]Entities!$K:$K,[2]Entities!$K:$K)</f>
        <v>#N/A</v>
      </c>
    </row>
    <row r="62" spans="2:45" ht="21.75" customHeight="1" x14ac:dyDescent="0.45">
      <c r="B62" s="51" t="s">
        <v>99</v>
      </c>
      <c r="E62" s="52" t="s">
        <v>87</v>
      </c>
      <c r="F62" s="51" t="s">
        <v>2431</v>
      </c>
      <c r="H62" s="52" t="s">
        <v>109</v>
      </c>
      <c r="J62" s="79">
        <v>2287291000003</v>
      </c>
      <c r="L62" s="51" t="s">
        <v>2544</v>
      </c>
      <c r="M62" s="51" t="s">
        <v>2545</v>
      </c>
      <c r="N62" s="51" t="s">
        <v>2546</v>
      </c>
      <c r="O62" s="51" t="s">
        <v>713</v>
      </c>
      <c r="P62" s="51" t="s">
        <v>715</v>
      </c>
      <c r="Q62" s="51" t="s">
        <v>717</v>
      </c>
      <c r="R62" s="51" t="s">
        <v>346</v>
      </c>
      <c r="S62" s="51" t="s">
        <v>349</v>
      </c>
      <c r="T62" s="51" t="s">
        <v>352</v>
      </c>
      <c r="U62" s="51" t="s">
        <v>689</v>
      </c>
      <c r="V62" s="51" t="s">
        <v>689</v>
      </c>
      <c r="W62" s="51" t="s">
        <v>689</v>
      </c>
      <c r="X62" s="51" t="s">
        <v>1063</v>
      </c>
      <c r="Y62" s="51" t="s">
        <v>1064</v>
      </c>
      <c r="Z62" s="51" t="s">
        <v>1065</v>
      </c>
      <c r="AA62" s="60">
        <v>1</v>
      </c>
      <c r="AB62" s="51" t="s">
        <v>131</v>
      </c>
      <c r="AC62" s="62">
        <v>1</v>
      </c>
      <c r="AD62" s="51" t="s">
        <v>169</v>
      </c>
      <c r="AE62" s="52" t="s">
        <v>179</v>
      </c>
      <c r="AF62" s="64"/>
      <c r="AG62" s="52" t="s">
        <v>192</v>
      </c>
      <c r="AH62" s="51" t="s">
        <v>219</v>
      </c>
      <c r="AI62" s="51" t="s">
        <v>219</v>
      </c>
      <c r="AJ62" s="51" t="s">
        <v>219</v>
      </c>
      <c r="AK62" s="51" t="s">
        <v>219</v>
      </c>
      <c r="AL62" s="51" t="s">
        <v>689</v>
      </c>
      <c r="AM62" s="51" t="s">
        <v>2432</v>
      </c>
      <c r="AN62" s="51" t="s">
        <v>214</v>
      </c>
      <c r="AO62" s="63" t="s">
        <v>219</v>
      </c>
      <c r="AP62" s="62" t="s">
        <v>2716</v>
      </c>
      <c r="AQ62" s="63" t="s">
        <v>217</v>
      </c>
      <c r="AR62" s="30" t="s">
        <v>219</v>
      </c>
      <c r="AS62" s="51" t="e">
        <f>_xlfn.XLOOKUP(AP62,[2]Entities!$K:$K,[2]Entities!$K:$K)</f>
        <v>#N/A</v>
      </c>
    </row>
    <row r="63" spans="2:45" ht="21.75" customHeight="1" x14ac:dyDescent="0.45">
      <c r="B63" s="51" t="s">
        <v>99</v>
      </c>
      <c r="E63" s="52" t="s">
        <v>87</v>
      </c>
      <c r="F63" s="51" t="s">
        <v>2431</v>
      </c>
      <c r="H63" s="52" t="s">
        <v>109</v>
      </c>
      <c r="J63" s="79">
        <v>126</v>
      </c>
      <c r="L63" s="51" t="s">
        <v>2419</v>
      </c>
      <c r="M63" s="51" t="s">
        <v>2547</v>
      </c>
      <c r="N63" s="51" t="s">
        <v>2548</v>
      </c>
      <c r="O63" s="51" t="s">
        <v>1066</v>
      </c>
      <c r="P63" s="51" t="s">
        <v>1067</v>
      </c>
      <c r="Q63" s="51" t="s">
        <v>1069</v>
      </c>
      <c r="R63" s="51" t="s">
        <v>273</v>
      </c>
      <c r="S63" s="51" t="s">
        <v>276</v>
      </c>
      <c r="T63" s="51" t="s">
        <v>278</v>
      </c>
      <c r="U63" s="51" t="s">
        <v>689</v>
      </c>
      <c r="V63" s="51" t="s">
        <v>689</v>
      </c>
      <c r="W63" s="51" t="s">
        <v>689</v>
      </c>
      <c r="X63" s="51" t="s">
        <v>2419</v>
      </c>
      <c r="Y63" s="51" t="s">
        <v>1068</v>
      </c>
      <c r="Z63" s="51" t="s">
        <v>1070</v>
      </c>
      <c r="AA63" s="60">
        <v>1</v>
      </c>
      <c r="AB63" s="51" t="s">
        <v>131</v>
      </c>
      <c r="AC63" s="62">
        <v>1</v>
      </c>
      <c r="AD63" s="51" t="s">
        <v>168</v>
      </c>
      <c r="AE63" s="52" t="s">
        <v>179</v>
      </c>
      <c r="AF63" s="64"/>
      <c r="AG63" s="52" t="s">
        <v>192</v>
      </c>
      <c r="AH63" s="51" t="s">
        <v>219</v>
      </c>
      <c r="AI63" s="51" t="s">
        <v>219</v>
      </c>
      <c r="AJ63" s="51" t="s">
        <v>219</v>
      </c>
      <c r="AK63" s="51" t="s">
        <v>219</v>
      </c>
      <c r="AL63" s="51" t="s">
        <v>689</v>
      </c>
      <c r="AM63" s="51" t="s">
        <v>2432</v>
      </c>
      <c r="AN63" s="51" t="s">
        <v>2656</v>
      </c>
      <c r="AO63" s="63" t="s">
        <v>219</v>
      </c>
      <c r="AP63" s="62" t="s">
        <v>2717</v>
      </c>
      <c r="AQ63" s="63" t="s">
        <v>217</v>
      </c>
      <c r="AR63" s="30" t="s">
        <v>219</v>
      </c>
      <c r="AS63" s="51" t="e">
        <f>_xlfn.XLOOKUP(AP63,[2]Entities!$K:$K,[2]Entities!$K:$K)</f>
        <v>#N/A</v>
      </c>
    </row>
    <row r="64" spans="2:45" ht="21.75" customHeight="1" x14ac:dyDescent="0.45">
      <c r="B64" s="51" t="s">
        <v>99</v>
      </c>
      <c r="E64" s="52" t="s">
        <v>87</v>
      </c>
      <c r="F64" s="51" t="s">
        <v>2431</v>
      </c>
      <c r="H64" s="52" t="s">
        <v>109</v>
      </c>
      <c r="J64" s="79">
        <v>2202451000006</v>
      </c>
      <c r="L64" s="51" t="s">
        <v>1071</v>
      </c>
      <c r="M64" s="51" t="s">
        <v>2549</v>
      </c>
      <c r="N64" s="51" t="s">
        <v>2550</v>
      </c>
      <c r="O64" s="51" t="s">
        <v>1066</v>
      </c>
      <c r="P64" s="51" t="s">
        <v>1067</v>
      </c>
      <c r="Q64" s="51" t="s">
        <v>1069</v>
      </c>
      <c r="R64" s="51" t="s">
        <v>346</v>
      </c>
      <c r="S64" s="51" t="s">
        <v>349</v>
      </c>
      <c r="T64" s="51" t="s">
        <v>352</v>
      </c>
      <c r="U64" s="51" t="s">
        <v>689</v>
      </c>
      <c r="V64" s="51" t="s">
        <v>689</v>
      </c>
      <c r="W64" s="51" t="s">
        <v>689</v>
      </c>
      <c r="X64" s="51" t="s">
        <v>1071</v>
      </c>
      <c r="Y64" s="51" t="s">
        <v>1072</v>
      </c>
      <c r="Z64" s="51" t="s">
        <v>1073</v>
      </c>
      <c r="AA64" s="60">
        <v>1</v>
      </c>
      <c r="AB64" s="51" t="s">
        <v>131</v>
      </c>
      <c r="AC64" s="62">
        <v>1</v>
      </c>
      <c r="AD64" s="51" t="s">
        <v>169</v>
      </c>
      <c r="AE64" s="52" t="s">
        <v>179</v>
      </c>
      <c r="AF64" s="64"/>
      <c r="AG64" s="52" t="s">
        <v>192</v>
      </c>
      <c r="AH64" s="51" t="s">
        <v>219</v>
      </c>
      <c r="AI64" s="51" t="s">
        <v>219</v>
      </c>
      <c r="AJ64" s="51" t="s">
        <v>219</v>
      </c>
      <c r="AK64" s="51" t="s">
        <v>219</v>
      </c>
      <c r="AL64" s="51" t="s">
        <v>689</v>
      </c>
      <c r="AM64" s="51" t="s">
        <v>2432</v>
      </c>
      <c r="AN64" s="51" t="s">
        <v>214</v>
      </c>
      <c r="AO64" s="63" t="s">
        <v>219</v>
      </c>
      <c r="AP64" s="62" t="s">
        <v>2718</v>
      </c>
      <c r="AQ64" s="63" t="s">
        <v>217</v>
      </c>
      <c r="AR64" s="30" t="s">
        <v>219</v>
      </c>
      <c r="AS64" s="51" t="e">
        <f>_xlfn.XLOOKUP(AP64,[2]Entities!$K:$K,[2]Entities!$K:$K)</f>
        <v>#N/A</v>
      </c>
    </row>
    <row r="65" spans="2:45" ht="21.75" customHeight="1" x14ac:dyDescent="0.45">
      <c r="B65" s="51" t="s">
        <v>99</v>
      </c>
      <c r="E65" s="52" t="s">
        <v>87</v>
      </c>
      <c r="F65" s="51" t="s">
        <v>2431</v>
      </c>
      <c r="H65" s="52" t="s">
        <v>109</v>
      </c>
      <c r="J65" s="79"/>
      <c r="L65" s="51" t="s">
        <v>1075</v>
      </c>
      <c r="M65" s="51" t="s">
        <v>1077</v>
      </c>
      <c r="N65" s="51" t="s">
        <v>1079</v>
      </c>
      <c r="O65" s="51" t="s">
        <v>1074</v>
      </c>
      <c r="P65" s="51" t="s">
        <v>1076</v>
      </c>
      <c r="Q65" s="51" t="s">
        <v>1078</v>
      </c>
      <c r="R65" s="51" t="s">
        <v>689</v>
      </c>
      <c r="S65" s="51" t="s">
        <v>689</v>
      </c>
      <c r="T65" s="51" t="s">
        <v>689</v>
      </c>
      <c r="U65" s="51" t="s">
        <v>252</v>
      </c>
      <c r="V65" s="51" t="s">
        <v>838</v>
      </c>
      <c r="W65" s="51" t="s">
        <v>841</v>
      </c>
      <c r="X65" s="51" t="s">
        <v>1075</v>
      </c>
      <c r="Y65" s="51" t="s">
        <v>1077</v>
      </c>
      <c r="Z65" s="51" t="s">
        <v>1079</v>
      </c>
      <c r="AA65" s="60">
        <v>1</v>
      </c>
      <c r="AB65" s="51" t="s">
        <v>137</v>
      </c>
      <c r="AC65" s="62">
        <v>1</v>
      </c>
      <c r="AD65" s="51" t="s">
        <v>169</v>
      </c>
      <c r="AE65" s="52" t="s">
        <v>179</v>
      </c>
      <c r="AF65" s="64"/>
      <c r="AG65" s="52" t="s">
        <v>192</v>
      </c>
      <c r="AH65" s="51" t="s">
        <v>219</v>
      </c>
      <c r="AI65" s="51" t="s">
        <v>219</v>
      </c>
      <c r="AJ65" s="51" t="s">
        <v>219</v>
      </c>
      <c r="AK65" s="51" t="s">
        <v>219</v>
      </c>
      <c r="AL65" s="51" t="s">
        <v>689</v>
      </c>
      <c r="AM65" s="51" t="s">
        <v>2432</v>
      </c>
      <c r="AN65" s="51" t="s">
        <v>2433</v>
      </c>
      <c r="AO65" s="63" t="s">
        <v>219</v>
      </c>
      <c r="AP65" s="62" t="s">
        <v>2719</v>
      </c>
      <c r="AQ65" s="63" t="s">
        <v>217</v>
      </c>
      <c r="AR65" s="30" t="s">
        <v>219</v>
      </c>
      <c r="AS65" s="51" t="e">
        <f>_xlfn.XLOOKUP(AP65,[2]Entities!$K:$K,[2]Entities!$K:$K)</f>
        <v>#N/A</v>
      </c>
    </row>
    <row r="66" spans="2:45" ht="21.75" customHeight="1" x14ac:dyDescent="0.45">
      <c r="B66" s="51" t="s">
        <v>99</v>
      </c>
      <c r="E66" s="52" t="s">
        <v>87</v>
      </c>
      <c r="F66" s="51" t="s">
        <v>2431</v>
      </c>
      <c r="H66" s="52" t="s">
        <v>109</v>
      </c>
      <c r="J66" s="79">
        <v>128</v>
      </c>
      <c r="L66" s="51" t="s">
        <v>2551</v>
      </c>
      <c r="M66" s="51" t="s">
        <v>2552</v>
      </c>
      <c r="N66" s="51" t="s">
        <v>2553</v>
      </c>
      <c r="O66" s="51" t="s">
        <v>1080</v>
      </c>
      <c r="P66" s="51" t="s">
        <v>1082</v>
      </c>
      <c r="Q66" s="51" t="s">
        <v>1084</v>
      </c>
      <c r="R66" s="51" t="s">
        <v>273</v>
      </c>
      <c r="S66" s="51" t="s">
        <v>276</v>
      </c>
      <c r="T66" s="51" t="s">
        <v>278</v>
      </c>
      <c r="U66" s="51" t="s">
        <v>689</v>
      </c>
      <c r="V66" s="51" t="s">
        <v>689</v>
      </c>
      <c r="W66" s="51" t="s">
        <v>689</v>
      </c>
      <c r="X66" s="51" t="s">
        <v>1081</v>
      </c>
      <c r="Y66" s="51" t="s">
        <v>1083</v>
      </c>
      <c r="Z66" s="51" t="s">
        <v>1085</v>
      </c>
      <c r="AA66" s="60">
        <v>1</v>
      </c>
      <c r="AB66" s="51" t="s">
        <v>131</v>
      </c>
      <c r="AC66" s="62">
        <v>1</v>
      </c>
      <c r="AD66" s="51" t="s">
        <v>168</v>
      </c>
      <c r="AE66" s="52" t="s">
        <v>179</v>
      </c>
      <c r="AF66" s="64"/>
      <c r="AG66" s="52" t="s">
        <v>192</v>
      </c>
      <c r="AH66" s="51" t="s">
        <v>219</v>
      </c>
      <c r="AI66" s="51" t="s">
        <v>219</v>
      </c>
      <c r="AJ66" s="51" t="s">
        <v>219</v>
      </c>
      <c r="AK66" s="51" t="s">
        <v>219</v>
      </c>
      <c r="AL66" s="51" t="s">
        <v>689</v>
      </c>
      <c r="AM66" s="51" t="s">
        <v>2432</v>
      </c>
      <c r="AN66" s="51" t="s">
        <v>2656</v>
      </c>
      <c r="AO66" s="63" t="s">
        <v>219</v>
      </c>
      <c r="AP66" s="62" t="s">
        <v>2720</v>
      </c>
      <c r="AQ66" s="63" t="s">
        <v>217</v>
      </c>
      <c r="AR66" s="30" t="s">
        <v>219</v>
      </c>
      <c r="AS66" s="51" t="e">
        <f>_xlfn.XLOOKUP(AP66,[2]Entities!$K:$K,[2]Entities!$K:$K)</f>
        <v>#N/A</v>
      </c>
    </row>
    <row r="67" spans="2:45" ht="21.75" customHeight="1" x14ac:dyDescent="0.45">
      <c r="B67" s="51" t="s">
        <v>99</v>
      </c>
      <c r="E67" s="52" t="s">
        <v>87</v>
      </c>
      <c r="F67" s="51" t="s">
        <v>2431</v>
      </c>
      <c r="H67" s="52" t="s">
        <v>109</v>
      </c>
      <c r="J67" s="79">
        <v>2205497000000</v>
      </c>
      <c r="L67" s="51" t="s">
        <v>2554</v>
      </c>
      <c r="M67" s="51" t="s">
        <v>2555</v>
      </c>
      <c r="N67" s="51" t="s">
        <v>2556</v>
      </c>
      <c r="O67" s="51" t="s">
        <v>1080</v>
      </c>
      <c r="P67" s="51" t="s">
        <v>1082</v>
      </c>
      <c r="Q67" s="51" t="s">
        <v>1084</v>
      </c>
      <c r="R67" s="51" t="s">
        <v>346</v>
      </c>
      <c r="S67" s="51" t="s">
        <v>349</v>
      </c>
      <c r="T67" s="51" t="s">
        <v>352</v>
      </c>
      <c r="U67" s="51" t="s">
        <v>689</v>
      </c>
      <c r="V67" s="51" t="s">
        <v>689</v>
      </c>
      <c r="W67" s="51" t="s">
        <v>689</v>
      </c>
      <c r="X67" s="51" t="s">
        <v>1086</v>
      </c>
      <c r="Y67" s="51" t="s">
        <v>1087</v>
      </c>
      <c r="Z67" s="51" t="s">
        <v>1088</v>
      </c>
      <c r="AA67" s="60">
        <v>1</v>
      </c>
      <c r="AB67" s="51" t="s">
        <v>131</v>
      </c>
      <c r="AC67" s="62">
        <v>1</v>
      </c>
      <c r="AD67" s="51" t="s">
        <v>169</v>
      </c>
      <c r="AE67" s="52" t="s">
        <v>179</v>
      </c>
      <c r="AF67" s="64"/>
      <c r="AG67" s="52" t="s">
        <v>192</v>
      </c>
      <c r="AH67" s="51" t="s">
        <v>219</v>
      </c>
      <c r="AI67" s="51" t="s">
        <v>219</v>
      </c>
      <c r="AJ67" s="51" t="s">
        <v>219</v>
      </c>
      <c r="AK67" s="51" t="s">
        <v>219</v>
      </c>
      <c r="AL67" s="51" t="s">
        <v>689</v>
      </c>
      <c r="AM67" s="51" t="s">
        <v>2432</v>
      </c>
      <c r="AN67" s="51" t="s">
        <v>214</v>
      </c>
      <c r="AO67" s="63" t="s">
        <v>219</v>
      </c>
      <c r="AP67" s="62" t="s">
        <v>2721</v>
      </c>
      <c r="AQ67" s="63" t="s">
        <v>217</v>
      </c>
      <c r="AR67" s="30" t="s">
        <v>219</v>
      </c>
      <c r="AS67" s="51" t="e">
        <f>_xlfn.XLOOKUP(AP67,[2]Entities!$K:$K,[2]Entities!$K:$K)</f>
        <v>#N/A</v>
      </c>
    </row>
    <row r="68" spans="2:45" ht="21.75" customHeight="1" x14ac:dyDescent="0.45">
      <c r="B68" s="51" t="s">
        <v>99</v>
      </c>
      <c r="E68" s="52" t="s">
        <v>87</v>
      </c>
      <c r="F68" s="51" t="s">
        <v>2431</v>
      </c>
      <c r="H68" s="52" t="s">
        <v>109</v>
      </c>
      <c r="J68" s="79">
        <v>129</v>
      </c>
      <c r="L68" s="51" t="s">
        <v>1089</v>
      </c>
      <c r="M68" s="51" t="s">
        <v>2557</v>
      </c>
      <c r="N68" s="51" t="s">
        <v>2558</v>
      </c>
      <c r="O68" s="51" t="s">
        <v>2420</v>
      </c>
      <c r="P68" s="51" t="s">
        <v>2421</v>
      </c>
      <c r="Q68" s="51" t="s">
        <v>2422</v>
      </c>
      <c r="R68" s="51" t="s">
        <v>273</v>
      </c>
      <c r="S68" s="51" t="s">
        <v>276</v>
      </c>
      <c r="T68" s="51" t="s">
        <v>278</v>
      </c>
      <c r="U68" s="51" t="s">
        <v>689</v>
      </c>
      <c r="V68" s="51" t="s">
        <v>689</v>
      </c>
      <c r="W68" s="51" t="s">
        <v>689</v>
      </c>
      <c r="X68" s="51" t="s">
        <v>1089</v>
      </c>
      <c r="Y68" s="51" t="s">
        <v>1090</v>
      </c>
      <c r="Z68" s="51" t="s">
        <v>1091</v>
      </c>
      <c r="AA68" s="60">
        <v>1</v>
      </c>
      <c r="AB68" s="51" t="s">
        <v>131</v>
      </c>
      <c r="AC68" s="62">
        <v>1</v>
      </c>
      <c r="AD68" s="51" t="s">
        <v>168</v>
      </c>
      <c r="AE68" s="52" t="s">
        <v>179</v>
      </c>
      <c r="AF68" s="64"/>
      <c r="AG68" s="52" t="s">
        <v>192</v>
      </c>
      <c r="AH68" s="51" t="s">
        <v>219</v>
      </c>
      <c r="AI68" s="51" t="s">
        <v>219</v>
      </c>
      <c r="AJ68" s="51" t="s">
        <v>219</v>
      </c>
      <c r="AK68" s="51" t="s">
        <v>219</v>
      </c>
      <c r="AL68" s="51" t="s">
        <v>689</v>
      </c>
      <c r="AM68" s="51" t="s">
        <v>2432</v>
      </c>
      <c r="AN68" s="51" t="s">
        <v>2656</v>
      </c>
      <c r="AO68" s="63" t="s">
        <v>219</v>
      </c>
      <c r="AP68" s="62" t="s">
        <v>2722</v>
      </c>
      <c r="AQ68" s="63" t="s">
        <v>217</v>
      </c>
      <c r="AR68" s="30" t="s">
        <v>219</v>
      </c>
      <c r="AS68" s="51" t="e">
        <f>_xlfn.XLOOKUP(AP68,[2]Entities!$K:$K,[2]Entities!$K:$K)</f>
        <v>#N/A</v>
      </c>
    </row>
    <row r="69" spans="2:45" ht="21.75" customHeight="1" x14ac:dyDescent="0.45">
      <c r="B69" s="51" t="s">
        <v>99</v>
      </c>
      <c r="E69" s="52" t="s">
        <v>87</v>
      </c>
      <c r="F69" s="51" t="s">
        <v>2431</v>
      </c>
      <c r="H69" s="52" t="s">
        <v>109</v>
      </c>
      <c r="J69" s="79">
        <v>2254611000005</v>
      </c>
      <c r="L69" s="51" t="s">
        <v>1092</v>
      </c>
      <c r="M69" s="51" t="s">
        <v>2559</v>
      </c>
      <c r="N69" s="51" t="s">
        <v>2560</v>
      </c>
      <c r="O69" s="51" t="s">
        <v>2420</v>
      </c>
      <c r="P69" s="51" t="s">
        <v>2421</v>
      </c>
      <c r="Q69" s="51" t="s">
        <v>2422</v>
      </c>
      <c r="R69" s="51" t="s">
        <v>346</v>
      </c>
      <c r="S69" s="51" t="s">
        <v>349</v>
      </c>
      <c r="T69" s="51" t="s">
        <v>352</v>
      </c>
      <c r="U69" s="51" t="s">
        <v>689</v>
      </c>
      <c r="V69" s="51" t="s">
        <v>689</v>
      </c>
      <c r="W69" s="51" t="s">
        <v>689</v>
      </c>
      <c r="X69" s="51" t="s">
        <v>1092</v>
      </c>
      <c r="Y69" s="51" t="s">
        <v>1093</v>
      </c>
      <c r="Z69" s="51" t="s">
        <v>1094</v>
      </c>
      <c r="AA69" s="60">
        <v>1</v>
      </c>
      <c r="AB69" s="51" t="s">
        <v>131</v>
      </c>
      <c r="AC69" s="62">
        <v>1</v>
      </c>
      <c r="AD69" s="51" t="s">
        <v>169</v>
      </c>
      <c r="AE69" s="52" t="s">
        <v>179</v>
      </c>
      <c r="AF69" s="64"/>
      <c r="AG69" s="52" t="s">
        <v>192</v>
      </c>
      <c r="AH69" s="51" t="s">
        <v>219</v>
      </c>
      <c r="AI69" s="51" t="s">
        <v>219</v>
      </c>
      <c r="AJ69" s="51" t="s">
        <v>219</v>
      </c>
      <c r="AK69" s="51" t="s">
        <v>219</v>
      </c>
      <c r="AL69" s="51" t="s">
        <v>689</v>
      </c>
      <c r="AM69" s="51" t="s">
        <v>2432</v>
      </c>
      <c r="AN69" s="51" t="s">
        <v>214</v>
      </c>
      <c r="AO69" s="63" t="s">
        <v>219</v>
      </c>
      <c r="AP69" s="62" t="s">
        <v>2723</v>
      </c>
      <c r="AQ69" s="63" t="s">
        <v>217</v>
      </c>
      <c r="AR69" s="30" t="s">
        <v>219</v>
      </c>
      <c r="AS69" s="51" t="e">
        <f>_xlfn.XLOOKUP(AP69,[2]Entities!$K:$K,[2]Entities!$K:$K)</f>
        <v>#N/A</v>
      </c>
    </row>
    <row r="70" spans="2:45" ht="21.75" customHeight="1" x14ac:dyDescent="0.45">
      <c r="B70" s="51" t="s">
        <v>99</v>
      </c>
      <c r="E70" s="52" t="s">
        <v>87</v>
      </c>
      <c r="F70" s="51" t="s">
        <v>2431</v>
      </c>
      <c r="H70" s="52" t="s">
        <v>109</v>
      </c>
      <c r="J70" s="79">
        <v>130</v>
      </c>
      <c r="L70" s="51" t="s">
        <v>1096</v>
      </c>
      <c r="M70" s="51" t="s">
        <v>2561</v>
      </c>
      <c r="N70" s="51" t="s">
        <v>2562</v>
      </c>
      <c r="O70" s="51" t="s">
        <v>1095</v>
      </c>
      <c r="P70" s="51" t="s">
        <v>1097</v>
      </c>
      <c r="Q70" s="51" t="s">
        <v>1099</v>
      </c>
      <c r="R70" s="51" t="s">
        <v>273</v>
      </c>
      <c r="S70" s="51" t="s">
        <v>276</v>
      </c>
      <c r="T70" s="51" t="s">
        <v>278</v>
      </c>
      <c r="U70" s="51" t="s">
        <v>689</v>
      </c>
      <c r="V70" s="51" t="s">
        <v>689</v>
      </c>
      <c r="W70" s="51" t="s">
        <v>689</v>
      </c>
      <c r="X70" s="51" t="s">
        <v>1096</v>
      </c>
      <c r="Y70" s="51" t="s">
        <v>1098</v>
      </c>
      <c r="Z70" s="51" t="s">
        <v>1100</v>
      </c>
      <c r="AA70" s="60">
        <v>1</v>
      </c>
      <c r="AB70" s="51" t="s">
        <v>131</v>
      </c>
      <c r="AC70" s="62">
        <v>1</v>
      </c>
      <c r="AD70" s="51" t="s">
        <v>168</v>
      </c>
      <c r="AE70" s="52" t="s">
        <v>179</v>
      </c>
      <c r="AF70" s="64"/>
      <c r="AG70" s="52" t="s">
        <v>192</v>
      </c>
      <c r="AH70" s="51" t="s">
        <v>219</v>
      </c>
      <c r="AI70" s="51" t="s">
        <v>219</v>
      </c>
      <c r="AJ70" s="51" t="s">
        <v>219</v>
      </c>
      <c r="AK70" s="51" t="s">
        <v>219</v>
      </c>
      <c r="AL70" s="51" t="s">
        <v>689</v>
      </c>
      <c r="AM70" s="51" t="s">
        <v>2432</v>
      </c>
      <c r="AN70" s="51" t="s">
        <v>2656</v>
      </c>
      <c r="AO70" s="63" t="s">
        <v>219</v>
      </c>
      <c r="AP70" s="62" t="s">
        <v>2724</v>
      </c>
      <c r="AQ70" s="63" t="s">
        <v>217</v>
      </c>
      <c r="AR70" s="30" t="s">
        <v>219</v>
      </c>
      <c r="AS70" s="51" t="e">
        <f>_xlfn.XLOOKUP(AP70,[2]Entities!$K:$K,[2]Entities!$K:$K)</f>
        <v>#N/A</v>
      </c>
    </row>
    <row r="71" spans="2:45" ht="21.75" customHeight="1" x14ac:dyDescent="0.45">
      <c r="B71" s="51" t="s">
        <v>99</v>
      </c>
      <c r="E71" s="52" t="s">
        <v>87</v>
      </c>
      <c r="F71" s="51" t="s">
        <v>2431</v>
      </c>
      <c r="H71" s="52" t="s">
        <v>109</v>
      </c>
      <c r="J71" s="79">
        <v>2202501000000</v>
      </c>
      <c r="L71" s="51" t="s">
        <v>1101</v>
      </c>
      <c r="M71" s="51" t="s">
        <v>2563</v>
      </c>
      <c r="N71" s="51" t="s">
        <v>2564</v>
      </c>
      <c r="O71" s="51" t="s">
        <v>1095</v>
      </c>
      <c r="P71" s="51" t="s">
        <v>1097</v>
      </c>
      <c r="Q71" s="51" t="s">
        <v>1099</v>
      </c>
      <c r="R71" s="51" t="s">
        <v>703</v>
      </c>
      <c r="S71" s="51" t="s">
        <v>706</v>
      </c>
      <c r="T71" s="51" t="s">
        <v>706</v>
      </c>
      <c r="U71" s="51" t="s">
        <v>689</v>
      </c>
      <c r="V71" s="51" t="s">
        <v>689</v>
      </c>
      <c r="W71" s="51" t="s">
        <v>689</v>
      </c>
      <c r="X71" s="51" t="s">
        <v>1101</v>
      </c>
      <c r="Y71" s="51" t="s">
        <v>1102</v>
      </c>
      <c r="Z71" s="51" t="s">
        <v>1103</v>
      </c>
      <c r="AA71" s="60">
        <v>1</v>
      </c>
      <c r="AB71" s="51" t="s">
        <v>131</v>
      </c>
      <c r="AC71" s="62">
        <v>1</v>
      </c>
      <c r="AD71" s="51" t="s">
        <v>169</v>
      </c>
      <c r="AE71" s="52" t="s">
        <v>179</v>
      </c>
      <c r="AF71" s="64"/>
      <c r="AG71" s="52" t="s">
        <v>192</v>
      </c>
      <c r="AH71" s="51" t="s">
        <v>219</v>
      </c>
      <c r="AI71" s="51" t="s">
        <v>219</v>
      </c>
      <c r="AJ71" s="51" t="s">
        <v>219</v>
      </c>
      <c r="AK71" s="51" t="s">
        <v>219</v>
      </c>
      <c r="AL71" s="51" t="s">
        <v>689</v>
      </c>
      <c r="AM71" s="51" t="s">
        <v>2432</v>
      </c>
      <c r="AN71" s="51" t="s">
        <v>214</v>
      </c>
      <c r="AO71" s="63" t="s">
        <v>219</v>
      </c>
      <c r="AP71" s="62" t="s">
        <v>2725</v>
      </c>
      <c r="AQ71" s="63" t="s">
        <v>217</v>
      </c>
      <c r="AR71" s="30" t="s">
        <v>219</v>
      </c>
      <c r="AS71" s="51" t="e">
        <f>_xlfn.XLOOKUP(AP71,[2]Entities!$K:$K,[2]Entities!$K:$K)</f>
        <v>#N/A</v>
      </c>
    </row>
    <row r="72" spans="2:45" ht="21.75" customHeight="1" x14ac:dyDescent="0.45">
      <c r="B72" s="51" t="s">
        <v>99</v>
      </c>
      <c r="E72" s="52" t="s">
        <v>87</v>
      </c>
      <c r="F72" s="51" t="s">
        <v>2431</v>
      </c>
      <c r="H72" s="52" t="s">
        <v>109</v>
      </c>
      <c r="J72" s="79">
        <v>7613399001317</v>
      </c>
      <c r="L72" s="51" t="s">
        <v>2565</v>
      </c>
      <c r="M72" s="51" t="s">
        <v>1107</v>
      </c>
      <c r="N72" s="51" t="s">
        <v>2566</v>
      </c>
      <c r="O72" s="51" t="s">
        <v>1104</v>
      </c>
      <c r="P72" s="51" t="s">
        <v>1106</v>
      </c>
      <c r="Q72" s="51" t="s">
        <v>1108</v>
      </c>
      <c r="R72" s="51" t="s">
        <v>689</v>
      </c>
      <c r="S72" s="51" t="s">
        <v>689</v>
      </c>
      <c r="T72" s="51" t="s">
        <v>1109</v>
      </c>
      <c r="U72" s="51" t="s">
        <v>271</v>
      </c>
      <c r="V72" s="51" t="s">
        <v>271</v>
      </c>
      <c r="W72" s="51" t="s">
        <v>271</v>
      </c>
      <c r="X72" s="51" t="s">
        <v>1105</v>
      </c>
      <c r="Y72" s="51" t="s">
        <v>1107</v>
      </c>
      <c r="Z72" s="51" t="s">
        <v>1110</v>
      </c>
      <c r="AA72" s="60">
        <v>0.2</v>
      </c>
      <c r="AB72" s="51" t="s">
        <v>130</v>
      </c>
      <c r="AC72" s="62">
        <v>100</v>
      </c>
      <c r="AD72" s="51" t="s">
        <v>169</v>
      </c>
      <c r="AE72" s="52" t="s">
        <v>179</v>
      </c>
      <c r="AF72" s="64"/>
      <c r="AG72" s="52" t="s">
        <v>192</v>
      </c>
      <c r="AH72" s="51" t="s">
        <v>219</v>
      </c>
      <c r="AI72" s="51" t="s">
        <v>219</v>
      </c>
      <c r="AJ72" s="51" t="s">
        <v>219</v>
      </c>
      <c r="AK72" s="51" t="s">
        <v>219</v>
      </c>
      <c r="AL72" s="51" t="s">
        <v>689</v>
      </c>
      <c r="AM72" s="51" t="s">
        <v>2432</v>
      </c>
      <c r="AN72" s="51" t="s">
        <v>214</v>
      </c>
      <c r="AO72" s="63" t="s">
        <v>219</v>
      </c>
      <c r="AP72" s="62" t="s">
        <v>2726</v>
      </c>
      <c r="AQ72" s="63" t="s">
        <v>217</v>
      </c>
      <c r="AR72" s="30" t="s">
        <v>219</v>
      </c>
      <c r="AS72" s="51" t="e">
        <f>_xlfn.XLOOKUP(AP72,[2]Entities!$K:$K,[2]Entities!$K:$K)</f>
        <v>#N/A</v>
      </c>
    </row>
    <row r="73" spans="2:45" ht="21.75" customHeight="1" x14ac:dyDescent="0.45">
      <c r="B73" s="51" t="s">
        <v>99</v>
      </c>
      <c r="E73" s="52" t="s">
        <v>87</v>
      </c>
      <c r="F73" s="51" t="s">
        <v>2431</v>
      </c>
      <c r="H73" s="52" t="s">
        <v>109</v>
      </c>
      <c r="J73" s="79">
        <v>7613399001324</v>
      </c>
      <c r="L73" s="51" t="s">
        <v>2567</v>
      </c>
      <c r="M73" s="51" t="s">
        <v>1114</v>
      </c>
      <c r="N73" s="51" t="s">
        <v>2568</v>
      </c>
      <c r="O73" s="51" t="s">
        <v>1111</v>
      </c>
      <c r="P73" s="51" t="s">
        <v>1113</v>
      </c>
      <c r="Q73" s="51" t="s">
        <v>1108</v>
      </c>
      <c r="R73" s="51" t="s">
        <v>689</v>
      </c>
      <c r="S73" s="51" t="s">
        <v>689</v>
      </c>
      <c r="T73" s="51" t="s">
        <v>1115</v>
      </c>
      <c r="U73" s="51" t="s">
        <v>271</v>
      </c>
      <c r="V73" s="51" t="s">
        <v>271</v>
      </c>
      <c r="W73" s="51" t="s">
        <v>271</v>
      </c>
      <c r="X73" s="51" t="s">
        <v>1112</v>
      </c>
      <c r="Y73" s="51" t="s">
        <v>1114</v>
      </c>
      <c r="Z73" s="51" t="s">
        <v>1116</v>
      </c>
      <c r="AA73" s="60">
        <v>0.2</v>
      </c>
      <c r="AB73" s="51" t="s">
        <v>130</v>
      </c>
      <c r="AC73" s="62">
        <v>100</v>
      </c>
      <c r="AD73" s="51" t="s">
        <v>169</v>
      </c>
      <c r="AE73" s="52" t="s">
        <v>179</v>
      </c>
      <c r="AF73" s="64"/>
      <c r="AG73" s="52" t="s">
        <v>192</v>
      </c>
      <c r="AH73" s="51" t="s">
        <v>219</v>
      </c>
      <c r="AI73" s="51" t="s">
        <v>219</v>
      </c>
      <c r="AJ73" s="51" t="s">
        <v>219</v>
      </c>
      <c r="AK73" s="51" t="s">
        <v>219</v>
      </c>
      <c r="AL73" s="51" t="s">
        <v>689</v>
      </c>
      <c r="AM73" s="51" t="s">
        <v>2432</v>
      </c>
      <c r="AN73" s="51" t="s">
        <v>214</v>
      </c>
      <c r="AO73" s="63" t="s">
        <v>219</v>
      </c>
      <c r="AP73" s="62" t="s">
        <v>2727</v>
      </c>
      <c r="AQ73" s="63" t="s">
        <v>217</v>
      </c>
      <c r="AR73" s="30" t="s">
        <v>219</v>
      </c>
      <c r="AS73" s="51" t="e">
        <f>_xlfn.XLOOKUP(AP73,[2]Entities!$K:$K,[2]Entities!$K:$K)</f>
        <v>#N/A</v>
      </c>
    </row>
    <row r="74" spans="2:45" ht="21.75" customHeight="1" x14ac:dyDescent="0.45">
      <c r="B74" s="51" t="s">
        <v>99</v>
      </c>
      <c r="E74" s="52" t="s">
        <v>87</v>
      </c>
      <c r="F74" s="51" t="s">
        <v>2431</v>
      </c>
      <c r="H74" s="52" t="s">
        <v>109</v>
      </c>
      <c r="J74" s="79">
        <v>171</v>
      </c>
      <c r="L74" s="51" t="s">
        <v>1118</v>
      </c>
      <c r="M74" s="51" t="s">
        <v>2569</v>
      </c>
      <c r="N74" s="51" t="s">
        <v>1120</v>
      </c>
      <c r="O74" s="51" t="s">
        <v>1117</v>
      </c>
      <c r="P74" s="51" t="s">
        <v>1117</v>
      </c>
      <c r="Q74" s="51" t="s">
        <v>1117</v>
      </c>
      <c r="R74" s="51" t="s">
        <v>319</v>
      </c>
      <c r="S74" s="51" t="s">
        <v>322</v>
      </c>
      <c r="T74" s="51" t="s">
        <v>308</v>
      </c>
      <c r="U74" s="51" t="s">
        <v>689</v>
      </c>
      <c r="V74" s="51" t="s">
        <v>689</v>
      </c>
      <c r="W74" s="51" t="s">
        <v>689</v>
      </c>
      <c r="X74" s="51" t="s">
        <v>1118</v>
      </c>
      <c r="Y74" s="51" t="s">
        <v>1119</v>
      </c>
      <c r="Z74" s="51" t="s">
        <v>1120</v>
      </c>
      <c r="AA74" s="60">
        <v>1</v>
      </c>
      <c r="AB74" s="51" t="s">
        <v>131</v>
      </c>
      <c r="AC74" s="62">
        <v>1</v>
      </c>
      <c r="AD74" s="51" t="s">
        <v>168</v>
      </c>
      <c r="AE74" s="52" t="s">
        <v>179</v>
      </c>
      <c r="AF74" s="64"/>
      <c r="AG74" s="52" t="s">
        <v>192</v>
      </c>
      <c r="AH74" s="51" t="s">
        <v>219</v>
      </c>
      <c r="AI74" s="51" t="s">
        <v>219</v>
      </c>
      <c r="AJ74" s="51" t="s">
        <v>219</v>
      </c>
      <c r="AK74" s="51" t="s">
        <v>219</v>
      </c>
      <c r="AL74" s="51" t="s">
        <v>689</v>
      </c>
      <c r="AM74" s="51" t="s">
        <v>2432</v>
      </c>
      <c r="AN74" s="51" t="s">
        <v>2656</v>
      </c>
      <c r="AO74" s="63" t="s">
        <v>219</v>
      </c>
      <c r="AP74" s="62" t="s">
        <v>2728</v>
      </c>
      <c r="AQ74" s="63" t="s">
        <v>217</v>
      </c>
      <c r="AR74" s="30" t="s">
        <v>219</v>
      </c>
      <c r="AS74" s="51" t="e">
        <f>_xlfn.XLOOKUP(AP74,[2]Entities!$K:$K,[2]Entities!$K:$K)</f>
        <v>#N/A</v>
      </c>
    </row>
    <row r="75" spans="2:45" ht="21.75" customHeight="1" x14ac:dyDescent="0.45">
      <c r="B75" s="51" t="s">
        <v>99</v>
      </c>
      <c r="E75" s="52" t="s">
        <v>87</v>
      </c>
      <c r="F75" s="51" t="s">
        <v>2431</v>
      </c>
      <c r="H75" s="52" t="s">
        <v>109</v>
      </c>
      <c r="J75" s="79">
        <v>131</v>
      </c>
      <c r="L75" s="51" t="s">
        <v>1122</v>
      </c>
      <c r="M75" s="51" t="s">
        <v>2570</v>
      </c>
      <c r="N75" s="51" t="s">
        <v>2571</v>
      </c>
      <c r="O75" s="51" t="s">
        <v>1121</v>
      </c>
      <c r="P75" s="51" t="s">
        <v>1123</v>
      </c>
      <c r="Q75" s="51" t="s">
        <v>1125</v>
      </c>
      <c r="R75" s="51" t="s">
        <v>273</v>
      </c>
      <c r="S75" s="51" t="s">
        <v>276</v>
      </c>
      <c r="T75" s="51" t="s">
        <v>278</v>
      </c>
      <c r="U75" s="51" t="s">
        <v>689</v>
      </c>
      <c r="V75" s="51" t="s">
        <v>689</v>
      </c>
      <c r="W75" s="51" t="s">
        <v>689</v>
      </c>
      <c r="X75" s="51" t="s">
        <v>1122</v>
      </c>
      <c r="Y75" s="51" t="s">
        <v>1124</v>
      </c>
      <c r="Z75" s="51" t="s">
        <v>1126</v>
      </c>
      <c r="AA75" s="60">
        <v>1</v>
      </c>
      <c r="AB75" s="51" t="s">
        <v>131</v>
      </c>
      <c r="AC75" s="62">
        <v>1</v>
      </c>
      <c r="AD75" s="51" t="s">
        <v>168</v>
      </c>
      <c r="AE75" s="52" t="s">
        <v>179</v>
      </c>
      <c r="AF75" s="64"/>
      <c r="AG75" s="52" t="s">
        <v>192</v>
      </c>
      <c r="AH75" s="51" t="s">
        <v>219</v>
      </c>
      <c r="AI75" s="51" t="s">
        <v>219</v>
      </c>
      <c r="AJ75" s="51" t="s">
        <v>219</v>
      </c>
      <c r="AK75" s="51" t="s">
        <v>219</v>
      </c>
      <c r="AL75" s="51" t="s">
        <v>689</v>
      </c>
      <c r="AM75" s="51" t="s">
        <v>2432</v>
      </c>
      <c r="AN75" s="51" t="s">
        <v>2656</v>
      </c>
      <c r="AO75" s="63" t="s">
        <v>219</v>
      </c>
      <c r="AP75" s="62" t="s">
        <v>2729</v>
      </c>
      <c r="AQ75" s="63" t="s">
        <v>217</v>
      </c>
      <c r="AR75" s="30" t="s">
        <v>219</v>
      </c>
      <c r="AS75" s="51" t="e">
        <f>_xlfn.XLOOKUP(AP75,[2]Entities!$K:$K,[2]Entities!$K:$K)</f>
        <v>#N/A</v>
      </c>
    </row>
    <row r="76" spans="2:45" ht="21.75" customHeight="1" x14ac:dyDescent="0.45">
      <c r="B76" s="51" t="s">
        <v>99</v>
      </c>
      <c r="E76" s="52" t="s">
        <v>87</v>
      </c>
      <c r="F76" s="51" t="s">
        <v>2431</v>
      </c>
      <c r="H76" s="52" t="s">
        <v>109</v>
      </c>
      <c r="J76" s="79">
        <v>2287592000000</v>
      </c>
      <c r="L76" s="51" t="s">
        <v>2572</v>
      </c>
      <c r="M76" s="51" t="s">
        <v>2573</v>
      </c>
      <c r="N76" s="51" t="s">
        <v>2574</v>
      </c>
      <c r="O76" s="51" t="s">
        <v>1127</v>
      </c>
      <c r="P76" s="51" t="s">
        <v>1129</v>
      </c>
      <c r="Q76" s="51" t="s">
        <v>1131</v>
      </c>
      <c r="R76" s="51" t="s">
        <v>346</v>
      </c>
      <c r="S76" s="51" t="s">
        <v>349</v>
      </c>
      <c r="T76" s="51" t="s">
        <v>352</v>
      </c>
      <c r="U76" s="51" t="s">
        <v>689</v>
      </c>
      <c r="V76" s="51" t="s">
        <v>689</v>
      </c>
      <c r="W76" s="51" t="s">
        <v>689</v>
      </c>
      <c r="X76" s="51" t="s">
        <v>1128</v>
      </c>
      <c r="Y76" s="51" t="s">
        <v>1130</v>
      </c>
      <c r="Z76" s="51" t="s">
        <v>1132</v>
      </c>
      <c r="AA76" s="60">
        <v>1</v>
      </c>
      <c r="AB76" s="51" t="s">
        <v>131</v>
      </c>
      <c r="AC76" s="62">
        <v>1</v>
      </c>
      <c r="AD76" s="51" t="s">
        <v>169</v>
      </c>
      <c r="AE76" s="52" t="s">
        <v>179</v>
      </c>
      <c r="AF76" s="64"/>
      <c r="AG76" s="52" t="s">
        <v>192</v>
      </c>
      <c r="AH76" s="51" t="s">
        <v>219</v>
      </c>
      <c r="AI76" s="51" t="s">
        <v>219</v>
      </c>
      <c r="AJ76" s="51" t="s">
        <v>219</v>
      </c>
      <c r="AK76" s="51" t="s">
        <v>219</v>
      </c>
      <c r="AL76" s="51" t="s">
        <v>689</v>
      </c>
      <c r="AM76" s="51" t="s">
        <v>2432</v>
      </c>
      <c r="AN76" s="51" t="s">
        <v>214</v>
      </c>
      <c r="AO76" s="63" t="s">
        <v>219</v>
      </c>
      <c r="AP76" s="62" t="s">
        <v>2730</v>
      </c>
      <c r="AQ76" s="63" t="s">
        <v>217</v>
      </c>
      <c r="AR76" s="30" t="s">
        <v>219</v>
      </c>
      <c r="AS76" s="51" t="e">
        <f>_xlfn.XLOOKUP(AP76,[2]Entities!$K:$K,[2]Entities!$K:$K)</f>
        <v>#N/A</v>
      </c>
    </row>
    <row r="77" spans="2:45" ht="21.75" customHeight="1" x14ac:dyDescent="0.45">
      <c r="B77" s="51" t="s">
        <v>99</v>
      </c>
      <c r="E77" s="52" t="s">
        <v>87</v>
      </c>
      <c r="F77" s="51" t="s">
        <v>2431</v>
      </c>
      <c r="H77" s="52" t="s">
        <v>109</v>
      </c>
      <c r="J77" s="79">
        <v>2287599000002</v>
      </c>
      <c r="L77" s="51" t="s">
        <v>2575</v>
      </c>
      <c r="M77" s="51" t="s">
        <v>2576</v>
      </c>
      <c r="N77" s="51" t="s">
        <v>2577</v>
      </c>
      <c r="O77" s="51" t="s">
        <v>1133</v>
      </c>
      <c r="P77" s="51" t="s">
        <v>1135</v>
      </c>
      <c r="Q77" s="51" t="s">
        <v>1137</v>
      </c>
      <c r="R77" s="51" t="s">
        <v>346</v>
      </c>
      <c r="S77" s="51" t="s">
        <v>349</v>
      </c>
      <c r="T77" s="51" t="s">
        <v>352</v>
      </c>
      <c r="U77" s="51" t="s">
        <v>689</v>
      </c>
      <c r="V77" s="51" t="s">
        <v>689</v>
      </c>
      <c r="W77" s="51" t="s">
        <v>689</v>
      </c>
      <c r="X77" s="51" t="s">
        <v>1134</v>
      </c>
      <c r="Y77" s="51" t="s">
        <v>1136</v>
      </c>
      <c r="Z77" s="51" t="s">
        <v>1138</v>
      </c>
      <c r="AA77" s="60">
        <v>1</v>
      </c>
      <c r="AB77" s="51" t="s">
        <v>131</v>
      </c>
      <c r="AC77" s="62">
        <v>1</v>
      </c>
      <c r="AD77" s="51" t="s">
        <v>169</v>
      </c>
      <c r="AE77" s="52" t="s">
        <v>179</v>
      </c>
      <c r="AF77" s="64"/>
      <c r="AG77" s="52" t="s">
        <v>192</v>
      </c>
      <c r="AH77" s="51" t="s">
        <v>219</v>
      </c>
      <c r="AI77" s="51" t="s">
        <v>219</v>
      </c>
      <c r="AJ77" s="51" t="s">
        <v>219</v>
      </c>
      <c r="AK77" s="51" t="s">
        <v>219</v>
      </c>
      <c r="AL77" s="51" t="s">
        <v>689</v>
      </c>
      <c r="AM77" s="51" t="s">
        <v>2432</v>
      </c>
      <c r="AN77" s="51" t="s">
        <v>214</v>
      </c>
      <c r="AO77" s="63" t="s">
        <v>219</v>
      </c>
      <c r="AP77" s="62" t="s">
        <v>2731</v>
      </c>
      <c r="AQ77" s="63" t="s">
        <v>217</v>
      </c>
      <c r="AR77" s="30" t="s">
        <v>219</v>
      </c>
      <c r="AS77" s="51" t="e">
        <f>_xlfn.XLOOKUP(AP77,[2]Entities!$K:$K,[2]Entities!$K:$K)</f>
        <v>#N/A</v>
      </c>
    </row>
    <row r="78" spans="2:45" ht="21.75" customHeight="1" x14ac:dyDescent="0.45">
      <c r="B78" s="51" t="s">
        <v>99</v>
      </c>
      <c r="E78" s="52" t="s">
        <v>87</v>
      </c>
      <c r="F78" s="51" t="s">
        <v>2431</v>
      </c>
      <c r="H78" s="52" t="s">
        <v>109</v>
      </c>
      <c r="J78" s="79">
        <v>2259931000001</v>
      </c>
      <c r="L78" s="51" t="s">
        <v>1140</v>
      </c>
      <c r="M78" s="51" t="s">
        <v>2578</v>
      </c>
      <c r="N78" s="51" t="s">
        <v>2579</v>
      </c>
      <c r="O78" s="51" t="s">
        <v>1139</v>
      </c>
      <c r="P78" s="51" t="s">
        <v>1141</v>
      </c>
      <c r="Q78" s="51" t="s">
        <v>1143</v>
      </c>
      <c r="R78" s="51" t="s">
        <v>293</v>
      </c>
      <c r="S78" s="51" t="s">
        <v>294</v>
      </c>
      <c r="T78" s="51" t="s">
        <v>295</v>
      </c>
      <c r="U78" s="51" t="s">
        <v>999</v>
      </c>
      <c r="V78" s="51" t="s">
        <v>1002</v>
      </c>
      <c r="W78" s="51" t="s">
        <v>999</v>
      </c>
      <c r="X78" s="51" t="s">
        <v>1140</v>
      </c>
      <c r="Y78" s="51" t="s">
        <v>1142</v>
      </c>
      <c r="Z78" s="51" t="s">
        <v>1144</v>
      </c>
      <c r="AA78" s="60">
        <v>0.5</v>
      </c>
      <c r="AB78" s="51" t="s">
        <v>131</v>
      </c>
      <c r="AC78" s="62">
        <v>1</v>
      </c>
      <c r="AD78" s="51" t="s">
        <v>169</v>
      </c>
      <c r="AE78" s="52" t="s">
        <v>179</v>
      </c>
      <c r="AF78" s="64"/>
      <c r="AG78" s="52" t="s">
        <v>192</v>
      </c>
      <c r="AH78" s="51" t="s">
        <v>219</v>
      </c>
      <c r="AI78" s="51" t="s">
        <v>219</v>
      </c>
      <c r="AJ78" s="51" t="s">
        <v>219</v>
      </c>
      <c r="AK78" s="51" t="s">
        <v>219</v>
      </c>
      <c r="AL78" s="51" t="s">
        <v>689</v>
      </c>
      <c r="AM78" s="51" t="s">
        <v>2432</v>
      </c>
      <c r="AN78" s="51" t="s">
        <v>214</v>
      </c>
      <c r="AO78" s="63" t="s">
        <v>219</v>
      </c>
      <c r="AP78" s="62" t="s">
        <v>2732</v>
      </c>
      <c r="AQ78" s="63" t="s">
        <v>217</v>
      </c>
      <c r="AR78" s="30" t="s">
        <v>219</v>
      </c>
      <c r="AS78" s="51" t="e">
        <f>_xlfn.XLOOKUP(AP78,[2]Entities!$K:$K,[2]Entities!$K:$K)</f>
        <v>#N/A</v>
      </c>
    </row>
    <row r="79" spans="2:45" ht="21.75" customHeight="1" x14ac:dyDescent="0.45">
      <c r="B79" s="51" t="s">
        <v>99</v>
      </c>
      <c r="E79" s="52" t="s">
        <v>87</v>
      </c>
      <c r="F79" s="51" t="s">
        <v>2431</v>
      </c>
      <c r="H79" s="52" t="s">
        <v>109</v>
      </c>
      <c r="J79" s="79">
        <v>172</v>
      </c>
      <c r="L79" s="51" t="s">
        <v>1146</v>
      </c>
      <c r="M79" s="51" t="s">
        <v>2580</v>
      </c>
      <c r="N79" s="51" t="s">
        <v>2581</v>
      </c>
      <c r="O79" s="51" t="s">
        <v>1145</v>
      </c>
      <c r="P79" s="51" t="s">
        <v>1147</v>
      </c>
      <c r="Q79" s="51" t="s">
        <v>1149</v>
      </c>
      <c r="R79" s="51" t="s">
        <v>319</v>
      </c>
      <c r="S79" s="51" t="s">
        <v>322</v>
      </c>
      <c r="T79" s="51" t="s">
        <v>308</v>
      </c>
      <c r="U79" s="51" t="s">
        <v>689</v>
      </c>
      <c r="V79" s="51" t="s">
        <v>689</v>
      </c>
      <c r="W79" s="51" t="s">
        <v>689</v>
      </c>
      <c r="X79" s="51" t="s">
        <v>1146</v>
      </c>
      <c r="Y79" s="51" t="s">
        <v>1148</v>
      </c>
      <c r="Z79" s="51" t="s">
        <v>1150</v>
      </c>
      <c r="AA79" s="60">
        <v>1</v>
      </c>
      <c r="AB79" s="51" t="s">
        <v>131</v>
      </c>
      <c r="AC79" s="62">
        <v>1</v>
      </c>
      <c r="AD79" s="51" t="s">
        <v>168</v>
      </c>
      <c r="AE79" s="52" t="s">
        <v>179</v>
      </c>
      <c r="AF79" s="64"/>
      <c r="AG79" s="52" t="s">
        <v>192</v>
      </c>
      <c r="AH79" s="51" t="s">
        <v>219</v>
      </c>
      <c r="AI79" s="51" t="s">
        <v>219</v>
      </c>
      <c r="AJ79" s="51" t="s">
        <v>219</v>
      </c>
      <c r="AK79" s="51" t="s">
        <v>219</v>
      </c>
      <c r="AL79" s="51" t="s">
        <v>689</v>
      </c>
      <c r="AM79" s="51" t="s">
        <v>2432</v>
      </c>
      <c r="AN79" s="51" t="s">
        <v>2656</v>
      </c>
      <c r="AO79" s="63" t="s">
        <v>219</v>
      </c>
      <c r="AP79" s="62" t="s">
        <v>2733</v>
      </c>
      <c r="AQ79" s="63" t="s">
        <v>217</v>
      </c>
      <c r="AR79" s="30" t="s">
        <v>219</v>
      </c>
      <c r="AS79" s="51" t="e">
        <f>_xlfn.XLOOKUP(AP79,[2]Entities!$K:$K,[2]Entities!$K:$K)</f>
        <v>#N/A</v>
      </c>
    </row>
    <row r="80" spans="2:45" ht="21.75" customHeight="1" x14ac:dyDescent="0.45">
      <c r="B80" s="51" t="s">
        <v>99</v>
      </c>
      <c r="E80" s="52" t="s">
        <v>87</v>
      </c>
      <c r="F80" s="51" t="s">
        <v>2431</v>
      </c>
      <c r="H80" s="52" t="s">
        <v>109</v>
      </c>
      <c r="J80" s="79">
        <v>2259521000008</v>
      </c>
      <c r="L80" s="51" t="s">
        <v>2582</v>
      </c>
      <c r="M80" s="51" t="s">
        <v>2583</v>
      </c>
      <c r="N80" s="51" t="s">
        <v>2584</v>
      </c>
      <c r="O80" s="51" t="s">
        <v>1145</v>
      </c>
      <c r="P80" s="51" t="s">
        <v>1147</v>
      </c>
      <c r="Q80" s="51" t="s">
        <v>1149</v>
      </c>
      <c r="R80" s="51" t="s">
        <v>293</v>
      </c>
      <c r="S80" s="51" t="s">
        <v>294</v>
      </c>
      <c r="T80" s="51" t="s">
        <v>295</v>
      </c>
      <c r="U80" s="51" t="s">
        <v>689</v>
      </c>
      <c r="V80" s="51" t="s">
        <v>689</v>
      </c>
      <c r="W80" s="51" t="s">
        <v>689</v>
      </c>
      <c r="X80" s="51" t="s">
        <v>1151</v>
      </c>
      <c r="Y80" s="51" t="s">
        <v>1152</v>
      </c>
      <c r="Z80" s="51" t="s">
        <v>1153</v>
      </c>
      <c r="AA80" s="60">
        <v>1</v>
      </c>
      <c r="AB80" s="51" t="s">
        <v>131</v>
      </c>
      <c r="AC80" s="62">
        <v>1</v>
      </c>
      <c r="AD80" s="51" t="s">
        <v>169</v>
      </c>
      <c r="AE80" s="52" t="s">
        <v>179</v>
      </c>
      <c r="AF80" s="64"/>
      <c r="AG80" s="52" t="s">
        <v>192</v>
      </c>
      <c r="AH80" s="51" t="s">
        <v>219</v>
      </c>
      <c r="AI80" s="51" t="s">
        <v>219</v>
      </c>
      <c r="AJ80" s="51" t="s">
        <v>219</v>
      </c>
      <c r="AK80" s="51" t="s">
        <v>219</v>
      </c>
      <c r="AL80" s="51" t="s">
        <v>689</v>
      </c>
      <c r="AM80" s="51" t="s">
        <v>2432</v>
      </c>
      <c r="AN80" s="51" t="s">
        <v>214</v>
      </c>
      <c r="AO80" s="63" t="s">
        <v>219</v>
      </c>
      <c r="AP80" s="62" t="s">
        <v>2734</v>
      </c>
      <c r="AQ80" s="63" t="s">
        <v>217</v>
      </c>
      <c r="AR80" s="30" t="s">
        <v>219</v>
      </c>
      <c r="AS80" s="51" t="e">
        <f>_xlfn.XLOOKUP(AP80,[2]Entities!$K:$K,[2]Entities!$K:$K)</f>
        <v>#N/A</v>
      </c>
    </row>
    <row r="81" spans="2:45" ht="21.75" customHeight="1" x14ac:dyDescent="0.45">
      <c r="B81" s="51" t="s">
        <v>99</v>
      </c>
      <c r="E81" s="52" t="s">
        <v>87</v>
      </c>
      <c r="F81" s="51" t="s">
        <v>2431</v>
      </c>
      <c r="H81" s="52" t="s">
        <v>109</v>
      </c>
      <c r="J81" s="79">
        <v>2213691000008</v>
      </c>
      <c r="L81" s="51" t="s">
        <v>1155</v>
      </c>
      <c r="M81" s="51" t="s">
        <v>1157</v>
      </c>
      <c r="N81" s="51" t="s">
        <v>1159</v>
      </c>
      <c r="O81" s="51" t="s">
        <v>1154</v>
      </c>
      <c r="P81" s="51" t="s">
        <v>1156</v>
      </c>
      <c r="Q81" s="51" t="s">
        <v>1158</v>
      </c>
      <c r="R81" s="51" t="s">
        <v>689</v>
      </c>
      <c r="S81" s="51" t="s">
        <v>689</v>
      </c>
      <c r="T81" s="51" t="s">
        <v>689</v>
      </c>
      <c r="U81" s="51" t="s">
        <v>999</v>
      </c>
      <c r="V81" s="51" t="s">
        <v>1002</v>
      </c>
      <c r="W81" s="51" t="s">
        <v>999</v>
      </c>
      <c r="X81" s="51" t="s">
        <v>1155</v>
      </c>
      <c r="Y81" s="51" t="s">
        <v>1157</v>
      </c>
      <c r="Z81" s="51" t="s">
        <v>1159</v>
      </c>
      <c r="AA81" s="60">
        <v>0.5</v>
      </c>
      <c r="AB81" s="51" t="s">
        <v>131</v>
      </c>
      <c r="AC81" s="62">
        <v>1</v>
      </c>
      <c r="AD81" s="51" t="s">
        <v>169</v>
      </c>
      <c r="AE81" s="52" t="s">
        <v>179</v>
      </c>
      <c r="AF81" s="64"/>
      <c r="AG81" s="52" t="s">
        <v>192</v>
      </c>
      <c r="AH81" s="51" t="s">
        <v>219</v>
      </c>
      <c r="AI81" s="51" t="s">
        <v>219</v>
      </c>
      <c r="AJ81" s="51" t="s">
        <v>219</v>
      </c>
      <c r="AK81" s="51" t="s">
        <v>219</v>
      </c>
      <c r="AL81" s="51" t="s">
        <v>689</v>
      </c>
      <c r="AM81" s="51" t="s">
        <v>2432</v>
      </c>
      <c r="AN81" s="51" t="s">
        <v>214</v>
      </c>
      <c r="AO81" s="63" t="s">
        <v>219</v>
      </c>
      <c r="AP81" s="62" t="s">
        <v>2735</v>
      </c>
      <c r="AQ81" s="63" t="s">
        <v>217</v>
      </c>
      <c r="AR81" s="30" t="s">
        <v>219</v>
      </c>
      <c r="AS81" s="51" t="e">
        <f>_xlfn.XLOOKUP(AP81,[2]Entities!$K:$K,[2]Entities!$K:$K)</f>
        <v>#N/A</v>
      </c>
    </row>
    <row r="82" spans="2:45" ht="21.75" customHeight="1" x14ac:dyDescent="0.45">
      <c r="B82" s="51" t="s">
        <v>99</v>
      </c>
      <c r="E82" s="52" t="s">
        <v>87</v>
      </c>
      <c r="F82" s="51" t="s">
        <v>2431</v>
      </c>
      <c r="H82" s="52" t="s">
        <v>109</v>
      </c>
      <c r="J82" s="79">
        <v>7610632180204</v>
      </c>
      <c r="L82" s="51" t="s">
        <v>1160</v>
      </c>
      <c r="M82" s="51" t="s">
        <v>1161</v>
      </c>
      <c r="N82" s="51" t="s">
        <v>1162</v>
      </c>
      <c r="O82" s="51" t="s">
        <v>1154</v>
      </c>
      <c r="P82" s="51" t="s">
        <v>1156</v>
      </c>
      <c r="Q82" s="51" t="s">
        <v>1158</v>
      </c>
      <c r="R82" s="51" t="s">
        <v>689</v>
      </c>
      <c r="S82" s="51" t="s">
        <v>689</v>
      </c>
      <c r="T82" s="51" t="s">
        <v>689</v>
      </c>
      <c r="U82" s="51" t="s">
        <v>297</v>
      </c>
      <c r="V82" s="51" t="s">
        <v>297</v>
      </c>
      <c r="W82" s="51" t="s">
        <v>297</v>
      </c>
      <c r="X82" s="51" t="s">
        <v>1160</v>
      </c>
      <c r="Y82" s="51" t="s">
        <v>1161</v>
      </c>
      <c r="Z82" s="51" t="s">
        <v>1162</v>
      </c>
      <c r="AA82" s="60">
        <v>2</v>
      </c>
      <c r="AB82" s="51" t="s">
        <v>131</v>
      </c>
      <c r="AC82" s="62">
        <v>1</v>
      </c>
      <c r="AD82" s="51" t="s">
        <v>169</v>
      </c>
      <c r="AE82" s="52" t="s">
        <v>179</v>
      </c>
      <c r="AF82" s="64"/>
      <c r="AG82" s="52" t="s">
        <v>192</v>
      </c>
      <c r="AH82" s="51" t="s">
        <v>219</v>
      </c>
      <c r="AI82" s="51" t="s">
        <v>219</v>
      </c>
      <c r="AJ82" s="51" t="s">
        <v>219</v>
      </c>
      <c r="AK82" s="51" t="s">
        <v>219</v>
      </c>
      <c r="AL82" s="51" t="s">
        <v>689</v>
      </c>
      <c r="AM82" s="51" t="s">
        <v>2432</v>
      </c>
      <c r="AN82" s="51" t="s">
        <v>214</v>
      </c>
      <c r="AO82" s="63" t="s">
        <v>219</v>
      </c>
      <c r="AP82" s="62" t="s">
        <v>2736</v>
      </c>
      <c r="AQ82" s="63" t="s">
        <v>217</v>
      </c>
      <c r="AR82" s="30" t="s">
        <v>219</v>
      </c>
      <c r="AS82" s="51" t="e">
        <f>_xlfn.XLOOKUP(AP82,[2]Entities!$K:$K,[2]Entities!$K:$K)</f>
        <v>#N/A</v>
      </c>
    </row>
    <row r="83" spans="2:45" ht="21.75" customHeight="1" x14ac:dyDescent="0.45">
      <c r="B83" s="51" t="s">
        <v>99</v>
      </c>
      <c r="E83" s="52" t="s">
        <v>87</v>
      </c>
      <c r="F83" s="51" t="s">
        <v>2431</v>
      </c>
      <c r="H83" s="52" t="s">
        <v>109</v>
      </c>
      <c r="J83" s="79">
        <v>2213691000000</v>
      </c>
      <c r="L83" s="51" t="s">
        <v>2585</v>
      </c>
      <c r="M83" s="51" t="s">
        <v>2586</v>
      </c>
      <c r="N83" s="51" t="s">
        <v>2587</v>
      </c>
      <c r="O83" s="51" t="s">
        <v>1163</v>
      </c>
      <c r="P83" s="51" t="s">
        <v>1165</v>
      </c>
      <c r="Q83" s="51" t="s">
        <v>1167</v>
      </c>
      <c r="R83" s="51" t="s">
        <v>309</v>
      </c>
      <c r="S83" s="51" t="s">
        <v>310</v>
      </c>
      <c r="T83" s="51" t="s">
        <v>311</v>
      </c>
      <c r="U83" s="51" t="s">
        <v>261</v>
      </c>
      <c r="V83" s="51" t="s">
        <v>261</v>
      </c>
      <c r="W83" s="51" t="s">
        <v>261</v>
      </c>
      <c r="X83" s="51" t="s">
        <v>1164</v>
      </c>
      <c r="Y83" s="51" t="s">
        <v>1166</v>
      </c>
      <c r="Z83" s="51" t="s">
        <v>1168</v>
      </c>
      <c r="AA83" s="60">
        <v>1</v>
      </c>
      <c r="AB83" s="51" t="s">
        <v>131</v>
      </c>
      <c r="AC83" s="62">
        <v>1</v>
      </c>
      <c r="AD83" s="51" t="s">
        <v>169</v>
      </c>
      <c r="AE83" s="52" t="s">
        <v>179</v>
      </c>
      <c r="AF83" s="64"/>
      <c r="AG83" s="52" t="s">
        <v>192</v>
      </c>
      <c r="AH83" s="51" t="s">
        <v>219</v>
      </c>
      <c r="AI83" s="51" t="s">
        <v>219</v>
      </c>
      <c r="AJ83" s="51" t="s">
        <v>219</v>
      </c>
      <c r="AK83" s="51" t="s">
        <v>219</v>
      </c>
      <c r="AL83" s="51" t="s">
        <v>689</v>
      </c>
      <c r="AM83" s="51" t="s">
        <v>2432</v>
      </c>
      <c r="AN83" s="51" t="s">
        <v>214</v>
      </c>
      <c r="AO83" s="63" t="s">
        <v>219</v>
      </c>
      <c r="AP83" s="62" t="s">
        <v>2737</v>
      </c>
      <c r="AQ83" s="63" t="s">
        <v>217</v>
      </c>
      <c r="AR83" s="30" t="s">
        <v>219</v>
      </c>
      <c r="AS83" s="51" t="e">
        <f>_xlfn.XLOOKUP(AP83,[2]Entities!$K:$K,[2]Entities!$K:$K)</f>
        <v>#N/A</v>
      </c>
    </row>
    <row r="84" spans="2:45" ht="21.75" customHeight="1" x14ac:dyDescent="0.45">
      <c r="B84" s="51" t="s">
        <v>99</v>
      </c>
      <c r="E84" s="52" t="s">
        <v>87</v>
      </c>
      <c r="F84" s="51" t="s">
        <v>2431</v>
      </c>
      <c r="H84" s="52" t="s">
        <v>109</v>
      </c>
      <c r="J84" s="79">
        <v>2209245000006</v>
      </c>
      <c r="L84" s="51" t="s">
        <v>1170</v>
      </c>
      <c r="M84" s="51" t="s">
        <v>2588</v>
      </c>
      <c r="N84" s="51" t="s">
        <v>1174</v>
      </c>
      <c r="O84" s="51" t="s">
        <v>1169</v>
      </c>
      <c r="P84" s="51" t="s">
        <v>1171</v>
      </c>
      <c r="Q84" s="51" t="s">
        <v>1173</v>
      </c>
      <c r="R84" s="51" t="s">
        <v>827</v>
      </c>
      <c r="S84" s="51" t="s">
        <v>830</v>
      </c>
      <c r="T84" s="51" t="s">
        <v>833</v>
      </c>
      <c r="U84" s="51" t="s">
        <v>256</v>
      </c>
      <c r="V84" s="51" t="s">
        <v>256</v>
      </c>
      <c r="W84" s="51" t="s">
        <v>256</v>
      </c>
      <c r="X84" s="51" t="s">
        <v>1170</v>
      </c>
      <c r="Y84" s="51" t="s">
        <v>1172</v>
      </c>
      <c r="Z84" s="51" t="s">
        <v>1174</v>
      </c>
      <c r="AA84" s="60">
        <v>0.5</v>
      </c>
      <c r="AB84" s="51" t="s">
        <v>131</v>
      </c>
      <c r="AC84" s="62">
        <v>1</v>
      </c>
      <c r="AD84" s="51" t="s">
        <v>169</v>
      </c>
      <c r="AE84" s="52" t="s">
        <v>179</v>
      </c>
      <c r="AF84" s="64"/>
      <c r="AG84" s="52" t="s">
        <v>192</v>
      </c>
      <c r="AH84" s="51" t="s">
        <v>219</v>
      </c>
      <c r="AI84" s="51" t="s">
        <v>219</v>
      </c>
      <c r="AJ84" s="51" t="s">
        <v>219</v>
      </c>
      <c r="AK84" s="51" t="s">
        <v>219</v>
      </c>
      <c r="AL84" s="51" t="s">
        <v>689</v>
      </c>
      <c r="AM84" s="51" t="s">
        <v>2432</v>
      </c>
      <c r="AN84" s="51" t="s">
        <v>214</v>
      </c>
      <c r="AO84" s="63" t="s">
        <v>219</v>
      </c>
      <c r="AP84" s="62" t="s">
        <v>2738</v>
      </c>
      <c r="AQ84" s="63" t="s">
        <v>217</v>
      </c>
      <c r="AR84" s="30" t="s">
        <v>219</v>
      </c>
      <c r="AS84" s="51" t="e">
        <f>_xlfn.XLOOKUP(AP84,[2]Entities!$K:$K,[2]Entities!$K:$K)</f>
        <v>#N/A</v>
      </c>
    </row>
    <row r="85" spans="2:45" ht="21.75" customHeight="1" x14ac:dyDescent="0.45">
      <c r="B85" s="51" t="s">
        <v>99</v>
      </c>
      <c r="E85" s="52" t="s">
        <v>87</v>
      </c>
      <c r="F85" s="51" t="s">
        <v>2431</v>
      </c>
      <c r="H85" s="52" t="s">
        <v>109</v>
      </c>
      <c r="J85" s="79">
        <v>174</v>
      </c>
      <c r="L85" s="51" t="s">
        <v>1176</v>
      </c>
      <c r="M85" s="51" t="s">
        <v>2589</v>
      </c>
      <c r="N85" s="51" t="s">
        <v>1180</v>
      </c>
      <c r="O85" s="51" t="s">
        <v>1175</v>
      </c>
      <c r="P85" s="51" t="s">
        <v>1177</v>
      </c>
      <c r="Q85" s="51" t="s">
        <v>1179</v>
      </c>
      <c r="R85" s="51" t="s">
        <v>319</v>
      </c>
      <c r="S85" s="51" t="s">
        <v>322</v>
      </c>
      <c r="T85" s="51" t="s">
        <v>308</v>
      </c>
      <c r="U85" s="51" t="s">
        <v>689</v>
      </c>
      <c r="V85" s="51" t="s">
        <v>689</v>
      </c>
      <c r="W85" s="51" t="s">
        <v>689</v>
      </c>
      <c r="X85" s="51" t="s">
        <v>1176</v>
      </c>
      <c r="Y85" s="51" t="s">
        <v>1178</v>
      </c>
      <c r="Z85" s="51" t="s">
        <v>1180</v>
      </c>
      <c r="AA85" s="60">
        <v>1</v>
      </c>
      <c r="AB85" s="51" t="s">
        <v>131</v>
      </c>
      <c r="AC85" s="62">
        <v>1</v>
      </c>
      <c r="AD85" s="51" t="s">
        <v>168</v>
      </c>
      <c r="AE85" s="52" t="s">
        <v>179</v>
      </c>
      <c r="AF85" s="64"/>
      <c r="AG85" s="52" t="s">
        <v>192</v>
      </c>
      <c r="AH85" s="51" t="s">
        <v>219</v>
      </c>
      <c r="AI85" s="51" t="s">
        <v>219</v>
      </c>
      <c r="AJ85" s="51" t="s">
        <v>219</v>
      </c>
      <c r="AK85" s="51" t="s">
        <v>219</v>
      </c>
      <c r="AL85" s="51" t="s">
        <v>689</v>
      </c>
      <c r="AM85" s="51" t="s">
        <v>2432</v>
      </c>
      <c r="AN85" s="51" t="s">
        <v>2656</v>
      </c>
      <c r="AO85" s="63" t="s">
        <v>219</v>
      </c>
      <c r="AP85" s="62" t="s">
        <v>2739</v>
      </c>
      <c r="AQ85" s="63" t="s">
        <v>217</v>
      </c>
      <c r="AR85" s="30" t="s">
        <v>219</v>
      </c>
      <c r="AS85" s="51" t="e">
        <f>_xlfn.XLOOKUP(AP85,[2]Entities!$K:$K,[2]Entities!$K:$K)</f>
        <v>#N/A</v>
      </c>
    </row>
    <row r="86" spans="2:45" ht="21.75" customHeight="1" x14ac:dyDescent="0.45">
      <c r="B86" s="51" t="s">
        <v>99</v>
      </c>
      <c r="E86" s="52" t="s">
        <v>87</v>
      </c>
      <c r="F86" s="51" t="s">
        <v>2590</v>
      </c>
      <c r="H86" s="52" t="s">
        <v>109</v>
      </c>
      <c r="J86" s="79">
        <v>7613399024132</v>
      </c>
      <c r="L86" s="51" t="s">
        <v>1182</v>
      </c>
      <c r="M86" s="51" t="s">
        <v>2591</v>
      </c>
      <c r="N86" s="51" t="s">
        <v>1184</v>
      </c>
      <c r="O86" s="51" t="s">
        <v>1181</v>
      </c>
      <c r="P86" s="51" t="s">
        <v>1181</v>
      </c>
      <c r="Q86" s="51" t="s">
        <v>1181</v>
      </c>
      <c r="R86" s="51" t="s">
        <v>309</v>
      </c>
      <c r="S86" s="51" t="s">
        <v>310</v>
      </c>
      <c r="T86" s="51" t="s">
        <v>311</v>
      </c>
      <c r="U86" s="51" t="s">
        <v>256</v>
      </c>
      <c r="V86" s="51" t="s">
        <v>256</v>
      </c>
      <c r="W86" s="51" t="s">
        <v>256</v>
      </c>
      <c r="X86" s="51" t="s">
        <v>1182</v>
      </c>
      <c r="Y86" s="51" t="s">
        <v>1183</v>
      </c>
      <c r="Z86" s="51" t="s">
        <v>1184</v>
      </c>
      <c r="AA86" s="60">
        <v>0.5</v>
      </c>
      <c r="AB86" s="51" t="s">
        <v>131</v>
      </c>
      <c r="AC86" s="62">
        <v>1</v>
      </c>
      <c r="AD86" s="51" t="s">
        <v>169</v>
      </c>
      <c r="AE86" s="52" t="s">
        <v>179</v>
      </c>
      <c r="AF86" s="64"/>
      <c r="AG86" s="52" t="s">
        <v>192</v>
      </c>
      <c r="AH86" s="51" t="s">
        <v>219</v>
      </c>
      <c r="AI86" s="51" t="s">
        <v>219</v>
      </c>
      <c r="AJ86" s="51" t="s">
        <v>219</v>
      </c>
      <c r="AK86" s="51" t="s">
        <v>219</v>
      </c>
      <c r="AL86" s="51" t="s">
        <v>689</v>
      </c>
      <c r="AM86" s="51" t="s">
        <v>2432</v>
      </c>
      <c r="AN86" s="51" t="s">
        <v>214</v>
      </c>
      <c r="AO86" s="63" t="s">
        <v>219</v>
      </c>
      <c r="AP86" s="62" t="s">
        <v>2740</v>
      </c>
      <c r="AQ86" s="63" t="s">
        <v>217</v>
      </c>
      <c r="AR86" s="30" t="s">
        <v>219</v>
      </c>
      <c r="AS86" s="51" t="e">
        <f>_xlfn.XLOOKUP(AP86,[2]Entities!$K:$K,[2]Entities!$K:$K)</f>
        <v>#N/A</v>
      </c>
    </row>
    <row r="87" spans="2:45" ht="21.75" customHeight="1" x14ac:dyDescent="0.45">
      <c r="B87" s="51" t="s">
        <v>99</v>
      </c>
      <c r="E87" s="52" t="s">
        <v>87</v>
      </c>
      <c r="F87" s="51" t="s">
        <v>2590</v>
      </c>
      <c r="H87" s="52" t="s">
        <v>109</v>
      </c>
      <c r="J87" s="79">
        <v>7613399006343</v>
      </c>
      <c r="L87" s="51" t="s">
        <v>1187</v>
      </c>
      <c r="M87" s="51" t="s">
        <v>2592</v>
      </c>
      <c r="N87" s="51" t="s">
        <v>2593</v>
      </c>
      <c r="O87" s="51" t="s">
        <v>1186</v>
      </c>
      <c r="P87" s="51" t="s">
        <v>1188</v>
      </c>
      <c r="Q87" s="51" t="s">
        <v>1190</v>
      </c>
      <c r="R87" s="51" t="s">
        <v>763</v>
      </c>
      <c r="S87" s="51" t="s">
        <v>150</v>
      </c>
      <c r="T87" s="51" t="s">
        <v>768</v>
      </c>
      <c r="U87" s="51" t="s">
        <v>256</v>
      </c>
      <c r="V87" s="51" t="s">
        <v>256</v>
      </c>
      <c r="W87" s="51" t="s">
        <v>256</v>
      </c>
      <c r="X87" s="51" t="s">
        <v>1187</v>
      </c>
      <c r="Y87" s="51" t="s">
        <v>1189</v>
      </c>
      <c r="Z87" s="51" t="s">
        <v>1191</v>
      </c>
      <c r="AA87" s="60">
        <v>0.5</v>
      </c>
      <c r="AB87" s="51" t="s">
        <v>131</v>
      </c>
      <c r="AC87" s="62">
        <v>1</v>
      </c>
      <c r="AD87" s="51" t="s">
        <v>169</v>
      </c>
      <c r="AE87" s="52" t="s">
        <v>179</v>
      </c>
      <c r="AF87" s="64"/>
      <c r="AG87" s="52" t="s">
        <v>192</v>
      </c>
      <c r="AH87" s="51" t="s">
        <v>219</v>
      </c>
      <c r="AI87" s="51" t="s">
        <v>219</v>
      </c>
      <c r="AJ87" s="51" t="s">
        <v>219</v>
      </c>
      <c r="AK87" s="51" t="s">
        <v>219</v>
      </c>
      <c r="AL87" s="51" t="s">
        <v>689</v>
      </c>
      <c r="AM87" s="51" t="s">
        <v>2432</v>
      </c>
      <c r="AN87" s="51" t="s">
        <v>214</v>
      </c>
      <c r="AO87" s="63" t="s">
        <v>219</v>
      </c>
      <c r="AP87" s="62" t="s">
        <v>2741</v>
      </c>
      <c r="AQ87" s="63" t="s">
        <v>217</v>
      </c>
      <c r="AR87" s="30" t="s">
        <v>219</v>
      </c>
      <c r="AS87" s="51" t="e">
        <f>_xlfn.XLOOKUP(AP87,[2]Entities!$K:$K,[2]Entities!$K:$K)</f>
        <v>#N/A</v>
      </c>
    </row>
    <row r="88" spans="2:45" ht="21.75" customHeight="1" x14ac:dyDescent="0.45">
      <c r="B88" s="51" t="s">
        <v>99</v>
      </c>
      <c r="E88" s="52" t="s">
        <v>87</v>
      </c>
      <c r="F88" s="51" t="s">
        <v>2590</v>
      </c>
      <c r="H88" s="52" t="s">
        <v>109</v>
      </c>
      <c r="J88" s="79">
        <v>7613399006350</v>
      </c>
      <c r="L88" s="51" t="s">
        <v>1193</v>
      </c>
      <c r="M88" s="51" t="s">
        <v>2594</v>
      </c>
      <c r="N88" s="51" t="s">
        <v>2595</v>
      </c>
      <c r="O88" s="51" t="s">
        <v>1192</v>
      </c>
      <c r="P88" s="51" t="s">
        <v>1194</v>
      </c>
      <c r="Q88" s="51" t="s">
        <v>1196</v>
      </c>
      <c r="R88" s="51" t="s">
        <v>763</v>
      </c>
      <c r="S88" s="51" t="s">
        <v>150</v>
      </c>
      <c r="T88" s="51" t="s">
        <v>768</v>
      </c>
      <c r="U88" s="51" t="s">
        <v>256</v>
      </c>
      <c r="V88" s="51" t="s">
        <v>256</v>
      </c>
      <c r="W88" s="51" t="s">
        <v>256</v>
      </c>
      <c r="X88" s="51" t="s">
        <v>1193</v>
      </c>
      <c r="Y88" s="51" t="s">
        <v>1195</v>
      </c>
      <c r="Z88" s="51" t="s">
        <v>1197</v>
      </c>
      <c r="AA88" s="60">
        <v>0.5</v>
      </c>
      <c r="AB88" s="51" t="s">
        <v>131</v>
      </c>
      <c r="AC88" s="62">
        <v>1</v>
      </c>
      <c r="AD88" s="51" t="s">
        <v>169</v>
      </c>
      <c r="AE88" s="52" t="s">
        <v>179</v>
      </c>
      <c r="AF88" s="64"/>
      <c r="AG88" s="52" t="s">
        <v>192</v>
      </c>
      <c r="AH88" s="51" t="s">
        <v>219</v>
      </c>
      <c r="AI88" s="51" t="s">
        <v>219</v>
      </c>
      <c r="AJ88" s="51" t="s">
        <v>219</v>
      </c>
      <c r="AK88" s="51" t="s">
        <v>219</v>
      </c>
      <c r="AL88" s="51" t="s">
        <v>689</v>
      </c>
      <c r="AM88" s="51" t="s">
        <v>2432</v>
      </c>
      <c r="AN88" s="51" t="s">
        <v>214</v>
      </c>
      <c r="AO88" s="63" t="s">
        <v>219</v>
      </c>
      <c r="AP88" s="62" t="s">
        <v>2742</v>
      </c>
      <c r="AQ88" s="63" t="s">
        <v>217</v>
      </c>
      <c r="AR88" s="30" t="s">
        <v>219</v>
      </c>
      <c r="AS88" s="51" t="e">
        <f>_xlfn.XLOOKUP(AP88,[2]Entities!$K:$K,[2]Entities!$K:$K)</f>
        <v>#N/A</v>
      </c>
    </row>
    <row r="89" spans="2:45" ht="21.75" customHeight="1" x14ac:dyDescent="0.45">
      <c r="B89" s="51" t="s">
        <v>99</v>
      </c>
      <c r="E89" s="52" t="s">
        <v>87</v>
      </c>
      <c r="F89" s="51" t="s">
        <v>2590</v>
      </c>
      <c r="H89" s="52" t="s">
        <v>109</v>
      </c>
      <c r="J89" s="79">
        <v>7613399006367</v>
      </c>
      <c r="L89" s="51" t="s">
        <v>1199</v>
      </c>
      <c r="M89" s="51" t="s">
        <v>2596</v>
      </c>
      <c r="N89" s="51" t="s">
        <v>2597</v>
      </c>
      <c r="O89" s="51" t="s">
        <v>1198</v>
      </c>
      <c r="P89" s="51" t="s">
        <v>1200</v>
      </c>
      <c r="Q89" s="51" t="s">
        <v>1202</v>
      </c>
      <c r="R89" s="51" t="s">
        <v>763</v>
      </c>
      <c r="S89" s="51" t="s">
        <v>150</v>
      </c>
      <c r="T89" s="51" t="s">
        <v>768</v>
      </c>
      <c r="U89" s="51" t="s">
        <v>256</v>
      </c>
      <c r="V89" s="51" t="s">
        <v>256</v>
      </c>
      <c r="W89" s="51" t="s">
        <v>256</v>
      </c>
      <c r="X89" s="51" t="s">
        <v>1199</v>
      </c>
      <c r="Y89" s="51" t="s">
        <v>1201</v>
      </c>
      <c r="Z89" s="51" t="s">
        <v>1203</v>
      </c>
      <c r="AA89" s="60">
        <v>0.5</v>
      </c>
      <c r="AB89" s="51" t="s">
        <v>131</v>
      </c>
      <c r="AC89" s="62">
        <v>1</v>
      </c>
      <c r="AD89" s="51" t="s">
        <v>169</v>
      </c>
      <c r="AE89" s="52" t="s">
        <v>179</v>
      </c>
      <c r="AF89" s="64"/>
      <c r="AG89" s="52" t="s">
        <v>192</v>
      </c>
      <c r="AH89" s="51" t="s">
        <v>219</v>
      </c>
      <c r="AI89" s="51" t="s">
        <v>219</v>
      </c>
      <c r="AJ89" s="51" t="s">
        <v>219</v>
      </c>
      <c r="AK89" s="51" t="s">
        <v>219</v>
      </c>
      <c r="AL89" s="51" t="s">
        <v>689</v>
      </c>
      <c r="AM89" s="51" t="s">
        <v>2432</v>
      </c>
      <c r="AN89" s="51" t="s">
        <v>214</v>
      </c>
      <c r="AO89" s="63" t="s">
        <v>219</v>
      </c>
      <c r="AP89" s="62" t="s">
        <v>2743</v>
      </c>
      <c r="AQ89" s="63" t="s">
        <v>217</v>
      </c>
      <c r="AR89" s="30" t="s">
        <v>219</v>
      </c>
      <c r="AS89" s="51" t="e">
        <f>_xlfn.XLOOKUP(AP89,[2]Entities!$K:$K,[2]Entities!$K:$K)</f>
        <v>#N/A</v>
      </c>
    </row>
    <row r="90" spans="2:45" ht="21.75" customHeight="1" x14ac:dyDescent="0.45">
      <c r="B90" s="51" t="s">
        <v>99</v>
      </c>
      <c r="E90" s="52" t="s">
        <v>87</v>
      </c>
      <c r="F90" s="51" t="s">
        <v>2590</v>
      </c>
      <c r="H90" s="52" t="s">
        <v>109</v>
      </c>
      <c r="J90" s="79"/>
      <c r="L90" s="51" t="s">
        <v>2598</v>
      </c>
      <c r="M90" s="51" t="s">
        <v>2599</v>
      </c>
      <c r="N90" s="51" t="s">
        <v>2600</v>
      </c>
      <c r="O90" s="51" t="s">
        <v>2045</v>
      </c>
      <c r="P90" s="51" t="s">
        <v>2047</v>
      </c>
      <c r="Q90" s="51" t="s">
        <v>2049</v>
      </c>
      <c r="R90" s="51" t="s">
        <v>1204</v>
      </c>
      <c r="S90" s="51" t="s">
        <v>1206</v>
      </c>
      <c r="T90" s="51" t="s">
        <v>1208</v>
      </c>
      <c r="U90" s="51" t="s">
        <v>257</v>
      </c>
      <c r="V90" s="51" t="s">
        <v>258</v>
      </c>
      <c r="W90" s="51" t="s">
        <v>259</v>
      </c>
      <c r="X90" s="51" t="s">
        <v>1205</v>
      </c>
      <c r="Y90" s="51" t="s">
        <v>1207</v>
      </c>
      <c r="Z90" s="51" t="s">
        <v>1209</v>
      </c>
      <c r="AA90" s="60">
        <v>1</v>
      </c>
      <c r="AB90" s="51" t="s">
        <v>137</v>
      </c>
      <c r="AC90" s="62">
        <v>1</v>
      </c>
      <c r="AD90" s="51" t="s">
        <v>169</v>
      </c>
      <c r="AE90" s="52" t="s">
        <v>179</v>
      </c>
      <c r="AF90" s="64"/>
      <c r="AG90" s="52" t="s">
        <v>192</v>
      </c>
      <c r="AH90" s="51" t="s">
        <v>219</v>
      </c>
      <c r="AI90" s="51" t="s">
        <v>219</v>
      </c>
      <c r="AJ90" s="51" t="s">
        <v>219</v>
      </c>
      <c r="AK90" s="51" t="s">
        <v>219</v>
      </c>
      <c r="AL90" s="51" t="s">
        <v>689</v>
      </c>
      <c r="AM90" s="51" t="s">
        <v>2432</v>
      </c>
      <c r="AN90" s="51" t="s">
        <v>2433</v>
      </c>
      <c r="AO90" s="63" t="s">
        <v>219</v>
      </c>
      <c r="AP90" s="62" t="s">
        <v>2744</v>
      </c>
      <c r="AQ90" s="63" t="s">
        <v>217</v>
      </c>
      <c r="AR90" s="30" t="s">
        <v>219</v>
      </c>
      <c r="AS90" s="51" t="e">
        <f>_xlfn.XLOOKUP(AP90,[2]Entities!$K:$K,[2]Entities!$K:$K)</f>
        <v>#N/A</v>
      </c>
    </row>
    <row r="91" spans="2:45" ht="21.75" customHeight="1" x14ac:dyDescent="0.45">
      <c r="B91" s="51" t="s">
        <v>99</v>
      </c>
      <c r="E91" s="52" t="s">
        <v>87</v>
      </c>
      <c r="F91" s="51" t="s">
        <v>2590</v>
      </c>
      <c r="H91" s="52" t="s">
        <v>109</v>
      </c>
      <c r="J91" s="79">
        <v>2203681000000</v>
      </c>
      <c r="L91" s="51" t="s">
        <v>2601</v>
      </c>
      <c r="M91" s="51" t="s">
        <v>2602</v>
      </c>
      <c r="N91" s="51" t="s">
        <v>2603</v>
      </c>
      <c r="O91" s="51" t="s">
        <v>1210</v>
      </c>
      <c r="P91" s="51" t="s">
        <v>1213</v>
      </c>
      <c r="Q91" s="51" t="s">
        <v>1215</v>
      </c>
      <c r="R91" s="51" t="s">
        <v>1211</v>
      </c>
      <c r="S91" s="51" t="s">
        <v>294</v>
      </c>
      <c r="T91" s="51" t="s">
        <v>295</v>
      </c>
      <c r="U91" s="51" t="s">
        <v>257</v>
      </c>
      <c r="V91" s="51" t="s">
        <v>258</v>
      </c>
      <c r="W91" s="51" t="s">
        <v>259</v>
      </c>
      <c r="X91" s="51" t="s">
        <v>1212</v>
      </c>
      <c r="Y91" s="51" t="s">
        <v>1214</v>
      </c>
      <c r="Z91" s="51" t="s">
        <v>1216</v>
      </c>
      <c r="AA91" s="60">
        <v>1</v>
      </c>
      <c r="AB91" s="51" t="s">
        <v>131</v>
      </c>
      <c r="AC91" s="62">
        <v>1</v>
      </c>
      <c r="AD91" s="51" t="s">
        <v>169</v>
      </c>
      <c r="AE91" s="52" t="s">
        <v>179</v>
      </c>
      <c r="AF91" s="64"/>
      <c r="AG91" s="52" t="s">
        <v>192</v>
      </c>
      <c r="AH91" s="51" t="s">
        <v>219</v>
      </c>
      <c r="AI91" s="51" t="s">
        <v>219</v>
      </c>
      <c r="AJ91" s="51" t="s">
        <v>219</v>
      </c>
      <c r="AK91" s="51" t="s">
        <v>219</v>
      </c>
      <c r="AL91" s="51" t="s">
        <v>689</v>
      </c>
      <c r="AM91" s="51" t="s">
        <v>2432</v>
      </c>
      <c r="AN91" s="51" t="s">
        <v>214</v>
      </c>
      <c r="AO91" s="63" t="s">
        <v>219</v>
      </c>
      <c r="AP91" s="62" t="s">
        <v>2745</v>
      </c>
      <c r="AQ91" s="63" t="s">
        <v>217</v>
      </c>
      <c r="AR91" s="30" t="s">
        <v>219</v>
      </c>
      <c r="AS91" s="51" t="e">
        <f>_xlfn.XLOOKUP(AP91,[2]Entities!$K:$K,[2]Entities!$K:$K)</f>
        <v>#N/A</v>
      </c>
    </row>
    <row r="92" spans="2:45" ht="21.75" customHeight="1" x14ac:dyDescent="0.45">
      <c r="B92" s="51" t="s">
        <v>99</v>
      </c>
      <c r="E92" s="52" t="s">
        <v>87</v>
      </c>
      <c r="F92" s="51" t="s">
        <v>2590</v>
      </c>
      <c r="H92" s="52" t="s">
        <v>109</v>
      </c>
      <c r="J92" s="79">
        <v>2292861000000</v>
      </c>
      <c r="L92" s="51" t="s">
        <v>2604</v>
      </c>
      <c r="M92" s="51" t="s">
        <v>2605</v>
      </c>
      <c r="N92" s="51" t="s">
        <v>2606</v>
      </c>
      <c r="O92" s="51" t="s">
        <v>1217</v>
      </c>
      <c r="P92" s="51" t="s">
        <v>1219</v>
      </c>
      <c r="Q92" s="51" t="s">
        <v>1221</v>
      </c>
      <c r="R92" s="51" t="s">
        <v>689</v>
      </c>
      <c r="S92" s="51" t="s">
        <v>689</v>
      </c>
      <c r="T92" s="51" t="s">
        <v>689</v>
      </c>
      <c r="U92" s="51" t="s">
        <v>257</v>
      </c>
      <c r="V92" s="51" t="s">
        <v>258</v>
      </c>
      <c r="W92" s="51" t="s">
        <v>259</v>
      </c>
      <c r="X92" s="51" t="s">
        <v>1218</v>
      </c>
      <c r="Y92" s="51" t="s">
        <v>1220</v>
      </c>
      <c r="Z92" s="51" t="s">
        <v>1222</v>
      </c>
      <c r="AA92" s="60">
        <v>1</v>
      </c>
      <c r="AB92" s="51" t="s">
        <v>131</v>
      </c>
      <c r="AC92" s="62">
        <v>1</v>
      </c>
      <c r="AD92" s="51" t="s">
        <v>169</v>
      </c>
      <c r="AE92" s="52" t="s">
        <v>179</v>
      </c>
      <c r="AF92" s="64"/>
      <c r="AG92" s="52" t="s">
        <v>192</v>
      </c>
      <c r="AH92" s="51" t="s">
        <v>219</v>
      </c>
      <c r="AI92" s="51" t="s">
        <v>219</v>
      </c>
      <c r="AJ92" s="51" t="s">
        <v>219</v>
      </c>
      <c r="AK92" s="51" t="s">
        <v>219</v>
      </c>
      <c r="AL92" s="51" t="s">
        <v>689</v>
      </c>
      <c r="AM92" s="51" t="s">
        <v>2432</v>
      </c>
      <c r="AN92" s="51" t="s">
        <v>214</v>
      </c>
      <c r="AO92" s="63" t="s">
        <v>219</v>
      </c>
      <c r="AP92" s="62" t="s">
        <v>2746</v>
      </c>
      <c r="AQ92" s="63" t="s">
        <v>217</v>
      </c>
      <c r="AR92" s="30" t="s">
        <v>219</v>
      </c>
      <c r="AS92" s="51" t="e">
        <f>_xlfn.XLOOKUP(AP92,[2]Entities!$K:$K,[2]Entities!$K:$K)</f>
        <v>#N/A</v>
      </c>
    </row>
    <row r="93" spans="2:45" ht="21.75" customHeight="1" x14ac:dyDescent="0.45">
      <c r="B93" s="51" t="s">
        <v>99</v>
      </c>
      <c r="E93" s="52" t="s">
        <v>87</v>
      </c>
      <c r="F93" s="51" t="s">
        <v>2590</v>
      </c>
      <c r="H93" s="52" t="s">
        <v>109</v>
      </c>
      <c r="J93" s="79">
        <v>7613399040361</v>
      </c>
      <c r="L93" s="51" t="s">
        <v>1225</v>
      </c>
      <c r="M93" s="51" t="s">
        <v>2607</v>
      </c>
      <c r="N93" s="51" t="s">
        <v>1229</v>
      </c>
      <c r="O93" s="51" t="s">
        <v>1223</v>
      </c>
      <c r="P93" s="51" t="s">
        <v>1226</v>
      </c>
      <c r="Q93" s="51" t="s">
        <v>1228</v>
      </c>
      <c r="R93" s="51" t="s">
        <v>309</v>
      </c>
      <c r="S93" s="51" t="s">
        <v>310</v>
      </c>
      <c r="T93" s="51" t="s">
        <v>311</v>
      </c>
      <c r="U93" s="51" t="s">
        <v>1224</v>
      </c>
      <c r="V93" s="51" t="s">
        <v>1224</v>
      </c>
      <c r="W93" s="51" t="s">
        <v>1224</v>
      </c>
      <c r="X93" s="51" t="s">
        <v>1225</v>
      </c>
      <c r="Y93" s="51" t="s">
        <v>1227</v>
      </c>
      <c r="Z93" s="51" t="s">
        <v>1229</v>
      </c>
      <c r="AA93" s="60">
        <v>0.02</v>
      </c>
      <c r="AB93" s="51" t="s">
        <v>130</v>
      </c>
      <c r="AC93" s="62">
        <v>100</v>
      </c>
      <c r="AD93" s="51" t="s">
        <v>169</v>
      </c>
      <c r="AE93" s="52" t="s">
        <v>179</v>
      </c>
      <c r="AF93" s="64"/>
      <c r="AG93" s="52" t="s">
        <v>192</v>
      </c>
      <c r="AH93" s="51" t="s">
        <v>219</v>
      </c>
      <c r="AI93" s="51" t="s">
        <v>219</v>
      </c>
      <c r="AJ93" s="51" t="s">
        <v>219</v>
      </c>
      <c r="AK93" s="51" t="s">
        <v>219</v>
      </c>
      <c r="AL93" s="51" t="s">
        <v>689</v>
      </c>
      <c r="AM93" s="51" t="s">
        <v>2432</v>
      </c>
      <c r="AN93" s="51" t="s">
        <v>214</v>
      </c>
      <c r="AO93" s="63" t="s">
        <v>219</v>
      </c>
      <c r="AP93" s="62" t="s">
        <v>2747</v>
      </c>
      <c r="AQ93" s="63" t="s">
        <v>217</v>
      </c>
      <c r="AR93" s="30" t="s">
        <v>219</v>
      </c>
      <c r="AS93" s="51" t="e">
        <f>_xlfn.XLOOKUP(AP93,[2]Entities!$K:$K,[2]Entities!$K:$K)</f>
        <v>#N/A</v>
      </c>
    </row>
    <row r="94" spans="2:45" ht="21.75" customHeight="1" x14ac:dyDescent="0.45">
      <c r="B94" s="51" t="s">
        <v>99</v>
      </c>
      <c r="E94" s="52" t="s">
        <v>87</v>
      </c>
      <c r="F94" s="51" t="s">
        <v>2590</v>
      </c>
      <c r="H94" s="52" t="s">
        <v>109</v>
      </c>
      <c r="J94" s="79">
        <v>2209257000001</v>
      </c>
      <c r="L94" s="51" t="s">
        <v>2608</v>
      </c>
      <c r="M94" s="51" t="s">
        <v>2609</v>
      </c>
      <c r="N94" s="51" t="s">
        <v>2610</v>
      </c>
      <c r="O94" s="51" t="s">
        <v>1230</v>
      </c>
      <c r="P94" s="51" t="s">
        <v>1230</v>
      </c>
      <c r="Q94" s="51" t="s">
        <v>1230</v>
      </c>
      <c r="R94" s="51" t="s">
        <v>689</v>
      </c>
      <c r="S94" s="51" t="s">
        <v>689</v>
      </c>
      <c r="T94" s="51" t="s">
        <v>689</v>
      </c>
      <c r="U94" s="51" t="s">
        <v>257</v>
      </c>
      <c r="V94" s="51" t="s">
        <v>258</v>
      </c>
      <c r="W94" s="51" t="s">
        <v>259</v>
      </c>
      <c r="X94" s="51" t="s">
        <v>1231</v>
      </c>
      <c r="Y94" s="51" t="s">
        <v>1232</v>
      </c>
      <c r="Z94" s="51" t="s">
        <v>1233</v>
      </c>
      <c r="AA94" s="60">
        <v>1</v>
      </c>
      <c r="AB94" s="51" t="s">
        <v>137</v>
      </c>
      <c r="AC94" s="62">
        <v>1</v>
      </c>
      <c r="AD94" s="51" t="s">
        <v>169</v>
      </c>
      <c r="AE94" s="52" t="s">
        <v>179</v>
      </c>
      <c r="AF94" s="64"/>
      <c r="AG94" s="52" t="s">
        <v>192</v>
      </c>
      <c r="AH94" s="51" t="s">
        <v>219</v>
      </c>
      <c r="AI94" s="51" t="s">
        <v>219</v>
      </c>
      <c r="AJ94" s="51" t="s">
        <v>219</v>
      </c>
      <c r="AK94" s="51" t="s">
        <v>219</v>
      </c>
      <c r="AL94" s="51" t="s">
        <v>689</v>
      </c>
      <c r="AM94" s="51" t="s">
        <v>2432</v>
      </c>
      <c r="AN94" s="51" t="s">
        <v>214</v>
      </c>
      <c r="AO94" s="63" t="s">
        <v>219</v>
      </c>
      <c r="AP94" s="62" t="s">
        <v>2748</v>
      </c>
      <c r="AQ94" s="63" t="s">
        <v>217</v>
      </c>
      <c r="AR94" s="30" t="s">
        <v>219</v>
      </c>
      <c r="AS94" s="51" t="e">
        <f>_xlfn.XLOOKUP(AP94,[2]Entities!$K:$K,[2]Entities!$K:$K)</f>
        <v>#N/A</v>
      </c>
    </row>
    <row r="95" spans="2:45" ht="21.75" customHeight="1" x14ac:dyDescent="0.45">
      <c r="B95" s="51" t="s">
        <v>99</v>
      </c>
      <c r="E95" s="52" t="s">
        <v>87</v>
      </c>
      <c r="F95" s="51" t="s">
        <v>2590</v>
      </c>
      <c r="H95" s="52" t="s">
        <v>109</v>
      </c>
      <c r="J95" s="79">
        <v>2215831000008</v>
      </c>
      <c r="L95" s="51" t="s">
        <v>2611</v>
      </c>
      <c r="M95" s="51" t="s">
        <v>2612</v>
      </c>
      <c r="N95" s="51" t="s">
        <v>2613</v>
      </c>
      <c r="O95" s="51" t="s">
        <v>1234</v>
      </c>
      <c r="P95" s="51" t="s">
        <v>1236</v>
      </c>
      <c r="Q95" s="51" t="s">
        <v>1234</v>
      </c>
      <c r="R95" s="51" t="s">
        <v>689</v>
      </c>
      <c r="S95" s="51" t="s">
        <v>689</v>
      </c>
      <c r="T95" s="51" t="s">
        <v>689</v>
      </c>
      <c r="U95" s="51" t="s">
        <v>257</v>
      </c>
      <c r="V95" s="51" t="s">
        <v>258</v>
      </c>
      <c r="W95" s="51" t="s">
        <v>259</v>
      </c>
      <c r="X95" s="51" t="s">
        <v>1235</v>
      </c>
      <c r="Y95" s="51" t="s">
        <v>1237</v>
      </c>
      <c r="Z95" s="51" t="s">
        <v>1238</v>
      </c>
      <c r="AA95" s="60">
        <v>1</v>
      </c>
      <c r="AB95" s="51" t="s">
        <v>137</v>
      </c>
      <c r="AC95" s="62">
        <v>1</v>
      </c>
      <c r="AD95" s="51" t="s">
        <v>169</v>
      </c>
      <c r="AE95" s="52" t="s">
        <v>179</v>
      </c>
      <c r="AF95" s="64"/>
      <c r="AG95" s="52" t="s">
        <v>192</v>
      </c>
      <c r="AH95" s="51" t="s">
        <v>219</v>
      </c>
      <c r="AI95" s="51" t="s">
        <v>219</v>
      </c>
      <c r="AJ95" s="51" t="s">
        <v>219</v>
      </c>
      <c r="AK95" s="51" t="s">
        <v>219</v>
      </c>
      <c r="AL95" s="51" t="s">
        <v>689</v>
      </c>
      <c r="AM95" s="51" t="s">
        <v>2432</v>
      </c>
      <c r="AN95" s="51" t="s">
        <v>214</v>
      </c>
      <c r="AO95" s="63" t="s">
        <v>219</v>
      </c>
      <c r="AP95" s="62" t="s">
        <v>2749</v>
      </c>
      <c r="AQ95" s="63" t="s">
        <v>217</v>
      </c>
      <c r="AR95" s="30" t="s">
        <v>219</v>
      </c>
      <c r="AS95" s="51" t="e">
        <f>_xlfn.XLOOKUP(AP95,[2]Entities!$K:$K,[2]Entities!$K:$K)</f>
        <v>#N/A</v>
      </c>
    </row>
    <row r="96" spans="2:45" ht="21.75" customHeight="1" x14ac:dyDescent="0.45">
      <c r="B96" s="51" t="s">
        <v>99</v>
      </c>
      <c r="E96" s="52" t="s">
        <v>87</v>
      </c>
      <c r="F96" s="51" t="s">
        <v>2590</v>
      </c>
      <c r="H96" s="52" t="s">
        <v>109</v>
      </c>
      <c r="J96" s="79">
        <v>2209252000000</v>
      </c>
      <c r="L96" s="51" t="s">
        <v>2614</v>
      </c>
      <c r="M96" s="51" t="s">
        <v>2615</v>
      </c>
      <c r="N96" s="51" t="s">
        <v>2616</v>
      </c>
      <c r="O96" s="51" t="s">
        <v>1239</v>
      </c>
      <c r="P96" s="51" t="s">
        <v>1241</v>
      </c>
      <c r="Q96" s="51" t="s">
        <v>1243</v>
      </c>
      <c r="R96" s="51" t="s">
        <v>689</v>
      </c>
      <c r="S96" s="51" t="s">
        <v>689</v>
      </c>
      <c r="T96" s="51" t="s">
        <v>689</v>
      </c>
      <c r="U96" s="51" t="s">
        <v>257</v>
      </c>
      <c r="V96" s="51" t="s">
        <v>258</v>
      </c>
      <c r="W96" s="51" t="s">
        <v>259</v>
      </c>
      <c r="X96" s="51" t="s">
        <v>1240</v>
      </c>
      <c r="Y96" s="51" t="s">
        <v>1242</v>
      </c>
      <c r="Z96" s="51" t="s">
        <v>1244</v>
      </c>
      <c r="AA96" s="60">
        <v>1</v>
      </c>
      <c r="AB96" s="51" t="s">
        <v>131</v>
      </c>
      <c r="AC96" s="62">
        <v>1</v>
      </c>
      <c r="AD96" s="51" t="s">
        <v>169</v>
      </c>
      <c r="AE96" s="52" t="s">
        <v>179</v>
      </c>
      <c r="AF96" s="64"/>
      <c r="AG96" s="52" t="s">
        <v>192</v>
      </c>
      <c r="AH96" s="51" t="s">
        <v>219</v>
      </c>
      <c r="AI96" s="51" t="s">
        <v>219</v>
      </c>
      <c r="AJ96" s="51" t="s">
        <v>219</v>
      </c>
      <c r="AK96" s="51" t="s">
        <v>219</v>
      </c>
      <c r="AL96" s="51" t="s">
        <v>689</v>
      </c>
      <c r="AM96" s="51" t="s">
        <v>2432</v>
      </c>
      <c r="AN96" s="51" t="s">
        <v>214</v>
      </c>
      <c r="AO96" s="63" t="s">
        <v>219</v>
      </c>
      <c r="AP96" s="62" t="s">
        <v>2750</v>
      </c>
      <c r="AQ96" s="63" t="s">
        <v>217</v>
      </c>
      <c r="AR96" s="30" t="s">
        <v>219</v>
      </c>
      <c r="AS96" s="51" t="e">
        <f>_xlfn.XLOOKUP(AP96,[2]Entities!$K:$K,[2]Entities!$K:$K)</f>
        <v>#N/A</v>
      </c>
    </row>
    <row r="97" spans="2:45" ht="21.75" customHeight="1" x14ac:dyDescent="0.45">
      <c r="B97" s="51" t="s">
        <v>99</v>
      </c>
      <c r="E97" s="52" t="s">
        <v>87</v>
      </c>
      <c r="F97" s="51" t="s">
        <v>2590</v>
      </c>
      <c r="H97" s="52" t="s">
        <v>109</v>
      </c>
      <c r="J97" s="79">
        <v>2287161000003</v>
      </c>
      <c r="L97" s="51" t="s">
        <v>1246</v>
      </c>
      <c r="M97" s="51" t="s">
        <v>1248</v>
      </c>
      <c r="N97" s="51" t="s">
        <v>1250</v>
      </c>
      <c r="O97" s="51" t="s">
        <v>1245</v>
      </c>
      <c r="P97" s="51" t="s">
        <v>1247</v>
      </c>
      <c r="Q97" s="51" t="s">
        <v>1249</v>
      </c>
      <c r="R97" s="51" t="s">
        <v>689</v>
      </c>
      <c r="S97" s="51" t="s">
        <v>689</v>
      </c>
      <c r="T97" s="51" t="s">
        <v>689</v>
      </c>
      <c r="U97" s="51" t="s">
        <v>265</v>
      </c>
      <c r="V97" s="51" t="s">
        <v>265</v>
      </c>
      <c r="W97" s="51" t="s">
        <v>265</v>
      </c>
      <c r="X97" s="51" t="s">
        <v>1246</v>
      </c>
      <c r="Y97" s="51" t="s">
        <v>1248</v>
      </c>
      <c r="Z97" s="51" t="s">
        <v>1250</v>
      </c>
      <c r="AA97" s="60">
        <v>0.35</v>
      </c>
      <c r="AB97" s="51" t="s">
        <v>131</v>
      </c>
      <c r="AC97" s="62">
        <v>1</v>
      </c>
      <c r="AD97" s="51" t="s">
        <v>169</v>
      </c>
      <c r="AE97" s="52" t="s">
        <v>179</v>
      </c>
      <c r="AF97" s="64"/>
      <c r="AG97" s="52" t="s">
        <v>192</v>
      </c>
      <c r="AH97" s="51" t="s">
        <v>219</v>
      </c>
      <c r="AI97" s="51" t="s">
        <v>219</v>
      </c>
      <c r="AJ97" s="51" t="s">
        <v>219</v>
      </c>
      <c r="AK97" s="51" t="s">
        <v>219</v>
      </c>
      <c r="AL97" s="51" t="s">
        <v>689</v>
      </c>
      <c r="AM97" s="51" t="s">
        <v>2432</v>
      </c>
      <c r="AN97" s="51" t="s">
        <v>214</v>
      </c>
      <c r="AO97" s="63" t="s">
        <v>219</v>
      </c>
      <c r="AP97" s="62" t="s">
        <v>2751</v>
      </c>
      <c r="AQ97" s="63" t="s">
        <v>217</v>
      </c>
      <c r="AR97" s="30" t="s">
        <v>219</v>
      </c>
      <c r="AS97" s="51" t="e">
        <f>_xlfn.XLOOKUP(AP97,[2]Entities!$K:$K,[2]Entities!$K:$K)</f>
        <v>#N/A</v>
      </c>
    </row>
    <row r="98" spans="2:45" ht="21.75" customHeight="1" x14ac:dyDescent="0.45">
      <c r="B98" s="51" t="s">
        <v>99</v>
      </c>
      <c r="E98" s="52" t="s">
        <v>87</v>
      </c>
      <c r="F98" s="51" t="s">
        <v>2590</v>
      </c>
      <c r="H98" s="52" t="s">
        <v>109</v>
      </c>
      <c r="J98" s="79">
        <v>7613399051879</v>
      </c>
      <c r="L98" s="51" t="s">
        <v>1252</v>
      </c>
      <c r="M98" s="51" t="s">
        <v>1254</v>
      </c>
      <c r="N98" s="51" t="s">
        <v>1256</v>
      </c>
      <c r="O98" s="51" t="s">
        <v>1251</v>
      </c>
      <c r="P98" s="51" t="s">
        <v>1253</v>
      </c>
      <c r="Q98" s="51" t="s">
        <v>1255</v>
      </c>
      <c r="R98" s="51" t="s">
        <v>689</v>
      </c>
      <c r="S98" s="51" t="s">
        <v>689</v>
      </c>
      <c r="T98" s="51" t="s">
        <v>689</v>
      </c>
      <c r="U98" s="51" t="s">
        <v>262</v>
      </c>
      <c r="V98" s="51" t="s">
        <v>262</v>
      </c>
      <c r="W98" s="51" t="s">
        <v>262</v>
      </c>
      <c r="X98" s="51" t="s">
        <v>1252</v>
      </c>
      <c r="Y98" s="51" t="s">
        <v>1254</v>
      </c>
      <c r="Z98" s="51" t="s">
        <v>1256</v>
      </c>
      <c r="AA98" s="60">
        <v>0.4</v>
      </c>
      <c r="AB98" s="51" t="s">
        <v>131</v>
      </c>
      <c r="AC98" s="62">
        <v>1</v>
      </c>
      <c r="AD98" s="51" t="s">
        <v>169</v>
      </c>
      <c r="AE98" s="52" t="s">
        <v>179</v>
      </c>
      <c r="AF98" s="64"/>
      <c r="AG98" s="52" t="s">
        <v>192</v>
      </c>
      <c r="AH98" s="51" t="s">
        <v>219</v>
      </c>
      <c r="AI98" s="51" t="s">
        <v>219</v>
      </c>
      <c r="AJ98" s="51" t="s">
        <v>219</v>
      </c>
      <c r="AK98" s="51" t="s">
        <v>219</v>
      </c>
      <c r="AL98" s="51" t="s">
        <v>689</v>
      </c>
      <c r="AM98" s="51" t="s">
        <v>2432</v>
      </c>
      <c r="AN98" s="51" t="s">
        <v>214</v>
      </c>
      <c r="AO98" s="63" t="s">
        <v>219</v>
      </c>
      <c r="AP98" s="62" t="s">
        <v>2752</v>
      </c>
      <c r="AQ98" s="63" t="s">
        <v>217</v>
      </c>
      <c r="AR98" s="30" t="s">
        <v>219</v>
      </c>
      <c r="AS98" s="51" t="e">
        <f>_xlfn.XLOOKUP(AP98,[2]Entities!$K:$K,[2]Entities!$K:$K)</f>
        <v>#N/A</v>
      </c>
    </row>
    <row r="99" spans="2:45" ht="21.75" customHeight="1" x14ac:dyDescent="0.45">
      <c r="B99" s="51" t="s">
        <v>99</v>
      </c>
      <c r="E99" s="52" t="s">
        <v>87</v>
      </c>
      <c r="F99" s="51" t="s">
        <v>2590</v>
      </c>
      <c r="H99" s="52" t="s">
        <v>109</v>
      </c>
      <c r="J99" s="79">
        <v>2204122000001</v>
      </c>
      <c r="L99" s="51" t="s">
        <v>2617</v>
      </c>
      <c r="M99" s="51" t="s">
        <v>1260</v>
      </c>
      <c r="N99" s="51" t="s">
        <v>2618</v>
      </c>
      <c r="O99" s="51" t="s">
        <v>1257</v>
      </c>
      <c r="P99" s="51" t="s">
        <v>1259</v>
      </c>
      <c r="Q99" s="51" t="s">
        <v>1261</v>
      </c>
      <c r="R99" s="51" t="s">
        <v>763</v>
      </c>
      <c r="S99" s="51" t="s">
        <v>150</v>
      </c>
      <c r="T99" s="51" t="s">
        <v>768</v>
      </c>
      <c r="U99" s="51" t="s">
        <v>256</v>
      </c>
      <c r="V99" s="51" t="s">
        <v>256</v>
      </c>
      <c r="W99" s="51" t="s">
        <v>256</v>
      </c>
      <c r="X99" s="51" t="s">
        <v>1258</v>
      </c>
      <c r="Y99" s="51" t="s">
        <v>1260</v>
      </c>
      <c r="Z99" s="51" t="s">
        <v>1262</v>
      </c>
      <c r="AA99" s="60">
        <v>0.5</v>
      </c>
      <c r="AB99" s="51" t="s">
        <v>131</v>
      </c>
      <c r="AC99" s="62">
        <v>1</v>
      </c>
      <c r="AD99" s="51" t="s">
        <v>169</v>
      </c>
      <c r="AE99" s="52" t="s">
        <v>179</v>
      </c>
      <c r="AF99" s="64"/>
      <c r="AG99" s="52" t="s">
        <v>192</v>
      </c>
      <c r="AH99" s="51" t="s">
        <v>219</v>
      </c>
      <c r="AI99" s="51" t="s">
        <v>219</v>
      </c>
      <c r="AJ99" s="51" t="s">
        <v>219</v>
      </c>
      <c r="AK99" s="51" t="s">
        <v>219</v>
      </c>
      <c r="AL99" s="51" t="s">
        <v>689</v>
      </c>
      <c r="AM99" s="51" t="s">
        <v>2432</v>
      </c>
      <c r="AN99" s="51" t="s">
        <v>214</v>
      </c>
      <c r="AO99" s="63" t="s">
        <v>219</v>
      </c>
      <c r="AP99" s="62" t="s">
        <v>2753</v>
      </c>
      <c r="AQ99" s="63" t="s">
        <v>217</v>
      </c>
      <c r="AR99" s="30" t="s">
        <v>219</v>
      </c>
      <c r="AS99" s="51" t="e">
        <f>_xlfn.XLOOKUP(AP99,[2]Entities!$K:$K,[2]Entities!$K:$K)</f>
        <v>#N/A</v>
      </c>
    </row>
    <row r="100" spans="2:45" ht="21.75" customHeight="1" x14ac:dyDescent="0.45">
      <c r="B100" s="51" t="s">
        <v>99</v>
      </c>
      <c r="E100" s="52" t="s">
        <v>87</v>
      </c>
      <c r="F100" s="51" t="s">
        <v>2590</v>
      </c>
      <c r="H100" s="52" t="s">
        <v>109</v>
      </c>
      <c r="J100" s="79">
        <v>2203731000006</v>
      </c>
      <c r="L100" s="51" t="s">
        <v>1264</v>
      </c>
      <c r="M100" s="51" t="s">
        <v>2619</v>
      </c>
      <c r="N100" s="51" t="s">
        <v>1264</v>
      </c>
      <c r="O100" s="51" t="s">
        <v>1263</v>
      </c>
      <c r="P100" s="51" t="s">
        <v>1265</v>
      </c>
      <c r="Q100" s="51" t="s">
        <v>1263</v>
      </c>
      <c r="R100" s="51" t="s">
        <v>689</v>
      </c>
      <c r="S100" s="51" t="s">
        <v>689</v>
      </c>
      <c r="T100" s="51" t="s">
        <v>689</v>
      </c>
      <c r="U100" s="51" t="s">
        <v>256</v>
      </c>
      <c r="V100" s="51" t="s">
        <v>256</v>
      </c>
      <c r="W100" s="51" t="s">
        <v>256</v>
      </c>
      <c r="X100" s="51" t="s">
        <v>1264</v>
      </c>
      <c r="Y100" s="51" t="s">
        <v>1266</v>
      </c>
      <c r="Z100" s="51" t="s">
        <v>1264</v>
      </c>
      <c r="AA100" s="60">
        <v>0.5</v>
      </c>
      <c r="AB100" s="51" t="s">
        <v>131</v>
      </c>
      <c r="AC100" s="62">
        <v>1</v>
      </c>
      <c r="AD100" s="51" t="s">
        <v>169</v>
      </c>
      <c r="AE100" s="52" t="s">
        <v>179</v>
      </c>
      <c r="AF100" s="64"/>
      <c r="AG100" s="52" t="s">
        <v>192</v>
      </c>
      <c r="AH100" s="51" t="s">
        <v>219</v>
      </c>
      <c r="AI100" s="51" t="s">
        <v>219</v>
      </c>
      <c r="AJ100" s="51" t="s">
        <v>219</v>
      </c>
      <c r="AK100" s="51" t="s">
        <v>219</v>
      </c>
      <c r="AL100" s="51" t="s">
        <v>689</v>
      </c>
      <c r="AM100" s="51" t="s">
        <v>2432</v>
      </c>
      <c r="AN100" s="51" t="s">
        <v>214</v>
      </c>
      <c r="AO100" s="63" t="s">
        <v>219</v>
      </c>
      <c r="AP100" s="62" t="s">
        <v>2754</v>
      </c>
      <c r="AQ100" s="63" t="s">
        <v>217</v>
      </c>
      <c r="AR100" s="30" t="s">
        <v>219</v>
      </c>
      <c r="AS100" s="51" t="e">
        <f>_xlfn.XLOOKUP(AP100,[2]Entities!$K:$K,[2]Entities!$K:$K)</f>
        <v>#N/A</v>
      </c>
    </row>
    <row r="101" spans="2:45" ht="21.75" customHeight="1" x14ac:dyDescent="0.45">
      <c r="B101" s="51" t="s">
        <v>99</v>
      </c>
      <c r="E101" s="52" t="s">
        <v>87</v>
      </c>
      <c r="F101" s="51" t="s">
        <v>2590</v>
      </c>
      <c r="H101" s="52" t="s">
        <v>109</v>
      </c>
      <c r="J101" s="79">
        <v>211</v>
      </c>
      <c r="L101" s="51" t="s">
        <v>1268</v>
      </c>
      <c r="M101" s="51" t="s">
        <v>2620</v>
      </c>
      <c r="N101" s="51" t="s">
        <v>1272</v>
      </c>
      <c r="O101" s="51" t="s">
        <v>1267</v>
      </c>
      <c r="P101" s="51" t="s">
        <v>1269</v>
      </c>
      <c r="Q101" s="51" t="s">
        <v>1271</v>
      </c>
      <c r="R101" s="51" t="s">
        <v>319</v>
      </c>
      <c r="S101" s="51" t="s">
        <v>322</v>
      </c>
      <c r="T101" s="51" t="s">
        <v>308</v>
      </c>
      <c r="U101" s="51" t="s">
        <v>689</v>
      </c>
      <c r="V101" s="51" t="s">
        <v>689</v>
      </c>
      <c r="W101" s="51" t="s">
        <v>689</v>
      </c>
      <c r="X101" s="51" t="s">
        <v>1268</v>
      </c>
      <c r="Y101" s="51" t="s">
        <v>1270</v>
      </c>
      <c r="Z101" s="51" t="s">
        <v>1272</v>
      </c>
      <c r="AA101" s="60">
        <v>1</v>
      </c>
      <c r="AB101" s="51" t="s">
        <v>131</v>
      </c>
      <c r="AC101" s="62">
        <v>1</v>
      </c>
      <c r="AD101" s="51" t="s">
        <v>168</v>
      </c>
      <c r="AE101" s="52" t="s">
        <v>179</v>
      </c>
      <c r="AF101" s="64"/>
      <c r="AG101" s="52" t="s">
        <v>192</v>
      </c>
      <c r="AH101" s="51" t="s">
        <v>219</v>
      </c>
      <c r="AI101" s="51" t="s">
        <v>219</v>
      </c>
      <c r="AJ101" s="51" t="s">
        <v>219</v>
      </c>
      <c r="AK101" s="51" t="s">
        <v>219</v>
      </c>
      <c r="AL101" s="51" t="s">
        <v>689</v>
      </c>
      <c r="AM101" s="51" t="s">
        <v>2432</v>
      </c>
      <c r="AN101" s="51" t="s">
        <v>2656</v>
      </c>
      <c r="AO101" s="63" t="s">
        <v>219</v>
      </c>
      <c r="AP101" s="62" t="s">
        <v>2755</v>
      </c>
      <c r="AQ101" s="63" t="s">
        <v>217</v>
      </c>
      <c r="AR101" s="30" t="s">
        <v>219</v>
      </c>
      <c r="AS101" s="51" t="e">
        <f>_xlfn.XLOOKUP(AP101,[2]Entities!$K:$K,[2]Entities!$K:$K)</f>
        <v>#N/A</v>
      </c>
    </row>
    <row r="102" spans="2:45" ht="21.75" customHeight="1" x14ac:dyDescent="0.45">
      <c r="B102" s="51" t="s">
        <v>99</v>
      </c>
      <c r="E102" s="52" t="s">
        <v>87</v>
      </c>
      <c r="F102" s="51" t="s">
        <v>2590</v>
      </c>
      <c r="H102" s="52" t="s">
        <v>109</v>
      </c>
      <c r="J102" s="79">
        <v>2215801000007</v>
      </c>
      <c r="L102" s="51" t="s">
        <v>1273</v>
      </c>
      <c r="M102" s="51" t="s">
        <v>2621</v>
      </c>
      <c r="N102" s="51" t="s">
        <v>2622</v>
      </c>
      <c r="O102" s="51" t="s">
        <v>1267</v>
      </c>
      <c r="P102" s="51" t="s">
        <v>1269</v>
      </c>
      <c r="Q102" s="51" t="s">
        <v>1271</v>
      </c>
      <c r="R102" s="51" t="s">
        <v>763</v>
      </c>
      <c r="S102" s="51" t="s">
        <v>150</v>
      </c>
      <c r="T102" s="51" t="s">
        <v>768</v>
      </c>
      <c r="U102" s="51" t="s">
        <v>256</v>
      </c>
      <c r="V102" s="51" t="s">
        <v>256</v>
      </c>
      <c r="W102" s="51" t="s">
        <v>256</v>
      </c>
      <c r="X102" s="51" t="s">
        <v>1273</v>
      </c>
      <c r="Y102" s="51" t="s">
        <v>1274</v>
      </c>
      <c r="Z102" s="51" t="s">
        <v>1275</v>
      </c>
      <c r="AA102" s="60">
        <v>0.5</v>
      </c>
      <c r="AB102" s="51" t="s">
        <v>131</v>
      </c>
      <c r="AC102" s="62">
        <v>1</v>
      </c>
      <c r="AD102" s="51" t="s">
        <v>169</v>
      </c>
      <c r="AE102" s="52" t="s">
        <v>179</v>
      </c>
      <c r="AF102" s="64"/>
      <c r="AG102" s="52" t="s">
        <v>192</v>
      </c>
      <c r="AH102" s="51" t="s">
        <v>219</v>
      </c>
      <c r="AI102" s="51" t="s">
        <v>219</v>
      </c>
      <c r="AJ102" s="51" t="s">
        <v>219</v>
      </c>
      <c r="AK102" s="51" t="s">
        <v>219</v>
      </c>
      <c r="AL102" s="51" t="s">
        <v>689</v>
      </c>
      <c r="AM102" s="51" t="s">
        <v>2432</v>
      </c>
      <c r="AN102" s="51" t="s">
        <v>214</v>
      </c>
      <c r="AO102" s="63" t="s">
        <v>219</v>
      </c>
      <c r="AP102" s="62" t="s">
        <v>2756</v>
      </c>
      <c r="AQ102" s="63" t="s">
        <v>217</v>
      </c>
      <c r="AR102" s="30" t="s">
        <v>219</v>
      </c>
      <c r="AS102" s="51" t="e">
        <f>_xlfn.XLOOKUP(AP102,[2]Entities!$K:$K,[2]Entities!$K:$K)</f>
        <v>#N/A</v>
      </c>
    </row>
    <row r="103" spans="2:45" ht="21.75" customHeight="1" x14ac:dyDescent="0.45">
      <c r="B103" s="51" t="s">
        <v>99</v>
      </c>
      <c r="E103" s="52" t="s">
        <v>87</v>
      </c>
      <c r="F103" s="51" t="s">
        <v>2590</v>
      </c>
      <c r="H103" s="52" t="s">
        <v>109</v>
      </c>
      <c r="J103" s="79">
        <v>204</v>
      </c>
      <c r="L103" s="51" t="s">
        <v>1277</v>
      </c>
      <c r="M103" s="51" t="s">
        <v>2623</v>
      </c>
      <c r="N103" s="51" t="s">
        <v>2624</v>
      </c>
      <c r="O103" s="51" t="s">
        <v>1276</v>
      </c>
      <c r="P103" s="51" t="s">
        <v>1278</v>
      </c>
      <c r="Q103" s="51" t="s">
        <v>1280</v>
      </c>
      <c r="R103" s="51" t="s">
        <v>319</v>
      </c>
      <c r="S103" s="51" t="s">
        <v>322</v>
      </c>
      <c r="T103" s="51" t="s">
        <v>308</v>
      </c>
      <c r="U103" s="51" t="s">
        <v>689</v>
      </c>
      <c r="V103" s="51" t="s">
        <v>689</v>
      </c>
      <c r="W103" s="51" t="s">
        <v>689</v>
      </c>
      <c r="X103" s="51" t="s">
        <v>1277</v>
      </c>
      <c r="Y103" s="51" t="s">
        <v>1279</v>
      </c>
      <c r="Z103" s="51" t="s">
        <v>1281</v>
      </c>
      <c r="AA103" s="60">
        <v>1</v>
      </c>
      <c r="AB103" s="51" t="s">
        <v>131</v>
      </c>
      <c r="AC103" s="62">
        <v>1</v>
      </c>
      <c r="AD103" s="51" t="s">
        <v>168</v>
      </c>
      <c r="AE103" s="52" t="s">
        <v>179</v>
      </c>
      <c r="AF103" s="64"/>
      <c r="AG103" s="52" t="s">
        <v>192</v>
      </c>
      <c r="AH103" s="51" t="s">
        <v>219</v>
      </c>
      <c r="AI103" s="51" t="s">
        <v>219</v>
      </c>
      <c r="AJ103" s="51" t="s">
        <v>219</v>
      </c>
      <c r="AK103" s="51" t="s">
        <v>219</v>
      </c>
      <c r="AL103" s="51" t="s">
        <v>689</v>
      </c>
      <c r="AM103" s="51" t="s">
        <v>2432</v>
      </c>
      <c r="AN103" s="51" t="s">
        <v>2656</v>
      </c>
      <c r="AO103" s="63" t="s">
        <v>219</v>
      </c>
      <c r="AP103" s="62" t="s">
        <v>2757</v>
      </c>
      <c r="AQ103" s="63" t="s">
        <v>217</v>
      </c>
      <c r="AR103" s="30" t="s">
        <v>219</v>
      </c>
      <c r="AS103" s="51" t="e">
        <f>_xlfn.XLOOKUP(AP103,[2]Entities!$K:$K,[2]Entities!$K:$K)</f>
        <v>#N/A</v>
      </c>
    </row>
    <row r="104" spans="2:45" ht="21.75" customHeight="1" x14ac:dyDescent="0.45">
      <c r="B104" s="51" t="s">
        <v>99</v>
      </c>
      <c r="E104" s="52" t="s">
        <v>87</v>
      </c>
      <c r="F104" s="51" t="s">
        <v>2590</v>
      </c>
      <c r="H104" s="52" t="s">
        <v>109</v>
      </c>
      <c r="J104" s="79">
        <v>205</v>
      </c>
      <c r="L104" s="51" t="s">
        <v>2625</v>
      </c>
      <c r="M104" s="51" t="s">
        <v>2626</v>
      </c>
      <c r="N104" s="51" t="s">
        <v>2627</v>
      </c>
      <c r="O104" s="51" t="s">
        <v>1282</v>
      </c>
      <c r="P104" s="51" t="s">
        <v>1284</v>
      </c>
      <c r="Q104" s="51" t="s">
        <v>1286</v>
      </c>
      <c r="R104" s="51" t="s">
        <v>319</v>
      </c>
      <c r="S104" s="51" t="s">
        <v>322</v>
      </c>
      <c r="T104" s="51" t="s">
        <v>308</v>
      </c>
      <c r="U104" s="51" t="s">
        <v>689</v>
      </c>
      <c r="V104" s="51" t="s">
        <v>689</v>
      </c>
      <c r="W104" s="51" t="s">
        <v>689</v>
      </c>
      <c r="X104" s="51" t="s">
        <v>1283</v>
      </c>
      <c r="Y104" s="51" t="s">
        <v>1285</v>
      </c>
      <c r="Z104" s="51" t="s">
        <v>1287</v>
      </c>
      <c r="AA104" s="60">
        <v>1</v>
      </c>
      <c r="AB104" s="51" t="s">
        <v>131</v>
      </c>
      <c r="AC104" s="62">
        <v>1</v>
      </c>
      <c r="AD104" s="51" t="s">
        <v>168</v>
      </c>
      <c r="AE104" s="52" t="s">
        <v>179</v>
      </c>
      <c r="AF104" s="64"/>
      <c r="AG104" s="52" t="s">
        <v>192</v>
      </c>
      <c r="AH104" s="51" t="s">
        <v>219</v>
      </c>
      <c r="AI104" s="51" t="s">
        <v>219</v>
      </c>
      <c r="AJ104" s="51" t="s">
        <v>219</v>
      </c>
      <c r="AK104" s="51" t="s">
        <v>219</v>
      </c>
      <c r="AL104" s="51" t="s">
        <v>689</v>
      </c>
      <c r="AM104" s="51" t="s">
        <v>2432</v>
      </c>
      <c r="AN104" s="51" t="s">
        <v>2656</v>
      </c>
      <c r="AO104" s="63" t="s">
        <v>219</v>
      </c>
      <c r="AP104" s="62" t="s">
        <v>2758</v>
      </c>
      <c r="AQ104" s="63" t="s">
        <v>217</v>
      </c>
      <c r="AR104" s="30" t="s">
        <v>219</v>
      </c>
      <c r="AS104" s="51" t="e">
        <f>_xlfn.XLOOKUP(AP104,[2]Entities!$K:$K,[2]Entities!$K:$K)</f>
        <v>#N/A</v>
      </c>
    </row>
    <row r="105" spans="2:45" ht="21.75" customHeight="1" x14ac:dyDescent="0.45">
      <c r="B105" s="51" t="s">
        <v>99</v>
      </c>
      <c r="E105" s="52" t="s">
        <v>87</v>
      </c>
      <c r="F105" s="51" t="s">
        <v>2590</v>
      </c>
      <c r="H105" s="52" t="s">
        <v>109</v>
      </c>
      <c r="J105" s="79">
        <v>7630178298935</v>
      </c>
      <c r="L105" s="51" t="s">
        <v>2628</v>
      </c>
      <c r="M105" s="51" t="s">
        <v>2629</v>
      </c>
      <c r="N105" s="51" t="s">
        <v>2630</v>
      </c>
      <c r="O105" s="51" t="s">
        <v>1282</v>
      </c>
      <c r="P105" s="51" t="s">
        <v>1284</v>
      </c>
      <c r="Q105" s="51" t="s">
        <v>1286</v>
      </c>
      <c r="R105" s="51" t="s">
        <v>1288</v>
      </c>
      <c r="S105" s="51" t="s">
        <v>1290</v>
      </c>
      <c r="T105" s="51" t="s">
        <v>1292</v>
      </c>
      <c r="U105" s="51" t="s">
        <v>260</v>
      </c>
      <c r="V105" s="51" t="s">
        <v>260</v>
      </c>
      <c r="W105" s="51" t="s">
        <v>260</v>
      </c>
      <c r="X105" s="51" t="s">
        <v>1289</v>
      </c>
      <c r="Y105" s="51" t="s">
        <v>1291</v>
      </c>
      <c r="Z105" s="51" t="s">
        <v>1293</v>
      </c>
      <c r="AA105" s="60">
        <v>0.3</v>
      </c>
      <c r="AB105" s="51" t="s">
        <v>130</v>
      </c>
      <c r="AC105" s="62">
        <v>100</v>
      </c>
      <c r="AD105" s="51" t="s">
        <v>169</v>
      </c>
      <c r="AE105" s="52" t="s">
        <v>179</v>
      </c>
      <c r="AF105" s="64"/>
      <c r="AG105" s="52" t="s">
        <v>192</v>
      </c>
      <c r="AH105" s="51" t="s">
        <v>219</v>
      </c>
      <c r="AI105" s="51" t="s">
        <v>219</v>
      </c>
      <c r="AJ105" s="51" t="s">
        <v>219</v>
      </c>
      <c r="AK105" s="51" t="s">
        <v>219</v>
      </c>
      <c r="AL105" s="51" t="s">
        <v>689</v>
      </c>
      <c r="AM105" s="51" t="s">
        <v>2432</v>
      </c>
      <c r="AN105" s="51" t="s">
        <v>214</v>
      </c>
      <c r="AO105" s="63" t="s">
        <v>219</v>
      </c>
      <c r="AP105" s="62" t="s">
        <v>2759</v>
      </c>
      <c r="AQ105" s="63" t="s">
        <v>217</v>
      </c>
      <c r="AR105" s="30" t="s">
        <v>219</v>
      </c>
      <c r="AS105" s="51" t="e">
        <f>_xlfn.XLOOKUP(AP105,[2]Entities!$K:$K,[2]Entities!$K:$K)</f>
        <v>#N/A</v>
      </c>
    </row>
    <row r="106" spans="2:45" ht="21.75" customHeight="1" x14ac:dyDescent="0.45">
      <c r="B106" s="51" t="s">
        <v>99</v>
      </c>
      <c r="E106" s="52" t="s">
        <v>87</v>
      </c>
      <c r="F106" s="51" t="s">
        <v>2590</v>
      </c>
      <c r="H106" s="52" t="s">
        <v>109</v>
      </c>
      <c r="J106" s="79">
        <v>7613399005711</v>
      </c>
      <c r="L106" s="51" t="s">
        <v>2654</v>
      </c>
      <c r="M106" s="51" t="s">
        <v>2631</v>
      </c>
      <c r="N106" s="51" t="s">
        <v>2632</v>
      </c>
      <c r="O106" s="51" t="s">
        <v>1294</v>
      </c>
      <c r="P106" s="51" t="s">
        <v>1297</v>
      </c>
      <c r="Q106" s="51" t="s">
        <v>1300</v>
      </c>
      <c r="R106" s="51" t="s">
        <v>1295</v>
      </c>
      <c r="S106" s="51" t="s">
        <v>1298</v>
      </c>
      <c r="T106" s="51" t="s">
        <v>1301</v>
      </c>
      <c r="U106" s="51" t="s">
        <v>271</v>
      </c>
      <c r="V106" s="51" t="s">
        <v>271</v>
      </c>
      <c r="W106" s="51" t="s">
        <v>271</v>
      </c>
      <c r="X106" s="51" t="s">
        <v>1296</v>
      </c>
      <c r="Y106" s="51" t="s">
        <v>1299</v>
      </c>
      <c r="Z106" s="51" t="s">
        <v>1302</v>
      </c>
      <c r="AA106" s="60">
        <v>0.2</v>
      </c>
      <c r="AB106" s="51" t="s">
        <v>130</v>
      </c>
      <c r="AC106" s="62">
        <v>100</v>
      </c>
      <c r="AD106" s="51" t="s">
        <v>169</v>
      </c>
      <c r="AE106" s="52" t="s">
        <v>179</v>
      </c>
      <c r="AF106" s="64"/>
      <c r="AG106" s="52" t="s">
        <v>192</v>
      </c>
      <c r="AH106" s="51" t="s">
        <v>219</v>
      </c>
      <c r="AI106" s="51" t="s">
        <v>219</v>
      </c>
      <c r="AJ106" s="51" t="s">
        <v>219</v>
      </c>
      <c r="AK106" s="51" t="s">
        <v>219</v>
      </c>
      <c r="AL106" s="51" t="s">
        <v>689</v>
      </c>
      <c r="AM106" s="51" t="s">
        <v>2432</v>
      </c>
      <c r="AN106" s="51" t="s">
        <v>214</v>
      </c>
      <c r="AO106" s="63" t="s">
        <v>219</v>
      </c>
      <c r="AP106" s="62" t="s">
        <v>2760</v>
      </c>
      <c r="AQ106" s="63" t="s">
        <v>217</v>
      </c>
      <c r="AR106" s="30" t="s">
        <v>219</v>
      </c>
      <c r="AS106" s="51" t="e">
        <f>_xlfn.XLOOKUP(AP106,[2]Entities!$K:$K,[2]Entities!$K:$K)</f>
        <v>#N/A</v>
      </c>
    </row>
    <row r="107" spans="2:45" ht="21.75" customHeight="1" x14ac:dyDescent="0.45">
      <c r="B107" s="51" t="s">
        <v>99</v>
      </c>
      <c r="E107" s="52" t="s">
        <v>87</v>
      </c>
      <c r="F107" s="51" t="s">
        <v>2590</v>
      </c>
      <c r="H107" s="52" t="s">
        <v>109</v>
      </c>
      <c r="J107" s="79">
        <v>7613399005728</v>
      </c>
      <c r="L107" s="51" t="s">
        <v>2655</v>
      </c>
      <c r="M107" s="51" t="s">
        <v>2633</v>
      </c>
      <c r="N107" s="51" t="s">
        <v>2634</v>
      </c>
      <c r="O107" s="51" t="s">
        <v>1294</v>
      </c>
      <c r="P107" s="51" t="s">
        <v>1297</v>
      </c>
      <c r="Q107" s="51" t="s">
        <v>1300</v>
      </c>
      <c r="R107" s="51" t="s">
        <v>1303</v>
      </c>
      <c r="S107" s="51" t="s">
        <v>1305</v>
      </c>
      <c r="T107" s="51" t="s">
        <v>1307</v>
      </c>
      <c r="U107" s="51" t="s">
        <v>260</v>
      </c>
      <c r="V107" s="51" t="s">
        <v>260</v>
      </c>
      <c r="W107" s="51" t="s">
        <v>260</v>
      </c>
      <c r="X107" s="51" t="s">
        <v>1304</v>
      </c>
      <c r="Y107" s="51" t="s">
        <v>1306</v>
      </c>
      <c r="Z107" s="51" t="s">
        <v>1308</v>
      </c>
      <c r="AA107" s="60">
        <v>0.3</v>
      </c>
      <c r="AB107" s="51" t="s">
        <v>130</v>
      </c>
      <c r="AC107" s="62">
        <v>100</v>
      </c>
      <c r="AD107" s="51" t="s">
        <v>169</v>
      </c>
      <c r="AE107" s="52" t="s">
        <v>179</v>
      </c>
      <c r="AF107" s="64"/>
      <c r="AG107" s="52" t="s">
        <v>192</v>
      </c>
      <c r="AH107" s="51" t="s">
        <v>219</v>
      </c>
      <c r="AI107" s="51" t="s">
        <v>219</v>
      </c>
      <c r="AJ107" s="51" t="s">
        <v>219</v>
      </c>
      <c r="AK107" s="51" t="s">
        <v>219</v>
      </c>
      <c r="AL107" s="51" t="s">
        <v>689</v>
      </c>
      <c r="AM107" s="51" t="s">
        <v>2432</v>
      </c>
      <c r="AN107" s="51" t="s">
        <v>214</v>
      </c>
      <c r="AO107" s="63" t="s">
        <v>219</v>
      </c>
      <c r="AP107" s="62" t="s">
        <v>2761</v>
      </c>
      <c r="AQ107" s="63" t="s">
        <v>217</v>
      </c>
      <c r="AR107" s="30" t="s">
        <v>219</v>
      </c>
      <c r="AS107" s="51" t="e">
        <f>_xlfn.XLOOKUP(AP107,[2]Entities!$K:$K,[2]Entities!$K:$K)</f>
        <v>#N/A</v>
      </c>
    </row>
    <row r="108" spans="2:45" ht="21.75" customHeight="1" x14ac:dyDescent="0.45">
      <c r="B108" s="51" t="s">
        <v>99</v>
      </c>
      <c r="E108" s="52" t="s">
        <v>87</v>
      </c>
      <c r="F108" s="51" t="s">
        <v>2590</v>
      </c>
      <c r="H108" s="52" t="s">
        <v>109</v>
      </c>
      <c r="J108" s="79">
        <v>215</v>
      </c>
      <c r="L108" s="51" t="s">
        <v>2423</v>
      </c>
      <c r="M108" s="51" t="s">
        <v>2635</v>
      </c>
      <c r="N108" s="51" t="s">
        <v>1313</v>
      </c>
      <c r="O108" s="51" t="s">
        <v>1309</v>
      </c>
      <c r="P108" s="51" t="s">
        <v>1310</v>
      </c>
      <c r="Q108" s="51" t="s">
        <v>1312</v>
      </c>
      <c r="R108" s="51" t="s">
        <v>319</v>
      </c>
      <c r="S108" s="51" t="s">
        <v>322</v>
      </c>
      <c r="T108" s="51" t="s">
        <v>308</v>
      </c>
      <c r="U108" s="51" t="s">
        <v>689</v>
      </c>
      <c r="V108" s="51" t="s">
        <v>689</v>
      </c>
      <c r="W108" s="51" t="s">
        <v>689</v>
      </c>
      <c r="X108" s="51" t="s">
        <v>2423</v>
      </c>
      <c r="Y108" s="51" t="s">
        <v>1311</v>
      </c>
      <c r="Z108" s="51" t="s">
        <v>1313</v>
      </c>
      <c r="AA108" s="60">
        <v>1</v>
      </c>
      <c r="AB108" s="51" t="s">
        <v>131</v>
      </c>
      <c r="AC108" s="62">
        <v>1</v>
      </c>
      <c r="AD108" s="51" t="s">
        <v>168</v>
      </c>
      <c r="AE108" s="52" t="s">
        <v>179</v>
      </c>
      <c r="AF108" s="64"/>
      <c r="AG108" s="52" t="s">
        <v>192</v>
      </c>
      <c r="AH108" s="51" t="s">
        <v>219</v>
      </c>
      <c r="AI108" s="51" t="s">
        <v>219</v>
      </c>
      <c r="AJ108" s="51" t="s">
        <v>219</v>
      </c>
      <c r="AK108" s="51" t="s">
        <v>219</v>
      </c>
      <c r="AL108" s="51" t="s">
        <v>689</v>
      </c>
      <c r="AM108" s="51" t="s">
        <v>2432</v>
      </c>
      <c r="AN108" s="51" t="s">
        <v>2656</v>
      </c>
      <c r="AO108" s="63" t="s">
        <v>219</v>
      </c>
      <c r="AP108" s="62" t="s">
        <v>2762</v>
      </c>
      <c r="AQ108" s="63" t="s">
        <v>217</v>
      </c>
      <c r="AR108" s="30" t="s">
        <v>219</v>
      </c>
      <c r="AS108" s="51" t="e">
        <f>_xlfn.XLOOKUP(AP108,[2]Entities!$K:$K,[2]Entities!$K:$K)</f>
        <v>#N/A</v>
      </c>
    </row>
    <row r="109" spans="2:45" ht="21.75" customHeight="1" x14ac:dyDescent="0.45">
      <c r="B109" s="51" t="s">
        <v>99</v>
      </c>
      <c r="E109" s="52" t="s">
        <v>87</v>
      </c>
      <c r="F109" s="51" t="s">
        <v>2590</v>
      </c>
      <c r="H109" s="52" t="s">
        <v>109</v>
      </c>
      <c r="J109" s="79">
        <v>2203769000000</v>
      </c>
      <c r="L109" s="51" t="s">
        <v>2636</v>
      </c>
      <c r="M109" s="51" t="s">
        <v>2637</v>
      </c>
      <c r="N109" s="51" t="s">
        <v>2638</v>
      </c>
      <c r="O109" s="51" t="s">
        <v>1314</v>
      </c>
      <c r="P109" s="51" t="s">
        <v>1316</v>
      </c>
      <c r="Q109" s="51" t="s">
        <v>1318</v>
      </c>
      <c r="R109" s="51" t="s">
        <v>689</v>
      </c>
      <c r="S109" s="51" t="s">
        <v>689</v>
      </c>
      <c r="T109" s="51" t="s">
        <v>689</v>
      </c>
      <c r="U109" s="51" t="s">
        <v>257</v>
      </c>
      <c r="V109" s="51" t="s">
        <v>258</v>
      </c>
      <c r="W109" s="51" t="s">
        <v>259</v>
      </c>
      <c r="X109" s="51" t="s">
        <v>1315</v>
      </c>
      <c r="Y109" s="51" t="s">
        <v>1317</v>
      </c>
      <c r="Z109" s="51" t="s">
        <v>1319</v>
      </c>
      <c r="AA109" s="60">
        <v>1</v>
      </c>
      <c r="AB109" s="51" t="s">
        <v>131</v>
      </c>
      <c r="AC109" s="62">
        <v>1</v>
      </c>
      <c r="AD109" s="51" t="s">
        <v>169</v>
      </c>
      <c r="AE109" s="52" t="s">
        <v>179</v>
      </c>
      <c r="AF109" s="64"/>
      <c r="AG109" s="52" t="s">
        <v>192</v>
      </c>
      <c r="AH109" s="51" t="s">
        <v>219</v>
      </c>
      <c r="AI109" s="51" t="s">
        <v>219</v>
      </c>
      <c r="AJ109" s="51" t="s">
        <v>219</v>
      </c>
      <c r="AK109" s="51" t="s">
        <v>219</v>
      </c>
      <c r="AL109" s="51" t="s">
        <v>689</v>
      </c>
      <c r="AM109" s="51" t="s">
        <v>2432</v>
      </c>
      <c r="AN109" s="51" t="s">
        <v>214</v>
      </c>
      <c r="AO109" s="63" t="s">
        <v>219</v>
      </c>
      <c r="AP109" s="62" t="s">
        <v>2763</v>
      </c>
      <c r="AQ109" s="63" t="s">
        <v>217</v>
      </c>
      <c r="AR109" s="30" t="s">
        <v>219</v>
      </c>
      <c r="AS109" s="51" t="e">
        <f>_xlfn.XLOOKUP(AP109,[2]Entities!$K:$K,[2]Entities!$K:$K)</f>
        <v>#N/A</v>
      </c>
    </row>
    <row r="110" spans="2:45" ht="21.75" customHeight="1" x14ac:dyDescent="0.45">
      <c r="B110" s="51" t="s">
        <v>99</v>
      </c>
      <c r="E110" s="52" t="s">
        <v>87</v>
      </c>
      <c r="F110" s="51" t="s">
        <v>2590</v>
      </c>
      <c r="H110" s="52" t="s">
        <v>109</v>
      </c>
      <c r="J110" s="79"/>
      <c r="L110" s="51" t="s">
        <v>1320</v>
      </c>
      <c r="M110" s="51" t="s">
        <v>1321</v>
      </c>
      <c r="N110" s="51" t="s">
        <v>1322</v>
      </c>
      <c r="O110" s="51" t="s">
        <v>2424</v>
      </c>
      <c r="P110" s="51" t="s">
        <v>2425</v>
      </c>
      <c r="Q110" s="51" t="s">
        <v>2426</v>
      </c>
      <c r="R110" s="51" t="s">
        <v>689</v>
      </c>
      <c r="S110" s="51" t="s">
        <v>689</v>
      </c>
      <c r="T110" s="51" t="s">
        <v>689</v>
      </c>
      <c r="U110" s="51" t="s">
        <v>253</v>
      </c>
      <c r="V110" s="51" t="s">
        <v>253</v>
      </c>
      <c r="W110" s="51" t="s">
        <v>253</v>
      </c>
      <c r="X110" s="51" t="s">
        <v>1320</v>
      </c>
      <c r="Y110" s="51" t="s">
        <v>1321</v>
      </c>
      <c r="Z110" s="51" t="s">
        <v>1322</v>
      </c>
      <c r="AA110" s="60">
        <v>0.25</v>
      </c>
      <c r="AB110" s="51" t="s">
        <v>130</v>
      </c>
      <c r="AC110" s="62">
        <v>100</v>
      </c>
      <c r="AD110" s="51" t="s">
        <v>169</v>
      </c>
      <c r="AE110" s="52" t="s">
        <v>179</v>
      </c>
      <c r="AF110" s="64"/>
      <c r="AG110" s="52" t="s">
        <v>192</v>
      </c>
      <c r="AH110" s="51" t="s">
        <v>219</v>
      </c>
      <c r="AI110" s="51" t="s">
        <v>219</v>
      </c>
      <c r="AJ110" s="51" t="s">
        <v>219</v>
      </c>
      <c r="AK110" s="51" t="s">
        <v>219</v>
      </c>
      <c r="AL110" s="51" t="s">
        <v>689</v>
      </c>
      <c r="AM110" s="51" t="s">
        <v>2432</v>
      </c>
      <c r="AN110" s="51" t="s">
        <v>2433</v>
      </c>
      <c r="AO110" s="63" t="s">
        <v>219</v>
      </c>
      <c r="AP110" s="62" t="s">
        <v>2764</v>
      </c>
      <c r="AQ110" s="63" t="s">
        <v>217</v>
      </c>
      <c r="AR110" s="30" t="s">
        <v>219</v>
      </c>
      <c r="AS110" s="51" t="e">
        <f>_xlfn.XLOOKUP(AP110,[2]Entities!$K:$K,[2]Entities!$K:$K)</f>
        <v>#N/A</v>
      </c>
    </row>
    <row r="111" spans="2:45" ht="21.75" customHeight="1" x14ac:dyDescent="0.45">
      <c r="B111" s="51" t="s">
        <v>99</v>
      </c>
      <c r="E111" s="52" t="s">
        <v>87</v>
      </c>
      <c r="F111" s="51" t="s">
        <v>2590</v>
      </c>
      <c r="H111" s="52" t="s">
        <v>109</v>
      </c>
      <c r="J111" s="79"/>
      <c r="L111" s="51" t="s">
        <v>1323</v>
      </c>
      <c r="M111" s="51" t="s">
        <v>1324</v>
      </c>
      <c r="N111" s="51" t="s">
        <v>1325</v>
      </c>
      <c r="O111" s="51" t="s">
        <v>2424</v>
      </c>
      <c r="P111" s="51" t="s">
        <v>2425</v>
      </c>
      <c r="Q111" s="51" t="s">
        <v>2426</v>
      </c>
      <c r="R111" s="51" t="s">
        <v>689</v>
      </c>
      <c r="S111" s="51" t="s">
        <v>689</v>
      </c>
      <c r="T111" s="51" t="s">
        <v>689</v>
      </c>
      <c r="U111" s="51" t="s">
        <v>260</v>
      </c>
      <c r="V111" s="51" t="s">
        <v>260</v>
      </c>
      <c r="W111" s="51" t="s">
        <v>260</v>
      </c>
      <c r="X111" s="51" t="s">
        <v>1323</v>
      </c>
      <c r="Y111" s="51" t="s">
        <v>1324</v>
      </c>
      <c r="Z111" s="51" t="s">
        <v>1325</v>
      </c>
      <c r="AA111" s="60">
        <v>0.3</v>
      </c>
      <c r="AB111" s="51" t="s">
        <v>130</v>
      </c>
      <c r="AC111" s="62">
        <v>100</v>
      </c>
      <c r="AD111" s="51" t="s">
        <v>169</v>
      </c>
      <c r="AE111" s="52" t="s">
        <v>179</v>
      </c>
      <c r="AF111" s="64"/>
      <c r="AG111" s="52" t="s">
        <v>192</v>
      </c>
      <c r="AH111" s="51" t="s">
        <v>219</v>
      </c>
      <c r="AI111" s="51" t="s">
        <v>219</v>
      </c>
      <c r="AJ111" s="51" t="s">
        <v>219</v>
      </c>
      <c r="AK111" s="51" t="s">
        <v>219</v>
      </c>
      <c r="AL111" s="51" t="s">
        <v>689</v>
      </c>
      <c r="AM111" s="51" t="s">
        <v>2432</v>
      </c>
      <c r="AN111" s="51" t="s">
        <v>2433</v>
      </c>
      <c r="AO111" s="63" t="s">
        <v>219</v>
      </c>
      <c r="AP111" s="62" t="s">
        <v>2765</v>
      </c>
      <c r="AQ111" s="63" t="s">
        <v>217</v>
      </c>
      <c r="AR111" s="30" t="s">
        <v>219</v>
      </c>
      <c r="AS111" s="51" t="e">
        <f>_xlfn.XLOOKUP(AP111,[2]Entities!$K:$K,[2]Entities!$K:$K)</f>
        <v>#N/A</v>
      </c>
    </row>
    <row r="112" spans="2:45" ht="21.75" customHeight="1" x14ac:dyDescent="0.45">
      <c r="B112" s="51" t="s">
        <v>99</v>
      </c>
      <c r="E112" s="52" t="s">
        <v>87</v>
      </c>
      <c r="F112" s="51" t="s">
        <v>2590</v>
      </c>
      <c r="H112" s="52" t="s">
        <v>109</v>
      </c>
      <c r="J112" s="79">
        <v>2285971000000</v>
      </c>
      <c r="L112" s="51" t="s">
        <v>1327</v>
      </c>
      <c r="M112" s="51" t="s">
        <v>2639</v>
      </c>
      <c r="N112" s="51" t="s">
        <v>1332</v>
      </c>
      <c r="O112" s="51" t="s">
        <v>1326</v>
      </c>
      <c r="P112" s="51" t="s">
        <v>1328</v>
      </c>
      <c r="Q112" s="51" t="s">
        <v>1331</v>
      </c>
      <c r="R112" s="51" t="s">
        <v>293</v>
      </c>
      <c r="S112" s="51" t="s">
        <v>1329</v>
      </c>
      <c r="T112" s="51" t="s">
        <v>295</v>
      </c>
      <c r="U112" s="51" t="s">
        <v>689</v>
      </c>
      <c r="V112" s="51" t="s">
        <v>689</v>
      </c>
      <c r="W112" s="51" t="s">
        <v>689</v>
      </c>
      <c r="X112" s="51" t="s">
        <v>1327</v>
      </c>
      <c r="Y112" s="51" t="s">
        <v>1330</v>
      </c>
      <c r="Z112" s="51" t="s">
        <v>1332</v>
      </c>
      <c r="AA112" s="60">
        <v>1</v>
      </c>
      <c r="AB112" s="51" t="s">
        <v>131</v>
      </c>
      <c r="AC112" s="62">
        <v>1</v>
      </c>
      <c r="AD112" s="51" t="s">
        <v>169</v>
      </c>
      <c r="AE112" s="52" t="s">
        <v>179</v>
      </c>
      <c r="AF112" s="64"/>
      <c r="AG112" s="52" t="s">
        <v>192</v>
      </c>
      <c r="AH112" s="51" t="s">
        <v>219</v>
      </c>
      <c r="AI112" s="51" t="s">
        <v>219</v>
      </c>
      <c r="AJ112" s="51" t="s">
        <v>219</v>
      </c>
      <c r="AK112" s="51" t="s">
        <v>219</v>
      </c>
      <c r="AL112" s="51" t="s">
        <v>689</v>
      </c>
      <c r="AM112" s="51" t="s">
        <v>2432</v>
      </c>
      <c r="AN112" s="51" t="s">
        <v>214</v>
      </c>
      <c r="AO112" s="63" t="s">
        <v>219</v>
      </c>
      <c r="AP112" s="62" t="s">
        <v>2766</v>
      </c>
      <c r="AQ112" s="63" t="s">
        <v>217</v>
      </c>
      <c r="AR112" s="30" t="s">
        <v>219</v>
      </c>
      <c r="AS112" s="51" t="e">
        <f>_xlfn.XLOOKUP(AP112,[2]Entities!$K:$K,[2]Entities!$K:$K)</f>
        <v>#N/A</v>
      </c>
    </row>
    <row r="113" spans="2:45" ht="21.75" customHeight="1" x14ac:dyDescent="0.45">
      <c r="B113" s="51" t="s">
        <v>99</v>
      </c>
      <c r="E113" s="52" t="s">
        <v>87</v>
      </c>
      <c r="F113" s="51" t="s">
        <v>2590</v>
      </c>
      <c r="H113" s="52" t="s">
        <v>109</v>
      </c>
      <c r="J113" s="79">
        <v>216</v>
      </c>
      <c r="L113" s="51" t="s">
        <v>1334</v>
      </c>
      <c r="M113" s="51" t="s">
        <v>2640</v>
      </c>
      <c r="N113" s="51" t="s">
        <v>1337</v>
      </c>
      <c r="O113" s="51" t="s">
        <v>1333</v>
      </c>
      <c r="P113" s="51" t="s">
        <v>1333</v>
      </c>
      <c r="Q113" s="51" t="s">
        <v>1336</v>
      </c>
      <c r="R113" s="51" t="s">
        <v>319</v>
      </c>
      <c r="S113" s="51" t="s">
        <v>322</v>
      </c>
      <c r="T113" s="51" t="s">
        <v>308</v>
      </c>
      <c r="U113" s="51" t="s">
        <v>689</v>
      </c>
      <c r="V113" s="51" t="s">
        <v>689</v>
      </c>
      <c r="W113" s="51" t="s">
        <v>689</v>
      </c>
      <c r="X113" s="51" t="s">
        <v>1334</v>
      </c>
      <c r="Y113" s="51" t="s">
        <v>1335</v>
      </c>
      <c r="Z113" s="51" t="s">
        <v>1337</v>
      </c>
      <c r="AA113" s="60">
        <v>1</v>
      </c>
      <c r="AB113" s="51" t="s">
        <v>131</v>
      </c>
      <c r="AC113" s="62">
        <v>1</v>
      </c>
      <c r="AD113" s="51" t="s">
        <v>168</v>
      </c>
      <c r="AE113" s="52" t="s">
        <v>179</v>
      </c>
      <c r="AF113" s="64"/>
      <c r="AG113" s="52" t="s">
        <v>192</v>
      </c>
      <c r="AH113" s="51" t="s">
        <v>219</v>
      </c>
      <c r="AI113" s="51" t="s">
        <v>219</v>
      </c>
      <c r="AJ113" s="51" t="s">
        <v>219</v>
      </c>
      <c r="AK113" s="51" t="s">
        <v>219</v>
      </c>
      <c r="AL113" s="51" t="s">
        <v>689</v>
      </c>
      <c r="AM113" s="51" t="s">
        <v>2432</v>
      </c>
      <c r="AN113" s="51" t="s">
        <v>2656</v>
      </c>
      <c r="AO113" s="63" t="s">
        <v>219</v>
      </c>
      <c r="AP113" s="62" t="s">
        <v>2767</v>
      </c>
      <c r="AQ113" s="63" t="s">
        <v>217</v>
      </c>
      <c r="AR113" s="30" t="s">
        <v>219</v>
      </c>
      <c r="AS113" s="51" t="e">
        <f>_xlfn.XLOOKUP(AP113,[2]Entities!$K:$K,[2]Entities!$K:$K)</f>
        <v>#N/A</v>
      </c>
    </row>
    <row r="114" spans="2:45" ht="21.75" customHeight="1" x14ac:dyDescent="0.45">
      <c r="B114" s="51" t="s">
        <v>99</v>
      </c>
      <c r="E114" s="52" t="s">
        <v>87</v>
      </c>
      <c r="F114" s="51" t="s">
        <v>2590</v>
      </c>
      <c r="H114" s="52" t="s">
        <v>109</v>
      </c>
      <c r="J114" s="79">
        <v>2203771000004</v>
      </c>
      <c r="L114" s="51" t="s">
        <v>2641</v>
      </c>
      <c r="M114" s="51" t="s">
        <v>2642</v>
      </c>
      <c r="N114" s="51" t="s">
        <v>2643</v>
      </c>
      <c r="O114" s="51" t="s">
        <v>1333</v>
      </c>
      <c r="P114" s="51" t="s">
        <v>1333</v>
      </c>
      <c r="Q114" s="51" t="s">
        <v>1336</v>
      </c>
      <c r="R114" s="51" t="s">
        <v>689</v>
      </c>
      <c r="S114" s="51" t="s">
        <v>689</v>
      </c>
      <c r="T114" s="51" t="s">
        <v>689</v>
      </c>
      <c r="U114" s="51" t="s">
        <v>257</v>
      </c>
      <c r="V114" s="51" t="s">
        <v>258</v>
      </c>
      <c r="W114" s="51" t="s">
        <v>259</v>
      </c>
      <c r="X114" s="51" t="s">
        <v>1338</v>
      </c>
      <c r="Y114" s="51" t="s">
        <v>1339</v>
      </c>
      <c r="Z114" s="51" t="s">
        <v>1340</v>
      </c>
      <c r="AA114" s="60">
        <v>1</v>
      </c>
      <c r="AB114" s="51" t="s">
        <v>137</v>
      </c>
      <c r="AC114" s="62">
        <v>1</v>
      </c>
      <c r="AD114" s="51" t="s">
        <v>169</v>
      </c>
      <c r="AE114" s="52" t="s">
        <v>179</v>
      </c>
      <c r="AF114" s="64"/>
      <c r="AG114" s="52" t="s">
        <v>192</v>
      </c>
      <c r="AH114" s="51" t="s">
        <v>219</v>
      </c>
      <c r="AI114" s="51" t="s">
        <v>219</v>
      </c>
      <c r="AJ114" s="51" t="s">
        <v>219</v>
      </c>
      <c r="AK114" s="51" t="s">
        <v>219</v>
      </c>
      <c r="AL114" s="51" t="s">
        <v>689</v>
      </c>
      <c r="AM114" s="51" t="s">
        <v>2432</v>
      </c>
      <c r="AN114" s="51" t="s">
        <v>214</v>
      </c>
      <c r="AO114" s="63" t="s">
        <v>219</v>
      </c>
      <c r="AP114" s="62" t="s">
        <v>2768</v>
      </c>
      <c r="AQ114" s="63" t="s">
        <v>217</v>
      </c>
      <c r="AR114" s="30" t="s">
        <v>219</v>
      </c>
      <c r="AS114" s="51" t="e">
        <f>_xlfn.XLOOKUP(AP114,[2]Entities!$K:$K,[2]Entities!$K:$K)</f>
        <v>#N/A</v>
      </c>
    </row>
    <row r="115" spans="2:45" ht="21.75" customHeight="1" x14ac:dyDescent="0.45">
      <c r="B115" s="51" t="s">
        <v>99</v>
      </c>
      <c r="E115" s="52" t="s">
        <v>87</v>
      </c>
      <c r="F115" s="51" t="s">
        <v>2590</v>
      </c>
      <c r="H115" s="52" t="s">
        <v>109</v>
      </c>
      <c r="J115" s="79">
        <v>217</v>
      </c>
      <c r="L115" s="51" t="s">
        <v>1342</v>
      </c>
      <c r="M115" s="51" t="s">
        <v>2644</v>
      </c>
      <c r="N115" s="51" t="s">
        <v>2645</v>
      </c>
      <c r="O115" s="51" t="s">
        <v>1341</v>
      </c>
      <c r="P115" s="51" t="s">
        <v>1341</v>
      </c>
      <c r="Q115" s="51" t="s">
        <v>1344</v>
      </c>
      <c r="R115" s="51" t="s">
        <v>319</v>
      </c>
      <c r="S115" s="51" t="s">
        <v>322</v>
      </c>
      <c r="T115" s="51" t="s">
        <v>308</v>
      </c>
      <c r="U115" s="51" t="s">
        <v>689</v>
      </c>
      <c r="V115" s="51" t="s">
        <v>689</v>
      </c>
      <c r="W115" s="51" t="s">
        <v>689</v>
      </c>
      <c r="X115" s="51" t="s">
        <v>1342</v>
      </c>
      <c r="Y115" s="51" t="s">
        <v>1343</v>
      </c>
      <c r="Z115" s="51" t="s">
        <v>1345</v>
      </c>
      <c r="AA115" s="60">
        <v>1</v>
      </c>
      <c r="AB115" s="51" t="s">
        <v>131</v>
      </c>
      <c r="AC115" s="62">
        <v>1</v>
      </c>
      <c r="AD115" s="51" t="s">
        <v>168</v>
      </c>
      <c r="AE115" s="52" t="s">
        <v>179</v>
      </c>
      <c r="AF115" s="64"/>
      <c r="AG115" s="52" t="s">
        <v>192</v>
      </c>
      <c r="AH115" s="51" t="s">
        <v>219</v>
      </c>
      <c r="AI115" s="51" t="s">
        <v>219</v>
      </c>
      <c r="AJ115" s="51" t="s">
        <v>219</v>
      </c>
      <c r="AK115" s="51" t="s">
        <v>219</v>
      </c>
      <c r="AL115" s="51" t="s">
        <v>689</v>
      </c>
      <c r="AM115" s="51" t="s">
        <v>2432</v>
      </c>
      <c r="AN115" s="51" t="s">
        <v>2656</v>
      </c>
      <c r="AO115" s="63" t="s">
        <v>219</v>
      </c>
      <c r="AP115" s="62" t="s">
        <v>2769</v>
      </c>
      <c r="AQ115" s="63" t="s">
        <v>217</v>
      </c>
      <c r="AR115" s="30" t="s">
        <v>219</v>
      </c>
      <c r="AS115" s="51" t="e">
        <f>_xlfn.XLOOKUP(AP115,[2]Entities!$K:$K,[2]Entities!$K:$K)</f>
        <v>#N/A</v>
      </c>
    </row>
    <row r="116" spans="2:45" ht="21.75" customHeight="1" x14ac:dyDescent="0.45">
      <c r="B116" s="51" t="s">
        <v>99</v>
      </c>
      <c r="E116" s="52" t="s">
        <v>87</v>
      </c>
      <c r="F116" s="51" t="s">
        <v>2590</v>
      </c>
      <c r="H116" s="52" t="s">
        <v>109</v>
      </c>
      <c r="J116" s="79">
        <v>7613399031222</v>
      </c>
      <c r="L116" s="51" t="s">
        <v>2646</v>
      </c>
      <c r="M116" s="51" t="s">
        <v>2647</v>
      </c>
      <c r="N116" s="51" t="s">
        <v>2648</v>
      </c>
      <c r="O116" s="51" t="s">
        <v>1346</v>
      </c>
      <c r="P116" s="51" t="s">
        <v>1348</v>
      </c>
      <c r="Q116" s="51" t="s">
        <v>1350</v>
      </c>
      <c r="R116" s="51" t="s">
        <v>309</v>
      </c>
      <c r="S116" s="51" t="s">
        <v>310</v>
      </c>
      <c r="T116" s="51" t="s">
        <v>311</v>
      </c>
      <c r="U116" s="51" t="s">
        <v>253</v>
      </c>
      <c r="V116" s="51" t="s">
        <v>253</v>
      </c>
      <c r="W116" s="51" t="s">
        <v>253</v>
      </c>
      <c r="X116" s="51" t="s">
        <v>1347</v>
      </c>
      <c r="Y116" s="51" t="s">
        <v>1349</v>
      </c>
      <c r="Z116" s="51" t="s">
        <v>1351</v>
      </c>
      <c r="AA116" s="60">
        <v>0.25</v>
      </c>
      <c r="AB116" s="51" t="s">
        <v>131</v>
      </c>
      <c r="AC116" s="62">
        <v>1</v>
      </c>
      <c r="AD116" s="51" t="s">
        <v>169</v>
      </c>
      <c r="AE116" s="52" t="s">
        <v>179</v>
      </c>
      <c r="AF116" s="64"/>
      <c r="AG116" s="52" t="s">
        <v>192</v>
      </c>
      <c r="AH116" s="51" t="s">
        <v>219</v>
      </c>
      <c r="AI116" s="51" t="s">
        <v>219</v>
      </c>
      <c r="AJ116" s="51" t="s">
        <v>219</v>
      </c>
      <c r="AK116" s="51" t="s">
        <v>219</v>
      </c>
      <c r="AL116" s="51" t="s">
        <v>689</v>
      </c>
      <c r="AM116" s="51" t="s">
        <v>2432</v>
      </c>
      <c r="AN116" s="51" t="s">
        <v>214</v>
      </c>
      <c r="AO116" s="63" t="s">
        <v>219</v>
      </c>
      <c r="AP116" s="62" t="s">
        <v>2770</v>
      </c>
      <c r="AQ116" s="63" t="s">
        <v>217</v>
      </c>
      <c r="AR116" s="30" t="s">
        <v>219</v>
      </c>
      <c r="AS116" s="51" t="e">
        <f>_xlfn.XLOOKUP(AP116,[2]Entities!$K:$K,[2]Entities!$K:$K)</f>
        <v>#N/A</v>
      </c>
    </row>
    <row r="117" spans="2:45" ht="21.75" customHeight="1" x14ac:dyDescent="0.45">
      <c r="B117" s="51" t="s">
        <v>99</v>
      </c>
      <c r="E117" s="52" t="s">
        <v>87</v>
      </c>
      <c r="F117" s="51" t="s">
        <v>2590</v>
      </c>
      <c r="H117" s="52" t="s">
        <v>109</v>
      </c>
      <c r="J117" s="79">
        <v>7613399040644</v>
      </c>
      <c r="L117" s="51" t="s">
        <v>1353</v>
      </c>
      <c r="M117" s="51" t="s">
        <v>2649</v>
      </c>
      <c r="N117" s="51" t="s">
        <v>1357</v>
      </c>
      <c r="O117" s="51" t="s">
        <v>1352</v>
      </c>
      <c r="P117" s="51" t="s">
        <v>1354</v>
      </c>
      <c r="Q117" s="51" t="s">
        <v>1356</v>
      </c>
      <c r="R117" s="51" t="s">
        <v>309</v>
      </c>
      <c r="S117" s="51" t="s">
        <v>310</v>
      </c>
      <c r="T117" s="51" t="s">
        <v>311</v>
      </c>
      <c r="U117" s="51" t="s">
        <v>1224</v>
      </c>
      <c r="V117" s="51" t="s">
        <v>1224</v>
      </c>
      <c r="W117" s="51" t="s">
        <v>1224</v>
      </c>
      <c r="X117" s="51" t="s">
        <v>1353</v>
      </c>
      <c r="Y117" s="51" t="s">
        <v>1355</v>
      </c>
      <c r="Z117" s="51" t="s">
        <v>1357</v>
      </c>
      <c r="AA117" s="60">
        <v>0.02</v>
      </c>
      <c r="AB117" s="51" t="s">
        <v>130</v>
      </c>
      <c r="AC117" s="62">
        <v>100</v>
      </c>
      <c r="AD117" s="51" t="s">
        <v>169</v>
      </c>
      <c r="AE117" s="52" t="s">
        <v>179</v>
      </c>
      <c r="AF117" s="64"/>
      <c r="AG117" s="52" t="s">
        <v>192</v>
      </c>
      <c r="AH117" s="51" t="s">
        <v>219</v>
      </c>
      <c r="AI117" s="51" t="s">
        <v>219</v>
      </c>
      <c r="AJ117" s="51" t="s">
        <v>219</v>
      </c>
      <c r="AK117" s="51" t="s">
        <v>219</v>
      </c>
      <c r="AL117" s="51" t="s">
        <v>689</v>
      </c>
      <c r="AM117" s="51" t="s">
        <v>2432</v>
      </c>
      <c r="AN117" s="51" t="s">
        <v>214</v>
      </c>
      <c r="AO117" s="63" t="s">
        <v>219</v>
      </c>
      <c r="AP117" s="62" t="s">
        <v>2771</v>
      </c>
      <c r="AQ117" s="63" t="s">
        <v>217</v>
      </c>
      <c r="AR117" s="30" t="s">
        <v>219</v>
      </c>
      <c r="AS117" s="51" t="e">
        <f>_xlfn.XLOOKUP(AP117,[2]Entities!$K:$K,[2]Entities!$K:$K)</f>
        <v>#N/A</v>
      </c>
    </row>
    <row r="118" spans="2:45" ht="21.75" customHeight="1" x14ac:dyDescent="0.45">
      <c r="B118" s="51" t="s">
        <v>99</v>
      </c>
      <c r="E118" s="52" t="s">
        <v>87</v>
      </c>
      <c r="F118" s="51" t="s">
        <v>2590</v>
      </c>
      <c r="H118" s="52" t="s">
        <v>109</v>
      </c>
      <c r="J118" s="79">
        <v>2284731000005</v>
      </c>
      <c r="L118" s="51" t="s">
        <v>1359</v>
      </c>
      <c r="M118" s="51" t="s">
        <v>2650</v>
      </c>
      <c r="N118" s="51" t="s">
        <v>1363</v>
      </c>
      <c r="O118" s="51" t="s">
        <v>1358</v>
      </c>
      <c r="P118" s="51" t="s">
        <v>1360</v>
      </c>
      <c r="Q118" s="51" t="s">
        <v>1362</v>
      </c>
      <c r="R118" s="51" t="s">
        <v>827</v>
      </c>
      <c r="S118" s="51" t="s">
        <v>830</v>
      </c>
      <c r="T118" s="51" t="s">
        <v>833</v>
      </c>
      <c r="U118" s="51" t="s">
        <v>253</v>
      </c>
      <c r="V118" s="51" t="s">
        <v>253</v>
      </c>
      <c r="W118" s="51" t="s">
        <v>253</v>
      </c>
      <c r="X118" s="51" t="s">
        <v>1359</v>
      </c>
      <c r="Y118" s="51" t="s">
        <v>1361</v>
      </c>
      <c r="Z118" s="51" t="s">
        <v>1363</v>
      </c>
      <c r="AA118" s="60">
        <v>0.25</v>
      </c>
      <c r="AB118" s="51" t="s">
        <v>130</v>
      </c>
      <c r="AC118" s="62">
        <v>100</v>
      </c>
      <c r="AD118" s="51" t="s">
        <v>169</v>
      </c>
      <c r="AE118" s="52" t="s">
        <v>179</v>
      </c>
      <c r="AF118" s="64"/>
      <c r="AG118" s="52" t="s">
        <v>192</v>
      </c>
      <c r="AH118" s="51" t="s">
        <v>219</v>
      </c>
      <c r="AI118" s="51" t="s">
        <v>219</v>
      </c>
      <c r="AJ118" s="51" t="s">
        <v>219</v>
      </c>
      <c r="AK118" s="51" t="s">
        <v>219</v>
      </c>
      <c r="AL118" s="51" t="s">
        <v>689</v>
      </c>
      <c r="AM118" s="51" t="s">
        <v>2432</v>
      </c>
      <c r="AN118" s="51" t="s">
        <v>214</v>
      </c>
      <c r="AO118" s="63" t="s">
        <v>219</v>
      </c>
      <c r="AP118" s="62" t="s">
        <v>2772</v>
      </c>
      <c r="AQ118" s="63" t="s">
        <v>217</v>
      </c>
      <c r="AR118" s="30" t="s">
        <v>219</v>
      </c>
      <c r="AS118" s="51" t="e">
        <f>_xlfn.XLOOKUP(AP118,[2]Entities!$K:$K,[2]Entities!$K:$K)</f>
        <v>#N/A</v>
      </c>
    </row>
    <row r="119" spans="2:45" ht="21.75" customHeight="1" x14ac:dyDescent="0.45">
      <c r="B119" s="51" t="s">
        <v>99</v>
      </c>
      <c r="E119" s="52" t="s">
        <v>87</v>
      </c>
      <c r="F119" s="51" t="s">
        <v>2590</v>
      </c>
      <c r="H119" s="52" t="s">
        <v>109</v>
      </c>
      <c r="J119" s="79"/>
      <c r="L119" s="51" t="s">
        <v>2651</v>
      </c>
      <c r="M119" s="51" t="s">
        <v>2652</v>
      </c>
      <c r="N119" s="51" t="s">
        <v>2653</v>
      </c>
      <c r="O119" s="51" t="s">
        <v>1369</v>
      </c>
      <c r="P119" s="51" t="s">
        <v>1365</v>
      </c>
      <c r="Q119" s="51" t="s">
        <v>1367</v>
      </c>
      <c r="R119" s="51" t="s">
        <v>293</v>
      </c>
      <c r="S119" s="51" t="s">
        <v>689</v>
      </c>
      <c r="T119" s="51" t="s">
        <v>689</v>
      </c>
      <c r="U119" s="51" t="s">
        <v>257</v>
      </c>
      <c r="V119" s="51" t="s">
        <v>258</v>
      </c>
      <c r="W119" s="51" t="s">
        <v>259</v>
      </c>
      <c r="X119" s="51" t="s">
        <v>1364</v>
      </c>
      <c r="Y119" s="51" t="s">
        <v>1366</v>
      </c>
      <c r="Z119" s="51" t="s">
        <v>1368</v>
      </c>
      <c r="AA119" s="60">
        <v>1</v>
      </c>
      <c r="AB119" s="51" t="s">
        <v>137</v>
      </c>
      <c r="AC119" s="62">
        <v>1</v>
      </c>
      <c r="AD119" s="51" t="s">
        <v>169</v>
      </c>
      <c r="AE119" s="52" t="s">
        <v>179</v>
      </c>
      <c r="AF119" s="64"/>
      <c r="AG119" s="52" t="s">
        <v>192</v>
      </c>
      <c r="AH119" s="51" t="s">
        <v>219</v>
      </c>
      <c r="AI119" s="51" t="s">
        <v>219</v>
      </c>
      <c r="AJ119" s="51" t="s">
        <v>219</v>
      </c>
      <c r="AK119" s="51" t="s">
        <v>219</v>
      </c>
      <c r="AL119" s="51" t="s">
        <v>689</v>
      </c>
      <c r="AM119" s="51" t="s">
        <v>2432</v>
      </c>
      <c r="AN119" s="51" t="s">
        <v>2433</v>
      </c>
      <c r="AO119" s="63" t="s">
        <v>219</v>
      </c>
      <c r="AP119" s="62" t="s">
        <v>2773</v>
      </c>
      <c r="AQ119" s="63" t="s">
        <v>217</v>
      </c>
      <c r="AR119" s="30" t="s">
        <v>219</v>
      </c>
      <c r="AS119" s="51" t="e">
        <f>_xlfn.XLOOKUP(AP119,[2]Entities!$K:$K,[2]Entities!$K:$K)</f>
        <v>#N/A</v>
      </c>
    </row>
    <row r="120" spans="2:45" ht="21.75" customHeight="1" x14ac:dyDescent="0.45">
      <c r="O120" s="51"/>
      <c r="P120" s="51"/>
      <c r="Q120" s="51"/>
    </row>
    <row r="121" spans="2:45" ht="21.75" customHeight="1" x14ac:dyDescent="0.45">
      <c r="O121" s="51"/>
      <c r="P121" s="51"/>
      <c r="Q121" s="51"/>
    </row>
    <row r="122" spans="2:45" ht="21.75" customHeight="1" x14ac:dyDescent="0.45">
      <c r="O122" s="51"/>
      <c r="P122" s="51"/>
      <c r="Q122" s="51"/>
    </row>
    <row r="123" spans="2:45" ht="21.75" customHeight="1" x14ac:dyDescent="0.45">
      <c r="O123" s="51"/>
      <c r="P123" s="51"/>
      <c r="Q123" s="51"/>
    </row>
    <row r="124" spans="2:45" ht="21.75" customHeight="1" x14ac:dyDescent="0.45">
      <c r="O124" s="51"/>
      <c r="P124" s="51"/>
      <c r="Q124" s="51"/>
    </row>
    <row r="125" spans="2:45" ht="21.75" customHeight="1" x14ac:dyDescent="0.45">
      <c r="O125" s="51"/>
      <c r="P125" s="51"/>
      <c r="Q125" s="51"/>
    </row>
    <row r="126" spans="2:45" ht="21.75" customHeight="1" x14ac:dyDescent="0.45">
      <c r="O126" s="51"/>
      <c r="P126" s="51"/>
      <c r="Q126" s="51"/>
    </row>
    <row r="127" spans="2:45" ht="21.75" customHeight="1" x14ac:dyDescent="0.45">
      <c r="O127" s="51"/>
      <c r="P127" s="51"/>
      <c r="Q127" s="51"/>
    </row>
    <row r="128" spans="2:45" ht="21.75" customHeight="1" x14ac:dyDescent="0.45">
      <c r="O128" s="51"/>
      <c r="P128" s="51"/>
      <c r="Q128" s="51"/>
    </row>
    <row r="129" spans="15:17" ht="21.75" customHeight="1" x14ac:dyDescent="0.45">
      <c r="O129" s="51"/>
      <c r="P129" s="51"/>
      <c r="Q129" s="51"/>
    </row>
    <row r="130" spans="15:17" ht="21.75" customHeight="1" x14ac:dyDescent="0.45">
      <c r="O130" s="51"/>
      <c r="P130" s="51"/>
      <c r="Q130" s="51"/>
    </row>
    <row r="131" spans="15:17" ht="21.75" customHeight="1" x14ac:dyDescent="0.45">
      <c r="O131" s="51"/>
      <c r="P131" s="51"/>
      <c r="Q131" s="51"/>
    </row>
    <row r="132" spans="15:17" ht="21.75" customHeight="1" x14ac:dyDescent="0.45">
      <c r="O132" s="51"/>
      <c r="P132" s="51"/>
      <c r="Q132" s="51"/>
    </row>
    <row r="133" spans="15:17" ht="21.75" customHeight="1" x14ac:dyDescent="0.45">
      <c r="O133" s="51"/>
      <c r="P133" s="51"/>
      <c r="Q133" s="51"/>
    </row>
    <row r="134" spans="15:17" ht="21.75" customHeight="1" x14ac:dyDescent="0.45">
      <c r="O134" s="51"/>
      <c r="P134" s="51"/>
      <c r="Q134" s="51"/>
    </row>
    <row r="135" spans="15:17" ht="21.75" customHeight="1" x14ac:dyDescent="0.45">
      <c r="O135" s="51"/>
      <c r="P135" s="51"/>
      <c r="Q135" s="51"/>
    </row>
    <row r="136" spans="15:17" ht="21.75" customHeight="1" x14ac:dyDescent="0.45">
      <c r="O136" s="51"/>
      <c r="P136" s="51"/>
      <c r="Q136" s="51"/>
    </row>
    <row r="137" spans="15:17" ht="21.75" customHeight="1" x14ac:dyDescent="0.45">
      <c r="O137" s="51"/>
      <c r="P137" s="51"/>
      <c r="Q137" s="51"/>
    </row>
    <row r="138" spans="15:17" ht="21.75" customHeight="1" x14ac:dyDescent="0.45">
      <c r="O138" s="51"/>
      <c r="P138" s="51"/>
      <c r="Q138" s="51"/>
    </row>
    <row r="139" spans="15:17" ht="21.75" customHeight="1" x14ac:dyDescent="0.45">
      <c r="O139" s="51"/>
      <c r="P139" s="51"/>
      <c r="Q139" s="51"/>
    </row>
    <row r="140" spans="15:17" ht="21.75" customHeight="1" x14ac:dyDescent="0.45">
      <c r="O140" s="51"/>
      <c r="P140" s="51"/>
      <c r="Q140" s="51"/>
    </row>
    <row r="141" spans="15:17" ht="21.75" customHeight="1" x14ac:dyDescent="0.45">
      <c r="O141" s="51"/>
      <c r="P141" s="51"/>
      <c r="Q141" s="51"/>
    </row>
    <row r="142" spans="15:17" ht="21.75" customHeight="1" x14ac:dyDescent="0.45">
      <c r="O142" s="51"/>
      <c r="P142" s="51"/>
      <c r="Q142" s="51"/>
    </row>
    <row r="143" spans="15:17" ht="21.75" customHeight="1" x14ac:dyDescent="0.45">
      <c r="O143" s="51"/>
      <c r="P143" s="51"/>
      <c r="Q143" s="51"/>
    </row>
    <row r="144" spans="15:17" ht="21.75" customHeight="1" x14ac:dyDescent="0.45">
      <c r="O144" s="51"/>
      <c r="P144" s="51"/>
      <c r="Q144" s="51"/>
    </row>
    <row r="145" spans="15:17" ht="21.75" customHeight="1" x14ac:dyDescent="0.45">
      <c r="O145" s="51"/>
      <c r="P145" s="51"/>
      <c r="Q145" s="51"/>
    </row>
    <row r="146" spans="15:17" ht="21.75" customHeight="1" x14ac:dyDescent="0.45">
      <c r="O146" s="51"/>
      <c r="P146" s="51"/>
      <c r="Q146" s="51"/>
    </row>
    <row r="147" spans="15:17" ht="21.75" customHeight="1" x14ac:dyDescent="0.45">
      <c r="O147" s="51"/>
      <c r="P147" s="51"/>
      <c r="Q147" s="51"/>
    </row>
    <row r="148" spans="15:17" ht="21.75" customHeight="1" x14ac:dyDescent="0.45">
      <c r="O148" s="51"/>
      <c r="P148" s="51"/>
      <c r="Q148" s="51"/>
    </row>
    <row r="149" spans="15:17" ht="21.75" customHeight="1" x14ac:dyDescent="0.45">
      <c r="O149" s="51"/>
      <c r="P149" s="51"/>
      <c r="Q149" s="51"/>
    </row>
    <row r="150" spans="15:17" ht="21.75" customHeight="1" x14ac:dyDescent="0.45">
      <c r="O150" s="51"/>
      <c r="P150" s="51"/>
      <c r="Q150" s="51"/>
    </row>
    <row r="151" spans="15:17" ht="21.75" customHeight="1" x14ac:dyDescent="0.45">
      <c r="O151" s="51"/>
      <c r="P151" s="51"/>
      <c r="Q151" s="51"/>
    </row>
    <row r="152" spans="15:17" ht="21.75" customHeight="1" x14ac:dyDescent="0.45">
      <c r="O152" s="51"/>
      <c r="P152" s="51"/>
      <c r="Q152" s="51"/>
    </row>
    <row r="153" spans="15:17" ht="21.75" customHeight="1" x14ac:dyDescent="0.45">
      <c r="O153" s="51"/>
      <c r="P153" s="51"/>
      <c r="Q153" s="51"/>
    </row>
    <row r="154" spans="15:17" ht="21.75" customHeight="1" x14ac:dyDescent="0.45">
      <c r="O154" s="51"/>
      <c r="P154" s="51"/>
      <c r="Q154" s="51"/>
    </row>
    <row r="155" spans="15:17" ht="21.75" customHeight="1" x14ac:dyDescent="0.45">
      <c r="O155" s="51"/>
      <c r="P155" s="51"/>
      <c r="Q155" s="51"/>
    </row>
    <row r="156" spans="15:17" ht="21.75" customHeight="1" x14ac:dyDescent="0.45">
      <c r="O156" s="51"/>
      <c r="P156" s="51"/>
      <c r="Q156" s="51"/>
    </row>
    <row r="157" spans="15:17" ht="21.75" customHeight="1" x14ac:dyDescent="0.45">
      <c r="O157" s="51"/>
      <c r="P157" s="51"/>
      <c r="Q157" s="51"/>
    </row>
    <row r="158" spans="15:17" ht="21.75" customHeight="1" x14ac:dyDescent="0.45">
      <c r="O158" s="51"/>
      <c r="P158" s="51"/>
      <c r="Q158" s="51"/>
    </row>
    <row r="159" spans="15:17" ht="21.75" customHeight="1" x14ac:dyDescent="0.45">
      <c r="O159" s="51"/>
      <c r="P159" s="51"/>
      <c r="Q159" s="51"/>
    </row>
    <row r="160" spans="15:17" ht="21.75" customHeight="1" x14ac:dyDescent="0.45">
      <c r="O160" s="51"/>
      <c r="P160" s="51"/>
      <c r="Q160" s="51"/>
    </row>
    <row r="161" spans="15:17" ht="21.75" customHeight="1" x14ac:dyDescent="0.45">
      <c r="O161" s="51"/>
      <c r="P161" s="51"/>
      <c r="Q161" s="51"/>
    </row>
    <row r="162" spans="15:17" ht="21.75" customHeight="1" x14ac:dyDescent="0.45">
      <c r="O162" s="51"/>
      <c r="P162" s="51"/>
      <c r="Q162" s="51"/>
    </row>
    <row r="163" spans="15:17" ht="21.75" customHeight="1" x14ac:dyDescent="0.45">
      <c r="O163" s="51"/>
      <c r="P163" s="51"/>
      <c r="Q163" s="51"/>
    </row>
    <row r="164" spans="15:17" ht="21.75" customHeight="1" x14ac:dyDescent="0.45">
      <c r="O164" s="51"/>
      <c r="P164" s="51"/>
      <c r="Q164" s="51"/>
    </row>
    <row r="165" spans="15:17" ht="21.75" customHeight="1" x14ac:dyDescent="0.45">
      <c r="O165" s="51"/>
      <c r="P165" s="51"/>
      <c r="Q165" s="51"/>
    </row>
    <row r="166" spans="15:17" ht="21.75" customHeight="1" x14ac:dyDescent="0.45">
      <c r="O166" s="51"/>
      <c r="P166" s="51"/>
      <c r="Q166" s="51"/>
    </row>
    <row r="167" spans="15:17" ht="21.75" customHeight="1" x14ac:dyDescent="0.45">
      <c r="O167" s="51"/>
      <c r="P167" s="51"/>
      <c r="Q167" s="51"/>
    </row>
    <row r="168" spans="15:17" ht="21.75" customHeight="1" x14ac:dyDescent="0.45">
      <c r="O168" s="51"/>
      <c r="P168" s="51"/>
      <c r="Q168" s="51"/>
    </row>
    <row r="169" spans="15:17" ht="21.75" customHeight="1" x14ac:dyDescent="0.45">
      <c r="O169" s="51"/>
      <c r="P169" s="51"/>
      <c r="Q169" s="51"/>
    </row>
    <row r="170" spans="15:17" ht="21.75" customHeight="1" x14ac:dyDescent="0.45">
      <c r="O170" s="51"/>
      <c r="P170" s="51"/>
      <c r="Q170" s="51"/>
    </row>
    <row r="171" spans="15:17" ht="21.75" customHeight="1" x14ac:dyDescent="0.45">
      <c r="O171" s="51"/>
      <c r="P171" s="51"/>
      <c r="Q171" s="51"/>
    </row>
    <row r="172" spans="15:17" ht="21.75" customHeight="1" x14ac:dyDescent="0.45">
      <c r="O172" s="51"/>
      <c r="P172" s="51"/>
      <c r="Q172" s="51"/>
    </row>
    <row r="173" spans="15:17" ht="21.75" customHeight="1" x14ac:dyDescent="0.45">
      <c r="O173" s="51"/>
      <c r="P173" s="51"/>
      <c r="Q173" s="51"/>
    </row>
    <row r="174" spans="15:17" ht="21.75" customHeight="1" x14ac:dyDescent="0.45">
      <c r="O174" s="51"/>
      <c r="P174" s="51"/>
      <c r="Q174" s="51"/>
    </row>
    <row r="175" spans="15:17" ht="21.75" customHeight="1" x14ac:dyDescent="0.45">
      <c r="O175" s="51"/>
      <c r="P175" s="51"/>
      <c r="Q175" s="51"/>
    </row>
    <row r="176" spans="15:17" ht="21.75" customHeight="1" x14ac:dyDescent="0.45">
      <c r="O176" s="51"/>
      <c r="P176" s="51"/>
      <c r="Q176" s="51"/>
    </row>
    <row r="177" spans="15:17" ht="21.75" customHeight="1" x14ac:dyDescent="0.45">
      <c r="O177" s="51"/>
      <c r="P177" s="51"/>
      <c r="Q177" s="51"/>
    </row>
    <row r="178" spans="15:17" ht="21.75" customHeight="1" x14ac:dyDescent="0.45">
      <c r="O178" s="51"/>
      <c r="P178" s="51"/>
      <c r="Q178" s="51"/>
    </row>
    <row r="179" spans="15:17" ht="21.75" customHeight="1" x14ac:dyDescent="0.45">
      <c r="O179" s="51"/>
      <c r="P179" s="51"/>
      <c r="Q179" s="51"/>
    </row>
    <row r="180" spans="15:17" ht="21.75" customHeight="1" x14ac:dyDescent="0.45">
      <c r="O180" s="51"/>
      <c r="P180" s="51"/>
      <c r="Q180" s="51"/>
    </row>
    <row r="181" spans="15:17" ht="21.75" customHeight="1" x14ac:dyDescent="0.45">
      <c r="O181" s="51"/>
      <c r="P181" s="51"/>
      <c r="Q181" s="51"/>
    </row>
    <row r="182" spans="15:17" ht="21.75" customHeight="1" x14ac:dyDescent="0.45">
      <c r="O182" s="51"/>
      <c r="P182" s="51"/>
      <c r="Q182" s="51"/>
    </row>
    <row r="183" spans="15:17" ht="21.75" customHeight="1" x14ac:dyDescent="0.45">
      <c r="O183" s="51"/>
      <c r="P183" s="51"/>
      <c r="Q183" s="51"/>
    </row>
    <row r="184" spans="15:17" ht="21.75" customHeight="1" x14ac:dyDescent="0.45">
      <c r="O184" s="51"/>
      <c r="P184" s="51"/>
      <c r="Q184" s="51"/>
    </row>
    <row r="185" spans="15:17" ht="21.75" customHeight="1" x14ac:dyDescent="0.45">
      <c r="O185" s="51"/>
      <c r="P185" s="51"/>
      <c r="Q185" s="51"/>
    </row>
    <row r="186" spans="15:17" ht="21.75" customHeight="1" x14ac:dyDescent="0.45">
      <c r="O186" s="51"/>
      <c r="P186" s="51"/>
      <c r="Q186" s="51"/>
    </row>
    <row r="187" spans="15:17" ht="21.75" customHeight="1" x14ac:dyDescent="0.45">
      <c r="O187" s="51"/>
      <c r="P187" s="51"/>
      <c r="Q187" s="51"/>
    </row>
    <row r="188" spans="15:17" ht="21.75" customHeight="1" x14ac:dyDescent="0.45">
      <c r="O188" s="51"/>
      <c r="P188" s="51"/>
      <c r="Q188" s="51"/>
    </row>
    <row r="189" spans="15:17" ht="21.75" customHeight="1" x14ac:dyDescent="0.45">
      <c r="O189" s="51"/>
      <c r="P189" s="51"/>
      <c r="Q189" s="51"/>
    </row>
    <row r="190" spans="15:17" ht="21.75" customHeight="1" x14ac:dyDescent="0.45">
      <c r="O190" s="51"/>
      <c r="P190" s="51"/>
      <c r="Q190" s="51"/>
    </row>
    <row r="191" spans="15:17" ht="21.75" customHeight="1" x14ac:dyDescent="0.45">
      <c r="O191" s="51"/>
      <c r="P191" s="51"/>
      <c r="Q191" s="51"/>
    </row>
    <row r="192" spans="15:17" ht="21.75" customHeight="1" x14ac:dyDescent="0.45">
      <c r="O192" s="51"/>
      <c r="P192" s="51"/>
      <c r="Q192" s="51"/>
    </row>
    <row r="193" spans="15:17" ht="21.75" customHeight="1" x14ac:dyDescent="0.45">
      <c r="O193" s="51"/>
      <c r="P193" s="51"/>
      <c r="Q193" s="51"/>
    </row>
    <row r="194" spans="15:17" ht="21.75" customHeight="1" x14ac:dyDescent="0.45">
      <c r="O194" s="51"/>
      <c r="P194" s="51"/>
      <c r="Q194" s="51"/>
    </row>
    <row r="195" spans="15:17" ht="21.75" customHeight="1" x14ac:dyDescent="0.45">
      <c r="O195" s="51"/>
      <c r="P195" s="51"/>
      <c r="Q195" s="51"/>
    </row>
    <row r="196" spans="15:17" ht="21.75" customHeight="1" x14ac:dyDescent="0.45">
      <c r="O196" s="51"/>
      <c r="P196" s="51"/>
      <c r="Q196" s="51"/>
    </row>
    <row r="197" spans="15:17" ht="21.75" customHeight="1" x14ac:dyDescent="0.45">
      <c r="O197" s="51"/>
      <c r="P197" s="51"/>
      <c r="Q197" s="51"/>
    </row>
    <row r="198" spans="15:17" ht="21.75" customHeight="1" x14ac:dyDescent="0.45">
      <c r="O198" s="51"/>
      <c r="P198" s="51"/>
      <c r="Q198" s="51"/>
    </row>
    <row r="199" spans="15:17" ht="21.75" customHeight="1" x14ac:dyDescent="0.45">
      <c r="O199" s="51"/>
      <c r="P199" s="51"/>
      <c r="Q199" s="51"/>
    </row>
    <row r="200" spans="15:17" ht="21.75" customHeight="1" x14ac:dyDescent="0.45">
      <c r="O200" s="51"/>
      <c r="P200" s="51"/>
      <c r="Q200" s="51"/>
    </row>
    <row r="201" spans="15:17" ht="21.75" customHeight="1" x14ac:dyDescent="0.45">
      <c r="O201" s="51"/>
      <c r="P201" s="51"/>
      <c r="Q201" s="51"/>
    </row>
    <row r="202" spans="15:17" ht="21.75" customHeight="1" x14ac:dyDescent="0.45">
      <c r="O202" s="51"/>
      <c r="P202" s="51"/>
      <c r="Q202" s="51"/>
    </row>
    <row r="203" spans="15:17" ht="21.75" customHeight="1" x14ac:dyDescent="0.45">
      <c r="O203" s="51"/>
      <c r="P203" s="51"/>
      <c r="Q203" s="51"/>
    </row>
    <row r="204" spans="15:17" ht="21.75" customHeight="1" x14ac:dyDescent="0.45">
      <c r="O204" s="51"/>
      <c r="P204" s="51"/>
      <c r="Q204" s="51"/>
    </row>
    <row r="205" spans="15:17" ht="21.75" customHeight="1" x14ac:dyDescent="0.45">
      <c r="O205" s="51"/>
      <c r="P205" s="51"/>
      <c r="Q205" s="51"/>
    </row>
    <row r="206" spans="15:17" ht="21.75" customHeight="1" x14ac:dyDescent="0.45">
      <c r="O206" s="51"/>
      <c r="P206" s="51"/>
      <c r="Q206" s="51"/>
    </row>
    <row r="207" spans="15:17" ht="21.75" customHeight="1" x14ac:dyDescent="0.45">
      <c r="O207" s="51"/>
      <c r="P207" s="51"/>
      <c r="Q207" s="51"/>
    </row>
    <row r="208" spans="15:17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</sheetData>
  <autoFilter ref="A2:AS119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3:J119 L3:N119">
    <cfRule type="expression" dxfId="16" priority="2">
      <formula>LEN(J3)&gt;40</formula>
    </cfRule>
  </conditionalFormatting>
  <conditionalFormatting sqref="J120:J1048576 J1:J2">
    <cfRule type="duplicateValues" dxfId="15" priority="3"/>
  </conditionalFormatting>
  <conditionalFormatting sqref="L120:L1048576">
    <cfRule type="expression" dxfId="14" priority="8">
      <formula>LEN(L120)&gt;40</formula>
    </cfRule>
  </conditionalFormatting>
  <conditionalFormatting sqref="O120:Q1460 R120:T1048576 O3:T119">
    <cfRule type="expression" dxfId="13" priority="6">
      <formula>LEN(O3)&gt;22</formula>
    </cfRule>
  </conditionalFormatting>
  <conditionalFormatting sqref="X3:Z1048576">
    <cfRule type="expression" dxfId="12" priority="4">
      <formula>LEN(X3)&gt;28</formula>
    </cfRule>
  </conditionalFormatting>
  <conditionalFormatting sqref="AP1:AP1048576">
    <cfRule type="duplicateValues" dxfId="11" priority="1"/>
  </conditionalFormatting>
  <dataValidations xWindow="2416" yWindow="326" count="16">
    <dataValidation type="list" allowBlank="1" showInputMessage="1" showErrorMessage="1" promptTitle="Information" prompt="Select value from dropdown" sqref="AP120:AP1048576 AH120:AK1048576 AM120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20:AL1048576" xr:uid="{00000000-0002-0000-0100-000028000000}">
      <formula1>RSC__refxshopinshop</formula1>
    </dataValidation>
    <dataValidation type="list" allowBlank="1" showInputMessage="1" promptTitle="Information" prompt="Select value from dropdown" sqref="AN120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20:AF1048576 AE3:AE1048576" xr:uid="{00000000-0002-0000-0100-000022000000}">
      <formula1>RSC_de_DE_refxtaxclass</formula1>
    </dataValidation>
    <dataValidation type="list" allowBlank="1" sqref="F120:F1048576" xr:uid="{00000000-0002-0000-0100-000002000000}">
      <formula1>RSC_atxwarengruppesap__de_DE</formula1>
    </dataValidation>
    <dataValidation allowBlank="1" sqref="F3:F119" xr:uid="{C4A72171-FC4A-4A32-9286-771D015CB924}"/>
    <dataValidation allowBlank="1" showInputMessage="1" promptTitle="Information" prompt="Select value from dropdown" sqref="AN3:AN119" xr:uid="{ABBF123A-743C-4641-B21D-C38F5C411B13}"/>
    <dataValidation allowBlank="1" showInputMessage="1" showErrorMessage="1" promptTitle="Information" prompt="Select value from dropdown" sqref="AP3:AP119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OFFSET(dedea_axba2387!$A$1,1,IF(OR(ISBLANK($H120),$H120="[DELETE]",$H120="[NULL]"),MATCH("[EMPTY]",dedea_axba2387!$A$1:$K$1,0),MATCH($H120,dedea_axba2387!$A$1:$K$1,0))-1,32768,1)</xm:f>
          </x14:formula1>
          <xm:sqref>AD120:AD1048576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2404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2404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2404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2404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2404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2404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2404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2404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2404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2404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2404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2404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2404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2404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2404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2411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2404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2404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2404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2404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2404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2404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2404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2404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2404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2404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2404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2404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2404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2404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2404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2404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2404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2412</v>
      </c>
      <c r="G34" s="44" t="s">
        <v>273</v>
      </c>
      <c r="H34" s="44"/>
      <c r="I34" s="44" t="s">
        <v>389</v>
      </c>
      <c r="J34" s="44" t="s">
        <v>2413</v>
      </c>
      <c r="K34" s="44" t="s">
        <v>276</v>
      </c>
      <c r="L34" s="44"/>
      <c r="M34" s="44" t="s">
        <v>390</v>
      </c>
      <c r="N34" s="44" t="s">
        <v>2414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2404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2412</v>
      </c>
      <c r="G35" s="44" t="s">
        <v>346</v>
      </c>
      <c r="H35" s="44"/>
      <c r="I35" s="44" t="s">
        <v>738</v>
      </c>
      <c r="J35" s="44" t="s">
        <v>2413</v>
      </c>
      <c r="K35" s="44" t="s">
        <v>349</v>
      </c>
      <c r="L35" s="44"/>
      <c r="M35" s="44" t="s">
        <v>739</v>
      </c>
      <c r="N35" s="44" t="s">
        <v>2414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2404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2404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2404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2404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2404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2404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2404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2404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2404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2404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2404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2415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2404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2404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2404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2404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2404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2404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2404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2404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2404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2404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2416</v>
      </c>
      <c r="G56" s="44" t="s">
        <v>309</v>
      </c>
      <c r="H56" s="44" t="s">
        <v>475</v>
      </c>
      <c r="I56" s="44" t="s">
        <v>476</v>
      </c>
      <c r="J56" s="44" t="s">
        <v>2417</v>
      </c>
      <c r="K56" s="44" t="s">
        <v>310</v>
      </c>
      <c r="L56" s="44" t="s">
        <v>475</v>
      </c>
      <c r="M56" s="44" t="s">
        <v>477</v>
      </c>
      <c r="N56" s="44" t="s">
        <v>2418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2404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2416</v>
      </c>
      <c r="G57" s="44" t="s">
        <v>309</v>
      </c>
      <c r="H57" s="44" t="s">
        <v>253</v>
      </c>
      <c r="I57" s="44" t="s">
        <v>479</v>
      </c>
      <c r="J57" s="44" t="s">
        <v>2417</v>
      </c>
      <c r="K57" s="44" t="s">
        <v>310</v>
      </c>
      <c r="L57" s="44" t="s">
        <v>253</v>
      </c>
      <c r="M57" s="44" t="s">
        <v>480</v>
      </c>
      <c r="N57" s="44" t="s">
        <v>2418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2404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2404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2404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2407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2404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2404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2404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2404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2404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2404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2404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2404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2404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2404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2404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2404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2404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2404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2404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2404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2404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2404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2404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2404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2404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2404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2404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2404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2408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2404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2404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2404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2404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2404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2404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2404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2404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2404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2404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2404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2404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2404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2404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2404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2404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2404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2404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2404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2404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2404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2404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2404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2404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2404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2404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2404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2404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2404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2404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2404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2404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2404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2404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2404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2404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2404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2404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2404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2419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2404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2404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2404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2404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2404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2420</v>
      </c>
      <c r="G128" s="44" t="s">
        <v>273</v>
      </c>
      <c r="H128" s="44"/>
      <c r="I128" s="44" t="s">
        <v>1089</v>
      </c>
      <c r="J128" s="44" t="s">
        <v>2421</v>
      </c>
      <c r="K128" s="44" t="s">
        <v>276</v>
      </c>
      <c r="L128" s="44"/>
      <c r="M128" s="44" t="s">
        <v>1090</v>
      </c>
      <c r="N128" s="44" t="s">
        <v>2422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2404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2420</v>
      </c>
      <c r="G129" s="44" t="s">
        <v>346</v>
      </c>
      <c r="H129" s="44"/>
      <c r="I129" s="44" t="s">
        <v>1092</v>
      </c>
      <c r="J129" s="44" t="s">
        <v>2421</v>
      </c>
      <c r="K129" s="44" t="s">
        <v>349</v>
      </c>
      <c r="L129" s="44"/>
      <c r="M129" s="44" t="s">
        <v>1093</v>
      </c>
      <c r="N129" s="44" t="s">
        <v>2422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2404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2404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2404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2404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2404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2404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2404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2404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2404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2404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2404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2404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2404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2404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2404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2404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2404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2404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2404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2404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2404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2404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2404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2404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2404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2404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2404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2404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2404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2404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2404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2404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2404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2404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2404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2404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2404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2404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2404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2423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2404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2404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2424</v>
      </c>
      <c r="G170" s="44"/>
      <c r="H170" s="44" t="s">
        <v>253</v>
      </c>
      <c r="I170" s="44" t="s">
        <v>1320</v>
      </c>
      <c r="J170" s="44" t="s">
        <v>2425</v>
      </c>
      <c r="K170" s="44"/>
      <c r="L170" s="44" t="s">
        <v>253</v>
      </c>
      <c r="M170" s="44" t="s">
        <v>1321</v>
      </c>
      <c r="N170" s="44" t="s">
        <v>2426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2404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2424</v>
      </c>
      <c r="G171" s="44"/>
      <c r="H171" s="44" t="s">
        <v>260</v>
      </c>
      <c r="I171" s="44" t="s">
        <v>1323</v>
      </c>
      <c r="J171" s="44" t="s">
        <v>2425</v>
      </c>
      <c r="K171" s="44"/>
      <c r="L171" s="44" t="s">
        <v>260</v>
      </c>
      <c r="M171" s="44" t="s">
        <v>1324</v>
      </c>
      <c r="N171" s="44" t="s">
        <v>2426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2404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2404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2404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2404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2404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2404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2404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2404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2404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2404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2404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2404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2404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2404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2404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2404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2404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2404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2404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2404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2404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2404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2404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2404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2404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2404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2404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2404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2409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2404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2404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2404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2404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2404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2404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2404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2404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2404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2404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2404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2404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2404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2404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2404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2404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2404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2404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2404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2404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2404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2404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2404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2404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2404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2404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2404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2404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2404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2404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2404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2404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2404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2404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2404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2404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2404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2404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2404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2404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2404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2404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2404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2404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2404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2404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2404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2427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2404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2428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2404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2404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2404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2404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2404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2404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2404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2404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2404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2404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2404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2404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2404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2404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2404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2404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2404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2404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2404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2404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2404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2404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2404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2404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2404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2404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2404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2404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2404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2404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2404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2404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2404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2404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2404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2404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2404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2404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2404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2404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2404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2404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2404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2404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2404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2404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2404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2404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2404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2404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2404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2404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2404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2404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2404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2404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2404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2404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2404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2410</v>
      </c>
      <c r="J306" s="44" t="s">
        <v>2051</v>
      </c>
      <c r="K306" s="44"/>
      <c r="L306" s="44" t="s">
        <v>264</v>
      </c>
      <c r="M306" s="44" t="s">
        <v>2052</v>
      </c>
      <c r="N306" s="44" t="s">
        <v>2053</v>
      </c>
      <c r="O306" s="44"/>
      <c r="P306" s="44" t="s">
        <v>264</v>
      </c>
      <c r="Q306" s="44" t="s">
        <v>2054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2404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2055</v>
      </c>
      <c r="I307" s="44" t="s">
        <v>2056</v>
      </c>
      <c r="J307" s="44" t="s">
        <v>2047</v>
      </c>
      <c r="K307" s="44" t="s">
        <v>310</v>
      </c>
      <c r="L307" s="44" t="s">
        <v>2055</v>
      </c>
      <c r="M307" s="44" t="s">
        <v>2057</v>
      </c>
      <c r="N307" s="44" t="s">
        <v>2049</v>
      </c>
      <c r="O307" s="44" t="s">
        <v>311</v>
      </c>
      <c r="P307" s="44" t="s">
        <v>2055</v>
      </c>
      <c r="Q307" s="44" t="s">
        <v>2058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2404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2059</v>
      </c>
      <c r="G308" s="44"/>
      <c r="H308" s="44" t="s">
        <v>271</v>
      </c>
      <c r="I308" s="44" t="s">
        <v>2060</v>
      </c>
      <c r="J308" s="44" t="s">
        <v>2061</v>
      </c>
      <c r="K308" s="44"/>
      <c r="L308" s="44" t="s">
        <v>271</v>
      </c>
      <c r="M308" s="44" t="s">
        <v>2062</v>
      </c>
      <c r="N308" s="44" t="s">
        <v>2063</v>
      </c>
      <c r="O308" s="44"/>
      <c r="P308" s="44" t="s">
        <v>271</v>
      </c>
      <c r="Q308" s="44" t="s">
        <v>2064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2404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2065</v>
      </c>
      <c r="G309" s="44" t="s">
        <v>2066</v>
      </c>
      <c r="H309" s="44"/>
      <c r="I309" s="44" t="s">
        <v>2067</v>
      </c>
      <c r="J309" s="44" t="s">
        <v>2068</v>
      </c>
      <c r="K309" s="44" t="s">
        <v>2069</v>
      </c>
      <c r="L309" s="44"/>
      <c r="M309" s="44" t="s">
        <v>2070</v>
      </c>
      <c r="N309" s="44" t="s">
        <v>2071</v>
      </c>
      <c r="O309" s="44" t="s">
        <v>2072</v>
      </c>
      <c r="P309" s="44"/>
      <c r="Q309" s="44" t="s">
        <v>2073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2404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2074</v>
      </c>
      <c r="G310" s="44"/>
      <c r="H310" s="44"/>
      <c r="I310" s="44" t="s">
        <v>2074</v>
      </c>
      <c r="J310" s="44" t="s">
        <v>2075</v>
      </c>
      <c r="K310" s="44"/>
      <c r="L310" s="44"/>
      <c r="M310" s="44" t="s">
        <v>2076</v>
      </c>
      <c r="N310" s="44" t="s">
        <v>2077</v>
      </c>
      <c r="O310" s="44"/>
      <c r="P310" s="44"/>
      <c r="Q310" s="44" t="s">
        <v>2077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2404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2078</v>
      </c>
      <c r="G311" s="44"/>
      <c r="H311" s="44"/>
      <c r="I311" s="44" t="s">
        <v>2078</v>
      </c>
      <c r="J311" s="44" t="s">
        <v>2079</v>
      </c>
      <c r="K311" s="44"/>
      <c r="L311" s="44"/>
      <c r="M311" s="44" t="s">
        <v>2079</v>
      </c>
      <c r="N311" s="44" t="s">
        <v>2080</v>
      </c>
      <c r="O311" s="44"/>
      <c r="P311" s="44"/>
      <c r="Q311" s="44" t="s">
        <v>2080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2404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2081</v>
      </c>
      <c r="G312" s="44" t="s">
        <v>309</v>
      </c>
      <c r="H312" s="44" t="s">
        <v>2082</v>
      </c>
      <c r="I312" s="44" t="s">
        <v>2083</v>
      </c>
      <c r="J312" s="44" t="s">
        <v>2084</v>
      </c>
      <c r="K312" s="44" t="s">
        <v>310</v>
      </c>
      <c r="L312" s="44" t="s">
        <v>2082</v>
      </c>
      <c r="M312" s="44" t="s">
        <v>2085</v>
      </c>
      <c r="N312" s="44" t="s">
        <v>2086</v>
      </c>
      <c r="O312" s="44" t="s">
        <v>311</v>
      </c>
      <c r="P312" s="44" t="s">
        <v>2082</v>
      </c>
      <c r="Q312" s="44" t="s">
        <v>2087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2404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2088</v>
      </c>
      <c r="G313" s="44"/>
      <c r="H313" s="44" t="s">
        <v>1638</v>
      </c>
      <c r="I313" s="44" t="s">
        <v>2089</v>
      </c>
      <c r="J313" s="44" t="s">
        <v>2090</v>
      </c>
      <c r="K313" s="44"/>
      <c r="L313" s="44" t="s">
        <v>1638</v>
      </c>
      <c r="M313" s="44" t="s">
        <v>2091</v>
      </c>
      <c r="N313" s="44" t="s">
        <v>2092</v>
      </c>
      <c r="O313" s="44"/>
      <c r="P313" s="44" t="s">
        <v>1638</v>
      </c>
      <c r="Q313" s="44" t="s">
        <v>2093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2404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2094</v>
      </c>
      <c r="G314" s="44" t="s">
        <v>319</v>
      </c>
      <c r="H314" s="44"/>
      <c r="I314" s="44" t="s">
        <v>2095</v>
      </c>
      <c r="J314" s="44" t="s">
        <v>2096</v>
      </c>
      <c r="K314" s="44" t="s">
        <v>322</v>
      </c>
      <c r="L314" s="44"/>
      <c r="M314" s="44" t="s">
        <v>2097</v>
      </c>
      <c r="N314" s="44" t="s">
        <v>2098</v>
      </c>
      <c r="O314" s="44" t="s">
        <v>308</v>
      </c>
      <c r="P314" s="44"/>
      <c r="Q314" s="44" t="s">
        <v>2099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2404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2100</v>
      </c>
      <c r="G315" s="44"/>
      <c r="H315" s="44" t="s">
        <v>261</v>
      </c>
      <c r="I315" s="44" t="s">
        <v>2101</v>
      </c>
      <c r="J315" s="44" t="s">
        <v>2102</v>
      </c>
      <c r="K315" s="44"/>
      <c r="L315" s="44" t="s">
        <v>261</v>
      </c>
      <c r="M315" s="44" t="s">
        <v>2103</v>
      </c>
      <c r="N315" s="44" t="s">
        <v>2104</v>
      </c>
      <c r="O315" s="44"/>
      <c r="P315" s="44" t="s">
        <v>261</v>
      </c>
      <c r="Q315" s="44" t="s">
        <v>2105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2404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2106</v>
      </c>
      <c r="G316" s="44"/>
      <c r="H316" s="44" t="s">
        <v>261</v>
      </c>
      <c r="I316" s="44" t="s">
        <v>2107</v>
      </c>
      <c r="J316" s="44" t="s">
        <v>2108</v>
      </c>
      <c r="K316" s="44"/>
      <c r="L316" s="44" t="s">
        <v>261</v>
      </c>
      <c r="M316" s="44" t="s">
        <v>2109</v>
      </c>
      <c r="N316" s="44" t="s">
        <v>2110</v>
      </c>
      <c r="O316" s="44"/>
      <c r="P316" s="44" t="s">
        <v>261</v>
      </c>
      <c r="Q316" s="44" t="s">
        <v>2111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2404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2112</v>
      </c>
      <c r="G317" s="44"/>
      <c r="H317" s="44" t="s">
        <v>256</v>
      </c>
      <c r="I317" s="44" t="s">
        <v>2113</v>
      </c>
      <c r="J317" s="44" t="s">
        <v>2114</v>
      </c>
      <c r="K317" s="44"/>
      <c r="L317" s="44" t="s">
        <v>256</v>
      </c>
      <c r="M317" s="44" t="s">
        <v>2115</v>
      </c>
      <c r="N317" s="44" t="s">
        <v>2116</v>
      </c>
      <c r="O317" s="44"/>
      <c r="P317" s="44" t="s">
        <v>256</v>
      </c>
      <c r="Q317" s="44" t="s">
        <v>2117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2404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2118</v>
      </c>
      <c r="G318" s="44"/>
      <c r="H318" s="44" t="s">
        <v>266</v>
      </c>
      <c r="I318" s="44" t="s">
        <v>2119</v>
      </c>
      <c r="J318" s="44" t="s">
        <v>2120</v>
      </c>
      <c r="K318" s="44"/>
      <c r="L318" s="44" t="s">
        <v>266</v>
      </c>
      <c r="M318" s="44" t="s">
        <v>2121</v>
      </c>
      <c r="N318" s="44" t="s">
        <v>2104</v>
      </c>
      <c r="O318" s="44" t="s">
        <v>2122</v>
      </c>
      <c r="P318" s="44" t="s">
        <v>266</v>
      </c>
      <c r="Q318" s="44" t="s">
        <v>2123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2404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2094</v>
      </c>
      <c r="G319" s="44"/>
      <c r="H319" s="44" t="s">
        <v>260</v>
      </c>
      <c r="I319" s="44" t="s">
        <v>2124</v>
      </c>
      <c r="J319" s="44" t="s">
        <v>2096</v>
      </c>
      <c r="K319" s="44"/>
      <c r="L319" s="44" t="s">
        <v>260</v>
      </c>
      <c r="M319" s="44" t="s">
        <v>2125</v>
      </c>
      <c r="N319" s="44" t="s">
        <v>2098</v>
      </c>
      <c r="O319" s="44"/>
      <c r="P319" s="44" t="s">
        <v>260</v>
      </c>
      <c r="Q319" s="44" t="s">
        <v>2126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2404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2127</v>
      </c>
      <c r="G320" s="44" t="s">
        <v>763</v>
      </c>
      <c r="H320" s="44" t="s">
        <v>256</v>
      </c>
      <c r="I320" s="44" t="s">
        <v>2128</v>
      </c>
      <c r="J320" s="44" t="s">
        <v>2129</v>
      </c>
      <c r="K320" s="44" t="s">
        <v>150</v>
      </c>
      <c r="L320" s="44" t="s">
        <v>256</v>
      </c>
      <c r="M320" s="44" t="s">
        <v>2130</v>
      </c>
      <c r="N320" s="44" t="s">
        <v>2131</v>
      </c>
      <c r="O320" s="44" t="s">
        <v>768</v>
      </c>
      <c r="P320" s="44" t="s">
        <v>256</v>
      </c>
      <c r="Q320" s="44" t="s">
        <v>2132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2404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2133</v>
      </c>
      <c r="G321" s="44"/>
      <c r="H321" s="44"/>
      <c r="I321" s="44" t="s">
        <v>2133</v>
      </c>
      <c r="J321" s="44" t="s">
        <v>2134</v>
      </c>
      <c r="K321" s="44" t="s">
        <v>2134</v>
      </c>
      <c r="L321" s="44"/>
      <c r="M321" s="44" t="s">
        <v>2134</v>
      </c>
      <c r="N321" s="44" t="s">
        <v>2135</v>
      </c>
      <c r="O321" s="44"/>
      <c r="P321" s="44"/>
      <c r="Q321" s="44" t="s">
        <v>2135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2404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2136</v>
      </c>
      <c r="G322" s="44" t="s">
        <v>2137</v>
      </c>
      <c r="H322" s="44"/>
      <c r="I322" s="44" t="s">
        <v>2138</v>
      </c>
      <c r="J322" s="44" t="s">
        <v>2139</v>
      </c>
      <c r="K322" s="44" t="s">
        <v>2140</v>
      </c>
      <c r="L322" s="44"/>
      <c r="M322" s="44" t="s">
        <v>2141</v>
      </c>
      <c r="N322" s="44" t="s">
        <v>2142</v>
      </c>
      <c r="O322" s="44" t="s">
        <v>1292</v>
      </c>
      <c r="P322" s="44"/>
      <c r="Q322" s="44" t="s">
        <v>2142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2404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2143</v>
      </c>
      <c r="G323" s="44" t="s">
        <v>309</v>
      </c>
      <c r="H323" s="44" t="s">
        <v>1224</v>
      </c>
      <c r="I323" s="44" t="s">
        <v>2144</v>
      </c>
      <c r="J323" s="44" t="s">
        <v>2145</v>
      </c>
      <c r="K323" s="44" t="s">
        <v>310</v>
      </c>
      <c r="L323" s="44" t="s">
        <v>1224</v>
      </c>
      <c r="M323" s="44" t="s">
        <v>2146</v>
      </c>
      <c r="N323" s="44" t="s">
        <v>2147</v>
      </c>
      <c r="O323" s="44" t="s">
        <v>311</v>
      </c>
      <c r="P323" s="44" t="s">
        <v>1224</v>
      </c>
      <c r="Q323" s="44" t="s">
        <v>2148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2404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2149</v>
      </c>
      <c r="G324" s="44" t="s">
        <v>309</v>
      </c>
      <c r="H324" s="44" t="s">
        <v>256</v>
      </c>
      <c r="I324" s="44" t="s">
        <v>2150</v>
      </c>
      <c r="J324" s="44" t="s">
        <v>2151</v>
      </c>
      <c r="K324" s="44" t="s">
        <v>310</v>
      </c>
      <c r="L324" s="44" t="s">
        <v>256</v>
      </c>
      <c r="M324" s="44" t="s">
        <v>2152</v>
      </c>
      <c r="N324" s="44" t="s">
        <v>2153</v>
      </c>
      <c r="O324" s="44" t="s">
        <v>311</v>
      </c>
      <c r="P324" s="44" t="s">
        <v>256</v>
      </c>
      <c r="Q324" s="44" t="s">
        <v>2154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2404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2155</v>
      </c>
      <c r="G325" s="44" t="s">
        <v>2156</v>
      </c>
      <c r="H325" s="44" t="s">
        <v>267</v>
      </c>
      <c r="I325" s="44" t="s">
        <v>2157</v>
      </c>
      <c r="J325" s="44" t="s">
        <v>2158</v>
      </c>
      <c r="K325" s="44" t="s">
        <v>310</v>
      </c>
      <c r="L325" s="44" t="s">
        <v>267</v>
      </c>
      <c r="M325" s="44" t="s">
        <v>2159</v>
      </c>
      <c r="N325" s="44" t="s">
        <v>2160</v>
      </c>
      <c r="O325" s="44" t="s">
        <v>311</v>
      </c>
      <c r="P325" s="44" t="s">
        <v>267</v>
      </c>
      <c r="Q325" s="44" t="s">
        <v>2161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2404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2162</v>
      </c>
      <c r="G326" s="44" t="s">
        <v>319</v>
      </c>
      <c r="H326" s="44"/>
      <c r="I326" s="44" t="s">
        <v>2163</v>
      </c>
      <c r="J326" s="44" t="s">
        <v>2164</v>
      </c>
      <c r="K326" s="44" t="s">
        <v>322</v>
      </c>
      <c r="L326" s="44"/>
      <c r="M326" s="44" t="s">
        <v>2165</v>
      </c>
      <c r="N326" s="44" t="s">
        <v>2166</v>
      </c>
      <c r="O326" s="44" t="s">
        <v>308</v>
      </c>
      <c r="P326" s="44"/>
      <c r="Q326" s="44" t="s">
        <v>2167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2404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2155</v>
      </c>
      <c r="G327" s="44" t="s">
        <v>309</v>
      </c>
      <c r="H327" s="44"/>
      <c r="I327" s="44" t="s">
        <v>2168</v>
      </c>
      <c r="J327" s="44" t="s">
        <v>2169</v>
      </c>
      <c r="K327" s="44" t="s">
        <v>310</v>
      </c>
      <c r="L327" s="44"/>
      <c r="M327" s="44" t="s">
        <v>2170</v>
      </c>
      <c r="N327" s="44" t="s">
        <v>2171</v>
      </c>
      <c r="O327" s="44" t="s">
        <v>311</v>
      </c>
      <c r="P327" s="44"/>
      <c r="Q327" s="44" t="s">
        <v>2172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2404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2173</v>
      </c>
      <c r="G328" s="44" t="s">
        <v>309</v>
      </c>
      <c r="H328" s="44" t="s">
        <v>253</v>
      </c>
      <c r="I328" s="44" t="s">
        <v>2174</v>
      </c>
      <c r="J328" s="44" t="s">
        <v>2175</v>
      </c>
      <c r="K328" s="44" t="s">
        <v>310</v>
      </c>
      <c r="L328" s="44" t="s">
        <v>253</v>
      </c>
      <c r="M328" s="44" t="s">
        <v>2176</v>
      </c>
      <c r="N328" s="44" t="s">
        <v>2177</v>
      </c>
      <c r="O328" s="44" t="s">
        <v>311</v>
      </c>
      <c r="P328" s="44" t="s">
        <v>253</v>
      </c>
      <c r="Q328" s="44" t="s">
        <v>2178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2404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2179</v>
      </c>
      <c r="G329" s="44" t="s">
        <v>309</v>
      </c>
      <c r="H329" s="44" t="s">
        <v>253</v>
      </c>
      <c r="I329" s="44" t="s">
        <v>2180</v>
      </c>
      <c r="J329" s="44" t="s">
        <v>2181</v>
      </c>
      <c r="K329" s="44" t="s">
        <v>310</v>
      </c>
      <c r="L329" s="44" t="s">
        <v>253</v>
      </c>
      <c r="M329" s="44" t="s">
        <v>2182</v>
      </c>
      <c r="N329" s="44" t="s">
        <v>2183</v>
      </c>
      <c r="O329" s="44" t="s">
        <v>311</v>
      </c>
      <c r="P329" s="44" t="s">
        <v>253</v>
      </c>
      <c r="Q329" s="44" t="s">
        <v>2184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2404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2185</v>
      </c>
      <c r="G330" s="44" t="s">
        <v>309</v>
      </c>
      <c r="H330" s="44" t="s">
        <v>253</v>
      </c>
      <c r="I330" s="44" t="s">
        <v>2186</v>
      </c>
      <c r="J330" s="44" t="s">
        <v>2187</v>
      </c>
      <c r="K330" s="44" t="s">
        <v>310</v>
      </c>
      <c r="L330" s="44" t="s">
        <v>253</v>
      </c>
      <c r="M330" s="44" t="s">
        <v>2188</v>
      </c>
      <c r="N330" s="44" t="s">
        <v>2189</v>
      </c>
      <c r="O330" s="44" t="s">
        <v>311</v>
      </c>
      <c r="P330" s="44" t="s">
        <v>253</v>
      </c>
      <c r="Q330" s="44" t="s">
        <v>2190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2404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2185</v>
      </c>
      <c r="G331" s="44" t="s">
        <v>309</v>
      </c>
      <c r="H331" s="44" t="s">
        <v>265</v>
      </c>
      <c r="I331" s="44" t="s">
        <v>2191</v>
      </c>
      <c r="J331" s="44" t="s">
        <v>2187</v>
      </c>
      <c r="K331" s="44" t="s">
        <v>310</v>
      </c>
      <c r="L331" s="44" t="s">
        <v>265</v>
      </c>
      <c r="M331" s="44" t="s">
        <v>2192</v>
      </c>
      <c r="N331" s="44" t="s">
        <v>2189</v>
      </c>
      <c r="O331" s="44" t="s">
        <v>311</v>
      </c>
      <c r="P331" s="44" t="s">
        <v>265</v>
      </c>
      <c r="Q331" s="44" t="s">
        <v>2193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2404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2149</v>
      </c>
      <c r="G332" s="44" t="s">
        <v>319</v>
      </c>
      <c r="H332" s="44"/>
      <c r="I332" s="44" t="s">
        <v>2194</v>
      </c>
      <c r="J332" s="44" t="s">
        <v>2151</v>
      </c>
      <c r="K332" s="44" t="s">
        <v>322</v>
      </c>
      <c r="L332" s="44"/>
      <c r="M332" s="44" t="s">
        <v>2195</v>
      </c>
      <c r="N332" s="44" t="s">
        <v>2196</v>
      </c>
      <c r="O332" s="44" t="s">
        <v>308</v>
      </c>
      <c r="P332" s="44"/>
      <c r="Q332" s="44" t="s">
        <v>2197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2404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2198</v>
      </c>
      <c r="G333" s="44" t="s">
        <v>309</v>
      </c>
      <c r="H333" s="44" t="s">
        <v>253</v>
      </c>
      <c r="I333" s="44" t="s">
        <v>2199</v>
      </c>
      <c r="J333" s="44" t="s">
        <v>2200</v>
      </c>
      <c r="K333" s="44" t="s">
        <v>310</v>
      </c>
      <c r="L333" s="44" t="s">
        <v>253</v>
      </c>
      <c r="M333" s="44" t="s">
        <v>2201</v>
      </c>
      <c r="N333" s="44" t="s">
        <v>2202</v>
      </c>
      <c r="O333" s="44" t="s">
        <v>311</v>
      </c>
      <c r="P333" s="44" t="s">
        <v>253</v>
      </c>
      <c r="Q333" s="44" t="s">
        <v>2203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2404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2204</v>
      </c>
      <c r="G334" s="44" t="s">
        <v>319</v>
      </c>
      <c r="H334" s="44"/>
      <c r="I334" s="44" t="s">
        <v>2205</v>
      </c>
      <c r="J334" s="44" t="s">
        <v>2206</v>
      </c>
      <c r="K334" s="44" t="s">
        <v>322</v>
      </c>
      <c r="L334" s="44"/>
      <c r="M334" s="44" t="s">
        <v>2207</v>
      </c>
      <c r="N334" s="44" t="s">
        <v>2208</v>
      </c>
      <c r="O334" s="44" t="s">
        <v>308</v>
      </c>
      <c r="P334" s="44"/>
      <c r="Q334" s="44" t="s">
        <v>2209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2404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2204</v>
      </c>
      <c r="G335" s="44" t="s">
        <v>309</v>
      </c>
      <c r="H335" s="44"/>
      <c r="I335" s="44" t="s">
        <v>2210</v>
      </c>
      <c r="J335" s="44" t="s">
        <v>2206</v>
      </c>
      <c r="K335" s="44" t="s">
        <v>310</v>
      </c>
      <c r="L335" s="44"/>
      <c r="M335" s="44" t="s">
        <v>2207</v>
      </c>
      <c r="N335" s="44" t="s">
        <v>2208</v>
      </c>
      <c r="O335" s="44" t="s">
        <v>311</v>
      </c>
      <c r="P335" s="44"/>
      <c r="Q335" s="44" t="s">
        <v>2211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2404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2212</v>
      </c>
      <c r="G336" s="44" t="s">
        <v>309</v>
      </c>
      <c r="H336" s="44" t="s">
        <v>253</v>
      </c>
      <c r="I336" s="44" t="s">
        <v>2213</v>
      </c>
      <c r="J336" s="44" t="s">
        <v>2214</v>
      </c>
      <c r="K336" s="44" t="s">
        <v>310</v>
      </c>
      <c r="L336" s="44" t="s">
        <v>253</v>
      </c>
      <c r="M336" s="44" t="s">
        <v>2215</v>
      </c>
      <c r="N336" s="44" t="s">
        <v>2216</v>
      </c>
      <c r="O336" s="44" t="s">
        <v>311</v>
      </c>
      <c r="P336" s="44" t="s">
        <v>253</v>
      </c>
      <c r="Q336" s="44" t="s">
        <v>2217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2404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2212</v>
      </c>
      <c r="G337" s="44" t="s">
        <v>2218</v>
      </c>
      <c r="H337" s="44"/>
      <c r="I337" s="44" t="s">
        <v>2219</v>
      </c>
      <c r="J337" s="44" t="s">
        <v>2214</v>
      </c>
      <c r="K337" s="44" t="s">
        <v>2220</v>
      </c>
      <c r="L337" s="44"/>
      <c r="M337" s="44" t="s">
        <v>2221</v>
      </c>
      <c r="N337" s="44" t="s">
        <v>2216</v>
      </c>
      <c r="O337" s="44" t="s">
        <v>2222</v>
      </c>
      <c r="P337" s="44"/>
      <c r="Q337" s="44" t="s">
        <v>2223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2404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2224</v>
      </c>
      <c r="G338" s="44" t="s">
        <v>319</v>
      </c>
      <c r="H338" s="44"/>
      <c r="I338" s="44" t="s">
        <v>2225</v>
      </c>
      <c r="J338" s="44" t="s">
        <v>2226</v>
      </c>
      <c r="K338" s="44" t="s">
        <v>322</v>
      </c>
      <c r="L338" s="44"/>
      <c r="M338" s="44" t="s">
        <v>2227</v>
      </c>
      <c r="N338" s="44" t="s">
        <v>2228</v>
      </c>
      <c r="O338" s="44" t="s">
        <v>308</v>
      </c>
      <c r="P338" s="44"/>
      <c r="Q338" s="44" t="s">
        <v>2229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2404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2224</v>
      </c>
      <c r="G339" s="44" t="s">
        <v>293</v>
      </c>
      <c r="H339" s="44" t="s">
        <v>268</v>
      </c>
      <c r="I339" s="44" t="s">
        <v>2230</v>
      </c>
      <c r="J339" s="44" t="s">
        <v>2226</v>
      </c>
      <c r="K339" s="44" t="s">
        <v>294</v>
      </c>
      <c r="L339" s="44" t="s">
        <v>269</v>
      </c>
      <c r="M339" s="44" t="s">
        <v>2231</v>
      </c>
      <c r="N339" s="44" t="s">
        <v>2228</v>
      </c>
      <c r="O339" s="44" t="s">
        <v>295</v>
      </c>
      <c r="P339" s="44" t="s">
        <v>270</v>
      </c>
      <c r="Q339" s="44" t="s">
        <v>2232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2404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2233</v>
      </c>
      <c r="G340" s="44" t="s">
        <v>319</v>
      </c>
      <c r="H340" s="44"/>
      <c r="I340" s="44" t="s">
        <v>2234</v>
      </c>
      <c r="J340" s="44" t="s">
        <v>2181</v>
      </c>
      <c r="K340" s="44" t="s">
        <v>322</v>
      </c>
      <c r="L340" s="44"/>
      <c r="M340" s="44" t="s">
        <v>2235</v>
      </c>
      <c r="N340" s="44" t="s">
        <v>2236</v>
      </c>
      <c r="O340" s="44" t="s">
        <v>308</v>
      </c>
      <c r="P340" s="44"/>
      <c r="Q340" s="44" t="s">
        <v>2237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2404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2238</v>
      </c>
      <c r="G341" s="44" t="s">
        <v>319</v>
      </c>
      <c r="H341" s="44"/>
      <c r="I341" s="44" t="s">
        <v>2239</v>
      </c>
      <c r="J341" s="44" t="s">
        <v>2240</v>
      </c>
      <c r="K341" s="44" t="s">
        <v>322</v>
      </c>
      <c r="L341" s="44"/>
      <c r="M341" s="44" t="s">
        <v>2241</v>
      </c>
      <c r="N341" s="44" t="s">
        <v>2242</v>
      </c>
      <c r="O341" s="44" t="s">
        <v>308</v>
      </c>
      <c r="P341" s="44"/>
      <c r="Q341" s="44" t="s">
        <v>2243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2404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2244</v>
      </c>
      <c r="G342" s="44" t="s">
        <v>309</v>
      </c>
      <c r="H342" s="44"/>
      <c r="I342" s="44" t="s">
        <v>2245</v>
      </c>
      <c r="J342" s="44" t="s">
        <v>2246</v>
      </c>
      <c r="K342" s="44" t="s">
        <v>310</v>
      </c>
      <c r="L342" s="44"/>
      <c r="M342" s="44" t="s">
        <v>2247</v>
      </c>
      <c r="N342" s="44" t="s">
        <v>2248</v>
      </c>
      <c r="O342" s="44" t="s">
        <v>311</v>
      </c>
      <c r="P342" s="44"/>
      <c r="Q342" s="44" t="s">
        <v>2429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2404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2244</v>
      </c>
      <c r="G343" s="44" t="s">
        <v>2249</v>
      </c>
      <c r="H343" s="44"/>
      <c r="I343" s="44" t="s">
        <v>2250</v>
      </c>
      <c r="J343" s="44" t="s">
        <v>2251</v>
      </c>
      <c r="K343" s="44" t="s">
        <v>322</v>
      </c>
      <c r="L343" s="44"/>
      <c r="M343" s="44" t="s">
        <v>2252</v>
      </c>
      <c r="N343" s="44" t="s">
        <v>2253</v>
      </c>
      <c r="O343" s="44" t="s">
        <v>308</v>
      </c>
      <c r="P343" s="44"/>
      <c r="Q343" s="44" t="s">
        <v>2254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2404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2255</v>
      </c>
      <c r="G344" s="44" t="s">
        <v>319</v>
      </c>
      <c r="H344" s="44"/>
      <c r="I344" s="44" t="s">
        <v>2256</v>
      </c>
      <c r="J344" s="44" t="s">
        <v>2257</v>
      </c>
      <c r="K344" s="44" t="s">
        <v>322</v>
      </c>
      <c r="L344" s="44"/>
      <c r="M344" s="44" t="s">
        <v>2258</v>
      </c>
      <c r="N344" s="44" t="s">
        <v>2259</v>
      </c>
      <c r="O344" s="44" t="s">
        <v>308</v>
      </c>
      <c r="P344" s="44"/>
      <c r="Q344" s="44" t="s">
        <v>2260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2404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2261</v>
      </c>
      <c r="G345" s="44" t="s">
        <v>309</v>
      </c>
      <c r="H345" s="44"/>
      <c r="I345" s="44" t="s">
        <v>2262</v>
      </c>
      <c r="J345" s="44" t="s">
        <v>2263</v>
      </c>
      <c r="K345" s="44" t="s">
        <v>310</v>
      </c>
      <c r="L345" s="44"/>
      <c r="M345" s="44" t="s">
        <v>2264</v>
      </c>
      <c r="N345" s="44" t="s">
        <v>2265</v>
      </c>
      <c r="O345" s="44" t="s">
        <v>311</v>
      </c>
      <c r="P345" s="44"/>
      <c r="Q345" s="44" t="s">
        <v>2266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2404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2267</v>
      </c>
      <c r="G346" s="44" t="s">
        <v>319</v>
      </c>
      <c r="H346" s="44"/>
      <c r="I346" s="44" t="s">
        <v>2268</v>
      </c>
      <c r="J346" s="44" t="s">
        <v>2269</v>
      </c>
      <c r="K346" s="44" t="s">
        <v>322</v>
      </c>
      <c r="L346" s="44"/>
      <c r="M346" s="44" t="s">
        <v>2270</v>
      </c>
      <c r="N346" s="44" t="s">
        <v>2271</v>
      </c>
      <c r="O346" s="44" t="s">
        <v>308</v>
      </c>
      <c r="P346" s="44"/>
      <c r="Q346" s="44" t="s">
        <v>2272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2404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2267</v>
      </c>
      <c r="G347" s="44"/>
      <c r="H347" s="44"/>
      <c r="I347" s="44" t="s">
        <v>2267</v>
      </c>
      <c r="J347" s="44" t="s">
        <v>2269</v>
      </c>
      <c r="K347" s="44"/>
      <c r="L347" s="44"/>
      <c r="M347" s="44" t="s">
        <v>2270</v>
      </c>
      <c r="N347" s="44" t="s">
        <v>2271</v>
      </c>
      <c r="O347" s="44"/>
      <c r="P347" s="44"/>
      <c r="Q347" s="44" t="s">
        <v>2271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2404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2273</v>
      </c>
      <c r="G348" s="44" t="s">
        <v>309</v>
      </c>
      <c r="H348" s="44" t="s">
        <v>999</v>
      </c>
      <c r="I348" s="44" t="s">
        <v>2274</v>
      </c>
      <c r="J348" s="44" t="s">
        <v>2275</v>
      </c>
      <c r="K348" s="44" t="s">
        <v>310</v>
      </c>
      <c r="L348" s="44" t="s">
        <v>1002</v>
      </c>
      <c r="M348" s="44" t="s">
        <v>2276</v>
      </c>
      <c r="N348" s="44" t="s">
        <v>2277</v>
      </c>
      <c r="O348" s="44" t="s">
        <v>311</v>
      </c>
      <c r="P348" s="44" t="s">
        <v>999</v>
      </c>
      <c r="Q348" s="44" t="s">
        <v>2278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2404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2279</v>
      </c>
      <c r="G349" s="44" t="s">
        <v>309</v>
      </c>
      <c r="H349" s="44"/>
      <c r="I349" s="44" t="s">
        <v>2280</v>
      </c>
      <c r="J349" s="44" t="s">
        <v>2281</v>
      </c>
      <c r="K349" s="44" t="s">
        <v>310</v>
      </c>
      <c r="L349" s="44"/>
      <c r="M349" s="44" t="s">
        <v>2282</v>
      </c>
      <c r="N349" s="44" t="s">
        <v>2283</v>
      </c>
      <c r="O349" s="44" t="s">
        <v>311</v>
      </c>
      <c r="P349" s="44"/>
      <c r="Q349" s="44" t="s">
        <v>2284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2404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2285</v>
      </c>
      <c r="G350" s="44" t="s">
        <v>309</v>
      </c>
      <c r="H350" s="44"/>
      <c r="I350" s="44" t="s">
        <v>2286</v>
      </c>
      <c r="J350" s="44" t="s">
        <v>2287</v>
      </c>
      <c r="K350" s="44" t="s">
        <v>310</v>
      </c>
      <c r="L350" s="44"/>
      <c r="M350" s="44" t="s">
        <v>2288</v>
      </c>
      <c r="N350" s="44" t="s">
        <v>2289</v>
      </c>
      <c r="O350" s="44" t="s">
        <v>311</v>
      </c>
      <c r="P350" s="44"/>
      <c r="Q350" s="44" t="s">
        <v>2290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2404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2291</v>
      </c>
      <c r="G351" s="44"/>
      <c r="H351" s="44" t="s">
        <v>271</v>
      </c>
      <c r="I351" s="44" t="s">
        <v>2292</v>
      </c>
      <c r="J351" s="44" t="s">
        <v>2293</v>
      </c>
      <c r="K351" s="44"/>
      <c r="L351" s="44" t="s">
        <v>271</v>
      </c>
      <c r="M351" s="44" t="s">
        <v>2294</v>
      </c>
      <c r="N351" s="44" t="s">
        <v>2295</v>
      </c>
      <c r="O351" s="44"/>
      <c r="P351" s="44" t="s">
        <v>271</v>
      </c>
      <c r="Q351" s="44" t="s">
        <v>2296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2404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2297</v>
      </c>
      <c r="G352" s="44"/>
      <c r="H352" s="44"/>
      <c r="I352" s="44" t="s">
        <v>2297</v>
      </c>
      <c r="J352" s="44" t="s">
        <v>2298</v>
      </c>
      <c r="K352" s="44"/>
      <c r="L352" s="44"/>
      <c r="M352" s="44" t="s">
        <v>2298</v>
      </c>
      <c r="N352" s="44" t="s">
        <v>2299</v>
      </c>
      <c r="O352" s="44"/>
      <c r="P352" s="44"/>
      <c r="Q352" s="44" t="s">
        <v>2299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2404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2300</v>
      </c>
      <c r="G353" s="44" t="s">
        <v>319</v>
      </c>
      <c r="H353" s="44"/>
      <c r="I353" s="44" t="s">
        <v>2301</v>
      </c>
      <c r="J353" s="44" t="s">
        <v>2302</v>
      </c>
      <c r="K353" s="44" t="s">
        <v>322</v>
      </c>
      <c r="L353" s="44"/>
      <c r="M353" s="44" t="s">
        <v>2303</v>
      </c>
      <c r="N353" s="44" t="s">
        <v>2304</v>
      </c>
      <c r="O353" s="44" t="s">
        <v>308</v>
      </c>
      <c r="P353" s="44"/>
      <c r="Q353" s="44" t="s">
        <v>2305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2404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2306</v>
      </c>
      <c r="G354" s="44" t="s">
        <v>309</v>
      </c>
      <c r="H354" s="44" t="s">
        <v>1224</v>
      </c>
      <c r="I354" s="44" t="s">
        <v>2307</v>
      </c>
      <c r="J354" s="44" t="s">
        <v>2308</v>
      </c>
      <c r="K354" s="44" t="s">
        <v>310</v>
      </c>
      <c r="L354" s="44" t="s">
        <v>1224</v>
      </c>
      <c r="M354" s="44" t="s">
        <v>2309</v>
      </c>
      <c r="N354" s="44" t="s">
        <v>2310</v>
      </c>
      <c r="O354" s="44" t="s">
        <v>311</v>
      </c>
      <c r="P354" s="44" t="s">
        <v>1224</v>
      </c>
      <c r="Q354" s="44" t="s">
        <v>2311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2404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2312</v>
      </c>
      <c r="G355" s="44" t="s">
        <v>309</v>
      </c>
      <c r="H355" s="44" t="s">
        <v>1224</v>
      </c>
      <c r="I355" s="44" t="s">
        <v>2313</v>
      </c>
      <c r="J355" s="44" t="s">
        <v>2314</v>
      </c>
      <c r="K355" s="44" t="s">
        <v>310</v>
      </c>
      <c r="L355" s="44" t="s">
        <v>1224</v>
      </c>
      <c r="M355" s="44" t="s">
        <v>2315</v>
      </c>
      <c r="N355" s="44" t="s">
        <v>2316</v>
      </c>
      <c r="O355" s="44" t="s">
        <v>311</v>
      </c>
      <c r="P355" s="44" t="s">
        <v>1224</v>
      </c>
      <c r="Q355" s="44" t="s">
        <v>2317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2404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2318</v>
      </c>
      <c r="G356" s="44" t="s">
        <v>827</v>
      </c>
      <c r="H356" s="44" t="s">
        <v>261</v>
      </c>
      <c r="I356" s="44" t="s">
        <v>2319</v>
      </c>
      <c r="J356" s="44" t="s">
        <v>2320</v>
      </c>
      <c r="K356" s="44" t="s">
        <v>830</v>
      </c>
      <c r="L356" s="44" t="s">
        <v>261</v>
      </c>
      <c r="M356" s="44" t="s">
        <v>2321</v>
      </c>
      <c r="N356" s="44" t="s">
        <v>2322</v>
      </c>
      <c r="O356" s="44" t="s">
        <v>833</v>
      </c>
      <c r="P356" s="44" t="s">
        <v>261</v>
      </c>
      <c r="Q356" s="44" t="s">
        <v>2323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2404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2324</v>
      </c>
      <c r="G357" s="44"/>
      <c r="H357" s="44" t="s">
        <v>999</v>
      </c>
      <c r="I357" s="44" t="s">
        <v>2325</v>
      </c>
      <c r="J357" s="44" t="s">
        <v>2326</v>
      </c>
      <c r="K357" s="44"/>
      <c r="L357" s="44" t="s">
        <v>1002</v>
      </c>
      <c r="M357" s="44" t="s">
        <v>2327</v>
      </c>
      <c r="N357" s="44" t="s">
        <v>2328</v>
      </c>
      <c r="O357" s="44"/>
      <c r="P357" s="44" t="s">
        <v>999</v>
      </c>
      <c r="Q357" s="44" t="s">
        <v>2329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2404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2318</v>
      </c>
      <c r="G358" s="44"/>
      <c r="H358" s="44" t="s">
        <v>303</v>
      </c>
      <c r="I358" s="44" t="s">
        <v>2330</v>
      </c>
      <c r="J358" s="44" t="s">
        <v>2320</v>
      </c>
      <c r="K358" s="44"/>
      <c r="L358" s="44" t="s">
        <v>305</v>
      </c>
      <c r="M358" s="44" t="s">
        <v>2331</v>
      </c>
      <c r="N358" s="44" t="s">
        <v>2328</v>
      </c>
      <c r="O358" s="44"/>
      <c r="P358" s="44" t="s">
        <v>303</v>
      </c>
      <c r="Q358" s="44" t="s">
        <v>2332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2404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2333</v>
      </c>
      <c r="G359" s="44" t="s">
        <v>319</v>
      </c>
      <c r="H359" s="44"/>
      <c r="I359" s="44" t="s">
        <v>2334</v>
      </c>
      <c r="J359" s="44" t="s">
        <v>2335</v>
      </c>
      <c r="K359" s="44" t="s">
        <v>322</v>
      </c>
      <c r="L359" s="44"/>
      <c r="M359" s="44" t="s">
        <v>2336</v>
      </c>
      <c r="N359" s="44" t="s">
        <v>2337</v>
      </c>
      <c r="O359" s="44" t="s">
        <v>308</v>
      </c>
      <c r="P359" s="44"/>
      <c r="Q359" s="44" t="s">
        <v>2338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2404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2333</v>
      </c>
      <c r="G360" s="44"/>
      <c r="H360" s="44" t="s">
        <v>999</v>
      </c>
      <c r="I360" s="44" t="s">
        <v>2339</v>
      </c>
      <c r="J360" s="44" t="s">
        <v>2335</v>
      </c>
      <c r="K360" s="44"/>
      <c r="L360" s="44" t="s">
        <v>1002</v>
      </c>
      <c r="M360" s="44" t="s">
        <v>2340</v>
      </c>
      <c r="N360" s="44" t="s">
        <v>2337</v>
      </c>
      <c r="O360" s="44"/>
      <c r="P360" s="44" t="s">
        <v>999</v>
      </c>
      <c r="Q360" s="44" t="s">
        <v>2341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2404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2342</v>
      </c>
      <c r="G361" s="44"/>
      <c r="H361" s="44"/>
      <c r="I361" s="44" t="s">
        <v>2342</v>
      </c>
      <c r="J361" s="44" t="s">
        <v>2343</v>
      </c>
      <c r="K361" s="44"/>
      <c r="L361" s="44"/>
      <c r="M361" s="44" t="s">
        <v>2343</v>
      </c>
      <c r="N361" s="44" t="s">
        <v>2344</v>
      </c>
      <c r="O361" s="44"/>
      <c r="P361" s="44"/>
      <c r="Q361" s="44" t="s">
        <v>2344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2404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2345</v>
      </c>
      <c r="J362" s="44" t="s">
        <v>1798</v>
      </c>
      <c r="K362" s="44" t="s">
        <v>322</v>
      </c>
      <c r="L362" s="44"/>
      <c r="M362" s="44" t="s">
        <v>2346</v>
      </c>
      <c r="N362" s="44" t="s">
        <v>1800</v>
      </c>
      <c r="O362" s="44" t="s">
        <v>308</v>
      </c>
      <c r="P362" s="44"/>
      <c r="Q362" s="44" t="s">
        <v>2347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2404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2348</v>
      </c>
      <c r="G363" s="44"/>
      <c r="H363" s="44"/>
      <c r="I363" s="44" t="s">
        <v>2349</v>
      </c>
      <c r="J363" s="44" t="s">
        <v>2350</v>
      </c>
      <c r="K363" s="44"/>
      <c r="L363" s="44"/>
      <c r="M363" s="44" t="s">
        <v>2350</v>
      </c>
      <c r="N363" s="44" t="s">
        <v>2351</v>
      </c>
      <c r="O363" s="44"/>
      <c r="P363" s="44"/>
      <c r="Q363" s="44" t="s">
        <v>2352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2404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2353</v>
      </c>
      <c r="J364" s="44" t="s">
        <v>1798</v>
      </c>
      <c r="K364" s="44"/>
      <c r="L364" s="44"/>
      <c r="M364" s="44" t="s">
        <v>2346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2404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2354</v>
      </c>
      <c r="G365" s="44" t="s">
        <v>293</v>
      </c>
      <c r="H365" s="44" t="s">
        <v>268</v>
      </c>
      <c r="I365" s="44" t="s">
        <v>2355</v>
      </c>
      <c r="J365" s="44" t="s">
        <v>2356</v>
      </c>
      <c r="K365" s="44" t="s">
        <v>294</v>
      </c>
      <c r="L365" s="44" t="s">
        <v>269</v>
      </c>
      <c r="M365" s="44" t="s">
        <v>2357</v>
      </c>
      <c r="N365" s="44" t="s">
        <v>2358</v>
      </c>
      <c r="O365" s="44" t="s">
        <v>295</v>
      </c>
      <c r="P365" s="44" t="s">
        <v>270</v>
      </c>
      <c r="Q365" s="44" t="s">
        <v>2359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2404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2360</v>
      </c>
      <c r="G366" s="44" t="s">
        <v>827</v>
      </c>
      <c r="H366" s="44" t="s">
        <v>261</v>
      </c>
      <c r="I366" s="44" t="s">
        <v>2361</v>
      </c>
      <c r="J366" s="44" t="s">
        <v>2362</v>
      </c>
      <c r="K366" s="44" t="s">
        <v>830</v>
      </c>
      <c r="L366" s="44" t="s">
        <v>261</v>
      </c>
      <c r="M366" s="44" t="s">
        <v>2363</v>
      </c>
      <c r="N366" s="44" t="s">
        <v>2364</v>
      </c>
      <c r="O366" s="44" t="s">
        <v>833</v>
      </c>
      <c r="P366" s="44" t="s">
        <v>261</v>
      </c>
      <c r="Q366" s="44" t="s">
        <v>2365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2404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2366</v>
      </c>
      <c r="G367" s="44" t="s">
        <v>309</v>
      </c>
      <c r="H367" s="44" t="s">
        <v>256</v>
      </c>
      <c r="I367" s="44" t="s">
        <v>2367</v>
      </c>
      <c r="J367" s="44" t="s">
        <v>2368</v>
      </c>
      <c r="K367" s="44" t="s">
        <v>310</v>
      </c>
      <c r="L367" s="44" t="s">
        <v>256</v>
      </c>
      <c r="M367" s="44" t="s">
        <v>2369</v>
      </c>
      <c r="N367" s="44" t="s">
        <v>2370</v>
      </c>
      <c r="O367" s="44" t="s">
        <v>311</v>
      </c>
      <c r="P367" s="44" t="s">
        <v>256</v>
      </c>
      <c r="Q367" s="44" t="s">
        <v>2371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2404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2372</v>
      </c>
      <c r="G368" s="44" t="s">
        <v>827</v>
      </c>
      <c r="H368" s="44" t="s">
        <v>256</v>
      </c>
      <c r="I368" s="44" t="s">
        <v>2373</v>
      </c>
      <c r="J368" s="44" t="s">
        <v>2374</v>
      </c>
      <c r="K368" s="44" t="s">
        <v>830</v>
      </c>
      <c r="L368" s="44" t="s">
        <v>256</v>
      </c>
      <c r="M368" s="44" t="s">
        <v>2375</v>
      </c>
      <c r="N368" s="44" t="s">
        <v>2376</v>
      </c>
      <c r="O368" s="44" t="s">
        <v>833</v>
      </c>
      <c r="P368" s="44" t="s">
        <v>256</v>
      </c>
      <c r="Q368" s="44" t="s">
        <v>2377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2404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2378</v>
      </c>
      <c r="G369" s="44"/>
      <c r="H369" s="44"/>
      <c r="I369" s="44" t="s">
        <v>2378</v>
      </c>
      <c r="J369" s="44" t="s">
        <v>2379</v>
      </c>
      <c r="K369" s="44"/>
      <c r="L369" s="44"/>
      <c r="M369" s="44" t="s">
        <v>2430</v>
      </c>
      <c r="N369" s="44" t="s">
        <v>2380</v>
      </c>
      <c r="O369" s="44"/>
      <c r="P369" s="44"/>
      <c r="Q369" s="44" t="s">
        <v>2380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2404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2381</v>
      </c>
      <c r="G370" s="44" t="s">
        <v>827</v>
      </c>
      <c r="H370" s="44" t="s">
        <v>256</v>
      </c>
      <c r="I370" s="44" t="s">
        <v>2382</v>
      </c>
      <c r="J370" s="44" t="s">
        <v>2383</v>
      </c>
      <c r="K370" s="44" t="s">
        <v>830</v>
      </c>
      <c r="L370" s="44" t="s">
        <v>256</v>
      </c>
      <c r="M370" s="44" t="s">
        <v>2384</v>
      </c>
      <c r="N370" s="44" t="s">
        <v>2385</v>
      </c>
      <c r="O370" s="44" t="s">
        <v>833</v>
      </c>
      <c r="P370" s="44" t="s">
        <v>256</v>
      </c>
      <c r="Q370" s="44" t="s">
        <v>2386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2404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2381</v>
      </c>
      <c r="G371" s="44" t="s">
        <v>827</v>
      </c>
      <c r="H371" s="44" t="s">
        <v>261</v>
      </c>
      <c r="I371" s="44" t="s">
        <v>2387</v>
      </c>
      <c r="J371" s="44" t="s">
        <v>2383</v>
      </c>
      <c r="K371" s="44" t="s">
        <v>830</v>
      </c>
      <c r="L371" s="44" t="s">
        <v>261</v>
      </c>
      <c r="M371" s="44" t="s">
        <v>2388</v>
      </c>
      <c r="N371" s="44" t="s">
        <v>2385</v>
      </c>
      <c r="O371" s="44" t="s">
        <v>833</v>
      </c>
      <c r="P371" s="44" t="s">
        <v>261</v>
      </c>
      <c r="Q371" s="44" t="s">
        <v>2389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2404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2381</v>
      </c>
      <c r="G372" s="44" t="s">
        <v>319</v>
      </c>
      <c r="H372" s="44"/>
      <c r="I372" s="44" t="s">
        <v>2390</v>
      </c>
      <c r="J372" s="44" t="s">
        <v>2383</v>
      </c>
      <c r="K372" s="44" t="s">
        <v>322</v>
      </c>
      <c r="L372" s="44"/>
      <c r="M372" s="44" t="s">
        <v>2391</v>
      </c>
      <c r="N372" s="44" t="s">
        <v>2385</v>
      </c>
      <c r="O372" s="44" t="s">
        <v>308</v>
      </c>
      <c r="P372" s="44"/>
      <c r="Q372" s="44" t="s">
        <v>2392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2404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2393</v>
      </c>
      <c r="G373" s="44"/>
      <c r="H373" s="44" t="s">
        <v>1638</v>
      </c>
      <c r="I373" s="44" t="s">
        <v>2393</v>
      </c>
      <c r="J373" s="44" t="s">
        <v>2394</v>
      </c>
      <c r="K373" s="44"/>
      <c r="L373" s="44" t="s">
        <v>1638</v>
      </c>
      <c r="M373" s="44" t="s">
        <v>2395</v>
      </c>
      <c r="N373" s="44" t="s">
        <v>2396</v>
      </c>
      <c r="O373" s="44"/>
      <c r="P373" s="44" t="s">
        <v>1638</v>
      </c>
      <c r="Q373" s="44" t="s">
        <v>2397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2405</v>
      </c>
      <c r="W373" s="44" t="s">
        <v>2406</v>
      </c>
      <c r="X373" s="44" t="s">
        <v>2406</v>
      </c>
      <c r="Y373" s="44" t="s">
        <v>180</v>
      </c>
      <c r="Z373" s="44" t="s">
        <v>192</v>
      </c>
      <c r="AA373" s="44" t="s">
        <v>2404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2398</v>
      </c>
      <c r="G374" s="44"/>
      <c r="H374" s="44" t="s">
        <v>263</v>
      </c>
      <c r="I374" s="44" t="s">
        <v>2398</v>
      </c>
      <c r="J374" s="44" t="s">
        <v>2399</v>
      </c>
      <c r="K374" s="44"/>
      <c r="L374" s="44" t="s">
        <v>263</v>
      </c>
      <c r="M374" s="44" t="s">
        <v>2400</v>
      </c>
      <c r="N374" s="44" t="s">
        <v>2401</v>
      </c>
      <c r="O374" s="44" t="s">
        <v>2402</v>
      </c>
      <c r="P374" s="44" t="s">
        <v>263</v>
      </c>
      <c r="Q374" s="44" t="s">
        <v>2403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2405</v>
      </c>
      <c r="W374" s="44" t="s">
        <v>2406</v>
      </c>
      <c r="X374" s="44" t="s">
        <v>2406</v>
      </c>
      <c r="Y374" s="44" t="s">
        <v>180</v>
      </c>
      <c r="Z374" s="44" t="s">
        <v>192</v>
      </c>
      <c r="AA374" s="44" t="s">
        <v>2404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1" t="s">
        <v>29</v>
      </c>
      <c r="B1" s="92"/>
      <c r="C1" s="92"/>
      <c r="D1" s="92"/>
      <c r="E1" s="65" t="s">
        <v>34</v>
      </c>
      <c r="F1" s="91" t="s">
        <v>541</v>
      </c>
      <c r="G1" s="93"/>
      <c r="H1" s="93"/>
      <c r="I1" s="94"/>
      <c r="J1" s="93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2025-12-17T09:58:21Z</dcterms:modified>
</cp:coreProperties>
</file>